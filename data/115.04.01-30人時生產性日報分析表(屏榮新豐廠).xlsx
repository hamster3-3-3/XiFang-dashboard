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AFDC69D4-8B1F-4618-BBF6-6E02CACCB1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430" sheetId="132" r:id="rId1"/>
    <sheet name="0430 4度C" sheetId="133" r:id="rId2"/>
    <sheet name="0429" sheetId="130" r:id="rId3"/>
    <sheet name="0429 4度C" sheetId="131" r:id="rId4"/>
    <sheet name="0428" sheetId="126" r:id="rId5"/>
    <sheet name="0428 4度C" sheetId="127" r:id="rId6"/>
    <sheet name="0427" sheetId="124" r:id="rId7"/>
    <sheet name="0427 4度C" sheetId="125" r:id="rId8"/>
    <sheet name="0426" sheetId="122" r:id="rId9"/>
    <sheet name="0426 4度C" sheetId="123" r:id="rId10"/>
    <sheet name="0425" sheetId="120" r:id="rId11"/>
    <sheet name="0425 4度C" sheetId="121" r:id="rId12"/>
    <sheet name="0424" sheetId="118" r:id="rId13"/>
    <sheet name="0424 4度C" sheetId="119" r:id="rId14"/>
    <sheet name="0423" sheetId="116" r:id="rId15"/>
    <sheet name="0423 4度C" sheetId="117" r:id="rId16"/>
    <sheet name="0422" sheetId="114" r:id="rId17"/>
    <sheet name="0422 4度C" sheetId="115" r:id="rId18"/>
    <sheet name="0421" sheetId="112" r:id="rId19"/>
    <sheet name="0421 4度C" sheetId="113" r:id="rId20"/>
    <sheet name="0420" sheetId="110" r:id="rId21"/>
    <sheet name="0420 4度C" sheetId="111" r:id="rId22"/>
    <sheet name="0419" sheetId="108" r:id="rId23"/>
    <sheet name="0419 4度C" sheetId="109" r:id="rId24"/>
    <sheet name="0418" sheetId="106" r:id="rId25"/>
    <sheet name="0418 4度C" sheetId="107" r:id="rId26"/>
    <sheet name="0417" sheetId="102" r:id="rId27"/>
    <sheet name="0417 4度C" sheetId="103" r:id="rId28"/>
    <sheet name="0416" sheetId="100" r:id="rId29"/>
    <sheet name="0416 4度C" sheetId="101" r:id="rId30"/>
    <sheet name="0415" sheetId="98" r:id="rId31"/>
    <sheet name="0415 4度C" sheetId="99" r:id="rId32"/>
    <sheet name="0414" sheetId="96" r:id="rId33"/>
    <sheet name="0414 4度C" sheetId="97" r:id="rId34"/>
    <sheet name="0413" sheetId="94" r:id="rId35"/>
    <sheet name="0413 4度C" sheetId="95" r:id="rId36"/>
    <sheet name="0412" sheetId="92" r:id="rId37"/>
    <sheet name="0412 4度C" sheetId="93" r:id="rId38"/>
    <sheet name="0411" sheetId="90" r:id="rId39"/>
    <sheet name="0411 4度C" sheetId="91" r:id="rId40"/>
    <sheet name="0410" sheetId="88" r:id="rId41"/>
    <sheet name="0410 4度C" sheetId="89" r:id="rId42"/>
    <sheet name="0409" sheetId="86" r:id="rId43"/>
    <sheet name="0409 4度C" sheetId="87" r:id="rId44"/>
    <sheet name="0408" sheetId="84" r:id="rId45"/>
    <sheet name="0408 4度C" sheetId="85" r:id="rId46"/>
    <sheet name="0407" sheetId="82" r:id="rId47"/>
    <sheet name="0407 4度C" sheetId="83" r:id="rId48"/>
    <sheet name="0406" sheetId="80" r:id="rId49"/>
    <sheet name="0406 4度C" sheetId="81" r:id="rId50"/>
    <sheet name="0405" sheetId="76" r:id="rId51"/>
    <sheet name="0405 4度C" sheetId="77" r:id="rId52"/>
    <sheet name="0404" sheetId="74" r:id="rId53"/>
    <sheet name="0404 4度C" sheetId="75" r:id="rId54"/>
    <sheet name="0403" sheetId="72" r:id="rId55"/>
    <sheet name="0403 4度C" sheetId="73" r:id="rId56"/>
    <sheet name="0402" sheetId="70" r:id="rId57"/>
    <sheet name="0402 4度C" sheetId="71" r:id="rId58"/>
    <sheet name="0401" sheetId="68" r:id="rId59"/>
    <sheet name="0401 4度C" sheetId="69" r:id="rId60"/>
  </sheets>
  <definedNames>
    <definedName name="_xlnm._FilterDatabase" localSheetId="59" hidden="1">'0401 4度C'!$A$4:$AI$4</definedName>
    <definedName name="_xlnm._FilterDatabase" localSheetId="57" hidden="1">'0402 4度C'!$A$4:$AI$4</definedName>
    <definedName name="_xlnm._FilterDatabase" localSheetId="55" hidden="1">'0403 4度C'!$A$4:$AI$4</definedName>
    <definedName name="_xlnm._FilterDatabase" localSheetId="53" hidden="1">'0404 4度C'!$A$4:$AI$4</definedName>
    <definedName name="_xlnm._FilterDatabase" localSheetId="51" hidden="1">'0405 4度C'!$A$4:$AI$4</definedName>
    <definedName name="_xlnm._FilterDatabase" localSheetId="49" hidden="1">'0406 4度C'!$A$4:$AI$4</definedName>
    <definedName name="_xlnm._FilterDatabase" localSheetId="47" hidden="1">'0407 4度C'!$A$4:$AI$4</definedName>
    <definedName name="_xlnm._FilterDatabase" localSheetId="45" hidden="1">'0408 4度C'!$A$4:$AI$4</definedName>
    <definedName name="_xlnm._FilterDatabase" localSheetId="43" hidden="1">'0409 4度C'!$A$4:$AI$4</definedName>
    <definedName name="_xlnm._FilterDatabase" localSheetId="41" hidden="1">'0410 4度C'!$A$4:$AI$4</definedName>
    <definedName name="_xlnm._FilterDatabase" localSheetId="39" hidden="1">'0411 4度C'!$A$4:$AI$4</definedName>
    <definedName name="_xlnm._FilterDatabase" localSheetId="37" hidden="1">'0412 4度C'!$A$4:$AI$4</definedName>
    <definedName name="_xlnm._FilterDatabase" localSheetId="35" hidden="1">'0413 4度C'!$A$4:$AI$4</definedName>
    <definedName name="_xlnm._FilterDatabase" localSheetId="33" hidden="1">'0414 4度C'!$A$4:$AI$4</definedName>
    <definedName name="_xlnm._FilterDatabase" localSheetId="31" hidden="1">'0415 4度C'!$A$4:$AI$4</definedName>
    <definedName name="_xlnm._FilterDatabase" localSheetId="29" hidden="1">'0416 4度C'!$A$4:$AI$4</definedName>
    <definedName name="_xlnm._FilterDatabase" localSheetId="27" hidden="1">'0417 4度C'!$A$4:$AI$4</definedName>
    <definedName name="_xlnm._FilterDatabase" localSheetId="25" hidden="1">'0418 4度C'!$A$4:$AI$4</definedName>
    <definedName name="_xlnm._FilterDatabase" localSheetId="23" hidden="1">'0419 4度C'!$A$4:$AI$4</definedName>
    <definedName name="_xlnm._FilterDatabase" localSheetId="21" hidden="1">'0420 4度C'!$A$4:$AI$4</definedName>
    <definedName name="_xlnm._FilterDatabase" localSheetId="19" hidden="1">'0421 4度C'!$A$4:$AI$4</definedName>
    <definedName name="_xlnm._FilterDatabase" localSheetId="17" hidden="1">'0422 4度C'!$A$4:$AI$4</definedName>
    <definedName name="_xlnm._FilterDatabase" localSheetId="15" hidden="1">'0423 4度C'!$A$4:$AI$4</definedName>
    <definedName name="_xlnm._FilterDatabase" localSheetId="13" hidden="1">'0424 4度C'!$A$4:$AI$4</definedName>
    <definedName name="_xlnm._FilterDatabase" localSheetId="11" hidden="1">'0425 4度C'!$A$4:$AI$4</definedName>
    <definedName name="_xlnm._FilterDatabase" localSheetId="9" hidden="1">'0426 4度C'!$A$4:$AI$4</definedName>
    <definedName name="_xlnm._FilterDatabase" localSheetId="7" hidden="1">'0427 4度C'!$A$4:$AI$4</definedName>
    <definedName name="_xlnm._FilterDatabase" localSheetId="5" hidden="1">'0428 4度C'!$A$4:$AI$4</definedName>
    <definedName name="_xlnm._FilterDatabase" localSheetId="3" hidden="1">'0429 4度C'!$A$4:$AI$4</definedName>
    <definedName name="_xlnm._FilterDatabase" localSheetId="1" hidden="1">'0430 4度C'!$A$4:$AI$4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67" i="133" l="1"/>
  <c r="AC67" i="133"/>
  <c r="Z67" i="133"/>
  <c r="Y67" i="133"/>
  <c r="O67" i="133"/>
  <c r="K67" i="133"/>
  <c r="M13" i="132" s="1"/>
  <c r="V66" i="133"/>
  <c r="U66" i="133"/>
  <c r="O66" i="133"/>
  <c r="N66" i="133"/>
  <c r="Q66" i="133" s="1"/>
  <c r="M66" i="133"/>
  <c r="AF66" i="133" s="1"/>
  <c r="K66" i="133"/>
  <c r="G66" i="133"/>
  <c r="X65" i="133"/>
  <c r="W65" i="133"/>
  <c r="V65" i="133"/>
  <c r="M65" i="133" s="1"/>
  <c r="U65" i="133"/>
  <c r="O65" i="133"/>
  <c r="K65" i="133"/>
  <c r="G65" i="133"/>
  <c r="V64" i="133"/>
  <c r="M64" i="133" s="1"/>
  <c r="U64" i="133"/>
  <c r="O64" i="133"/>
  <c r="K64" i="133"/>
  <c r="G64" i="133"/>
  <c r="V63" i="133"/>
  <c r="U63" i="133"/>
  <c r="O63" i="133"/>
  <c r="M63" i="133"/>
  <c r="AE63" i="133" s="1"/>
  <c r="K63" i="133"/>
  <c r="G63" i="133"/>
  <c r="V62" i="133"/>
  <c r="M62" i="133" s="1"/>
  <c r="U62" i="133"/>
  <c r="O62" i="133"/>
  <c r="K62" i="133"/>
  <c r="G62" i="133"/>
  <c r="V61" i="133"/>
  <c r="M61" i="133" s="1"/>
  <c r="U61" i="133"/>
  <c r="O61" i="133"/>
  <c r="K61" i="133"/>
  <c r="G61" i="133"/>
  <c r="X60" i="133"/>
  <c r="W60" i="133"/>
  <c r="V60" i="133"/>
  <c r="O60" i="133"/>
  <c r="M60" i="133"/>
  <c r="N60" i="133" s="1"/>
  <c r="K60" i="133"/>
  <c r="G60" i="133"/>
  <c r="AD59" i="133"/>
  <c r="J21" i="132" s="1"/>
  <c r="AC59" i="133"/>
  <c r="Z59" i="133"/>
  <c r="J19" i="132" s="1"/>
  <c r="Y59" i="133"/>
  <c r="O59" i="133"/>
  <c r="K59" i="133"/>
  <c r="V58" i="133"/>
  <c r="U58" i="133"/>
  <c r="O58" i="133"/>
  <c r="M58" i="133"/>
  <c r="N58" i="133" s="1"/>
  <c r="K58" i="133"/>
  <c r="G58" i="133"/>
  <c r="V57" i="133"/>
  <c r="M57" i="133" s="1"/>
  <c r="U57" i="133"/>
  <c r="O57" i="133"/>
  <c r="K57" i="133"/>
  <c r="G57" i="133"/>
  <c r="V56" i="133"/>
  <c r="M56" i="133" s="1"/>
  <c r="U56" i="133"/>
  <c r="O56" i="133"/>
  <c r="K56" i="133"/>
  <c r="G56" i="133"/>
  <c r="V55" i="133"/>
  <c r="M55" i="133" s="1"/>
  <c r="U55" i="133"/>
  <c r="O55" i="133"/>
  <c r="K55" i="133"/>
  <c r="G55" i="133"/>
  <c r="V54" i="133"/>
  <c r="M54" i="133" s="1"/>
  <c r="U54" i="133"/>
  <c r="O54" i="133"/>
  <c r="K54" i="133"/>
  <c r="G54" i="133"/>
  <c r="V53" i="133"/>
  <c r="M53" i="133" s="1"/>
  <c r="O53" i="133"/>
  <c r="K53" i="133"/>
  <c r="G53" i="133"/>
  <c r="AD52" i="133"/>
  <c r="AC52" i="133"/>
  <c r="Z52" i="133"/>
  <c r="I19" i="132" s="1"/>
  <c r="Y52" i="133"/>
  <c r="I18" i="132" s="1"/>
  <c r="O52" i="133"/>
  <c r="K52" i="133"/>
  <c r="I13" i="132" s="1"/>
  <c r="V51" i="133"/>
  <c r="M51" i="133" s="1"/>
  <c r="U51" i="133"/>
  <c r="O51" i="133"/>
  <c r="K51" i="133"/>
  <c r="G51" i="133"/>
  <c r="V50" i="133"/>
  <c r="M50" i="133" s="1"/>
  <c r="U50" i="133"/>
  <c r="O50" i="133"/>
  <c r="K50" i="133"/>
  <c r="G50" i="133"/>
  <c r="V49" i="133"/>
  <c r="U49" i="133"/>
  <c r="O49" i="133"/>
  <c r="N49" i="133"/>
  <c r="M49" i="133"/>
  <c r="AF49" i="133" s="1"/>
  <c r="K49" i="133"/>
  <c r="G49" i="133"/>
  <c r="V48" i="133"/>
  <c r="M48" i="133" s="1"/>
  <c r="AF48" i="133" s="1"/>
  <c r="U48" i="133"/>
  <c r="O48" i="133"/>
  <c r="K48" i="133"/>
  <c r="G48" i="133"/>
  <c r="V47" i="133"/>
  <c r="M47" i="133" s="1"/>
  <c r="U47" i="133"/>
  <c r="O47" i="133"/>
  <c r="K47" i="133"/>
  <c r="G47" i="133"/>
  <c r="V46" i="133"/>
  <c r="U46" i="133"/>
  <c r="O46" i="133"/>
  <c r="N46" i="133"/>
  <c r="M46" i="133"/>
  <c r="AF46" i="133" s="1"/>
  <c r="K46" i="133"/>
  <c r="G46" i="133"/>
  <c r="V45" i="133"/>
  <c r="M45" i="133" s="1"/>
  <c r="AE45" i="133" s="1"/>
  <c r="U45" i="133"/>
  <c r="O45" i="133"/>
  <c r="K45" i="133"/>
  <c r="G45" i="133"/>
  <c r="V44" i="133"/>
  <c r="O44" i="133"/>
  <c r="M44" i="133"/>
  <c r="AE44" i="133" s="1"/>
  <c r="K44" i="133"/>
  <c r="G44" i="133"/>
  <c r="AD43" i="133"/>
  <c r="AC43" i="133"/>
  <c r="Z43" i="133"/>
  <c r="Y43" i="133"/>
  <c r="O43" i="133"/>
  <c r="K43" i="133"/>
  <c r="H13" i="132" s="1"/>
  <c r="V42" i="133"/>
  <c r="M42" i="133" s="1"/>
  <c r="U42" i="133"/>
  <c r="O42" i="133"/>
  <c r="K42" i="133"/>
  <c r="G42" i="133"/>
  <c r="V41" i="133"/>
  <c r="M41" i="133" s="1"/>
  <c r="U41" i="133"/>
  <c r="O41" i="133"/>
  <c r="K41" i="133"/>
  <c r="G41" i="133"/>
  <c r="V40" i="133"/>
  <c r="M40" i="133" s="1"/>
  <c r="U40" i="133"/>
  <c r="O40" i="133"/>
  <c r="K40" i="133"/>
  <c r="G40" i="133"/>
  <c r="X39" i="133"/>
  <c r="W39" i="133"/>
  <c r="V39" i="133"/>
  <c r="O39" i="133"/>
  <c r="M39" i="133"/>
  <c r="N39" i="133" s="1"/>
  <c r="K39" i="133"/>
  <c r="G39" i="133"/>
  <c r="AD38" i="133"/>
  <c r="L21" i="132" s="1"/>
  <c r="AC38" i="133"/>
  <c r="Z38" i="133"/>
  <c r="Y38" i="133"/>
  <c r="O38" i="133"/>
  <c r="K38" i="133"/>
  <c r="V37" i="133"/>
  <c r="M37" i="133" s="1"/>
  <c r="U37" i="133"/>
  <c r="O37" i="133"/>
  <c r="K37" i="133"/>
  <c r="G37" i="133"/>
  <c r="V36" i="133"/>
  <c r="M36" i="133" s="1"/>
  <c r="U36" i="133"/>
  <c r="O36" i="133"/>
  <c r="K36" i="133"/>
  <c r="G36" i="133"/>
  <c r="X35" i="133"/>
  <c r="W35" i="133"/>
  <c r="V35" i="133"/>
  <c r="M35" i="133" s="1"/>
  <c r="U35" i="133"/>
  <c r="O35" i="133"/>
  <c r="K35" i="133"/>
  <c r="G35" i="133"/>
  <c r="V34" i="133"/>
  <c r="M34" i="133" s="1"/>
  <c r="U34" i="133"/>
  <c r="O34" i="133"/>
  <c r="K34" i="133"/>
  <c r="G34" i="133"/>
  <c r="V33" i="133"/>
  <c r="M33" i="133" s="1"/>
  <c r="U33" i="133"/>
  <c r="O33" i="133"/>
  <c r="K33" i="133"/>
  <c r="G33" i="133"/>
  <c r="V32" i="133"/>
  <c r="M32" i="133" s="1"/>
  <c r="U32" i="133"/>
  <c r="O32" i="133"/>
  <c r="K32" i="133"/>
  <c r="G32" i="133"/>
  <c r="X31" i="133"/>
  <c r="W31" i="133"/>
  <c r="V31" i="133"/>
  <c r="M31" i="133" s="1"/>
  <c r="O31" i="133"/>
  <c r="K31" i="133"/>
  <c r="G31" i="133"/>
  <c r="AD30" i="133"/>
  <c r="AC30" i="133"/>
  <c r="K20" i="132" s="1"/>
  <c r="Z30" i="133"/>
  <c r="K19" i="132" s="1"/>
  <c r="Y30" i="133"/>
  <c r="O30" i="133"/>
  <c r="K30" i="133"/>
  <c r="V29" i="133"/>
  <c r="M29" i="133" s="1"/>
  <c r="U29" i="133"/>
  <c r="O29" i="133"/>
  <c r="K29" i="133"/>
  <c r="G29" i="133"/>
  <c r="V28" i="133"/>
  <c r="M28" i="133" s="1"/>
  <c r="U28" i="133"/>
  <c r="O28" i="133"/>
  <c r="K28" i="133"/>
  <c r="G28" i="133"/>
  <c r="X27" i="133"/>
  <c r="W27" i="133"/>
  <c r="V27" i="133"/>
  <c r="M27" i="133" s="1"/>
  <c r="U27" i="133"/>
  <c r="O27" i="133"/>
  <c r="K27" i="133"/>
  <c r="G27" i="133"/>
  <c r="V26" i="133"/>
  <c r="M26" i="133" s="1"/>
  <c r="U26" i="133"/>
  <c r="O26" i="133"/>
  <c r="K26" i="133"/>
  <c r="G26" i="133"/>
  <c r="V25" i="133"/>
  <c r="M25" i="133" s="1"/>
  <c r="U25" i="133"/>
  <c r="O25" i="133"/>
  <c r="K25" i="133"/>
  <c r="G25" i="133"/>
  <c r="X24" i="133"/>
  <c r="W24" i="133"/>
  <c r="V24" i="133"/>
  <c r="M24" i="133" s="1"/>
  <c r="O24" i="133"/>
  <c r="K24" i="133"/>
  <c r="G24" i="133"/>
  <c r="AD23" i="133"/>
  <c r="AC23" i="133"/>
  <c r="G20" i="132" s="1"/>
  <c r="Z23" i="133"/>
  <c r="G19" i="132" s="1"/>
  <c r="Y23" i="133"/>
  <c r="O23" i="133"/>
  <c r="K23" i="133"/>
  <c r="V22" i="133"/>
  <c r="M22" i="133" s="1"/>
  <c r="U22" i="133"/>
  <c r="O22" i="133"/>
  <c r="K22" i="133"/>
  <c r="G22" i="133"/>
  <c r="V21" i="133"/>
  <c r="M21" i="133" s="1"/>
  <c r="U21" i="133"/>
  <c r="O21" i="133"/>
  <c r="K21" i="133"/>
  <c r="G21" i="133"/>
  <c r="V20" i="133"/>
  <c r="M20" i="133" s="1"/>
  <c r="U20" i="133"/>
  <c r="O20" i="133"/>
  <c r="K20" i="133"/>
  <c r="G20" i="133"/>
  <c r="V19" i="133"/>
  <c r="U19" i="133"/>
  <c r="O19" i="133"/>
  <c r="M19" i="133"/>
  <c r="AF19" i="133" s="1"/>
  <c r="K19" i="133"/>
  <c r="G19" i="133"/>
  <c r="V18" i="133"/>
  <c r="O18" i="133"/>
  <c r="M18" i="133"/>
  <c r="AF18" i="133" s="1"/>
  <c r="K18" i="133"/>
  <c r="G18" i="133"/>
  <c r="AD17" i="133"/>
  <c r="AC17" i="133"/>
  <c r="F20" i="132" s="1"/>
  <c r="Z17" i="133"/>
  <c r="F19" i="132" s="1"/>
  <c r="Y17" i="133"/>
  <c r="F18" i="132" s="1"/>
  <c r="O17" i="133"/>
  <c r="K17" i="133"/>
  <c r="V16" i="133"/>
  <c r="U16" i="133"/>
  <c r="O16" i="133"/>
  <c r="M16" i="133"/>
  <c r="AF16" i="133" s="1"/>
  <c r="K16" i="133"/>
  <c r="G16" i="133"/>
  <c r="V15" i="133"/>
  <c r="U15" i="133"/>
  <c r="O15" i="133"/>
  <c r="M15" i="133"/>
  <c r="AF15" i="133" s="1"/>
  <c r="K15" i="133"/>
  <c r="G15" i="133"/>
  <c r="V14" i="133"/>
  <c r="M14" i="133" s="1"/>
  <c r="U14" i="133"/>
  <c r="O14" i="133"/>
  <c r="K14" i="133"/>
  <c r="G14" i="133"/>
  <c r="V13" i="133"/>
  <c r="O13" i="133"/>
  <c r="M13" i="133"/>
  <c r="K13" i="133"/>
  <c r="G13" i="133"/>
  <c r="AD12" i="133"/>
  <c r="E21" i="132" s="1"/>
  <c r="AC12" i="133"/>
  <c r="E20" i="132" s="1"/>
  <c r="Z12" i="133"/>
  <c r="Y12" i="133"/>
  <c r="E18" i="132" s="1"/>
  <c r="O12" i="133"/>
  <c r="K12" i="133"/>
  <c r="E13" i="132" s="1"/>
  <c r="V11" i="133"/>
  <c r="U11" i="133"/>
  <c r="O11" i="133"/>
  <c r="M11" i="133"/>
  <c r="AE11" i="133" s="1"/>
  <c r="K11" i="133"/>
  <c r="G11" i="133"/>
  <c r="V10" i="133"/>
  <c r="M10" i="133" s="1"/>
  <c r="AE10" i="133" s="1"/>
  <c r="O10" i="133"/>
  <c r="K10" i="133"/>
  <c r="G10" i="133"/>
  <c r="AD9" i="133"/>
  <c r="AD2" i="133" s="1"/>
  <c r="N6" i="132" s="1"/>
  <c r="AC9" i="133"/>
  <c r="D20" i="132" s="1"/>
  <c r="Z9" i="133"/>
  <c r="Y9" i="133"/>
  <c r="D18" i="132" s="1"/>
  <c r="O9" i="133"/>
  <c r="K9" i="133"/>
  <c r="V8" i="133"/>
  <c r="M8" i="133" s="1"/>
  <c r="U8" i="133"/>
  <c r="O8" i="133"/>
  <c r="K8" i="133"/>
  <c r="G8" i="133"/>
  <c r="V7" i="133"/>
  <c r="M7" i="133" s="1"/>
  <c r="U7" i="133"/>
  <c r="O7" i="133"/>
  <c r="K7" i="133"/>
  <c r="G7" i="133"/>
  <c r="V6" i="133"/>
  <c r="M6" i="133" s="1"/>
  <c r="U6" i="133"/>
  <c r="O6" i="133"/>
  <c r="K6" i="133"/>
  <c r="G6" i="133"/>
  <c r="V5" i="133"/>
  <c r="M5" i="133" s="1"/>
  <c r="O5" i="133"/>
  <c r="K5" i="133"/>
  <c r="G5" i="133"/>
  <c r="Y2" i="133"/>
  <c r="K6" i="132" s="1"/>
  <c r="H2" i="133"/>
  <c r="H1" i="133"/>
  <c r="D1" i="133"/>
  <c r="M22" i="132"/>
  <c r="L22" i="132"/>
  <c r="K22" i="132"/>
  <c r="J22" i="132"/>
  <c r="I22" i="132"/>
  <c r="H22" i="132"/>
  <c r="G22" i="132"/>
  <c r="F22" i="132"/>
  <c r="E22" i="132"/>
  <c r="D22" i="132"/>
  <c r="M21" i="132"/>
  <c r="K21" i="132"/>
  <c r="I21" i="132"/>
  <c r="H21" i="132"/>
  <c r="G21" i="132"/>
  <c r="F21" i="132"/>
  <c r="D21" i="132"/>
  <c r="M20" i="132"/>
  <c r="L20" i="132"/>
  <c r="J20" i="132"/>
  <c r="I20" i="132"/>
  <c r="H20" i="132"/>
  <c r="M19" i="132"/>
  <c r="L19" i="132"/>
  <c r="H19" i="132"/>
  <c r="E19" i="132"/>
  <c r="D19" i="132"/>
  <c r="M18" i="132"/>
  <c r="L18" i="132"/>
  <c r="K18" i="132"/>
  <c r="J18" i="132"/>
  <c r="H18" i="132"/>
  <c r="G18" i="132"/>
  <c r="M17" i="132"/>
  <c r="L17" i="132"/>
  <c r="K17" i="132"/>
  <c r="J17" i="132"/>
  <c r="I17" i="132"/>
  <c r="H17" i="132"/>
  <c r="G17" i="132"/>
  <c r="F17" i="132"/>
  <c r="E17" i="132"/>
  <c r="D17" i="132"/>
  <c r="M16" i="132"/>
  <c r="L16" i="132"/>
  <c r="K16" i="132"/>
  <c r="J16" i="132"/>
  <c r="I16" i="132"/>
  <c r="H16" i="132"/>
  <c r="G16" i="132"/>
  <c r="F16" i="132"/>
  <c r="E16" i="132"/>
  <c r="D16" i="132"/>
  <c r="L13" i="132"/>
  <c r="K13" i="132"/>
  <c r="J13" i="132"/>
  <c r="G13" i="132"/>
  <c r="F13" i="132"/>
  <c r="D13" i="132"/>
  <c r="F3" i="132"/>
  <c r="C3" i="132"/>
  <c r="AF14" i="133" l="1"/>
  <c r="N14" i="133"/>
  <c r="Q14" i="133" s="1"/>
  <c r="N42" i="133"/>
  <c r="AF42" i="133"/>
  <c r="AF64" i="133"/>
  <c r="N64" i="133"/>
  <c r="Q64" i="133" s="1"/>
  <c r="AE65" i="133"/>
  <c r="AF65" i="133"/>
  <c r="AF47" i="133"/>
  <c r="N47" i="133"/>
  <c r="Q47" i="133" s="1"/>
  <c r="N62" i="133"/>
  <c r="Q62" i="133" s="1"/>
  <c r="AF62" i="133"/>
  <c r="AE62" i="133"/>
  <c r="N8" i="133"/>
  <c r="AF8" i="133"/>
  <c r="Q46" i="133"/>
  <c r="Q49" i="133"/>
  <c r="N18" i="133"/>
  <c r="Q18" i="133" s="1"/>
  <c r="N15" i="133"/>
  <c r="Q15" i="133" s="1"/>
  <c r="AF39" i="133"/>
  <c r="AE60" i="133"/>
  <c r="N19" i="133"/>
  <c r="Q19" i="133" s="1"/>
  <c r="AE58" i="133"/>
  <c r="I6" i="132"/>
  <c r="AF58" i="133"/>
  <c r="F1" i="133"/>
  <c r="M17" i="133"/>
  <c r="N6" i="133"/>
  <c r="AF6" i="133"/>
  <c r="AE6" i="133"/>
  <c r="AF17" i="133"/>
  <c r="AG13" i="133" s="1"/>
  <c r="AE17" i="133"/>
  <c r="N17" i="133"/>
  <c r="N25" i="133"/>
  <c r="AF25" i="133"/>
  <c r="AE25" i="133"/>
  <c r="N29" i="133"/>
  <c r="AF29" i="133"/>
  <c r="AE29" i="133"/>
  <c r="N36" i="133"/>
  <c r="AF36" i="133"/>
  <c r="AE36" i="133"/>
  <c r="N57" i="133"/>
  <c r="AE57" i="133"/>
  <c r="AF57" i="133"/>
  <c r="N7" i="133"/>
  <c r="AE7" i="133"/>
  <c r="AF7" i="133"/>
  <c r="N21" i="133"/>
  <c r="AF21" i="133"/>
  <c r="AE21" i="133"/>
  <c r="AF50" i="133"/>
  <c r="AE50" i="133"/>
  <c r="N50" i="133"/>
  <c r="N55" i="133"/>
  <c r="AF55" i="133"/>
  <c r="AE55" i="133"/>
  <c r="N34" i="133"/>
  <c r="AF34" i="133"/>
  <c r="AE34" i="133"/>
  <c r="Q58" i="133"/>
  <c r="P58" i="133"/>
  <c r="N61" i="133"/>
  <c r="M67" i="133"/>
  <c r="AE61" i="133"/>
  <c r="AF61" i="133"/>
  <c r="F2" i="133"/>
  <c r="I3" i="132"/>
  <c r="N27" i="133"/>
  <c r="AF27" i="133"/>
  <c r="AE27" i="133"/>
  <c r="Q39" i="133"/>
  <c r="P39" i="133"/>
  <c r="N5" i="133"/>
  <c r="M9" i="133"/>
  <c r="AF5" i="133"/>
  <c r="AE5" i="133"/>
  <c r="Q8" i="133"/>
  <c r="P8" i="133"/>
  <c r="N24" i="133"/>
  <c r="M30" i="133"/>
  <c r="AF24" i="133"/>
  <c r="AE24" i="133"/>
  <c r="N26" i="133"/>
  <c r="AF26" i="133"/>
  <c r="AE26" i="133"/>
  <c r="N28" i="133"/>
  <c r="AF28" i="133"/>
  <c r="AE28" i="133"/>
  <c r="N53" i="133"/>
  <c r="AF53" i="133"/>
  <c r="AE53" i="133"/>
  <c r="M59" i="133"/>
  <c r="AF20" i="133"/>
  <c r="AE20" i="133"/>
  <c r="N20" i="133"/>
  <c r="N40" i="133"/>
  <c r="AF40" i="133"/>
  <c r="AE40" i="133"/>
  <c r="N35" i="133"/>
  <c r="AF35" i="133"/>
  <c r="AE35" i="133"/>
  <c r="N37" i="133"/>
  <c r="AE37" i="133"/>
  <c r="AF37" i="133"/>
  <c r="N41" i="133"/>
  <c r="AE41" i="133"/>
  <c r="AF41" i="133"/>
  <c r="Q60" i="133"/>
  <c r="P60" i="133"/>
  <c r="G6" i="132"/>
  <c r="F6" i="132"/>
  <c r="E6" i="132"/>
  <c r="N32" i="133"/>
  <c r="AF32" i="133"/>
  <c r="AE32" i="133"/>
  <c r="N22" i="133"/>
  <c r="AF22" i="133"/>
  <c r="AE22" i="133"/>
  <c r="N51" i="133"/>
  <c r="AF51" i="133"/>
  <c r="AE51" i="133"/>
  <c r="N31" i="133"/>
  <c r="AF31" i="133"/>
  <c r="M38" i="133"/>
  <c r="AE31" i="133"/>
  <c r="N33" i="133"/>
  <c r="AF33" i="133"/>
  <c r="AE33" i="133"/>
  <c r="N56" i="133"/>
  <c r="AF56" i="133"/>
  <c r="AE56" i="133"/>
  <c r="Q42" i="133"/>
  <c r="P42" i="133"/>
  <c r="N54" i="133"/>
  <c r="AF54" i="133"/>
  <c r="AE54" i="133"/>
  <c r="AE8" i="133"/>
  <c r="AF10" i="133"/>
  <c r="AF11" i="133"/>
  <c r="AE42" i="133"/>
  <c r="AF44" i="133"/>
  <c r="AF45" i="133"/>
  <c r="AF63" i="133"/>
  <c r="Z2" i="133"/>
  <c r="L6" i="132" s="1"/>
  <c r="M12" i="133"/>
  <c r="N16" i="133"/>
  <c r="AE39" i="133"/>
  <c r="N48" i="133"/>
  <c r="AF60" i="133"/>
  <c r="AC2" i="133"/>
  <c r="M6" i="132" s="1"/>
  <c r="P19" i="133"/>
  <c r="M43" i="133"/>
  <c r="P49" i="133"/>
  <c r="N65" i="133"/>
  <c r="N13" i="133"/>
  <c r="N10" i="133"/>
  <c r="N11" i="133"/>
  <c r="N44" i="133"/>
  <c r="N45" i="133"/>
  <c r="N63" i="133"/>
  <c r="P14" i="133"/>
  <c r="P46" i="133"/>
  <c r="P64" i="133"/>
  <c r="P66" i="133"/>
  <c r="AE18" i="133"/>
  <c r="AE19" i="133"/>
  <c r="M23" i="133"/>
  <c r="AE49" i="133"/>
  <c r="AE16" i="133"/>
  <c r="AE48" i="133"/>
  <c r="M52" i="133"/>
  <c r="AE15" i="133"/>
  <c r="AE47" i="133"/>
  <c r="AE13" i="133"/>
  <c r="AE14" i="133"/>
  <c r="AE46" i="133"/>
  <c r="AE64" i="133"/>
  <c r="AE66" i="133"/>
  <c r="AF13" i="133"/>
  <c r="AD72" i="131"/>
  <c r="Z72" i="131"/>
  <c r="Y72" i="131"/>
  <c r="M18" i="130" s="1"/>
  <c r="O72" i="131"/>
  <c r="K72" i="131"/>
  <c r="M13" i="130" s="1"/>
  <c r="V71" i="131"/>
  <c r="U71" i="131"/>
  <c r="O71" i="131"/>
  <c r="M71" i="131"/>
  <c r="AE71" i="131" s="1"/>
  <c r="K71" i="131"/>
  <c r="G71" i="131"/>
  <c r="V70" i="131"/>
  <c r="M70" i="131" s="1"/>
  <c r="U70" i="131"/>
  <c r="O70" i="131"/>
  <c r="K70" i="131"/>
  <c r="G70" i="131"/>
  <c r="V69" i="131"/>
  <c r="M69" i="131" s="1"/>
  <c r="U69" i="131"/>
  <c r="O69" i="131"/>
  <c r="K69" i="131"/>
  <c r="G69" i="131"/>
  <c r="AF68" i="131"/>
  <c r="V68" i="131"/>
  <c r="U68" i="131"/>
  <c r="O68" i="131"/>
  <c r="M68" i="131"/>
  <c r="N68" i="131" s="1"/>
  <c r="K68" i="131"/>
  <c r="G68" i="131"/>
  <c r="X67" i="131"/>
  <c r="W67" i="131"/>
  <c r="V67" i="131"/>
  <c r="M67" i="131" s="1"/>
  <c r="U67" i="131"/>
  <c r="O67" i="131"/>
  <c r="K67" i="131"/>
  <c r="G67" i="131"/>
  <c r="V66" i="131"/>
  <c r="U66" i="131"/>
  <c r="O66" i="131"/>
  <c r="M66" i="131"/>
  <c r="N66" i="131" s="1"/>
  <c r="K66" i="131"/>
  <c r="G66" i="131"/>
  <c r="V65" i="131"/>
  <c r="M65" i="131" s="1"/>
  <c r="U65" i="131"/>
  <c r="O65" i="131"/>
  <c r="K65" i="131"/>
  <c r="G65" i="131"/>
  <c r="V64" i="131"/>
  <c r="M64" i="131" s="1"/>
  <c r="U64" i="131"/>
  <c r="O64" i="131"/>
  <c r="K64" i="131"/>
  <c r="G64" i="131"/>
  <c r="V63" i="131"/>
  <c r="M63" i="131" s="1"/>
  <c r="U63" i="131"/>
  <c r="O63" i="131"/>
  <c r="K63" i="131"/>
  <c r="G63" i="131"/>
  <c r="X62" i="131"/>
  <c r="W62" i="131"/>
  <c r="V62" i="131"/>
  <c r="M62" i="131" s="1"/>
  <c r="O62" i="131"/>
  <c r="K62" i="131"/>
  <c r="G62" i="131"/>
  <c r="AD61" i="131"/>
  <c r="J21" i="130" s="1"/>
  <c r="Z61" i="131"/>
  <c r="J19" i="130" s="1"/>
  <c r="Y61" i="131"/>
  <c r="O61" i="131"/>
  <c r="K61" i="131"/>
  <c r="V60" i="131"/>
  <c r="M60" i="131" s="1"/>
  <c r="U60" i="131"/>
  <c r="O60" i="131"/>
  <c r="K60" i="131"/>
  <c r="G60" i="131"/>
  <c r="V59" i="131"/>
  <c r="M59" i="131" s="1"/>
  <c r="U59" i="131"/>
  <c r="O59" i="131"/>
  <c r="K59" i="131"/>
  <c r="G59" i="131"/>
  <c r="V58" i="131"/>
  <c r="U58" i="131"/>
  <c r="O58" i="131"/>
  <c r="M58" i="131"/>
  <c r="AF58" i="131" s="1"/>
  <c r="K58" i="131"/>
  <c r="G58" i="131"/>
  <c r="V57" i="131"/>
  <c r="M57" i="131" s="1"/>
  <c r="U57" i="131"/>
  <c r="O57" i="131"/>
  <c r="K57" i="131"/>
  <c r="G57" i="131"/>
  <c r="V56" i="131"/>
  <c r="M56" i="131" s="1"/>
  <c r="AF56" i="131" s="1"/>
  <c r="U56" i="131"/>
  <c r="O56" i="131"/>
  <c r="K56" i="131"/>
  <c r="G56" i="131"/>
  <c r="V55" i="131"/>
  <c r="O55" i="131"/>
  <c r="M55" i="131"/>
  <c r="AF55" i="131" s="1"/>
  <c r="K55" i="131"/>
  <c r="G55" i="131"/>
  <c r="AD54" i="131"/>
  <c r="Z54" i="131"/>
  <c r="Y54" i="131"/>
  <c r="O54" i="131"/>
  <c r="K54" i="131"/>
  <c r="V53" i="131"/>
  <c r="M53" i="131" s="1"/>
  <c r="U53" i="131"/>
  <c r="O53" i="131"/>
  <c r="K53" i="131"/>
  <c r="G53" i="131"/>
  <c r="V52" i="131"/>
  <c r="U52" i="131"/>
  <c r="O52" i="131"/>
  <c r="M52" i="131"/>
  <c r="N52" i="131" s="1"/>
  <c r="K52" i="131"/>
  <c r="G52" i="131"/>
  <c r="V51" i="131"/>
  <c r="M51" i="131" s="1"/>
  <c r="U51" i="131"/>
  <c r="O51" i="131"/>
  <c r="K51" i="131"/>
  <c r="G51" i="131"/>
  <c r="V50" i="131"/>
  <c r="M50" i="131" s="1"/>
  <c r="U50" i="131"/>
  <c r="O50" i="131"/>
  <c r="K50" i="131"/>
  <c r="G50" i="131"/>
  <c r="V49" i="131"/>
  <c r="M49" i="131" s="1"/>
  <c r="U49" i="131"/>
  <c r="O49" i="131"/>
  <c r="K49" i="131"/>
  <c r="G49" i="131"/>
  <c r="V48" i="131"/>
  <c r="M48" i="131" s="1"/>
  <c r="U48" i="131"/>
  <c r="O48" i="131"/>
  <c r="K48" i="131"/>
  <c r="G48" i="131"/>
  <c r="V47" i="131"/>
  <c r="M47" i="131" s="1"/>
  <c r="U47" i="131"/>
  <c r="O47" i="131"/>
  <c r="K47" i="131"/>
  <c r="G47" i="131"/>
  <c r="V46" i="131"/>
  <c r="M46" i="131" s="1"/>
  <c r="O46" i="131"/>
  <c r="K46" i="131"/>
  <c r="G46" i="131"/>
  <c r="AD45" i="131"/>
  <c r="Z45" i="131"/>
  <c r="H19" i="130" s="1"/>
  <c r="Y45" i="131"/>
  <c r="H18" i="130" s="1"/>
  <c r="O45" i="131"/>
  <c r="K45" i="131"/>
  <c r="V44" i="131"/>
  <c r="U44" i="131"/>
  <c r="O44" i="131"/>
  <c r="M44" i="131"/>
  <c r="AF44" i="131" s="1"/>
  <c r="K44" i="131"/>
  <c r="G44" i="131"/>
  <c r="V43" i="131"/>
  <c r="M43" i="131" s="1"/>
  <c r="U43" i="131"/>
  <c r="O43" i="131"/>
  <c r="K43" i="131"/>
  <c r="G43" i="131"/>
  <c r="V42" i="131"/>
  <c r="U42" i="131"/>
  <c r="O42" i="131"/>
  <c r="M42" i="131"/>
  <c r="AF42" i="131" s="1"/>
  <c r="K42" i="131"/>
  <c r="G42" i="131"/>
  <c r="X41" i="131"/>
  <c r="W41" i="131"/>
  <c r="V41" i="131"/>
  <c r="O41" i="131"/>
  <c r="M41" i="131"/>
  <c r="K41" i="131"/>
  <c r="G41" i="131"/>
  <c r="AD40" i="131"/>
  <c r="L21" i="130" s="1"/>
  <c r="Z40" i="131"/>
  <c r="Y40" i="131"/>
  <c r="O40" i="131"/>
  <c r="K40" i="131"/>
  <c r="V39" i="131"/>
  <c r="M39" i="131" s="1"/>
  <c r="AF39" i="131" s="1"/>
  <c r="U39" i="131"/>
  <c r="O39" i="131"/>
  <c r="K39" i="131"/>
  <c r="G39" i="131"/>
  <c r="V38" i="131"/>
  <c r="U38" i="131"/>
  <c r="O38" i="131"/>
  <c r="M38" i="131"/>
  <c r="AF38" i="131" s="1"/>
  <c r="K38" i="131"/>
  <c r="G38" i="131"/>
  <c r="AF37" i="131"/>
  <c r="V37" i="131"/>
  <c r="U37" i="131"/>
  <c r="O37" i="131"/>
  <c r="M37" i="131"/>
  <c r="AE37" i="131" s="1"/>
  <c r="K37" i="131"/>
  <c r="G37" i="131"/>
  <c r="X36" i="131"/>
  <c r="W36" i="131"/>
  <c r="V36" i="131"/>
  <c r="U36" i="131"/>
  <c r="O36" i="131"/>
  <c r="M36" i="131"/>
  <c r="N36" i="131" s="1"/>
  <c r="K36" i="131"/>
  <c r="G36" i="131"/>
  <c r="V35" i="131"/>
  <c r="M35" i="131" s="1"/>
  <c r="U35" i="131"/>
  <c r="O35" i="131"/>
  <c r="K35" i="131"/>
  <c r="G35" i="131"/>
  <c r="V34" i="131"/>
  <c r="U34" i="131"/>
  <c r="O34" i="131"/>
  <c r="M34" i="131"/>
  <c r="N34" i="131" s="1"/>
  <c r="K34" i="131"/>
  <c r="G34" i="131"/>
  <c r="V33" i="131"/>
  <c r="M33" i="131" s="1"/>
  <c r="U33" i="131"/>
  <c r="O33" i="131"/>
  <c r="K33" i="131"/>
  <c r="G33" i="131"/>
  <c r="X32" i="131"/>
  <c r="W32" i="131"/>
  <c r="V32" i="131"/>
  <c r="O32" i="131"/>
  <c r="M32" i="131"/>
  <c r="N32" i="131" s="1"/>
  <c r="K32" i="131"/>
  <c r="G32" i="131"/>
  <c r="AD31" i="131"/>
  <c r="Z31" i="131"/>
  <c r="Y31" i="131"/>
  <c r="O31" i="131"/>
  <c r="K31" i="131"/>
  <c r="V30" i="131"/>
  <c r="M30" i="131" s="1"/>
  <c r="U30" i="131"/>
  <c r="O30" i="131"/>
  <c r="K30" i="131"/>
  <c r="G30" i="131"/>
  <c r="V29" i="131"/>
  <c r="M29" i="131" s="1"/>
  <c r="U29" i="131"/>
  <c r="O29" i="131"/>
  <c r="K29" i="131"/>
  <c r="G29" i="131"/>
  <c r="V28" i="131"/>
  <c r="M28" i="131" s="1"/>
  <c r="U28" i="131"/>
  <c r="O28" i="131"/>
  <c r="K28" i="131"/>
  <c r="G28" i="131"/>
  <c r="X27" i="131"/>
  <c r="W27" i="131"/>
  <c r="V27" i="131"/>
  <c r="M27" i="131" s="1"/>
  <c r="N27" i="131" s="1"/>
  <c r="U27" i="131"/>
  <c r="O27" i="131"/>
  <c r="K27" i="131"/>
  <c r="G27" i="131"/>
  <c r="V26" i="131"/>
  <c r="M26" i="131" s="1"/>
  <c r="U26" i="131"/>
  <c r="O26" i="131"/>
  <c r="K26" i="131"/>
  <c r="G26" i="131"/>
  <c r="V25" i="131"/>
  <c r="M25" i="131" s="1"/>
  <c r="U25" i="131"/>
  <c r="O25" i="131"/>
  <c r="K25" i="131"/>
  <c r="G25" i="131"/>
  <c r="X24" i="131"/>
  <c r="W24" i="131"/>
  <c r="V24" i="131"/>
  <c r="O24" i="131"/>
  <c r="M24" i="131"/>
  <c r="N24" i="131" s="1"/>
  <c r="K24" i="131"/>
  <c r="G24" i="131"/>
  <c r="AD23" i="131"/>
  <c r="Z23" i="131"/>
  <c r="G19" i="130" s="1"/>
  <c r="Y23" i="131"/>
  <c r="O23" i="131"/>
  <c r="K23" i="131"/>
  <c r="V22" i="131"/>
  <c r="M22" i="131" s="1"/>
  <c r="U22" i="131"/>
  <c r="O22" i="131"/>
  <c r="K22" i="131"/>
  <c r="G22" i="131"/>
  <c r="V21" i="131"/>
  <c r="M21" i="131" s="1"/>
  <c r="U21" i="131"/>
  <c r="O21" i="131"/>
  <c r="K21" i="131"/>
  <c r="G21" i="131"/>
  <c r="V20" i="131"/>
  <c r="M20" i="131" s="1"/>
  <c r="U20" i="131"/>
  <c r="O20" i="131"/>
  <c r="K20" i="131"/>
  <c r="G20" i="131"/>
  <c r="V19" i="131"/>
  <c r="M19" i="131" s="1"/>
  <c r="AF19" i="131" s="1"/>
  <c r="U19" i="131"/>
  <c r="O19" i="131"/>
  <c r="K19" i="131"/>
  <c r="G19" i="131"/>
  <c r="V18" i="131"/>
  <c r="M18" i="131" s="1"/>
  <c r="AF18" i="131" s="1"/>
  <c r="O18" i="131"/>
  <c r="K18" i="131"/>
  <c r="G18" i="131"/>
  <c r="AD17" i="131"/>
  <c r="F21" i="130" s="1"/>
  <c r="Z17" i="131"/>
  <c r="Y17" i="131"/>
  <c r="O17" i="131"/>
  <c r="K17" i="131"/>
  <c r="V16" i="131"/>
  <c r="M16" i="131" s="1"/>
  <c r="U16" i="131"/>
  <c r="O16" i="131"/>
  <c r="K16" i="131"/>
  <c r="G16" i="131"/>
  <c r="V15" i="131"/>
  <c r="U15" i="131"/>
  <c r="O15" i="131"/>
  <c r="M15" i="131"/>
  <c r="AF15" i="131" s="1"/>
  <c r="K15" i="131"/>
  <c r="G15" i="131"/>
  <c r="AF14" i="131"/>
  <c r="V14" i="131"/>
  <c r="U14" i="131"/>
  <c r="O14" i="131"/>
  <c r="M14" i="131"/>
  <c r="AE14" i="131" s="1"/>
  <c r="K14" i="131"/>
  <c r="G14" i="131"/>
  <c r="AF13" i="131"/>
  <c r="V13" i="131"/>
  <c r="O13" i="131"/>
  <c r="M13" i="131"/>
  <c r="AE13" i="131" s="1"/>
  <c r="K13" i="131"/>
  <c r="G13" i="131"/>
  <c r="AD12" i="131"/>
  <c r="E21" i="130" s="1"/>
  <c r="Z12" i="131"/>
  <c r="Y12" i="131"/>
  <c r="O12" i="131"/>
  <c r="K12" i="131"/>
  <c r="V11" i="131"/>
  <c r="M11" i="131" s="1"/>
  <c r="U11" i="131"/>
  <c r="O11" i="131"/>
  <c r="K11" i="131"/>
  <c r="G11" i="131"/>
  <c r="V10" i="131"/>
  <c r="M10" i="131" s="1"/>
  <c r="O10" i="131"/>
  <c r="K10" i="131"/>
  <c r="G10" i="131"/>
  <c r="AD9" i="131"/>
  <c r="Z9" i="131"/>
  <c r="Y9" i="131"/>
  <c r="D18" i="130" s="1"/>
  <c r="O9" i="131"/>
  <c r="K9" i="131"/>
  <c r="V8" i="131"/>
  <c r="M8" i="131" s="1"/>
  <c r="U8" i="131"/>
  <c r="O8" i="131"/>
  <c r="K8" i="131"/>
  <c r="G8" i="131"/>
  <c r="V7" i="131"/>
  <c r="M7" i="131" s="1"/>
  <c r="U7" i="131"/>
  <c r="O7" i="131"/>
  <c r="K7" i="131"/>
  <c r="G7" i="131"/>
  <c r="V6" i="131"/>
  <c r="M6" i="131" s="1"/>
  <c r="U6" i="131"/>
  <c r="O6" i="131"/>
  <c r="K6" i="131"/>
  <c r="G6" i="131"/>
  <c r="V5" i="131"/>
  <c r="M5" i="131" s="1"/>
  <c r="O5" i="131"/>
  <c r="K5" i="131"/>
  <c r="G5" i="131"/>
  <c r="H2" i="131"/>
  <c r="H1" i="131"/>
  <c r="D1" i="131"/>
  <c r="M22" i="130"/>
  <c r="L22" i="130"/>
  <c r="K22" i="130"/>
  <c r="J22" i="130"/>
  <c r="I22" i="130"/>
  <c r="H22" i="130"/>
  <c r="G22" i="130"/>
  <c r="F22" i="130"/>
  <c r="E22" i="130"/>
  <c r="D22" i="130"/>
  <c r="M21" i="130"/>
  <c r="K21" i="130"/>
  <c r="I21" i="130"/>
  <c r="H21" i="130"/>
  <c r="D21" i="130"/>
  <c r="M20" i="130"/>
  <c r="L20" i="130"/>
  <c r="K20" i="130"/>
  <c r="J20" i="130"/>
  <c r="I20" i="130"/>
  <c r="H20" i="130"/>
  <c r="G20" i="130"/>
  <c r="F20" i="130"/>
  <c r="E20" i="130"/>
  <c r="D20" i="130"/>
  <c r="M19" i="130"/>
  <c r="L19" i="130"/>
  <c r="K19" i="130"/>
  <c r="I19" i="130"/>
  <c r="F19" i="130"/>
  <c r="E19" i="130"/>
  <c r="D19" i="130"/>
  <c r="L18" i="130"/>
  <c r="K18" i="130"/>
  <c r="J18" i="130"/>
  <c r="I18" i="130"/>
  <c r="G18" i="130"/>
  <c r="F18" i="130"/>
  <c r="E18" i="130"/>
  <c r="M17" i="130"/>
  <c r="L17" i="130"/>
  <c r="K17" i="130"/>
  <c r="J17" i="130"/>
  <c r="I17" i="130"/>
  <c r="H17" i="130"/>
  <c r="G17" i="130"/>
  <c r="F17" i="130"/>
  <c r="E17" i="130"/>
  <c r="D17" i="130"/>
  <c r="M16" i="130"/>
  <c r="L16" i="130"/>
  <c r="K16" i="130"/>
  <c r="J16" i="130"/>
  <c r="I16" i="130"/>
  <c r="H16" i="130"/>
  <c r="G16" i="130"/>
  <c r="F16" i="130"/>
  <c r="E16" i="130"/>
  <c r="D16" i="130"/>
  <c r="L13" i="130"/>
  <c r="K13" i="130"/>
  <c r="J13" i="130"/>
  <c r="I13" i="130"/>
  <c r="H13" i="130"/>
  <c r="G13" i="130"/>
  <c r="F13" i="130"/>
  <c r="E13" i="130"/>
  <c r="D13" i="130"/>
  <c r="M6" i="130"/>
  <c r="F3" i="130"/>
  <c r="C3" i="130"/>
  <c r="AF16" i="131" l="1"/>
  <c r="N16" i="131"/>
  <c r="Q16" i="131" s="1"/>
  <c r="N50" i="131"/>
  <c r="AF50" i="131"/>
  <c r="AE50" i="131"/>
  <c r="N29" i="131"/>
  <c r="AF29" i="131"/>
  <c r="AE29" i="131"/>
  <c r="N70" i="131"/>
  <c r="AE70" i="131"/>
  <c r="AE35" i="131"/>
  <c r="AF35" i="131"/>
  <c r="AE53" i="131"/>
  <c r="AF53" i="131"/>
  <c r="I6" i="130"/>
  <c r="F1" i="131"/>
  <c r="I3" i="130" s="1"/>
  <c r="AD2" i="131"/>
  <c r="N6" i="130" s="1"/>
  <c r="Z2" i="131"/>
  <c r="L6" i="130" s="1"/>
  <c r="AE36" i="131"/>
  <c r="P18" i="133"/>
  <c r="AE34" i="131"/>
  <c r="AE68" i="131"/>
  <c r="AF71" i="131"/>
  <c r="AE66" i="131"/>
  <c r="P47" i="133"/>
  <c r="AF66" i="131"/>
  <c r="P62" i="133"/>
  <c r="AF32" i="131"/>
  <c r="AE52" i="131"/>
  <c r="P15" i="133"/>
  <c r="G6" i="130"/>
  <c r="Y2" i="131"/>
  <c r="K6" i="130" s="1"/>
  <c r="Q13" i="133"/>
  <c r="P13" i="133"/>
  <c r="Q28" i="133"/>
  <c r="P28" i="133"/>
  <c r="AF9" i="133"/>
  <c r="AG5" i="133" s="1"/>
  <c r="N9" i="133"/>
  <c r="AE9" i="133"/>
  <c r="Q61" i="133"/>
  <c r="P61" i="133"/>
  <c r="Q40" i="133"/>
  <c r="P40" i="133"/>
  <c r="P21" i="133"/>
  <c r="Q21" i="133"/>
  <c r="P29" i="133"/>
  <c r="Q29" i="133"/>
  <c r="AF43" i="133"/>
  <c r="AG39" i="133" s="1"/>
  <c r="N43" i="133"/>
  <c r="AE43" i="133"/>
  <c r="Q56" i="133"/>
  <c r="P56" i="133"/>
  <c r="P51" i="133"/>
  <c r="Q51" i="133"/>
  <c r="Q20" i="133"/>
  <c r="P20" i="133"/>
  <c r="Q26" i="133"/>
  <c r="P26" i="133"/>
  <c r="Q63" i="133"/>
  <c r="P63" i="133"/>
  <c r="Q41" i="133"/>
  <c r="P41" i="133"/>
  <c r="Q34" i="133"/>
  <c r="P34" i="133"/>
  <c r="Q7" i="133"/>
  <c r="P7" i="133"/>
  <c r="P25" i="133"/>
  <c r="Q25" i="133"/>
  <c r="N52" i="133"/>
  <c r="AF52" i="133"/>
  <c r="AG44" i="133" s="1"/>
  <c r="AE52" i="133"/>
  <c r="P33" i="133"/>
  <c r="Q33" i="133"/>
  <c r="Q22" i="133"/>
  <c r="P22" i="133"/>
  <c r="AF59" i="133"/>
  <c r="AG53" i="133" s="1"/>
  <c r="N59" i="133"/>
  <c r="AE59" i="133"/>
  <c r="N30" i="133"/>
  <c r="AF30" i="133"/>
  <c r="AG24" i="133" s="1"/>
  <c r="AE30" i="133"/>
  <c r="P27" i="133"/>
  <c r="Q27" i="133"/>
  <c r="F14" i="132"/>
  <c r="F15" i="132" s="1"/>
  <c r="Q17" i="133"/>
  <c r="R13" i="133" s="1"/>
  <c r="P17" i="133"/>
  <c r="Q45" i="133"/>
  <c r="P45" i="133"/>
  <c r="P24" i="133"/>
  <c r="Q24" i="133"/>
  <c r="Q5" i="133"/>
  <c r="P5" i="133"/>
  <c r="Q44" i="133"/>
  <c r="P44" i="133"/>
  <c r="Q48" i="133"/>
  <c r="P48" i="133"/>
  <c r="N38" i="133"/>
  <c r="AE38" i="133"/>
  <c r="AF38" i="133"/>
  <c r="AG31" i="133" s="1"/>
  <c r="Q37" i="133"/>
  <c r="P37" i="133"/>
  <c r="P55" i="133"/>
  <c r="Q55" i="133"/>
  <c r="Q57" i="133"/>
  <c r="P57" i="133"/>
  <c r="Q32" i="133"/>
  <c r="P32" i="133"/>
  <c r="Q53" i="133"/>
  <c r="P53" i="133"/>
  <c r="Q50" i="133"/>
  <c r="P50" i="133"/>
  <c r="N23" i="133"/>
  <c r="AF23" i="133"/>
  <c r="AG18" i="133" s="1"/>
  <c r="AE23" i="133"/>
  <c r="Q11" i="133"/>
  <c r="P11" i="133"/>
  <c r="Q16" i="133"/>
  <c r="P16" i="133"/>
  <c r="Q54" i="133"/>
  <c r="P54" i="133"/>
  <c r="Q31" i="133"/>
  <c r="P31" i="133"/>
  <c r="Q65" i="133"/>
  <c r="P65" i="133"/>
  <c r="Q10" i="133"/>
  <c r="P10" i="133"/>
  <c r="AE12" i="133"/>
  <c r="N12" i="133"/>
  <c r="AF12" i="133"/>
  <c r="AG10" i="133" s="1"/>
  <c r="Q35" i="133"/>
  <c r="P35" i="133"/>
  <c r="AF67" i="133"/>
  <c r="AG60" i="133" s="1"/>
  <c r="AE67" i="133"/>
  <c r="N67" i="133"/>
  <c r="Q36" i="133"/>
  <c r="P36" i="133"/>
  <c r="Q6" i="133"/>
  <c r="P6" i="133"/>
  <c r="N65" i="131"/>
  <c r="AF65" i="131"/>
  <c r="AE65" i="131"/>
  <c r="N67" i="131"/>
  <c r="AF67" i="131"/>
  <c r="AE67" i="131"/>
  <c r="N22" i="131"/>
  <c r="AF22" i="131"/>
  <c r="AE22" i="131"/>
  <c r="Q27" i="131"/>
  <c r="P27" i="131"/>
  <c r="F2" i="131"/>
  <c r="N28" i="131"/>
  <c r="AF28" i="131"/>
  <c r="AE28" i="131"/>
  <c r="N63" i="131"/>
  <c r="AF63" i="131"/>
  <c r="AE63" i="131"/>
  <c r="AF20" i="131"/>
  <c r="AE20" i="131"/>
  <c r="N20" i="131"/>
  <c r="Q29" i="131"/>
  <c r="P29" i="131"/>
  <c r="N46" i="131"/>
  <c r="AF46" i="131"/>
  <c r="AE46" i="131"/>
  <c r="M54" i="131"/>
  <c r="Q66" i="131"/>
  <c r="P66" i="131"/>
  <c r="N6" i="131"/>
  <c r="AF6" i="131"/>
  <c r="AE6" i="131"/>
  <c r="N11" i="131"/>
  <c r="AF11" i="131"/>
  <c r="AE11" i="131"/>
  <c r="Q36" i="131"/>
  <c r="P36" i="131"/>
  <c r="AF43" i="131"/>
  <c r="AE43" i="131"/>
  <c r="N43" i="131"/>
  <c r="N30" i="131"/>
  <c r="AF30" i="131"/>
  <c r="AE30" i="131"/>
  <c r="N48" i="131"/>
  <c r="AF48" i="131"/>
  <c r="AE48" i="131"/>
  <c r="N7" i="131"/>
  <c r="AF7" i="131"/>
  <c r="AE7" i="131"/>
  <c r="N69" i="131"/>
  <c r="AF69" i="131"/>
  <c r="AE69" i="131"/>
  <c r="AF59" i="131"/>
  <c r="AE59" i="131"/>
  <c r="N59" i="131"/>
  <c r="Q68" i="131"/>
  <c r="P68" i="131"/>
  <c r="Q70" i="131"/>
  <c r="P70" i="131"/>
  <c r="N49" i="131"/>
  <c r="AF49" i="131"/>
  <c r="AE49" i="131"/>
  <c r="AF57" i="131"/>
  <c r="AE57" i="131"/>
  <c r="N57" i="131"/>
  <c r="N33" i="131"/>
  <c r="AF33" i="131"/>
  <c r="AE33" i="131"/>
  <c r="M40" i="131"/>
  <c r="N51" i="131"/>
  <c r="AF51" i="131"/>
  <c r="AE51" i="131"/>
  <c r="N62" i="131"/>
  <c r="AF62" i="131"/>
  <c r="AE62" i="131"/>
  <c r="M72" i="131"/>
  <c r="N64" i="131"/>
  <c r="AF64" i="131"/>
  <c r="AE64" i="131"/>
  <c r="N21" i="131"/>
  <c r="AF21" i="131"/>
  <c r="AE21" i="131"/>
  <c r="N47" i="131"/>
  <c r="AF47" i="131"/>
  <c r="AE47" i="131"/>
  <c r="Q50" i="131"/>
  <c r="P50" i="131"/>
  <c r="N5" i="131"/>
  <c r="M9" i="131"/>
  <c r="AF5" i="131"/>
  <c r="AE5" i="131"/>
  <c r="N10" i="131"/>
  <c r="M12" i="131"/>
  <c r="AF10" i="131"/>
  <c r="AE10" i="131"/>
  <c r="N25" i="131"/>
  <c r="AF25" i="131"/>
  <c r="AE25" i="131"/>
  <c r="N8" i="131"/>
  <c r="AF8" i="131"/>
  <c r="AE8" i="131"/>
  <c r="Q24" i="131"/>
  <c r="P24" i="131"/>
  <c r="Q32" i="131"/>
  <c r="P32" i="131"/>
  <c r="M45" i="131"/>
  <c r="Q34" i="131"/>
  <c r="P34" i="131"/>
  <c r="Q52" i="131"/>
  <c r="P52" i="131"/>
  <c r="N60" i="131"/>
  <c r="AF60" i="131"/>
  <c r="AE60" i="131"/>
  <c r="N26" i="131"/>
  <c r="AF26" i="131"/>
  <c r="AE26" i="131"/>
  <c r="M17" i="131"/>
  <c r="N18" i="131"/>
  <c r="N19" i="131"/>
  <c r="AE32" i="131"/>
  <c r="AF34" i="131"/>
  <c r="AF36" i="131"/>
  <c r="N41" i="131"/>
  <c r="N44" i="131"/>
  <c r="AF52" i="131"/>
  <c r="N58" i="131"/>
  <c r="AF70" i="131"/>
  <c r="N39" i="131"/>
  <c r="N42" i="131"/>
  <c r="N55" i="131"/>
  <c r="N56" i="131"/>
  <c r="F6" i="130"/>
  <c r="N15" i="131"/>
  <c r="AE24" i="131"/>
  <c r="AE27" i="131"/>
  <c r="M31" i="131"/>
  <c r="N38" i="131"/>
  <c r="N13" i="131"/>
  <c r="N14" i="131"/>
  <c r="P16" i="131"/>
  <c r="AF24" i="131"/>
  <c r="AF27" i="131"/>
  <c r="N35" i="131"/>
  <c r="N37" i="131"/>
  <c r="N53" i="131"/>
  <c r="N71" i="131"/>
  <c r="G21" i="130"/>
  <c r="AE18" i="131"/>
  <c r="AE19" i="131"/>
  <c r="M23" i="131"/>
  <c r="AE44" i="131"/>
  <c r="AE58" i="131"/>
  <c r="M61" i="131"/>
  <c r="AE16" i="131"/>
  <c r="AE39" i="131"/>
  <c r="AE41" i="131"/>
  <c r="AE42" i="131"/>
  <c r="AE55" i="131"/>
  <c r="AE56" i="131"/>
  <c r="E6" i="130"/>
  <c r="AE15" i="131"/>
  <c r="AE38" i="131"/>
  <c r="AF41" i="131"/>
  <c r="AD76" i="127"/>
  <c r="Z76" i="127"/>
  <c r="Y76" i="127"/>
  <c r="O76" i="127"/>
  <c r="K76" i="127"/>
  <c r="V75" i="127"/>
  <c r="U75" i="127"/>
  <c r="O75" i="127"/>
  <c r="M75" i="127"/>
  <c r="AE75" i="127" s="1"/>
  <c r="K75" i="127"/>
  <c r="G75" i="127"/>
  <c r="V74" i="127"/>
  <c r="U74" i="127"/>
  <c r="O74" i="127"/>
  <c r="M74" i="127"/>
  <c r="N74" i="127" s="1"/>
  <c r="K74" i="127"/>
  <c r="G74" i="127"/>
  <c r="X73" i="127"/>
  <c r="W73" i="127"/>
  <c r="V73" i="127"/>
  <c r="U73" i="127"/>
  <c r="O73" i="127"/>
  <c r="M73" i="127"/>
  <c r="AF73" i="127" s="1"/>
  <c r="K73" i="127"/>
  <c r="G73" i="127"/>
  <c r="V72" i="127"/>
  <c r="M72" i="127" s="1"/>
  <c r="U72" i="127"/>
  <c r="O72" i="127"/>
  <c r="K72" i="127"/>
  <c r="G72" i="127"/>
  <c r="V71" i="127"/>
  <c r="M71" i="127" s="1"/>
  <c r="U71" i="127"/>
  <c r="O71" i="127"/>
  <c r="K71" i="127"/>
  <c r="G71" i="127"/>
  <c r="V70" i="127"/>
  <c r="M70" i="127" s="1"/>
  <c r="U70" i="127"/>
  <c r="O70" i="127"/>
  <c r="K70" i="127"/>
  <c r="G70" i="127"/>
  <c r="X69" i="127"/>
  <c r="W69" i="127"/>
  <c r="V69" i="127"/>
  <c r="O69" i="127"/>
  <c r="M69" i="127"/>
  <c r="N69" i="127" s="1"/>
  <c r="K69" i="127"/>
  <c r="G69" i="127"/>
  <c r="AD68" i="127"/>
  <c r="J21" i="126" s="1"/>
  <c r="Z68" i="127"/>
  <c r="Y68" i="127"/>
  <c r="O68" i="127"/>
  <c r="K68" i="127"/>
  <c r="V67" i="127"/>
  <c r="M67" i="127" s="1"/>
  <c r="U67" i="127"/>
  <c r="O67" i="127"/>
  <c r="K67" i="127"/>
  <c r="G67" i="127"/>
  <c r="V66" i="127"/>
  <c r="M66" i="127" s="1"/>
  <c r="U66" i="127"/>
  <c r="O66" i="127"/>
  <c r="K66" i="127"/>
  <c r="G66" i="127"/>
  <c r="V65" i="127"/>
  <c r="M65" i="127" s="1"/>
  <c r="U65" i="127"/>
  <c r="O65" i="127"/>
  <c r="K65" i="127"/>
  <c r="G65" i="127"/>
  <c r="V64" i="127"/>
  <c r="M64" i="127" s="1"/>
  <c r="U64" i="127"/>
  <c r="O64" i="127"/>
  <c r="K64" i="127"/>
  <c r="G64" i="127"/>
  <c r="V63" i="127"/>
  <c r="M63" i="127" s="1"/>
  <c r="U63" i="127"/>
  <c r="O63" i="127"/>
  <c r="K63" i="127"/>
  <c r="G63" i="127"/>
  <c r="V62" i="127"/>
  <c r="M62" i="127" s="1"/>
  <c r="O62" i="127"/>
  <c r="K62" i="127"/>
  <c r="G62" i="127"/>
  <c r="AD61" i="127"/>
  <c r="Z61" i="127"/>
  <c r="Y61" i="127"/>
  <c r="O61" i="127"/>
  <c r="K61" i="127"/>
  <c r="V60" i="127"/>
  <c r="U60" i="127"/>
  <c r="O60" i="127"/>
  <c r="M60" i="127"/>
  <c r="AF60" i="127" s="1"/>
  <c r="K60" i="127"/>
  <c r="G60" i="127"/>
  <c r="V59" i="127"/>
  <c r="U59" i="127"/>
  <c r="O59" i="127"/>
  <c r="M59" i="127"/>
  <c r="AF59" i="127" s="1"/>
  <c r="K59" i="127"/>
  <c r="G59" i="127"/>
  <c r="V58" i="127"/>
  <c r="M58" i="127" s="1"/>
  <c r="U58" i="127"/>
  <c r="O58" i="127"/>
  <c r="K58" i="127"/>
  <c r="G58" i="127"/>
  <c r="AF57" i="127"/>
  <c r="V57" i="127"/>
  <c r="U57" i="127"/>
  <c r="O57" i="127"/>
  <c r="M57" i="127"/>
  <c r="AE57" i="127" s="1"/>
  <c r="K57" i="127"/>
  <c r="G57" i="127"/>
  <c r="X56" i="127"/>
  <c r="W56" i="127"/>
  <c r="V56" i="127"/>
  <c r="M56" i="127" s="1"/>
  <c r="U56" i="127"/>
  <c r="O56" i="127"/>
  <c r="K56" i="127"/>
  <c r="G56" i="127"/>
  <c r="V55" i="127"/>
  <c r="M55" i="127" s="1"/>
  <c r="U55" i="127"/>
  <c r="O55" i="127"/>
  <c r="K55" i="127"/>
  <c r="G55" i="127"/>
  <c r="AE54" i="127"/>
  <c r="V54" i="127"/>
  <c r="U54" i="127"/>
  <c r="O54" i="127"/>
  <c r="M54" i="127"/>
  <c r="N54" i="127" s="1"/>
  <c r="K54" i="127"/>
  <c r="G54" i="127"/>
  <c r="V53" i="127"/>
  <c r="M53" i="127" s="1"/>
  <c r="U53" i="127"/>
  <c r="O53" i="127"/>
  <c r="K53" i="127"/>
  <c r="G53" i="127"/>
  <c r="V52" i="127"/>
  <c r="M52" i="127" s="1"/>
  <c r="O52" i="127"/>
  <c r="K52" i="127"/>
  <c r="G52" i="127"/>
  <c r="AD51" i="127"/>
  <c r="Z51" i="127"/>
  <c r="H19" i="126" s="1"/>
  <c r="Y51" i="127"/>
  <c r="O51" i="127"/>
  <c r="K51" i="127"/>
  <c r="V50" i="127"/>
  <c r="M50" i="127" s="1"/>
  <c r="U50" i="127"/>
  <c r="O50" i="127"/>
  <c r="K50" i="127"/>
  <c r="G50" i="127"/>
  <c r="X49" i="127"/>
  <c r="W49" i="127"/>
  <c r="V49" i="127"/>
  <c r="M49" i="127" s="1"/>
  <c r="U49" i="127"/>
  <c r="O49" i="127"/>
  <c r="K49" i="127"/>
  <c r="G49" i="127"/>
  <c r="V48" i="127"/>
  <c r="M48" i="127" s="1"/>
  <c r="U48" i="127"/>
  <c r="O48" i="127"/>
  <c r="K48" i="127"/>
  <c r="G48" i="127"/>
  <c r="V47" i="127"/>
  <c r="M47" i="127" s="1"/>
  <c r="U47" i="127"/>
  <c r="O47" i="127"/>
  <c r="K47" i="127"/>
  <c r="G47" i="127"/>
  <c r="X46" i="127"/>
  <c r="W46" i="127"/>
  <c r="V46" i="127"/>
  <c r="M46" i="127" s="1"/>
  <c r="O46" i="127"/>
  <c r="K46" i="127"/>
  <c r="G46" i="127"/>
  <c r="AD45" i="127"/>
  <c r="L21" i="126" s="1"/>
  <c r="Z45" i="127"/>
  <c r="L19" i="126" s="1"/>
  <c r="Y45" i="127"/>
  <c r="L18" i="126" s="1"/>
  <c r="O45" i="127"/>
  <c r="K45" i="127"/>
  <c r="V44" i="127"/>
  <c r="U44" i="127"/>
  <c r="O44" i="127"/>
  <c r="M44" i="127"/>
  <c r="N44" i="127" s="1"/>
  <c r="K44" i="127"/>
  <c r="G44" i="127"/>
  <c r="V43" i="127"/>
  <c r="M43" i="127" s="1"/>
  <c r="U43" i="127"/>
  <c r="O43" i="127"/>
  <c r="K43" i="127"/>
  <c r="G43" i="127"/>
  <c r="X42" i="127"/>
  <c r="W42" i="127"/>
  <c r="V42" i="127"/>
  <c r="M42" i="127" s="1"/>
  <c r="U42" i="127"/>
  <c r="O42" i="127"/>
  <c r="K42" i="127"/>
  <c r="G42" i="127"/>
  <c r="V41" i="127"/>
  <c r="M41" i="127" s="1"/>
  <c r="U41" i="127"/>
  <c r="O41" i="127"/>
  <c r="K41" i="127"/>
  <c r="G41" i="127"/>
  <c r="X40" i="127"/>
  <c r="W40" i="127"/>
  <c r="V40" i="127"/>
  <c r="M40" i="127" s="1"/>
  <c r="O40" i="127"/>
  <c r="K40" i="127"/>
  <c r="G40" i="127"/>
  <c r="AD39" i="127"/>
  <c r="Z39" i="127"/>
  <c r="Y39" i="127"/>
  <c r="K18" i="126" s="1"/>
  <c r="O39" i="127"/>
  <c r="K39" i="127"/>
  <c r="V38" i="127"/>
  <c r="M38" i="127" s="1"/>
  <c r="U38" i="127"/>
  <c r="O38" i="127"/>
  <c r="K38" i="127"/>
  <c r="G38" i="127"/>
  <c r="V37" i="127"/>
  <c r="M37" i="127" s="1"/>
  <c r="U37" i="127"/>
  <c r="O37" i="127"/>
  <c r="K37" i="127"/>
  <c r="G37" i="127"/>
  <c r="X36" i="127"/>
  <c r="W36" i="127"/>
  <c r="V36" i="127"/>
  <c r="M36" i="127" s="1"/>
  <c r="U36" i="127"/>
  <c r="O36" i="127"/>
  <c r="K36" i="127"/>
  <c r="G36" i="127"/>
  <c r="V35" i="127"/>
  <c r="M35" i="127" s="1"/>
  <c r="U35" i="127"/>
  <c r="O35" i="127"/>
  <c r="K35" i="127"/>
  <c r="G35" i="127"/>
  <c r="V34" i="127"/>
  <c r="M34" i="127" s="1"/>
  <c r="AF34" i="127" s="1"/>
  <c r="U34" i="127"/>
  <c r="O34" i="127"/>
  <c r="K34" i="127"/>
  <c r="G34" i="127"/>
  <c r="X33" i="127"/>
  <c r="W33" i="127"/>
  <c r="V33" i="127"/>
  <c r="M33" i="127" s="1"/>
  <c r="O33" i="127"/>
  <c r="K33" i="127"/>
  <c r="G33" i="127"/>
  <c r="AD32" i="127"/>
  <c r="G21" i="126" s="1"/>
  <c r="Z32" i="127"/>
  <c r="G19" i="126" s="1"/>
  <c r="Y32" i="127"/>
  <c r="O32" i="127"/>
  <c r="K32" i="127"/>
  <c r="V31" i="127"/>
  <c r="U31" i="127"/>
  <c r="O31" i="127"/>
  <c r="M31" i="127"/>
  <c r="AF31" i="127" s="1"/>
  <c r="K31" i="127"/>
  <c r="G31" i="127"/>
  <c r="V30" i="127"/>
  <c r="M30" i="127" s="1"/>
  <c r="U30" i="127"/>
  <c r="O30" i="127"/>
  <c r="K30" i="127"/>
  <c r="G30" i="127"/>
  <c r="V29" i="127"/>
  <c r="M29" i="127" s="1"/>
  <c r="AF29" i="127" s="1"/>
  <c r="U29" i="127"/>
  <c r="O29" i="127"/>
  <c r="K29" i="127"/>
  <c r="G29" i="127"/>
  <c r="V28" i="127"/>
  <c r="M28" i="127" s="1"/>
  <c r="U28" i="127"/>
  <c r="O28" i="127"/>
  <c r="K28" i="127"/>
  <c r="G28" i="127"/>
  <c r="X27" i="127"/>
  <c r="W27" i="127"/>
  <c r="V27" i="127"/>
  <c r="M27" i="127" s="1"/>
  <c r="U27" i="127"/>
  <c r="O27" i="127"/>
  <c r="K27" i="127"/>
  <c r="G27" i="127"/>
  <c r="V26" i="127"/>
  <c r="M26" i="127" s="1"/>
  <c r="U26" i="127"/>
  <c r="O26" i="127"/>
  <c r="K26" i="127"/>
  <c r="G26" i="127"/>
  <c r="V25" i="127"/>
  <c r="M25" i="127" s="1"/>
  <c r="O25" i="127"/>
  <c r="K25" i="127"/>
  <c r="G25" i="127"/>
  <c r="AD24" i="127"/>
  <c r="Z24" i="127"/>
  <c r="Y24" i="127"/>
  <c r="F18" i="126" s="1"/>
  <c r="O24" i="127"/>
  <c r="K24" i="127"/>
  <c r="V23" i="127"/>
  <c r="M23" i="127" s="1"/>
  <c r="U23" i="127"/>
  <c r="O23" i="127"/>
  <c r="K23" i="127"/>
  <c r="G23" i="127"/>
  <c r="V22" i="127"/>
  <c r="M22" i="127" s="1"/>
  <c r="U22" i="127"/>
  <c r="O22" i="127"/>
  <c r="K22" i="127"/>
  <c r="G22" i="127"/>
  <c r="V21" i="127"/>
  <c r="M21" i="127" s="1"/>
  <c r="U21" i="127"/>
  <c r="O21" i="127"/>
  <c r="K21" i="127"/>
  <c r="G21" i="127"/>
  <c r="V20" i="127"/>
  <c r="M20" i="127" s="1"/>
  <c r="U20" i="127"/>
  <c r="O20" i="127"/>
  <c r="K20" i="127"/>
  <c r="G20" i="127"/>
  <c r="V19" i="127"/>
  <c r="U19" i="127"/>
  <c r="O19" i="127"/>
  <c r="M19" i="127"/>
  <c r="N19" i="127" s="1"/>
  <c r="K19" i="127"/>
  <c r="G19" i="127"/>
  <c r="X18" i="127"/>
  <c r="W18" i="127"/>
  <c r="V18" i="127"/>
  <c r="M18" i="127" s="1"/>
  <c r="U18" i="127"/>
  <c r="O18" i="127"/>
  <c r="K18" i="127"/>
  <c r="G18" i="127"/>
  <c r="V17" i="127"/>
  <c r="U17" i="127"/>
  <c r="O17" i="127"/>
  <c r="M17" i="127"/>
  <c r="N17" i="127" s="1"/>
  <c r="K17" i="127"/>
  <c r="G17" i="127"/>
  <c r="V16" i="127"/>
  <c r="M16" i="127" s="1"/>
  <c r="U16" i="127"/>
  <c r="O16" i="127"/>
  <c r="K16" i="127"/>
  <c r="G16" i="127"/>
  <c r="X15" i="127"/>
  <c r="W15" i="127"/>
  <c r="V15" i="127"/>
  <c r="M15" i="127" s="1"/>
  <c r="O15" i="127"/>
  <c r="K15" i="127"/>
  <c r="G15" i="127"/>
  <c r="AD14" i="127"/>
  <c r="Z14" i="127"/>
  <c r="Y14" i="127"/>
  <c r="O14" i="127"/>
  <c r="K14" i="127"/>
  <c r="V13" i="127"/>
  <c r="M13" i="127" s="1"/>
  <c r="U13" i="127"/>
  <c r="O13" i="127"/>
  <c r="K13" i="127"/>
  <c r="G13" i="127"/>
  <c r="V12" i="127"/>
  <c r="M12" i="127" s="1"/>
  <c r="U12" i="127"/>
  <c r="O12" i="127"/>
  <c r="K12" i="127"/>
  <c r="G12" i="127"/>
  <c r="X11" i="127"/>
  <c r="W11" i="127"/>
  <c r="V11" i="127"/>
  <c r="M11" i="127" s="1"/>
  <c r="U11" i="127"/>
  <c r="O11" i="127"/>
  <c r="K11" i="127"/>
  <c r="G11" i="127"/>
  <c r="V10" i="127"/>
  <c r="M10" i="127" s="1"/>
  <c r="O10" i="127"/>
  <c r="K10" i="127"/>
  <c r="G10" i="127"/>
  <c r="AD9" i="127"/>
  <c r="AD2" i="127" s="1"/>
  <c r="N6" i="126" s="1"/>
  <c r="Z9" i="127"/>
  <c r="Y9" i="127"/>
  <c r="O9" i="127"/>
  <c r="K9" i="127"/>
  <c r="V8" i="127"/>
  <c r="M8" i="127" s="1"/>
  <c r="AF8" i="127" s="1"/>
  <c r="U8" i="127"/>
  <c r="O8" i="127"/>
  <c r="K8" i="127"/>
  <c r="G8" i="127"/>
  <c r="V7" i="127"/>
  <c r="M7" i="127" s="1"/>
  <c r="U7" i="127"/>
  <c r="O7" i="127"/>
  <c r="K7" i="127"/>
  <c r="G7" i="127"/>
  <c r="V6" i="127"/>
  <c r="M6" i="127" s="1"/>
  <c r="AF6" i="127" s="1"/>
  <c r="U6" i="127"/>
  <c r="O6" i="127"/>
  <c r="K6" i="127"/>
  <c r="G6" i="127"/>
  <c r="V5" i="127"/>
  <c r="M5" i="127" s="1"/>
  <c r="M9" i="127" s="1"/>
  <c r="O5" i="127"/>
  <c r="K5" i="127"/>
  <c r="G5" i="127"/>
  <c r="H2" i="127"/>
  <c r="H1" i="127"/>
  <c r="D1" i="127"/>
  <c r="M22" i="126"/>
  <c r="L22" i="126"/>
  <c r="K22" i="126"/>
  <c r="J22" i="126"/>
  <c r="I22" i="126"/>
  <c r="H22" i="126"/>
  <c r="G22" i="126"/>
  <c r="F22" i="126"/>
  <c r="E22" i="126"/>
  <c r="D22" i="126"/>
  <c r="M21" i="126"/>
  <c r="K21" i="126"/>
  <c r="I21" i="126"/>
  <c r="H21" i="126"/>
  <c r="F21" i="126"/>
  <c r="E21" i="126"/>
  <c r="M20" i="126"/>
  <c r="L20" i="126"/>
  <c r="K20" i="126"/>
  <c r="J20" i="126"/>
  <c r="I20" i="126"/>
  <c r="H20" i="126"/>
  <c r="G20" i="126"/>
  <c r="F20" i="126"/>
  <c r="E20" i="126"/>
  <c r="D20" i="126"/>
  <c r="M19" i="126"/>
  <c r="K19" i="126"/>
  <c r="J19" i="126"/>
  <c r="I19" i="126"/>
  <c r="F19" i="126"/>
  <c r="E19" i="126"/>
  <c r="D19" i="126"/>
  <c r="M18" i="126"/>
  <c r="J18" i="126"/>
  <c r="I18" i="126"/>
  <c r="H18" i="126"/>
  <c r="G18" i="126"/>
  <c r="E18" i="126"/>
  <c r="D18" i="126"/>
  <c r="M17" i="126"/>
  <c r="L17" i="126"/>
  <c r="K17" i="126"/>
  <c r="J17" i="126"/>
  <c r="I17" i="126"/>
  <c r="H17" i="126"/>
  <c r="G17" i="126"/>
  <c r="F17" i="126"/>
  <c r="E17" i="126"/>
  <c r="D17" i="126"/>
  <c r="M16" i="126"/>
  <c r="L16" i="126"/>
  <c r="K16" i="126"/>
  <c r="J16" i="126"/>
  <c r="I16" i="126"/>
  <c r="H16" i="126"/>
  <c r="G16" i="126"/>
  <c r="F16" i="126"/>
  <c r="E16" i="126"/>
  <c r="D16" i="126"/>
  <c r="M13" i="126"/>
  <c r="L13" i="126"/>
  <c r="K13" i="126"/>
  <c r="I6" i="126" s="1"/>
  <c r="J13" i="126"/>
  <c r="I13" i="126"/>
  <c r="H13" i="126"/>
  <c r="G6" i="126" s="1"/>
  <c r="G13" i="126"/>
  <c r="F13" i="126"/>
  <c r="E13" i="126"/>
  <c r="D13" i="126"/>
  <c r="M6" i="126"/>
  <c r="F3" i="126"/>
  <c r="C3" i="126"/>
  <c r="N47" i="127" l="1"/>
  <c r="AF47" i="127"/>
  <c r="AE47" i="127"/>
  <c r="AE55" i="127"/>
  <c r="AF55" i="127"/>
  <c r="N55" i="127"/>
  <c r="Q55" i="127" s="1"/>
  <c r="AF7" i="127"/>
  <c r="N7" i="127"/>
  <c r="P7" i="127" s="1"/>
  <c r="AE27" i="127"/>
  <c r="AF27" i="127"/>
  <c r="N23" i="127"/>
  <c r="AE23" i="127"/>
  <c r="N42" i="127"/>
  <c r="AF42" i="127"/>
  <c r="AE42" i="127"/>
  <c r="AF30" i="127"/>
  <c r="N30" i="127"/>
  <c r="P30" i="127" s="1"/>
  <c r="N72" i="127"/>
  <c r="AE72" i="127"/>
  <c r="N60" i="127"/>
  <c r="P60" i="127" s="1"/>
  <c r="N57" i="127"/>
  <c r="Q57" i="127" s="1"/>
  <c r="Y2" i="127"/>
  <c r="K6" i="126" s="1"/>
  <c r="AE17" i="127"/>
  <c r="AF17" i="127"/>
  <c r="AE44" i="127"/>
  <c r="AE74" i="127"/>
  <c r="AF44" i="127"/>
  <c r="N75" i="127"/>
  <c r="Q75" i="127" s="1"/>
  <c r="F1" i="127"/>
  <c r="N73" i="127"/>
  <c r="Q73" i="127" s="1"/>
  <c r="AF75" i="127"/>
  <c r="AE73" i="127"/>
  <c r="Z2" i="127"/>
  <c r="L6" i="126" s="1"/>
  <c r="AE19" i="127"/>
  <c r="AF19" i="127"/>
  <c r="Q12" i="133"/>
  <c r="R10" i="133" s="1"/>
  <c r="E14" i="132"/>
  <c r="E15" i="132" s="1"/>
  <c r="P12" i="133"/>
  <c r="Q59" i="133"/>
  <c r="R53" i="133" s="1"/>
  <c r="P59" i="133"/>
  <c r="J14" i="132"/>
  <c r="J15" i="132" s="1"/>
  <c r="Q23" i="133"/>
  <c r="R18" i="133" s="1"/>
  <c r="P23" i="133"/>
  <c r="G14" i="132"/>
  <c r="G15" i="132" s="1"/>
  <c r="Q30" i="133"/>
  <c r="R24" i="133" s="1"/>
  <c r="P30" i="133"/>
  <c r="K14" i="132"/>
  <c r="Q67" i="133"/>
  <c r="R60" i="133" s="1"/>
  <c r="M14" i="132"/>
  <c r="M15" i="132" s="1"/>
  <c r="P67" i="133"/>
  <c r="D2" i="133"/>
  <c r="Q9" i="133"/>
  <c r="R5" i="133" s="1"/>
  <c r="P9" i="133"/>
  <c r="D14" i="132"/>
  <c r="Q38" i="133"/>
  <c r="R31" i="133" s="1"/>
  <c r="P38" i="133"/>
  <c r="L14" i="132"/>
  <c r="L15" i="132" s="1"/>
  <c r="Q43" i="133"/>
  <c r="R39" i="133" s="1"/>
  <c r="P43" i="133"/>
  <c r="H14" i="132"/>
  <c r="H15" i="132" s="1"/>
  <c r="P52" i="133"/>
  <c r="I14" i="132"/>
  <c r="I15" i="132" s="1"/>
  <c r="Q52" i="133"/>
  <c r="R44" i="133" s="1"/>
  <c r="Q18" i="131"/>
  <c r="P18" i="131"/>
  <c r="N61" i="131"/>
  <c r="AF61" i="131"/>
  <c r="AG55" i="131" s="1"/>
  <c r="AE61" i="131"/>
  <c r="Q42" i="131"/>
  <c r="P42" i="131"/>
  <c r="AF17" i="131"/>
  <c r="AG13" i="131" s="1"/>
  <c r="AE17" i="131"/>
  <c r="N17" i="131"/>
  <c r="N12" i="131"/>
  <c r="AF12" i="131"/>
  <c r="AG10" i="131" s="1"/>
  <c r="AE12" i="131"/>
  <c r="AF40" i="131"/>
  <c r="AG32" i="131" s="1"/>
  <c r="AE40" i="131"/>
  <c r="N40" i="131"/>
  <c r="Q11" i="131"/>
  <c r="P11" i="131"/>
  <c r="Q20" i="131"/>
  <c r="P20" i="131"/>
  <c r="Q39" i="131"/>
  <c r="P39" i="131"/>
  <c r="Q10" i="131"/>
  <c r="P10" i="131"/>
  <c r="Q21" i="131"/>
  <c r="P21" i="131"/>
  <c r="Q48" i="131"/>
  <c r="P48" i="131"/>
  <c r="Q56" i="131"/>
  <c r="P56" i="131"/>
  <c r="Q47" i="131"/>
  <c r="P47" i="131"/>
  <c r="N45" i="131"/>
  <c r="AF45" i="131"/>
  <c r="AG41" i="131" s="1"/>
  <c r="AE45" i="131"/>
  <c r="Q14" i="131"/>
  <c r="P14" i="131"/>
  <c r="Q59" i="131"/>
  <c r="P59" i="131"/>
  <c r="Q19" i="131"/>
  <c r="P19" i="131"/>
  <c r="Q51" i="131"/>
  <c r="P51" i="131"/>
  <c r="N23" i="131"/>
  <c r="AF23" i="131"/>
  <c r="AG18" i="131" s="1"/>
  <c r="AE23" i="131"/>
  <c r="Q13" i="131"/>
  <c r="P13" i="131"/>
  <c r="Q58" i="131"/>
  <c r="P58" i="131"/>
  <c r="P26" i="131"/>
  <c r="Q26" i="131"/>
  <c r="Q33" i="131"/>
  <c r="P33" i="131"/>
  <c r="Q6" i="131"/>
  <c r="P6" i="131"/>
  <c r="Q22" i="131"/>
  <c r="P22" i="131"/>
  <c r="Q38" i="131"/>
  <c r="P38" i="131"/>
  <c r="N9" i="131"/>
  <c r="AF9" i="131"/>
  <c r="AG5" i="131" s="1"/>
  <c r="AE9" i="131"/>
  <c r="Q64" i="131"/>
  <c r="P64" i="131"/>
  <c r="Q57" i="131"/>
  <c r="P57" i="131"/>
  <c r="Q30" i="131"/>
  <c r="P30" i="131"/>
  <c r="Q55" i="131"/>
  <c r="P55" i="131"/>
  <c r="N31" i="131"/>
  <c r="AF31" i="131"/>
  <c r="AG24" i="131" s="1"/>
  <c r="AE31" i="131"/>
  <c r="Q44" i="131"/>
  <c r="P44" i="131"/>
  <c r="Q5" i="131"/>
  <c r="P5" i="131"/>
  <c r="AF72" i="131"/>
  <c r="AG62" i="131" s="1"/>
  <c r="AE72" i="131"/>
  <c r="N72" i="131"/>
  <c r="Q43" i="131"/>
  <c r="P43" i="131"/>
  <c r="Q63" i="131"/>
  <c r="P63" i="131"/>
  <c r="Q41" i="131"/>
  <c r="P41" i="131"/>
  <c r="Q60" i="131"/>
  <c r="P60" i="131"/>
  <c r="P8" i="131"/>
  <c r="Q8" i="131"/>
  <c r="AF54" i="131"/>
  <c r="AG46" i="131" s="1"/>
  <c r="AE54" i="131"/>
  <c r="N54" i="131"/>
  <c r="Q67" i="131"/>
  <c r="P67" i="131"/>
  <c r="Q35" i="131"/>
  <c r="P35" i="131"/>
  <c r="Q71" i="131"/>
  <c r="P71" i="131"/>
  <c r="Q69" i="131"/>
  <c r="P69" i="131"/>
  <c r="Q7" i="131"/>
  <c r="P7" i="131"/>
  <c r="Q53" i="131"/>
  <c r="P53" i="131"/>
  <c r="Q15" i="131"/>
  <c r="P15" i="131"/>
  <c r="P62" i="131"/>
  <c r="Q62" i="131"/>
  <c r="P28" i="131"/>
  <c r="Q28" i="131"/>
  <c r="Q37" i="131"/>
  <c r="P37" i="131"/>
  <c r="Q25" i="131"/>
  <c r="P25" i="131"/>
  <c r="P49" i="131"/>
  <c r="Q49" i="131"/>
  <c r="Q46" i="131"/>
  <c r="P46" i="131"/>
  <c r="P65" i="131"/>
  <c r="Q65" i="131"/>
  <c r="N49" i="127"/>
  <c r="AF49" i="127"/>
  <c r="AE49" i="127"/>
  <c r="Q54" i="127"/>
  <c r="P54" i="127"/>
  <c r="N11" i="127"/>
  <c r="AF11" i="127"/>
  <c r="AE11" i="127"/>
  <c r="N13" i="127"/>
  <c r="AF13" i="127"/>
  <c r="AE13" i="127"/>
  <c r="N21" i="127"/>
  <c r="AF21" i="127"/>
  <c r="AE21" i="127"/>
  <c r="Q44" i="127"/>
  <c r="P44" i="127"/>
  <c r="N66" i="127"/>
  <c r="AF66" i="127"/>
  <c r="AE66" i="127"/>
  <c r="AF26" i="127"/>
  <c r="AE26" i="127"/>
  <c r="N26" i="127"/>
  <c r="N36" i="127"/>
  <c r="AF36" i="127"/>
  <c r="AE36" i="127"/>
  <c r="N38" i="127"/>
  <c r="AF38" i="127"/>
  <c r="AE38" i="127"/>
  <c r="N46" i="127"/>
  <c r="M51" i="127"/>
  <c r="AF46" i="127"/>
  <c r="AE46" i="127"/>
  <c r="M61" i="127"/>
  <c r="N52" i="127"/>
  <c r="AF52" i="127"/>
  <c r="AE52" i="127"/>
  <c r="N64" i="127"/>
  <c r="AF64" i="127"/>
  <c r="AE64" i="127"/>
  <c r="N16" i="127"/>
  <c r="AF16" i="127"/>
  <c r="AE16" i="127"/>
  <c r="N18" i="127"/>
  <c r="AF18" i="127"/>
  <c r="AE18" i="127"/>
  <c r="AF28" i="127"/>
  <c r="AE28" i="127"/>
  <c r="N28" i="127"/>
  <c r="Q72" i="127"/>
  <c r="P72" i="127"/>
  <c r="AF25" i="127"/>
  <c r="M32" i="127"/>
  <c r="AE25" i="127"/>
  <c r="N25" i="127"/>
  <c r="AF35" i="127"/>
  <c r="AE35" i="127"/>
  <c r="N35" i="127"/>
  <c r="Q42" i="127"/>
  <c r="P42" i="127"/>
  <c r="N22" i="127"/>
  <c r="AF22" i="127"/>
  <c r="AE22" i="127"/>
  <c r="N48" i="127"/>
  <c r="AF48" i="127"/>
  <c r="AE48" i="127"/>
  <c r="N50" i="127"/>
  <c r="AF50" i="127"/>
  <c r="AE50" i="127"/>
  <c r="N10" i="127"/>
  <c r="M14" i="127"/>
  <c r="AF10" i="127"/>
  <c r="AE10" i="127"/>
  <c r="AF12" i="127"/>
  <c r="AE12" i="127"/>
  <c r="N12" i="127"/>
  <c r="Q17" i="127"/>
  <c r="P17" i="127"/>
  <c r="N41" i="127"/>
  <c r="AF41" i="127"/>
  <c r="AE41" i="127"/>
  <c r="AF58" i="127"/>
  <c r="AE58" i="127"/>
  <c r="N58" i="127"/>
  <c r="N20" i="127"/>
  <c r="AF20" i="127"/>
  <c r="AE20" i="127"/>
  <c r="Q47" i="127"/>
  <c r="P47" i="127"/>
  <c r="N53" i="127"/>
  <c r="AF53" i="127"/>
  <c r="AE53" i="127"/>
  <c r="N65" i="127"/>
  <c r="AF65" i="127"/>
  <c r="AE65" i="127"/>
  <c r="Q19" i="127"/>
  <c r="P19" i="127"/>
  <c r="AF37" i="127"/>
  <c r="AE37" i="127"/>
  <c r="N37" i="127"/>
  <c r="N43" i="127"/>
  <c r="AF43" i="127"/>
  <c r="AE43" i="127"/>
  <c r="N15" i="127"/>
  <c r="AF15" i="127"/>
  <c r="AE15" i="127"/>
  <c r="M24" i="127"/>
  <c r="Q23" i="127"/>
  <c r="P23" i="127"/>
  <c r="N33" i="127"/>
  <c r="M39" i="127"/>
  <c r="AF33" i="127"/>
  <c r="AE33" i="127"/>
  <c r="AF63" i="127"/>
  <c r="AE63" i="127"/>
  <c r="N63" i="127"/>
  <c r="N70" i="127"/>
  <c r="AF70" i="127"/>
  <c r="AE70" i="127"/>
  <c r="N40" i="127"/>
  <c r="M45" i="127"/>
  <c r="AF40" i="127"/>
  <c r="AE40" i="127"/>
  <c r="Q74" i="127"/>
  <c r="P74" i="127"/>
  <c r="Q69" i="127"/>
  <c r="P69" i="127"/>
  <c r="F2" i="127"/>
  <c r="I3" i="126"/>
  <c r="N56" i="127"/>
  <c r="AF56" i="127"/>
  <c r="AE56" i="127"/>
  <c r="N71" i="127"/>
  <c r="AF71" i="127"/>
  <c r="AE71" i="127"/>
  <c r="AF62" i="127"/>
  <c r="AE62" i="127"/>
  <c r="M68" i="127"/>
  <c r="N62" i="127"/>
  <c r="N9" i="127"/>
  <c r="AF9" i="127"/>
  <c r="AG5" i="127" s="1"/>
  <c r="AE9" i="127"/>
  <c r="N67" i="127"/>
  <c r="AF67" i="127"/>
  <c r="AE67" i="127"/>
  <c r="F6" i="126"/>
  <c r="N8" i="127"/>
  <c r="AF23" i="127"/>
  <c r="N31" i="127"/>
  <c r="N34" i="127"/>
  <c r="AF54" i="127"/>
  <c r="AF72" i="127"/>
  <c r="AF74" i="127"/>
  <c r="E6" i="126"/>
  <c r="AE69" i="127"/>
  <c r="M76" i="127"/>
  <c r="N5" i="127"/>
  <c r="N6" i="127"/>
  <c r="N27" i="127"/>
  <c r="N29" i="127"/>
  <c r="N59" i="127"/>
  <c r="AF69" i="127"/>
  <c r="D21" i="126"/>
  <c r="AE8" i="127"/>
  <c r="AE31" i="127"/>
  <c r="AE34" i="127"/>
  <c r="P55" i="127"/>
  <c r="P57" i="127"/>
  <c r="P73" i="127"/>
  <c r="P75" i="127"/>
  <c r="AE7" i="127"/>
  <c r="AE30" i="127"/>
  <c r="AE60" i="127"/>
  <c r="AE5" i="127"/>
  <c r="AE6" i="127"/>
  <c r="AE29" i="127"/>
  <c r="AE59" i="127"/>
  <c r="AF5" i="127"/>
  <c r="AD65" i="125"/>
  <c r="Z65" i="125"/>
  <c r="Y65" i="125"/>
  <c r="O65" i="125"/>
  <c r="K65" i="125"/>
  <c r="V64" i="125"/>
  <c r="M64" i="125" s="1"/>
  <c r="U64" i="125"/>
  <c r="O64" i="125"/>
  <c r="K64" i="125"/>
  <c r="G64" i="125"/>
  <c r="X63" i="125"/>
  <c r="W63" i="125"/>
  <c r="V63" i="125"/>
  <c r="M63" i="125" s="1"/>
  <c r="U63" i="125"/>
  <c r="O63" i="125"/>
  <c r="K63" i="125"/>
  <c r="G63" i="125"/>
  <c r="V62" i="125"/>
  <c r="U62" i="125"/>
  <c r="O62" i="125"/>
  <c r="M62" i="125"/>
  <c r="AE62" i="125" s="1"/>
  <c r="K62" i="125"/>
  <c r="G62" i="125"/>
  <c r="V61" i="125"/>
  <c r="M61" i="125" s="1"/>
  <c r="U61" i="125"/>
  <c r="O61" i="125"/>
  <c r="K61" i="125"/>
  <c r="G61" i="125"/>
  <c r="X60" i="125"/>
  <c r="W60" i="125"/>
  <c r="V60" i="125"/>
  <c r="M60" i="125" s="1"/>
  <c r="O60" i="125"/>
  <c r="K60" i="125"/>
  <c r="G60" i="125"/>
  <c r="AD59" i="125"/>
  <c r="Z59" i="125"/>
  <c r="Y59" i="125"/>
  <c r="O59" i="125"/>
  <c r="K59" i="125"/>
  <c r="V58" i="125"/>
  <c r="M58" i="125" s="1"/>
  <c r="U58" i="125"/>
  <c r="O58" i="125"/>
  <c r="K58" i="125"/>
  <c r="G58" i="125"/>
  <c r="V57" i="125"/>
  <c r="M57" i="125" s="1"/>
  <c r="U57" i="125"/>
  <c r="O57" i="125"/>
  <c r="K57" i="125"/>
  <c r="G57" i="125"/>
  <c r="V56" i="125"/>
  <c r="M56" i="125" s="1"/>
  <c r="U56" i="125"/>
  <c r="O56" i="125"/>
  <c r="K56" i="125"/>
  <c r="G56" i="125"/>
  <c r="V55" i="125"/>
  <c r="M55" i="125" s="1"/>
  <c r="U55" i="125"/>
  <c r="O55" i="125"/>
  <c r="K55" i="125"/>
  <c r="G55" i="125"/>
  <c r="V54" i="125"/>
  <c r="M54" i="125" s="1"/>
  <c r="U54" i="125"/>
  <c r="O54" i="125"/>
  <c r="K54" i="125"/>
  <c r="G54" i="125"/>
  <c r="V53" i="125"/>
  <c r="M53" i="125" s="1"/>
  <c r="O53" i="125"/>
  <c r="K53" i="125"/>
  <c r="G53" i="125"/>
  <c r="AD52" i="125"/>
  <c r="I21" i="124" s="1"/>
  <c r="Z52" i="125"/>
  <c r="Y52" i="125"/>
  <c r="O52" i="125"/>
  <c r="K52" i="125"/>
  <c r="V51" i="125"/>
  <c r="M51" i="125" s="1"/>
  <c r="U51" i="125"/>
  <c r="O51" i="125"/>
  <c r="K51" i="125"/>
  <c r="G51" i="125"/>
  <c r="V50" i="125"/>
  <c r="M50" i="125" s="1"/>
  <c r="AF50" i="125" s="1"/>
  <c r="U50" i="125"/>
  <c r="O50" i="125"/>
  <c r="K50" i="125"/>
  <c r="G50" i="125"/>
  <c r="V49" i="125"/>
  <c r="U49" i="125"/>
  <c r="O49" i="125"/>
  <c r="M49" i="125"/>
  <c r="AF49" i="125" s="1"/>
  <c r="K49" i="125"/>
  <c r="G49" i="125"/>
  <c r="V48" i="125"/>
  <c r="U48" i="125"/>
  <c r="O48" i="125"/>
  <c r="M48" i="125"/>
  <c r="AF48" i="125" s="1"/>
  <c r="K48" i="125"/>
  <c r="G48" i="125"/>
  <c r="V47" i="125"/>
  <c r="M47" i="125" s="1"/>
  <c r="U47" i="125"/>
  <c r="O47" i="125"/>
  <c r="K47" i="125"/>
  <c r="G47" i="125"/>
  <c r="V46" i="125"/>
  <c r="M46" i="125" s="1"/>
  <c r="O46" i="125"/>
  <c r="K46" i="125"/>
  <c r="G46" i="125"/>
  <c r="AD45" i="125"/>
  <c r="Z45" i="125"/>
  <c r="Y45" i="125"/>
  <c r="O45" i="125"/>
  <c r="K45" i="125"/>
  <c r="V44" i="125"/>
  <c r="M44" i="125" s="1"/>
  <c r="U44" i="125"/>
  <c r="O44" i="125"/>
  <c r="K44" i="125"/>
  <c r="G44" i="125"/>
  <c r="V43" i="125"/>
  <c r="M43" i="125" s="1"/>
  <c r="U43" i="125"/>
  <c r="O43" i="125"/>
  <c r="K43" i="125"/>
  <c r="G43" i="125"/>
  <c r="V42" i="125"/>
  <c r="M42" i="125" s="1"/>
  <c r="U42" i="125"/>
  <c r="O42" i="125"/>
  <c r="K42" i="125"/>
  <c r="G42" i="125"/>
  <c r="X41" i="125"/>
  <c r="W41" i="125"/>
  <c r="V41" i="125"/>
  <c r="M41" i="125" s="1"/>
  <c r="O41" i="125"/>
  <c r="K41" i="125"/>
  <c r="G41" i="125"/>
  <c r="AD40" i="125"/>
  <c r="L21" i="124" s="1"/>
  <c r="Z40" i="125"/>
  <c r="L19" i="124" s="1"/>
  <c r="Y40" i="125"/>
  <c r="O40" i="125"/>
  <c r="K40" i="125"/>
  <c r="V39" i="125"/>
  <c r="M39" i="125" s="1"/>
  <c r="U39" i="125"/>
  <c r="O39" i="125"/>
  <c r="K39" i="125"/>
  <c r="G39" i="125"/>
  <c r="V38" i="125"/>
  <c r="M38" i="125" s="1"/>
  <c r="U38" i="125"/>
  <c r="O38" i="125"/>
  <c r="K38" i="125"/>
  <c r="G38" i="125"/>
  <c r="V37" i="125"/>
  <c r="M37" i="125" s="1"/>
  <c r="U37" i="125"/>
  <c r="O37" i="125"/>
  <c r="K37" i="125"/>
  <c r="G37" i="125"/>
  <c r="X36" i="125"/>
  <c r="W36" i="125"/>
  <c r="V36" i="125"/>
  <c r="M36" i="125" s="1"/>
  <c r="O36" i="125"/>
  <c r="K36" i="125"/>
  <c r="G36" i="125"/>
  <c r="AD35" i="125"/>
  <c r="Z35" i="125"/>
  <c r="Y35" i="125"/>
  <c r="K18" i="124" s="1"/>
  <c r="O35" i="125"/>
  <c r="K35" i="125"/>
  <c r="V34" i="125"/>
  <c r="M34" i="125" s="1"/>
  <c r="U34" i="125"/>
  <c r="O34" i="125"/>
  <c r="K34" i="125"/>
  <c r="G34" i="125"/>
  <c r="V33" i="125"/>
  <c r="M33" i="125" s="1"/>
  <c r="U33" i="125"/>
  <c r="O33" i="125"/>
  <c r="K33" i="125"/>
  <c r="G33" i="125"/>
  <c r="X32" i="125"/>
  <c r="W32" i="125"/>
  <c r="V32" i="125"/>
  <c r="M32" i="125" s="1"/>
  <c r="U32" i="125"/>
  <c r="O32" i="125"/>
  <c r="K32" i="125"/>
  <c r="G32" i="125"/>
  <c r="V31" i="125"/>
  <c r="M31" i="125" s="1"/>
  <c r="U31" i="125"/>
  <c r="O31" i="125"/>
  <c r="K31" i="125"/>
  <c r="G31" i="125"/>
  <c r="V30" i="125"/>
  <c r="M30" i="125" s="1"/>
  <c r="U30" i="125"/>
  <c r="O30" i="125"/>
  <c r="K30" i="125"/>
  <c r="G30" i="125"/>
  <c r="V29" i="125"/>
  <c r="U29" i="125"/>
  <c r="O29" i="125"/>
  <c r="M29" i="125"/>
  <c r="AF29" i="125" s="1"/>
  <c r="K29" i="125"/>
  <c r="G29" i="125"/>
  <c r="X28" i="125"/>
  <c r="W28" i="125"/>
  <c r="V28" i="125"/>
  <c r="M28" i="125" s="1"/>
  <c r="O28" i="125"/>
  <c r="K28" i="125"/>
  <c r="G28" i="125"/>
  <c r="AD27" i="125"/>
  <c r="Z27" i="125"/>
  <c r="Y27" i="125"/>
  <c r="O27" i="125"/>
  <c r="K27" i="125"/>
  <c r="V26" i="125"/>
  <c r="M26" i="125" s="1"/>
  <c r="AF26" i="125" s="1"/>
  <c r="U26" i="125"/>
  <c r="O26" i="125"/>
  <c r="K26" i="125"/>
  <c r="G26" i="125"/>
  <c r="V25" i="125"/>
  <c r="M25" i="125" s="1"/>
  <c r="U25" i="125"/>
  <c r="O25" i="125"/>
  <c r="K25" i="125"/>
  <c r="G25" i="125"/>
  <c r="V24" i="125"/>
  <c r="M24" i="125" s="1"/>
  <c r="AF24" i="125" s="1"/>
  <c r="U24" i="125"/>
  <c r="O24" i="125"/>
  <c r="K24" i="125"/>
  <c r="G24" i="125"/>
  <c r="V23" i="125"/>
  <c r="M23" i="125" s="1"/>
  <c r="U23" i="125"/>
  <c r="O23" i="125"/>
  <c r="K23" i="125"/>
  <c r="G23" i="125"/>
  <c r="V22" i="125"/>
  <c r="M22" i="125" s="1"/>
  <c r="U22" i="125"/>
  <c r="O22" i="125"/>
  <c r="K22" i="125"/>
  <c r="G22" i="125"/>
  <c r="V21" i="125"/>
  <c r="M21" i="125" s="1"/>
  <c r="O21" i="125"/>
  <c r="K21" i="125"/>
  <c r="G21" i="125"/>
  <c r="AD20" i="125"/>
  <c r="F21" i="124" s="1"/>
  <c r="Z20" i="125"/>
  <c r="F19" i="124" s="1"/>
  <c r="Y20" i="125"/>
  <c r="F18" i="124" s="1"/>
  <c r="O20" i="125"/>
  <c r="K20" i="125"/>
  <c r="V19" i="125"/>
  <c r="M19" i="125" s="1"/>
  <c r="U19" i="125"/>
  <c r="O19" i="125"/>
  <c r="K19" i="125"/>
  <c r="G19" i="125"/>
  <c r="V18" i="125"/>
  <c r="M18" i="125" s="1"/>
  <c r="U18" i="125"/>
  <c r="O18" i="125"/>
  <c r="K18" i="125"/>
  <c r="G18" i="125"/>
  <c r="V17" i="125"/>
  <c r="M17" i="125" s="1"/>
  <c r="U17" i="125"/>
  <c r="O17" i="125"/>
  <c r="K17" i="125"/>
  <c r="G17" i="125"/>
  <c r="V16" i="125"/>
  <c r="M16" i="125" s="1"/>
  <c r="O16" i="125"/>
  <c r="K16" i="125"/>
  <c r="G16" i="125"/>
  <c r="AD15" i="125"/>
  <c r="Z15" i="125"/>
  <c r="Y15" i="125"/>
  <c r="O15" i="125"/>
  <c r="K15" i="125"/>
  <c r="V14" i="125"/>
  <c r="M14" i="125" s="1"/>
  <c r="U14" i="125"/>
  <c r="O14" i="125"/>
  <c r="K14" i="125"/>
  <c r="G14" i="125"/>
  <c r="V13" i="125"/>
  <c r="M13" i="125" s="1"/>
  <c r="U13" i="125"/>
  <c r="O13" i="125"/>
  <c r="K13" i="125"/>
  <c r="G13" i="125"/>
  <c r="X12" i="125"/>
  <c r="W12" i="125"/>
  <c r="V12" i="125"/>
  <c r="M12" i="125" s="1"/>
  <c r="U12" i="125"/>
  <c r="O12" i="125"/>
  <c r="K12" i="125"/>
  <c r="G12" i="125"/>
  <c r="V11" i="125"/>
  <c r="M11" i="125" s="1"/>
  <c r="O11" i="125"/>
  <c r="K11" i="125"/>
  <c r="G11" i="125"/>
  <c r="AD10" i="125"/>
  <c r="Z10" i="125"/>
  <c r="D19" i="124" s="1"/>
  <c r="Y10" i="125"/>
  <c r="O10" i="125"/>
  <c r="K10" i="125"/>
  <c r="V9" i="125"/>
  <c r="M9" i="125" s="1"/>
  <c r="AF9" i="125" s="1"/>
  <c r="U9" i="125"/>
  <c r="O9" i="125"/>
  <c r="K9" i="125"/>
  <c r="G9" i="125"/>
  <c r="X8" i="125"/>
  <c r="W8" i="125"/>
  <c r="V8" i="125"/>
  <c r="M8" i="125" s="1"/>
  <c r="U8" i="125"/>
  <c r="O8" i="125"/>
  <c r="K8" i="125"/>
  <c r="G8" i="125"/>
  <c r="V7" i="125"/>
  <c r="U7" i="125"/>
  <c r="O7" i="125"/>
  <c r="M7" i="125"/>
  <c r="AF7" i="125" s="1"/>
  <c r="K7" i="125"/>
  <c r="G7" i="125"/>
  <c r="V6" i="125"/>
  <c r="M6" i="125" s="1"/>
  <c r="U6" i="125"/>
  <c r="O6" i="125"/>
  <c r="K6" i="125"/>
  <c r="G6" i="125"/>
  <c r="V5" i="125"/>
  <c r="M5" i="125" s="1"/>
  <c r="O5" i="125"/>
  <c r="K5" i="125"/>
  <c r="G5" i="125"/>
  <c r="H2" i="125"/>
  <c r="H1" i="125"/>
  <c r="D1" i="125"/>
  <c r="M22" i="124"/>
  <c r="L22" i="124"/>
  <c r="K22" i="124"/>
  <c r="J22" i="124"/>
  <c r="I22" i="124"/>
  <c r="H22" i="124"/>
  <c r="G22" i="124"/>
  <c r="F22" i="124"/>
  <c r="E22" i="124"/>
  <c r="D22" i="124"/>
  <c r="M21" i="124"/>
  <c r="K21" i="124"/>
  <c r="J21" i="124"/>
  <c r="H21" i="124"/>
  <c r="G21" i="124"/>
  <c r="E21" i="124"/>
  <c r="M20" i="124"/>
  <c r="L20" i="124"/>
  <c r="K20" i="124"/>
  <c r="J20" i="124"/>
  <c r="I20" i="124"/>
  <c r="H20" i="124"/>
  <c r="G20" i="124"/>
  <c r="F20" i="124"/>
  <c r="E20" i="124"/>
  <c r="D20" i="124"/>
  <c r="M19" i="124"/>
  <c r="K19" i="124"/>
  <c r="J19" i="124"/>
  <c r="I19" i="124"/>
  <c r="H19" i="124"/>
  <c r="G19" i="124"/>
  <c r="E19" i="124"/>
  <c r="M18" i="124"/>
  <c r="L18" i="124"/>
  <c r="J18" i="124"/>
  <c r="I18" i="124"/>
  <c r="H18" i="124"/>
  <c r="G18" i="124"/>
  <c r="E18" i="124"/>
  <c r="D18" i="124"/>
  <c r="M17" i="124"/>
  <c r="L17" i="124"/>
  <c r="K17" i="124"/>
  <c r="J17" i="124"/>
  <c r="I17" i="124"/>
  <c r="H17" i="124"/>
  <c r="G17" i="124"/>
  <c r="F17" i="124"/>
  <c r="E17" i="124"/>
  <c r="D17" i="124"/>
  <c r="M16" i="124"/>
  <c r="L16" i="124"/>
  <c r="K16" i="124"/>
  <c r="J16" i="124"/>
  <c r="I16" i="124"/>
  <c r="H16" i="124"/>
  <c r="G16" i="124"/>
  <c r="F16" i="124"/>
  <c r="E16" i="124"/>
  <c r="D16" i="124"/>
  <c r="M13" i="124"/>
  <c r="L13" i="124"/>
  <c r="K13" i="124"/>
  <c r="I6" i="124" s="1"/>
  <c r="J13" i="124"/>
  <c r="I13" i="124"/>
  <c r="H13" i="124"/>
  <c r="G13" i="124"/>
  <c r="F13" i="124"/>
  <c r="E13" i="124"/>
  <c r="D13" i="124"/>
  <c r="M6" i="124"/>
  <c r="F3" i="124"/>
  <c r="C3" i="124"/>
  <c r="AF47" i="125" l="1"/>
  <c r="N47" i="125"/>
  <c r="Q47" i="125" s="1"/>
  <c r="N63" i="125"/>
  <c r="Q63" i="125" s="1"/>
  <c r="AF63" i="125"/>
  <c r="AE63" i="125"/>
  <c r="AF6" i="125"/>
  <c r="N6" i="125"/>
  <c r="Q6" i="125" s="1"/>
  <c r="AE22" i="125"/>
  <c r="AF22" i="125"/>
  <c r="M10" i="125"/>
  <c r="N10" i="125" s="1"/>
  <c r="N5" i="125"/>
  <c r="Q5" i="125" s="1"/>
  <c r="AF25" i="125"/>
  <c r="N25" i="125"/>
  <c r="Q25" i="125" s="1"/>
  <c r="AE64" i="125"/>
  <c r="AF64" i="125"/>
  <c r="N61" i="125"/>
  <c r="Q61" i="125" s="1"/>
  <c r="AF61" i="125"/>
  <c r="AE61" i="125"/>
  <c r="AF60" i="125"/>
  <c r="AE60" i="125"/>
  <c r="N60" i="125"/>
  <c r="Q60" i="125" s="1"/>
  <c r="N41" i="125"/>
  <c r="Q41" i="125" s="1"/>
  <c r="AF41" i="125"/>
  <c r="AE41" i="125"/>
  <c r="AF23" i="125"/>
  <c r="N23" i="125"/>
  <c r="Q23" i="125" s="1"/>
  <c r="AF46" i="125"/>
  <c r="N46" i="125"/>
  <c r="Q46" i="125" s="1"/>
  <c r="AE21" i="125"/>
  <c r="AF21" i="125"/>
  <c r="AE58" i="125"/>
  <c r="N58" i="125"/>
  <c r="Q58" i="125" s="1"/>
  <c r="AF58" i="125"/>
  <c r="AE44" i="125"/>
  <c r="N44" i="125"/>
  <c r="Q44" i="125" s="1"/>
  <c r="AF44" i="125"/>
  <c r="G6" i="124"/>
  <c r="Q60" i="127"/>
  <c r="Y2" i="125"/>
  <c r="K6" i="124" s="1"/>
  <c r="AD2" i="125"/>
  <c r="N6" i="124" s="1"/>
  <c r="Q30" i="127"/>
  <c r="F1" i="125"/>
  <c r="N49" i="125"/>
  <c r="Q49" i="125" s="1"/>
  <c r="D21" i="124"/>
  <c r="AF62" i="125"/>
  <c r="Q7" i="127"/>
  <c r="K15" i="132"/>
  <c r="I8" i="132" s="1"/>
  <c r="I7" i="132"/>
  <c r="D15" i="132"/>
  <c r="G7" i="132"/>
  <c r="F7" i="132"/>
  <c r="E7" i="132"/>
  <c r="E14" i="130"/>
  <c r="E15" i="130" s="1"/>
  <c r="Q12" i="131"/>
  <c r="R10" i="131" s="1"/>
  <c r="P12" i="131"/>
  <c r="I14" i="130"/>
  <c r="I15" i="130" s="1"/>
  <c r="Q54" i="131"/>
  <c r="R46" i="131" s="1"/>
  <c r="P54" i="131"/>
  <c r="F14" i="130"/>
  <c r="F15" i="130" s="1"/>
  <c r="Q17" i="131"/>
  <c r="R13" i="131" s="1"/>
  <c r="P17" i="131"/>
  <c r="M14" i="130"/>
  <c r="M15" i="130" s="1"/>
  <c r="Q72" i="131"/>
  <c r="R62" i="131" s="1"/>
  <c r="P72" i="131"/>
  <c r="H14" i="130"/>
  <c r="H15" i="130" s="1"/>
  <c r="Q45" i="131"/>
  <c r="R41" i="131" s="1"/>
  <c r="P45" i="131"/>
  <c r="Q23" i="131"/>
  <c r="R18" i="131" s="1"/>
  <c r="P23" i="131"/>
  <c r="G14" i="130"/>
  <c r="G15" i="130" s="1"/>
  <c r="L14" i="130"/>
  <c r="L15" i="130" s="1"/>
  <c r="Q40" i="131"/>
  <c r="R32" i="131" s="1"/>
  <c r="P40" i="131"/>
  <c r="P61" i="131"/>
  <c r="J14" i="130"/>
  <c r="J15" i="130" s="1"/>
  <c r="Q61" i="131"/>
  <c r="R55" i="131" s="1"/>
  <c r="K14" i="130"/>
  <c r="Q31" i="131"/>
  <c r="R24" i="131" s="1"/>
  <c r="P31" i="131"/>
  <c r="Q9" i="131"/>
  <c r="R5" i="131" s="1"/>
  <c r="P9" i="131"/>
  <c r="D14" i="130"/>
  <c r="D2" i="131"/>
  <c r="Q5" i="127"/>
  <c r="P5" i="127"/>
  <c r="P40" i="127"/>
  <c r="Q40" i="127"/>
  <c r="Q67" i="127"/>
  <c r="P67" i="127"/>
  <c r="AE24" i="127"/>
  <c r="N24" i="127"/>
  <c r="AF24" i="127"/>
  <c r="AG15" i="127" s="1"/>
  <c r="N14" i="127"/>
  <c r="AF14" i="127"/>
  <c r="AG10" i="127" s="1"/>
  <c r="AE14" i="127"/>
  <c r="Q52" i="127"/>
  <c r="P52" i="127"/>
  <c r="Q26" i="127"/>
  <c r="P26" i="127"/>
  <c r="Q71" i="127"/>
  <c r="P71" i="127"/>
  <c r="Q22" i="127"/>
  <c r="P22" i="127"/>
  <c r="Q56" i="127"/>
  <c r="P56" i="127"/>
  <c r="Q10" i="127"/>
  <c r="P10" i="127"/>
  <c r="Q35" i="127"/>
  <c r="P35" i="127"/>
  <c r="AF61" i="127"/>
  <c r="AG52" i="127" s="1"/>
  <c r="AE61" i="127"/>
  <c r="N61" i="127"/>
  <c r="Q13" i="127"/>
  <c r="P13" i="127"/>
  <c r="Q70" i="127"/>
  <c r="P70" i="127"/>
  <c r="Q65" i="127"/>
  <c r="P65" i="127"/>
  <c r="Q36" i="127"/>
  <c r="P36" i="127"/>
  <c r="Q9" i="127"/>
  <c r="R5" i="127" s="1"/>
  <c r="P9" i="127"/>
  <c r="D14" i="126"/>
  <c r="Q63" i="127"/>
  <c r="P63" i="127"/>
  <c r="P15" i="127"/>
  <c r="Q15" i="127"/>
  <c r="P18" i="127"/>
  <c r="Q18" i="127"/>
  <c r="Q62" i="127"/>
  <c r="P62" i="127"/>
  <c r="Q41" i="127"/>
  <c r="P41" i="127"/>
  <c r="P50" i="127"/>
  <c r="Q50" i="127"/>
  <c r="Q25" i="127"/>
  <c r="P25" i="127"/>
  <c r="N51" i="127"/>
  <c r="AF51" i="127"/>
  <c r="AG46" i="127" s="1"/>
  <c r="AE51" i="127"/>
  <c r="Q11" i="127"/>
  <c r="P11" i="127"/>
  <c r="AF76" i="127"/>
  <c r="AG69" i="127" s="1"/>
  <c r="AE76" i="127"/>
  <c r="N76" i="127"/>
  <c r="Q34" i="127"/>
  <c r="P34" i="127"/>
  <c r="N68" i="127"/>
  <c r="AF68" i="127"/>
  <c r="AG62" i="127" s="1"/>
  <c r="AE68" i="127"/>
  <c r="Q53" i="127"/>
  <c r="P53" i="127"/>
  <c r="Q46" i="127"/>
  <c r="P46" i="127"/>
  <c r="P66" i="127"/>
  <c r="Q66" i="127"/>
  <c r="Q21" i="127"/>
  <c r="P21" i="127"/>
  <c r="Q59" i="127"/>
  <c r="P59" i="127"/>
  <c r="Q31" i="127"/>
  <c r="P31" i="127"/>
  <c r="Q43" i="127"/>
  <c r="P43" i="127"/>
  <c r="N32" i="127"/>
  <c r="AF32" i="127"/>
  <c r="AG25" i="127" s="1"/>
  <c r="AE32" i="127"/>
  <c r="Q16" i="127"/>
  <c r="P16" i="127"/>
  <c r="P20" i="127"/>
  <c r="Q20" i="127"/>
  <c r="Q29" i="127"/>
  <c r="P29" i="127"/>
  <c r="Q37" i="127"/>
  <c r="P37" i="127"/>
  <c r="Q12" i="127"/>
  <c r="P12" i="127"/>
  <c r="P48" i="127"/>
  <c r="Q48" i="127"/>
  <c r="Q28" i="127"/>
  <c r="P28" i="127"/>
  <c r="Q58" i="127"/>
  <c r="P58" i="127"/>
  <c r="Q27" i="127"/>
  <c r="P27" i="127"/>
  <c r="Q8" i="127"/>
  <c r="P8" i="127"/>
  <c r="N39" i="127"/>
  <c r="AF39" i="127"/>
  <c r="AG33" i="127" s="1"/>
  <c r="AE39" i="127"/>
  <c r="Q38" i="127"/>
  <c r="P38" i="127"/>
  <c r="N45" i="127"/>
  <c r="AF45" i="127"/>
  <c r="AG40" i="127" s="1"/>
  <c r="AE45" i="127"/>
  <c r="Q6" i="127"/>
  <c r="P6" i="127"/>
  <c r="Q33" i="127"/>
  <c r="P33" i="127"/>
  <c r="Q64" i="127"/>
  <c r="P64" i="127"/>
  <c r="Q49" i="127"/>
  <c r="P49" i="127"/>
  <c r="N43" i="125"/>
  <c r="AF43" i="125"/>
  <c r="AE43" i="125"/>
  <c r="N53" i="125"/>
  <c r="AF53" i="125"/>
  <c r="AE53" i="125"/>
  <c r="M59" i="125"/>
  <c r="N11" i="125"/>
  <c r="M15" i="125"/>
  <c r="AF11" i="125"/>
  <c r="AE11" i="125"/>
  <c r="AF13" i="125"/>
  <c r="AE13" i="125"/>
  <c r="N13" i="125"/>
  <c r="N18" i="125"/>
  <c r="AF18" i="125"/>
  <c r="AE18" i="125"/>
  <c r="F2" i="125"/>
  <c r="I3" i="124"/>
  <c r="N37" i="125"/>
  <c r="AF37" i="125"/>
  <c r="AE37" i="125"/>
  <c r="N56" i="125"/>
  <c r="AF56" i="125"/>
  <c r="AE56" i="125"/>
  <c r="N31" i="125"/>
  <c r="AF31" i="125"/>
  <c r="AE31" i="125"/>
  <c r="N12" i="125"/>
  <c r="AF12" i="125"/>
  <c r="AE12" i="125"/>
  <c r="N14" i="125"/>
  <c r="AF14" i="125"/>
  <c r="AE14" i="125"/>
  <c r="N19" i="125"/>
  <c r="AF19" i="125"/>
  <c r="AE19" i="125"/>
  <c r="N54" i="125"/>
  <c r="AF54" i="125"/>
  <c r="AE54" i="125"/>
  <c r="N36" i="125"/>
  <c r="M40" i="125"/>
  <c r="AF36" i="125"/>
  <c r="AE36" i="125"/>
  <c r="N38" i="125"/>
  <c r="AF38" i="125"/>
  <c r="AE38" i="125"/>
  <c r="N17" i="125"/>
  <c r="AF17" i="125"/>
  <c r="AE17" i="125"/>
  <c r="N42" i="125"/>
  <c r="M45" i="125"/>
  <c r="AF42" i="125"/>
  <c r="AE42" i="125"/>
  <c r="N57" i="125"/>
  <c r="AF57" i="125"/>
  <c r="AE57" i="125"/>
  <c r="N16" i="125"/>
  <c r="M20" i="125"/>
  <c r="AF16" i="125"/>
  <c r="AE16" i="125"/>
  <c r="AF51" i="125"/>
  <c r="AE51" i="125"/>
  <c r="N51" i="125"/>
  <c r="N33" i="125"/>
  <c r="AF33" i="125"/>
  <c r="AE33" i="125"/>
  <c r="AF8" i="125"/>
  <c r="AE8" i="125"/>
  <c r="N8" i="125"/>
  <c r="N32" i="125"/>
  <c r="AF32" i="125"/>
  <c r="AE32" i="125"/>
  <c r="N34" i="125"/>
  <c r="AF34" i="125"/>
  <c r="AE34" i="125"/>
  <c r="AE10" i="125"/>
  <c r="N28" i="125"/>
  <c r="AF28" i="125"/>
  <c r="M35" i="125"/>
  <c r="AE28" i="125"/>
  <c r="N55" i="125"/>
  <c r="AF55" i="125"/>
  <c r="AE55" i="125"/>
  <c r="AF30" i="125"/>
  <c r="AE30" i="125"/>
  <c r="N30" i="125"/>
  <c r="N39" i="125"/>
  <c r="AF39" i="125"/>
  <c r="AE39" i="125"/>
  <c r="E6" i="124"/>
  <c r="F6" i="124"/>
  <c r="N7" i="125"/>
  <c r="N9" i="125"/>
  <c r="N26" i="125"/>
  <c r="N29" i="125"/>
  <c r="N50" i="125"/>
  <c r="M65" i="125"/>
  <c r="N24" i="125"/>
  <c r="N48" i="125"/>
  <c r="N21" i="125"/>
  <c r="N22" i="125"/>
  <c r="N62" i="125"/>
  <c r="N64" i="125"/>
  <c r="P23" i="125"/>
  <c r="P46" i="125"/>
  <c r="P47" i="125"/>
  <c r="P60" i="125"/>
  <c r="P63" i="125"/>
  <c r="AE7" i="125"/>
  <c r="AE9" i="125"/>
  <c r="AE26" i="125"/>
  <c r="AE29" i="125"/>
  <c r="AE50" i="125"/>
  <c r="AE5" i="125"/>
  <c r="AE6" i="125"/>
  <c r="AE25" i="125"/>
  <c r="P41" i="125"/>
  <c r="AE49" i="125"/>
  <c r="P58" i="125"/>
  <c r="P61" i="125"/>
  <c r="Z2" i="125"/>
  <c r="L6" i="124" s="1"/>
  <c r="AF5" i="125"/>
  <c r="AE24" i="125"/>
  <c r="AE48" i="125"/>
  <c r="M52" i="125"/>
  <c r="AE23" i="125"/>
  <c r="M27" i="125"/>
  <c r="AE46" i="125"/>
  <c r="AE47" i="125"/>
  <c r="AD74" i="123"/>
  <c r="Z74" i="123"/>
  <c r="Y74" i="123"/>
  <c r="O74" i="123"/>
  <c r="K74" i="123"/>
  <c r="V73" i="123"/>
  <c r="M73" i="123" s="1"/>
  <c r="U73" i="123"/>
  <c r="O73" i="123"/>
  <c r="K73" i="123"/>
  <c r="G73" i="123"/>
  <c r="V72" i="123"/>
  <c r="M72" i="123" s="1"/>
  <c r="U72" i="123"/>
  <c r="O72" i="123"/>
  <c r="K72" i="123"/>
  <c r="G72" i="123"/>
  <c r="V71" i="123"/>
  <c r="M71" i="123" s="1"/>
  <c r="U71" i="123"/>
  <c r="O71" i="123"/>
  <c r="K71" i="123"/>
  <c r="G71" i="123"/>
  <c r="X70" i="123"/>
  <c r="W70" i="123"/>
  <c r="V70" i="123"/>
  <c r="M70" i="123" s="1"/>
  <c r="U70" i="123"/>
  <c r="O70" i="123"/>
  <c r="K70" i="123"/>
  <c r="G70" i="123"/>
  <c r="V69" i="123"/>
  <c r="M69" i="123" s="1"/>
  <c r="U69" i="123"/>
  <c r="O69" i="123"/>
  <c r="K69" i="123"/>
  <c r="G69" i="123"/>
  <c r="V68" i="123"/>
  <c r="M68" i="123" s="1"/>
  <c r="U68" i="123"/>
  <c r="O68" i="123"/>
  <c r="K68" i="123"/>
  <c r="G68" i="123"/>
  <c r="V67" i="123"/>
  <c r="M67" i="123" s="1"/>
  <c r="U67" i="123"/>
  <c r="O67" i="123"/>
  <c r="K67" i="123"/>
  <c r="G67" i="123"/>
  <c r="X66" i="123"/>
  <c r="W66" i="123"/>
  <c r="V66" i="123"/>
  <c r="M66" i="123" s="1"/>
  <c r="O66" i="123"/>
  <c r="K66" i="123"/>
  <c r="G66" i="123"/>
  <c r="AD65" i="123"/>
  <c r="Z65" i="123"/>
  <c r="J19" i="122" s="1"/>
  <c r="Y65" i="123"/>
  <c r="O65" i="123"/>
  <c r="K65" i="123"/>
  <c r="V64" i="123"/>
  <c r="M64" i="123" s="1"/>
  <c r="U64" i="123"/>
  <c r="O64" i="123"/>
  <c r="K64" i="123"/>
  <c r="G64" i="123"/>
  <c r="V63" i="123"/>
  <c r="M63" i="123" s="1"/>
  <c r="U63" i="123"/>
  <c r="O63" i="123"/>
  <c r="K63" i="123"/>
  <c r="G63" i="123"/>
  <c r="V62" i="123"/>
  <c r="M62" i="123" s="1"/>
  <c r="U62" i="123"/>
  <c r="O62" i="123"/>
  <c r="K62" i="123"/>
  <c r="G62" i="123"/>
  <c r="V61" i="123"/>
  <c r="M61" i="123" s="1"/>
  <c r="U61" i="123"/>
  <c r="O61" i="123"/>
  <c r="K61" i="123"/>
  <c r="G61" i="123"/>
  <c r="V60" i="123"/>
  <c r="U60" i="123"/>
  <c r="O60" i="123"/>
  <c r="M60" i="123"/>
  <c r="K60" i="123"/>
  <c r="G60" i="123"/>
  <c r="V59" i="123"/>
  <c r="M59" i="123" s="1"/>
  <c r="O59" i="123"/>
  <c r="K59" i="123"/>
  <c r="G59" i="123"/>
  <c r="AD58" i="123"/>
  <c r="Z58" i="123"/>
  <c r="I19" i="122" s="1"/>
  <c r="Y58" i="123"/>
  <c r="I18" i="122" s="1"/>
  <c r="O58" i="123"/>
  <c r="K58" i="123"/>
  <c r="V57" i="123"/>
  <c r="M57" i="123" s="1"/>
  <c r="N57" i="123" s="1"/>
  <c r="U57" i="123"/>
  <c r="O57" i="123"/>
  <c r="K57" i="123"/>
  <c r="G57" i="123"/>
  <c r="V56" i="123"/>
  <c r="M56" i="123" s="1"/>
  <c r="U56" i="123"/>
  <c r="O56" i="123"/>
  <c r="K56" i="123"/>
  <c r="G56" i="123"/>
  <c r="V55" i="123"/>
  <c r="U55" i="123"/>
  <c r="O55" i="123"/>
  <c r="M55" i="123"/>
  <c r="K55" i="123"/>
  <c r="G55" i="123"/>
  <c r="V54" i="123"/>
  <c r="M54" i="123" s="1"/>
  <c r="U54" i="123"/>
  <c r="O54" i="123"/>
  <c r="K54" i="123"/>
  <c r="G54" i="123"/>
  <c r="V53" i="123"/>
  <c r="M53" i="123" s="1"/>
  <c r="U53" i="123"/>
  <c r="O53" i="123"/>
  <c r="K53" i="123"/>
  <c r="G53" i="123"/>
  <c r="V52" i="123"/>
  <c r="M52" i="123" s="1"/>
  <c r="O52" i="123"/>
  <c r="K52" i="123"/>
  <c r="G52" i="123"/>
  <c r="AD51" i="123"/>
  <c r="Z51" i="123"/>
  <c r="H19" i="122" s="1"/>
  <c r="Y51" i="123"/>
  <c r="H18" i="122" s="1"/>
  <c r="O51" i="123"/>
  <c r="K51" i="123"/>
  <c r="AF50" i="123"/>
  <c r="V50" i="123"/>
  <c r="M50" i="123" s="1"/>
  <c r="N50" i="123" s="1"/>
  <c r="P50" i="123" s="1"/>
  <c r="U50" i="123"/>
  <c r="O50" i="123"/>
  <c r="K50" i="123"/>
  <c r="G50" i="123"/>
  <c r="V49" i="123"/>
  <c r="M49" i="123" s="1"/>
  <c r="AE49" i="123" s="1"/>
  <c r="U49" i="123"/>
  <c r="O49" i="123"/>
  <c r="K49" i="123"/>
  <c r="G49" i="123"/>
  <c r="V48" i="123"/>
  <c r="M48" i="123" s="1"/>
  <c r="U48" i="123"/>
  <c r="O48" i="123"/>
  <c r="K48" i="123"/>
  <c r="G48" i="123"/>
  <c r="X47" i="123"/>
  <c r="W47" i="123"/>
  <c r="V47" i="123"/>
  <c r="M47" i="123" s="1"/>
  <c r="O47" i="123"/>
  <c r="K47" i="123"/>
  <c r="G47" i="123"/>
  <c r="AD46" i="123"/>
  <c r="L21" i="122" s="1"/>
  <c r="Z46" i="123"/>
  <c r="L19" i="122" s="1"/>
  <c r="Y46" i="123"/>
  <c r="O46" i="123"/>
  <c r="K46" i="123"/>
  <c r="V45" i="123"/>
  <c r="M45" i="123" s="1"/>
  <c r="U45" i="123"/>
  <c r="O45" i="123"/>
  <c r="K45" i="123"/>
  <c r="G45" i="123"/>
  <c r="V44" i="123"/>
  <c r="M44" i="123" s="1"/>
  <c r="U44" i="123"/>
  <c r="O44" i="123"/>
  <c r="N44" i="123"/>
  <c r="Q44" i="123" s="1"/>
  <c r="K44" i="123"/>
  <c r="G44" i="123"/>
  <c r="V43" i="123"/>
  <c r="M43" i="123" s="1"/>
  <c r="U43" i="123"/>
  <c r="O43" i="123"/>
  <c r="K43" i="123"/>
  <c r="G43" i="123"/>
  <c r="X42" i="123"/>
  <c r="W42" i="123"/>
  <c r="V42" i="123"/>
  <c r="M42" i="123" s="1"/>
  <c r="N42" i="123" s="1"/>
  <c r="U42" i="123"/>
  <c r="O42" i="123"/>
  <c r="K42" i="123"/>
  <c r="G42" i="123"/>
  <c r="V41" i="123"/>
  <c r="M41" i="123" s="1"/>
  <c r="U41" i="123"/>
  <c r="O41" i="123"/>
  <c r="K41" i="123"/>
  <c r="G41" i="123"/>
  <c r="V40" i="123"/>
  <c r="M40" i="123" s="1"/>
  <c r="U40" i="123"/>
  <c r="O40" i="123"/>
  <c r="N40" i="123"/>
  <c r="K40" i="123"/>
  <c r="G40" i="123"/>
  <c r="V39" i="123"/>
  <c r="M39" i="123" s="1"/>
  <c r="N39" i="123" s="1"/>
  <c r="U39" i="123"/>
  <c r="O39" i="123"/>
  <c r="K39" i="123"/>
  <c r="G39" i="123"/>
  <c r="X38" i="123"/>
  <c r="W38" i="123"/>
  <c r="V38" i="123"/>
  <c r="M38" i="123" s="1"/>
  <c r="O38" i="123"/>
  <c r="K38" i="123"/>
  <c r="G38" i="123"/>
  <c r="AD37" i="123"/>
  <c r="Z37" i="123"/>
  <c r="K19" i="122" s="1"/>
  <c r="Y37" i="123"/>
  <c r="O37" i="123"/>
  <c r="K37" i="123"/>
  <c r="V36" i="123"/>
  <c r="M36" i="123" s="1"/>
  <c r="N36" i="123" s="1"/>
  <c r="U36" i="123"/>
  <c r="O36" i="123"/>
  <c r="K36" i="123"/>
  <c r="G36" i="123"/>
  <c r="V35" i="123"/>
  <c r="M35" i="123" s="1"/>
  <c r="N35" i="123" s="1"/>
  <c r="U35" i="123"/>
  <c r="O35" i="123"/>
  <c r="K35" i="123"/>
  <c r="G35" i="123"/>
  <c r="V34" i="123"/>
  <c r="U34" i="123"/>
  <c r="O34" i="123"/>
  <c r="M34" i="123"/>
  <c r="AF34" i="123" s="1"/>
  <c r="K34" i="123"/>
  <c r="G34" i="123"/>
  <c r="X33" i="123"/>
  <c r="W33" i="123"/>
  <c r="V33" i="123"/>
  <c r="M33" i="123" s="1"/>
  <c r="U33" i="123"/>
  <c r="O33" i="123"/>
  <c r="K33" i="123"/>
  <c r="G33" i="123"/>
  <c r="V32" i="123"/>
  <c r="U32" i="123"/>
  <c r="O32" i="123"/>
  <c r="M32" i="123"/>
  <c r="K32" i="123"/>
  <c r="G32" i="123"/>
  <c r="V31" i="123"/>
  <c r="M31" i="123" s="1"/>
  <c r="U31" i="123"/>
  <c r="O31" i="123"/>
  <c r="K31" i="123"/>
  <c r="G31" i="123"/>
  <c r="V30" i="123"/>
  <c r="M30" i="123" s="1"/>
  <c r="U30" i="123"/>
  <c r="O30" i="123"/>
  <c r="K30" i="123"/>
  <c r="G30" i="123"/>
  <c r="X29" i="123"/>
  <c r="W29" i="123"/>
  <c r="V29" i="123"/>
  <c r="O29" i="123"/>
  <c r="M29" i="123"/>
  <c r="K29" i="123"/>
  <c r="G29" i="123"/>
  <c r="AD28" i="123"/>
  <c r="G21" i="122" s="1"/>
  <c r="Z28" i="123"/>
  <c r="Y28" i="123"/>
  <c r="G18" i="122" s="1"/>
  <c r="O28" i="123"/>
  <c r="K28" i="123"/>
  <c r="G13" i="122" s="1"/>
  <c r="V27" i="123"/>
  <c r="M27" i="123" s="1"/>
  <c r="U27" i="123"/>
  <c r="O27" i="123"/>
  <c r="K27" i="123"/>
  <c r="G27" i="123"/>
  <c r="V26" i="123"/>
  <c r="M26" i="123" s="1"/>
  <c r="U26" i="123"/>
  <c r="O26" i="123"/>
  <c r="K26" i="123"/>
  <c r="G26" i="123"/>
  <c r="V25" i="123"/>
  <c r="M25" i="123" s="1"/>
  <c r="N25" i="123" s="1"/>
  <c r="U25" i="123"/>
  <c r="O25" i="123"/>
  <c r="K25" i="123"/>
  <c r="G25" i="123"/>
  <c r="V24" i="123"/>
  <c r="M24" i="123" s="1"/>
  <c r="U24" i="123"/>
  <c r="O24" i="123"/>
  <c r="K24" i="123"/>
  <c r="G24" i="123"/>
  <c r="AE23" i="123"/>
  <c r="V23" i="123"/>
  <c r="M23" i="123" s="1"/>
  <c r="O23" i="123"/>
  <c r="K23" i="123"/>
  <c r="G23" i="123"/>
  <c r="AD22" i="123"/>
  <c r="F21" i="122" s="1"/>
  <c r="Z22" i="123"/>
  <c r="F19" i="122" s="1"/>
  <c r="Y22" i="123"/>
  <c r="F18" i="122" s="1"/>
  <c r="O22" i="123"/>
  <c r="K22" i="123"/>
  <c r="V21" i="123"/>
  <c r="M21" i="123" s="1"/>
  <c r="U21" i="123"/>
  <c r="O21" i="123"/>
  <c r="N21" i="123"/>
  <c r="K21" i="123"/>
  <c r="G21" i="123"/>
  <c r="X20" i="123"/>
  <c r="W20" i="123"/>
  <c r="V20" i="123"/>
  <c r="M20" i="123" s="1"/>
  <c r="U20" i="123"/>
  <c r="O20" i="123"/>
  <c r="K20" i="123"/>
  <c r="G20" i="123"/>
  <c r="V19" i="123"/>
  <c r="M19" i="123" s="1"/>
  <c r="U19" i="123"/>
  <c r="O19" i="123"/>
  <c r="N19" i="123"/>
  <c r="Q19" i="123" s="1"/>
  <c r="K19" i="123"/>
  <c r="G19" i="123"/>
  <c r="V18" i="123"/>
  <c r="U18" i="123"/>
  <c r="O18" i="123"/>
  <c r="M18" i="123"/>
  <c r="K18" i="123"/>
  <c r="G18" i="123"/>
  <c r="V17" i="123"/>
  <c r="M17" i="123" s="1"/>
  <c r="O17" i="123"/>
  <c r="K17" i="123"/>
  <c r="G17" i="123"/>
  <c r="AD16" i="123"/>
  <c r="Z16" i="123"/>
  <c r="Y16" i="123"/>
  <c r="E18" i="122" s="1"/>
  <c r="O16" i="123"/>
  <c r="K16" i="123"/>
  <c r="V15" i="123"/>
  <c r="M15" i="123" s="1"/>
  <c r="N15" i="123" s="1"/>
  <c r="U15" i="123"/>
  <c r="O15" i="123"/>
  <c r="K15" i="123"/>
  <c r="G15" i="123"/>
  <c r="V14" i="123"/>
  <c r="M14" i="123" s="1"/>
  <c r="N14" i="123" s="1"/>
  <c r="U14" i="123"/>
  <c r="O14" i="123"/>
  <c r="K14" i="123"/>
  <c r="G14" i="123"/>
  <c r="X13" i="123"/>
  <c r="W13" i="123"/>
  <c r="V13" i="123"/>
  <c r="U13" i="123"/>
  <c r="O13" i="123"/>
  <c r="M13" i="123"/>
  <c r="AE13" i="123" s="1"/>
  <c r="K13" i="123"/>
  <c r="G13" i="123"/>
  <c r="V12" i="123"/>
  <c r="O12" i="123"/>
  <c r="M12" i="123"/>
  <c r="N12" i="123" s="1"/>
  <c r="K12" i="123"/>
  <c r="G12" i="123"/>
  <c r="AD11" i="123"/>
  <c r="AD2" i="123" s="1"/>
  <c r="N6" i="122" s="1"/>
  <c r="Z11" i="123"/>
  <c r="D19" i="122" s="1"/>
  <c r="Y11" i="123"/>
  <c r="O11" i="123"/>
  <c r="K11" i="123"/>
  <c r="V10" i="123"/>
  <c r="U10" i="123"/>
  <c r="O10" i="123"/>
  <c r="M10" i="123"/>
  <c r="AF10" i="123" s="1"/>
  <c r="K10" i="123"/>
  <c r="G10" i="123"/>
  <c r="V9" i="123"/>
  <c r="M9" i="123" s="1"/>
  <c r="U9" i="123"/>
  <c r="O9" i="123"/>
  <c r="K9" i="123"/>
  <c r="G9" i="123"/>
  <c r="X8" i="123"/>
  <c r="W8" i="123"/>
  <c r="V8" i="123"/>
  <c r="M8" i="123" s="1"/>
  <c r="AF8" i="123" s="1"/>
  <c r="U8" i="123"/>
  <c r="O8" i="123"/>
  <c r="K8" i="123"/>
  <c r="G8" i="123"/>
  <c r="V7" i="123"/>
  <c r="U7" i="123"/>
  <c r="O7" i="123"/>
  <c r="M7" i="123"/>
  <c r="N7" i="123" s="1"/>
  <c r="K7" i="123"/>
  <c r="G7" i="123"/>
  <c r="AF6" i="123"/>
  <c r="V6" i="123"/>
  <c r="M6" i="123" s="1"/>
  <c r="U6" i="123"/>
  <c r="O6" i="123"/>
  <c r="K6" i="123"/>
  <c r="G6" i="123"/>
  <c r="V5" i="123"/>
  <c r="M5" i="123" s="1"/>
  <c r="O5" i="123"/>
  <c r="K5" i="123"/>
  <c r="G5" i="123"/>
  <c r="H2" i="123"/>
  <c r="H1" i="123"/>
  <c r="D1" i="123"/>
  <c r="M22" i="122"/>
  <c r="L22" i="122"/>
  <c r="K22" i="122"/>
  <c r="J22" i="122"/>
  <c r="I22" i="122"/>
  <c r="H22" i="122"/>
  <c r="G22" i="122"/>
  <c r="F22" i="122"/>
  <c r="E22" i="122"/>
  <c r="D22" i="122"/>
  <c r="M21" i="122"/>
  <c r="K21" i="122"/>
  <c r="J21" i="122"/>
  <c r="I21" i="122"/>
  <c r="H21" i="122"/>
  <c r="E21" i="122"/>
  <c r="M20" i="122"/>
  <c r="L20" i="122"/>
  <c r="K20" i="122"/>
  <c r="J20" i="122"/>
  <c r="I20" i="122"/>
  <c r="H20" i="122"/>
  <c r="G20" i="122"/>
  <c r="F20" i="122"/>
  <c r="E20" i="122"/>
  <c r="D20" i="122"/>
  <c r="M19" i="122"/>
  <c r="G19" i="122"/>
  <c r="E19" i="122"/>
  <c r="M18" i="122"/>
  <c r="L18" i="122"/>
  <c r="K18" i="122"/>
  <c r="J18" i="122"/>
  <c r="D18" i="122"/>
  <c r="M17" i="122"/>
  <c r="L17" i="122"/>
  <c r="K17" i="122"/>
  <c r="J17" i="122"/>
  <c r="I17" i="122"/>
  <c r="H17" i="122"/>
  <c r="G17" i="122"/>
  <c r="F17" i="122"/>
  <c r="E17" i="122"/>
  <c r="D17" i="122"/>
  <c r="M16" i="122"/>
  <c r="L16" i="122"/>
  <c r="K16" i="122"/>
  <c r="J16" i="122"/>
  <c r="I16" i="122"/>
  <c r="H16" i="122"/>
  <c r="G16" i="122"/>
  <c r="F16" i="122"/>
  <c r="E16" i="122"/>
  <c r="D16" i="122"/>
  <c r="M13" i="122"/>
  <c r="L13" i="122"/>
  <c r="K13" i="122"/>
  <c r="I6" i="122" s="1"/>
  <c r="J13" i="122"/>
  <c r="I13" i="122"/>
  <c r="H13" i="122"/>
  <c r="F13" i="122"/>
  <c r="E13" i="122"/>
  <c r="F6" i="122" s="1"/>
  <c r="D13" i="122"/>
  <c r="M6" i="122"/>
  <c r="F3" i="122"/>
  <c r="C3" i="122"/>
  <c r="AE73" i="123" l="1"/>
  <c r="AF73" i="123"/>
  <c r="N54" i="123"/>
  <c r="AE54" i="123"/>
  <c r="N9" i="123"/>
  <c r="AE9" i="123"/>
  <c r="N70" i="123"/>
  <c r="AF70" i="123"/>
  <c r="AE70" i="123"/>
  <c r="AF33" i="123"/>
  <c r="AE33" i="123"/>
  <c r="N33" i="123"/>
  <c r="N26" i="123"/>
  <c r="AF26" i="123"/>
  <c r="AE26" i="123"/>
  <c r="N31" i="123"/>
  <c r="AE31" i="123"/>
  <c r="N68" i="123"/>
  <c r="AE68" i="123"/>
  <c r="AF68" i="123"/>
  <c r="N72" i="123"/>
  <c r="AE72" i="123"/>
  <c r="P42" i="123"/>
  <c r="Q42" i="123"/>
  <c r="P25" i="125"/>
  <c r="M74" i="123"/>
  <c r="AE7" i="123"/>
  <c r="G6" i="122"/>
  <c r="AF13" i="123"/>
  <c r="AE66" i="123"/>
  <c r="D21" i="122"/>
  <c r="M58" i="123"/>
  <c r="F1" i="123"/>
  <c r="P6" i="125"/>
  <c r="P44" i="125"/>
  <c r="P5" i="125"/>
  <c r="M11" i="123"/>
  <c r="P21" i="123"/>
  <c r="Q21" i="123"/>
  <c r="Q50" i="123"/>
  <c r="AF10" i="125"/>
  <c r="AG5" i="125" s="1"/>
  <c r="P25" i="123"/>
  <c r="AE25" i="123"/>
  <c r="AE50" i="123"/>
  <c r="P49" i="125"/>
  <c r="G8" i="132"/>
  <c r="F8" i="132"/>
  <c r="E8" i="132"/>
  <c r="G7" i="130"/>
  <c r="F7" i="130"/>
  <c r="E7" i="130"/>
  <c r="D15" i="130"/>
  <c r="K15" i="130"/>
  <c r="I8" i="130" s="1"/>
  <c r="I7" i="130"/>
  <c r="P39" i="127"/>
  <c r="K14" i="126"/>
  <c r="Q39" i="127"/>
  <c r="R33" i="127" s="1"/>
  <c r="P14" i="127"/>
  <c r="E14" i="126"/>
  <c r="E15" i="126" s="1"/>
  <c r="Q14" i="127"/>
  <c r="R10" i="127" s="1"/>
  <c r="Q51" i="127"/>
  <c r="R46" i="127" s="1"/>
  <c r="P51" i="127"/>
  <c r="H14" i="126"/>
  <c r="H15" i="126" s="1"/>
  <c r="Q24" i="127"/>
  <c r="R15" i="127" s="1"/>
  <c r="P24" i="127"/>
  <c r="F14" i="126"/>
  <c r="F15" i="126" s="1"/>
  <c r="Q68" i="127"/>
  <c r="R62" i="127" s="1"/>
  <c r="P68" i="127"/>
  <c r="J14" i="126"/>
  <c r="J15" i="126" s="1"/>
  <c r="D15" i="126"/>
  <c r="Q61" i="127"/>
  <c r="R52" i="127" s="1"/>
  <c r="P61" i="127"/>
  <c r="I14" i="126"/>
  <c r="I15" i="126" s="1"/>
  <c r="Q45" i="127"/>
  <c r="R40" i="127" s="1"/>
  <c r="P45" i="127"/>
  <c r="L14" i="126"/>
  <c r="L15" i="126" s="1"/>
  <c r="Q76" i="127"/>
  <c r="R69" i="127" s="1"/>
  <c r="P76" i="127"/>
  <c r="M14" i="126"/>
  <c r="M15" i="126" s="1"/>
  <c r="Q32" i="127"/>
  <c r="R25" i="127" s="1"/>
  <c r="G14" i="126"/>
  <c r="G15" i="126" s="1"/>
  <c r="P32" i="127"/>
  <c r="D2" i="127"/>
  <c r="P17" i="125"/>
  <c r="Q17" i="125"/>
  <c r="Q56" i="125"/>
  <c r="P56" i="125"/>
  <c r="Q64" i="125"/>
  <c r="P64" i="125"/>
  <c r="N35" i="125"/>
  <c r="AF35" i="125"/>
  <c r="AG28" i="125" s="1"/>
  <c r="AE35" i="125"/>
  <c r="Q8" i="125"/>
  <c r="P8" i="125"/>
  <c r="P16" i="125"/>
  <c r="Q16" i="125"/>
  <c r="Q9" i="125"/>
  <c r="P9" i="125"/>
  <c r="Q19" i="125"/>
  <c r="P19" i="125"/>
  <c r="N52" i="125"/>
  <c r="AF52" i="125"/>
  <c r="AG46" i="125" s="1"/>
  <c r="AE52" i="125"/>
  <c r="Q62" i="125"/>
  <c r="P62" i="125"/>
  <c r="P38" i="125"/>
  <c r="Q38" i="125"/>
  <c r="N15" i="125"/>
  <c r="AF15" i="125"/>
  <c r="AG11" i="125" s="1"/>
  <c r="AE15" i="125"/>
  <c r="N27" i="125"/>
  <c r="AF27" i="125"/>
  <c r="AG21" i="125" s="1"/>
  <c r="AE27" i="125"/>
  <c r="Q22" i="125"/>
  <c r="P22" i="125"/>
  <c r="Q28" i="125"/>
  <c r="P28" i="125"/>
  <c r="Q14" i="125"/>
  <c r="P14" i="125"/>
  <c r="Q37" i="125"/>
  <c r="P37" i="125"/>
  <c r="Q11" i="125"/>
  <c r="P11" i="125"/>
  <c r="Q48" i="125"/>
  <c r="P48" i="125"/>
  <c r="Q39" i="125"/>
  <c r="P39" i="125"/>
  <c r="N40" i="125"/>
  <c r="AF40" i="125"/>
  <c r="AG36" i="125" s="1"/>
  <c r="AE40" i="125"/>
  <c r="Q7" i="125"/>
  <c r="P7" i="125"/>
  <c r="AE59" i="125"/>
  <c r="N59" i="125"/>
  <c r="AF59" i="125"/>
  <c r="AG53" i="125" s="1"/>
  <c r="Q24" i="125"/>
  <c r="P24" i="125"/>
  <c r="Q30" i="125"/>
  <c r="P30" i="125"/>
  <c r="Q10" i="125"/>
  <c r="R5" i="125" s="1"/>
  <c r="P10" i="125"/>
  <c r="D14" i="124"/>
  <c r="Q33" i="125"/>
  <c r="P33" i="125"/>
  <c r="Q36" i="125"/>
  <c r="P36" i="125"/>
  <c r="Q12" i="125"/>
  <c r="P12" i="125"/>
  <c r="P55" i="125"/>
  <c r="Q55" i="125"/>
  <c r="N20" i="125"/>
  <c r="AF20" i="125"/>
  <c r="AG16" i="125" s="1"/>
  <c r="AE20" i="125"/>
  <c r="AF65" i="125"/>
  <c r="AG60" i="125" s="1"/>
  <c r="AE65" i="125"/>
  <c r="N65" i="125"/>
  <c r="Q51" i="125"/>
  <c r="P51" i="125"/>
  <c r="AE45" i="125"/>
  <c r="N45" i="125"/>
  <c r="AF45" i="125"/>
  <c r="AG41" i="125" s="1"/>
  <c r="Q53" i="125"/>
  <c r="P53" i="125"/>
  <c r="Q50" i="125"/>
  <c r="P50" i="125"/>
  <c r="Q42" i="125"/>
  <c r="P42" i="125"/>
  <c r="Q18" i="125"/>
  <c r="P18" i="125"/>
  <c r="Q29" i="125"/>
  <c r="P29" i="125"/>
  <c r="Q34" i="125"/>
  <c r="P34" i="125"/>
  <c r="Q54" i="125"/>
  <c r="P54" i="125"/>
  <c r="Q31" i="125"/>
  <c r="P31" i="125"/>
  <c r="Q13" i="125"/>
  <c r="P13" i="125"/>
  <c r="Q32" i="125"/>
  <c r="P32" i="125"/>
  <c r="Q21" i="125"/>
  <c r="P21" i="125"/>
  <c r="Q57" i="125"/>
  <c r="P57" i="125"/>
  <c r="Q26" i="125"/>
  <c r="P26" i="125"/>
  <c r="Q43" i="125"/>
  <c r="P43" i="125"/>
  <c r="Q12" i="123"/>
  <c r="P12" i="123"/>
  <c r="AF58" i="123"/>
  <c r="AG52" i="123" s="1"/>
  <c r="AE58" i="123"/>
  <c r="N58" i="123"/>
  <c r="AF74" i="123"/>
  <c r="AG66" i="123" s="1"/>
  <c r="AE74" i="123"/>
  <c r="N74" i="123"/>
  <c r="AF11" i="123"/>
  <c r="AG5" i="123" s="1"/>
  <c r="AE11" i="123"/>
  <c r="N11" i="123"/>
  <c r="AF5" i="123"/>
  <c r="AF41" i="123"/>
  <c r="AE41" i="123"/>
  <c r="N41" i="123"/>
  <c r="AF52" i="123"/>
  <c r="AF56" i="123"/>
  <c r="AE56" i="123"/>
  <c r="Q70" i="123"/>
  <c r="P70" i="123"/>
  <c r="N71" i="123"/>
  <c r="AE71" i="123"/>
  <c r="M22" i="123"/>
  <c r="AF17" i="123"/>
  <c r="AE17" i="123"/>
  <c r="N17" i="123"/>
  <c r="AF21" i="123"/>
  <c r="AE21" i="123"/>
  <c r="N23" i="123"/>
  <c r="AF23" i="123"/>
  <c r="Q25" i="123"/>
  <c r="AF38" i="123"/>
  <c r="AE38" i="123"/>
  <c r="M46" i="123"/>
  <c r="N38" i="123"/>
  <c r="AF42" i="123"/>
  <c r="AE42" i="123"/>
  <c r="N45" i="123"/>
  <c r="AF45" i="123"/>
  <c r="AE45" i="123"/>
  <c r="N47" i="123"/>
  <c r="M51" i="123"/>
  <c r="AF47" i="123"/>
  <c r="AE47" i="123"/>
  <c r="N56" i="123"/>
  <c r="AF71" i="123"/>
  <c r="AF12" i="123"/>
  <c r="AE12" i="123"/>
  <c r="E6" i="122"/>
  <c r="AF14" i="123"/>
  <c r="AE14" i="123"/>
  <c r="N20" i="123"/>
  <c r="AF20" i="123"/>
  <c r="AE20" i="123"/>
  <c r="AE32" i="123"/>
  <c r="N32" i="123"/>
  <c r="AF35" i="123"/>
  <c r="AE35" i="123"/>
  <c r="N49" i="123"/>
  <c r="AF49" i="123"/>
  <c r="AF60" i="123"/>
  <c r="AE60" i="123"/>
  <c r="N60" i="123"/>
  <c r="AF61" i="123"/>
  <c r="AE61" i="123"/>
  <c r="N63" i="123"/>
  <c r="AF63" i="123"/>
  <c r="AE63" i="123"/>
  <c r="N5" i="123"/>
  <c r="AE5" i="123"/>
  <c r="Q15" i="123"/>
  <c r="P15" i="123"/>
  <c r="Q33" i="123"/>
  <c r="P33" i="123"/>
  <c r="Q36" i="123"/>
  <c r="P36" i="123"/>
  <c r="Q39" i="123"/>
  <c r="P39" i="123"/>
  <c r="N52" i="123"/>
  <c r="AE52" i="123"/>
  <c r="Q14" i="123"/>
  <c r="P14" i="123"/>
  <c r="M16" i="123"/>
  <c r="N30" i="123"/>
  <c r="AE30" i="123"/>
  <c r="Q35" i="123"/>
  <c r="P35" i="123"/>
  <c r="M37" i="123"/>
  <c r="P44" i="123"/>
  <c r="Q72" i="123"/>
  <c r="P72" i="123"/>
  <c r="N8" i="123"/>
  <c r="AE8" i="123"/>
  <c r="AF25" i="123"/>
  <c r="N29" i="123"/>
  <c r="AE29" i="123"/>
  <c r="AF30" i="123"/>
  <c r="Q40" i="123"/>
  <c r="AE55" i="123"/>
  <c r="N55" i="123"/>
  <c r="Q9" i="123"/>
  <c r="P9" i="123"/>
  <c r="Z2" i="123"/>
  <c r="L6" i="122" s="1"/>
  <c r="N6" i="123"/>
  <c r="AE6" i="123"/>
  <c r="Y2" i="123"/>
  <c r="K6" i="122" s="1"/>
  <c r="N13" i="123"/>
  <c r="P19" i="123"/>
  <c r="N27" i="123"/>
  <c r="AE27" i="123"/>
  <c r="AF43" i="123"/>
  <c r="AE43" i="123"/>
  <c r="N43" i="123"/>
  <c r="N53" i="123"/>
  <c r="AE53" i="123"/>
  <c r="N67" i="123"/>
  <c r="AF67" i="123"/>
  <c r="AF27" i="123"/>
  <c r="AF32" i="123"/>
  <c r="P40" i="123"/>
  <c r="AF44" i="123"/>
  <c r="AE44" i="123"/>
  <c r="AF53" i="123"/>
  <c r="AF57" i="123"/>
  <c r="AE57" i="123"/>
  <c r="AE67" i="123"/>
  <c r="AF18" i="123"/>
  <c r="AE18" i="123"/>
  <c r="N18" i="123"/>
  <c r="N24" i="123"/>
  <c r="AF24" i="123"/>
  <c r="Q26" i="123"/>
  <c r="P26" i="123"/>
  <c r="Q31" i="123"/>
  <c r="P31" i="123"/>
  <c r="AE34" i="123"/>
  <c r="N34" i="123"/>
  <c r="Q57" i="123"/>
  <c r="P57" i="123"/>
  <c r="N69" i="123"/>
  <c r="AE69" i="123"/>
  <c r="AE10" i="123"/>
  <c r="N10" i="123"/>
  <c r="AF19" i="123"/>
  <c r="AE19" i="123"/>
  <c r="AE24" i="123"/>
  <c r="M28" i="123"/>
  <c r="AF40" i="123"/>
  <c r="AE40" i="123"/>
  <c r="N48" i="123"/>
  <c r="AF48" i="123"/>
  <c r="AE48" i="123"/>
  <c r="AF55" i="123"/>
  <c r="AF59" i="123"/>
  <c r="AE59" i="123"/>
  <c r="M65" i="123"/>
  <c r="N59" i="123"/>
  <c r="N62" i="123"/>
  <c r="AF62" i="123"/>
  <c r="AE62" i="123"/>
  <c r="N64" i="123"/>
  <c r="AF64" i="123"/>
  <c r="N66" i="123"/>
  <c r="AF66" i="123"/>
  <c r="AF69" i="123"/>
  <c r="Q7" i="123"/>
  <c r="P7" i="123"/>
  <c r="AF15" i="123"/>
  <c r="AE15" i="123"/>
  <c r="AF29" i="123"/>
  <c r="AF36" i="123"/>
  <c r="AE36" i="123"/>
  <c r="AF39" i="123"/>
  <c r="AE39" i="123"/>
  <c r="Q54" i="123"/>
  <c r="P54" i="123"/>
  <c r="N61" i="123"/>
  <c r="AE64" i="123"/>
  <c r="Q68" i="123"/>
  <c r="P68" i="123"/>
  <c r="AF7" i="123"/>
  <c r="AF9" i="123"/>
  <c r="AF31" i="123"/>
  <c r="AF54" i="123"/>
  <c r="AF72" i="123"/>
  <c r="N73" i="123"/>
  <c r="AD63" i="121"/>
  <c r="M21" i="120" s="1"/>
  <c r="Z63" i="121"/>
  <c r="Y63" i="121"/>
  <c r="O63" i="121"/>
  <c r="K63" i="121"/>
  <c r="AF62" i="121"/>
  <c r="V62" i="121"/>
  <c r="U62" i="121"/>
  <c r="O62" i="121"/>
  <c r="M62" i="121"/>
  <c r="AE62" i="121" s="1"/>
  <c r="K62" i="121"/>
  <c r="G62" i="121"/>
  <c r="AF61" i="121"/>
  <c r="AE61" i="121"/>
  <c r="V61" i="121"/>
  <c r="U61" i="121"/>
  <c r="O61" i="121"/>
  <c r="M61" i="121"/>
  <c r="N61" i="121" s="1"/>
  <c r="K61" i="121"/>
  <c r="G61" i="121"/>
  <c r="V60" i="121"/>
  <c r="M60" i="121" s="1"/>
  <c r="U60" i="121"/>
  <c r="O60" i="121"/>
  <c r="K60" i="121"/>
  <c r="G60" i="121"/>
  <c r="V59" i="121"/>
  <c r="M59" i="121" s="1"/>
  <c r="U59" i="121"/>
  <c r="O59" i="121"/>
  <c r="K59" i="121"/>
  <c r="G59" i="121"/>
  <c r="AE58" i="121"/>
  <c r="X58" i="121"/>
  <c r="W58" i="121"/>
  <c r="V58" i="121"/>
  <c r="O58" i="121"/>
  <c r="M58" i="121"/>
  <c r="N58" i="121" s="1"/>
  <c r="K58" i="121"/>
  <c r="G58" i="121"/>
  <c r="AD57" i="121"/>
  <c r="Z57" i="121"/>
  <c r="Y57" i="121"/>
  <c r="O57" i="121"/>
  <c r="K57" i="121"/>
  <c r="V56" i="121"/>
  <c r="M56" i="121" s="1"/>
  <c r="U56" i="121"/>
  <c r="O56" i="121"/>
  <c r="K56" i="121"/>
  <c r="G56" i="121"/>
  <c r="V55" i="121"/>
  <c r="M55" i="121" s="1"/>
  <c r="U55" i="121"/>
  <c r="O55" i="121"/>
  <c r="K55" i="121"/>
  <c r="G55" i="121"/>
  <c r="V54" i="121"/>
  <c r="U54" i="121"/>
  <c r="O54" i="121"/>
  <c r="M54" i="121"/>
  <c r="N54" i="121" s="1"/>
  <c r="K54" i="121"/>
  <c r="G54" i="121"/>
  <c r="V53" i="121"/>
  <c r="M53" i="121" s="1"/>
  <c r="U53" i="121"/>
  <c r="O53" i="121"/>
  <c r="K53" i="121"/>
  <c r="G53" i="121"/>
  <c r="V52" i="121"/>
  <c r="M52" i="121" s="1"/>
  <c r="U52" i="121"/>
  <c r="O52" i="121"/>
  <c r="K52" i="121"/>
  <c r="G52" i="121"/>
  <c r="V51" i="121"/>
  <c r="U51" i="121"/>
  <c r="O51" i="121"/>
  <c r="N51" i="121"/>
  <c r="Q51" i="121" s="1"/>
  <c r="M51" i="121"/>
  <c r="AF51" i="121" s="1"/>
  <c r="K51" i="121"/>
  <c r="G51" i="121"/>
  <c r="V50" i="121"/>
  <c r="O50" i="121"/>
  <c r="N50" i="121"/>
  <c r="Q50" i="121" s="1"/>
  <c r="M50" i="121"/>
  <c r="AF50" i="121" s="1"/>
  <c r="K50" i="121"/>
  <c r="G50" i="121"/>
  <c r="AD49" i="121"/>
  <c r="Z49" i="121"/>
  <c r="Y49" i="121"/>
  <c r="O49" i="121"/>
  <c r="K49" i="121"/>
  <c r="V48" i="121"/>
  <c r="U48" i="121"/>
  <c r="O48" i="121"/>
  <c r="M48" i="121"/>
  <c r="AF48" i="121" s="1"/>
  <c r="K48" i="121"/>
  <c r="G48" i="121"/>
  <c r="V47" i="121"/>
  <c r="M47" i="121" s="1"/>
  <c r="U47" i="121"/>
  <c r="O47" i="121"/>
  <c r="K47" i="121"/>
  <c r="G47" i="121"/>
  <c r="AF46" i="121"/>
  <c r="V46" i="121"/>
  <c r="U46" i="121"/>
  <c r="O46" i="121"/>
  <c r="M46" i="121"/>
  <c r="AE46" i="121" s="1"/>
  <c r="K46" i="121"/>
  <c r="G46" i="121"/>
  <c r="AF45" i="121"/>
  <c r="AE45" i="121"/>
  <c r="V45" i="121"/>
  <c r="U45" i="121"/>
  <c r="O45" i="121"/>
  <c r="M45" i="121"/>
  <c r="N45" i="121" s="1"/>
  <c r="K45" i="121"/>
  <c r="G45" i="121"/>
  <c r="V44" i="121"/>
  <c r="M44" i="121" s="1"/>
  <c r="U44" i="121"/>
  <c r="O44" i="121"/>
  <c r="K44" i="121"/>
  <c r="G44" i="121"/>
  <c r="V43" i="121"/>
  <c r="M43" i="121" s="1"/>
  <c r="O43" i="121"/>
  <c r="K43" i="121"/>
  <c r="G43" i="121"/>
  <c r="AD42" i="121"/>
  <c r="Z42" i="121"/>
  <c r="H19" i="120" s="1"/>
  <c r="Y42" i="121"/>
  <c r="O42" i="121"/>
  <c r="K42" i="121"/>
  <c r="V41" i="121"/>
  <c r="M41" i="121" s="1"/>
  <c r="U41" i="121"/>
  <c r="O41" i="121"/>
  <c r="K41" i="121"/>
  <c r="G41" i="121"/>
  <c r="V40" i="121"/>
  <c r="U40" i="121"/>
  <c r="O40" i="121"/>
  <c r="M40" i="121"/>
  <c r="N40" i="121" s="1"/>
  <c r="K40" i="121"/>
  <c r="G40" i="121"/>
  <c r="V39" i="121"/>
  <c r="M39" i="121" s="1"/>
  <c r="U39" i="121"/>
  <c r="O39" i="121"/>
  <c r="K39" i="121"/>
  <c r="G39" i="121"/>
  <c r="X38" i="121"/>
  <c r="W38" i="121"/>
  <c r="V38" i="121"/>
  <c r="M38" i="121" s="1"/>
  <c r="O38" i="121"/>
  <c r="K38" i="121"/>
  <c r="G38" i="121"/>
  <c r="AD37" i="121"/>
  <c r="Z37" i="121"/>
  <c r="L19" i="120" s="1"/>
  <c r="Y37" i="121"/>
  <c r="L18" i="120" s="1"/>
  <c r="O37" i="121"/>
  <c r="K37" i="121"/>
  <c r="V36" i="121"/>
  <c r="M36" i="121" s="1"/>
  <c r="U36" i="121"/>
  <c r="O36" i="121"/>
  <c r="K36" i="121"/>
  <c r="G36" i="121"/>
  <c r="V35" i="121"/>
  <c r="M35" i="121" s="1"/>
  <c r="U35" i="121"/>
  <c r="O35" i="121"/>
  <c r="K35" i="121"/>
  <c r="G35" i="121"/>
  <c r="V34" i="121"/>
  <c r="U34" i="121"/>
  <c r="O34" i="121"/>
  <c r="N34" i="121"/>
  <c r="Q34" i="121" s="1"/>
  <c r="M34" i="121"/>
  <c r="AF34" i="121" s="1"/>
  <c r="K34" i="121"/>
  <c r="G34" i="121"/>
  <c r="V33" i="121"/>
  <c r="U33" i="121"/>
  <c r="O33" i="121"/>
  <c r="N33" i="121"/>
  <c r="Q33" i="121" s="1"/>
  <c r="M33" i="121"/>
  <c r="AF33" i="121" s="1"/>
  <c r="K33" i="121"/>
  <c r="G33" i="121"/>
  <c r="X32" i="121"/>
  <c r="W32" i="121"/>
  <c r="V32" i="121"/>
  <c r="M32" i="121" s="1"/>
  <c r="O32" i="121"/>
  <c r="K32" i="121"/>
  <c r="G32" i="121"/>
  <c r="AD31" i="121"/>
  <c r="Z31" i="121"/>
  <c r="Y31" i="121"/>
  <c r="O31" i="121"/>
  <c r="K31" i="121"/>
  <c r="V30" i="121"/>
  <c r="U30" i="121"/>
  <c r="O30" i="121"/>
  <c r="N30" i="121"/>
  <c r="Q30" i="121" s="1"/>
  <c r="M30" i="121"/>
  <c r="AF30" i="121" s="1"/>
  <c r="K30" i="121"/>
  <c r="G30" i="121"/>
  <c r="V29" i="121"/>
  <c r="U29" i="121"/>
  <c r="O29" i="121"/>
  <c r="M29" i="121"/>
  <c r="AF29" i="121" s="1"/>
  <c r="K29" i="121"/>
  <c r="G29" i="121"/>
  <c r="V28" i="121"/>
  <c r="M28" i="121" s="1"/>
  <c r="U28" i="121"/>
  <c r="O28" i="121"/>
  <c r="K28" i="121"/>
  <c r="G28" i="121"/>
  <c r="V27" i="121"/>
  <c r="U27" i="121"/>
  <c r="O27" i="121"/>
  <c r="M27" i="121"/>
  <c r="AE27" i="121" s="1"/>
  <c r="K27" i="121"/>
  <c r="G27" i="121"/>
  <c r="X26" i="121"/>
  <c r="W26" i="121"/>
  <c r="V26" i="121"/>
  <c r="O26" i="121"/>
  <c r="M26" i="121"/>
  <c r="K26" i="121"/>
  <c r="G26" i="121"/>
  <c r="AD25" i="121"/>
  <c r="G21" i="120" s="1"/>
  <c r="Z25" i="121"/>
  <c r="Y25" i="121"/>
  <c r="O25" i="121"/>
  <c r="K25" i="121"/>
  <c r="V24" i="121"/>
  <c r="U24" i="121"/>
  <c r="O24" i="121"/>
  <c r="M24" i="121"/>
  <c r="AE24" i="121" s="1"/>
  <c r="K24" i="121"/>
  <c r="G24" i="121"/>
  <c r="AF23" i="121"/>
  <c r="AE23" i="121"/>
  <c r="V23" i="121"/>
  <c r="U23" i="121"/>
  <c r="O23" i="121"/>
  <c r="M23" i="121"/>
  <c r="N23" i="121" s="1"/>
  <c r="K23" i="121"/>
  <c r="G23" i="121"/>
  <c r="V22" i="121"/>
  <c r="M22" i="121" s="1"/>
  <c r="U22" i="121"/>
  <c r="O22" i="121"/>
  <c r="K22" i="121"/>
  <c r="G22" i="121"/>
  <c r="V21" i="121"/>
  <c r="M21" i="121" s="1"/>
  <c r="U21" i="121"/>
  <c r="O21" i="121"/>
  <c r="K21" i="121"/>
  <c r="G21" i="121"/>
  <c r="V20" i="121"/>
  <c r="M20" i="121" s="1"/>
  <c r="O20" i="121"/>
  <c r="K20" i="121"/>
  <c r="G20" i="121"/>
  <c r="AD19" i="121"/>
  <c r="F21" i="120" s="1"/>
  <c r="Z19" i="121"/>
  <c r="Y19" i="121"/>
  <c r="F18" i="120" s="1"/>
  <c r="O19" i="121"/>
  <c r="K19" i="121"/>
  <c r="V18" i="121"/>
  <c r="U18" i="121"/>
  <c r="O18" i="121"/>
  <c r="M18" i="121"/>
  <c r="N18" i="121" s="1"/>
  <c r="K18" i="121"/>
  <c r="G18" i="121"/>
  <c r="V17" i="121"/>
  <c r="M17" i="121" s="1"/>
  <c r="U17" i="121"/>
  <c r="O17" i="121"/>
  <c r="K17" i="121"/>
  <c r="G17" i="121"/>
  <c r="V16" i="121"/>
  <c r="M16" i="121" s="1"/>
  <c r="U16" i="121"/>
  <c r="O16" i="121"/>
  <c r="K16" i="121"/>
  <c r="G16" i="121"/>
  <c r="V15" i="121"/>
  <c r="M15" i="121" s="1"/>
  <c r="O15" i="121"/>
  <c r="K15" i="121"/>
  <c r="G15" i="121"/>
  <c r="AD14" i="121"/>
  <c r="Z14" i="121"/>
  <c r="Y14" i="121"/>
  <c r="O14" i="121"/>
  <c r="K14" i="121"/>
  <c r="V13" i="121"/>
  <c r="U13" i="121"/>
  <c r="O13" i="121"/>
  <c r="M13" i="121"/>
  <c r="AF13" i="121" s="1"/>
  <c r="K13" i="121"/>
  <c r="G13" i="121"/>
  <c r="AE12" i="121"/>
  <c r="X12" i="121"/>
  <c r="W12" i="121"/>
  <c r="V12" i="121"/>
  <c r="U12" i="121"/>
  <c r="O12" i="121"/>
  <c r="M12" i="121"/>
  <c r="AF12" i="121" s="1"/>
  <c r="K12" i="121"/>
  <c r="G12" i="121"/>
  <c r="V11" i="121"/>
  <c r="O11" i="121"/>
  <c r="N11" i="121"/>
  <c r="Q11" i="121" s="1"/>
  <c r="M11" i="121"/>
  <c r="M14" i="121" s="1"/>
  <c r="K11" i="121"/>
  <c r="G11" i="121"/>
  <c r="AD10" i="121"/>
  <c r="Z10" i="121"/>
  <c r="Z2" i="121" s="1"/>
  <c r="L6" i="120" s="1"/>
  <c r="Y10" i="121"/>
  <c r="Y2" i="121" s="1"/>
  <c r="K6" i="120" s="1"/>
  <c r="O10" i="121"/>
  <c r="K10" i="121"/>
  <c r="V9" i="121"/>
  <c r="U9" i="121"/>
  <c r="O9" i="121"/>
  <c r="M9" i="121"/>
  <c r="AF9" i="121" s="1"/>
  <c r="K9" i="121"/>
  <c r="G9" i="121"/>
  <c r="X8" i="121"/>
  <c r="W8" i="121"/>
  <c r="V8" i="121"/>
  <c r="U8" i="121"/>
  <c r="O8" i="121"/>
  <c r="M8" i="121"/>
  <c r="AF8" i="121" s="1"/>
  <c r="K8" i="121"/>
  <c r="G8" i="121"/>
  <c r="V7" i="121"/>
  <c r="U7" i="121"/>
  <c r="O7" i="121"/>
  <c r="M7" i="121"/>
  <c r="AF7" i="121" s="1"/>
  <c r="K7" i="121"/>
  <c r="G7" i="121"/>
  <c r="V6" i="121"/>
  <c r="M6" i="121" s="1"/>
  <c r="U6" i="121"/>
  <c r="O6" i="121"/>
  <c r="K6" i="121"/>
  <c r="G6" i="121"/>
  <c r="V5" i="121"/>
  <c r="M5" i="121" s="1"/>
  <c r="O5" i="121"/>
  <c r="K5" i="121"/>
  <c r="G5" i="121"/>
  <c r="F1" i="121" s="1"/>
  <c r="H2" i="121"/>
  <c r="H1" i="121"/>
  <c r="D1" i="121"/>
  <c r="M22" i="120"/>
  <c r="L22" i="120"/>
  <c r="K22" i="120"/>
  <c r="J22" i="120"/>
  <c r="I22" i="120"/>
  <c r="H22" i="120"/>
  <c r="G22" i="120"/>
  <c r="F22" i="120"/>
  <c r="E22" i="120"/>
  <c r="D22" i="120"/>
  <c r="L21" i="120"/>
  <c r="K21" i="120"/>
  <c r="J21" i="120"/>
  <c r="I21" i="120"/>
  <c r="H21" i="120"/>
  <c r="E21" i="120"/>
  <c r="D21" i="120"/>
  <c r="M20" i="120"/>
  <c r="L20" i="120"/>
  <c r="K20" i="120"/>
  <c r="J20" i="120"/>
  <c r="I20" i="120"/>
  <c r="H20" i="120"/>
  <c r="G20" i="120"/>
  <c r="F20" i="120"/>
  <c r="E20" i="120"/>
  <c r="D20" i="120"/>
  <c r="M19" i="120"/>
  <c r="K19" i="120"/>
  <c r="J19" i="120"/>
  <c r="I19" i="120"/>
  <c r="G19" i="120"/>
  <c r="F19" i="120"/>
  <c r="E19" i="120"/>
  <c r="D19" i="120"/>
  <c r="M18" i="120"/>
  <c r="K18" i="120"/>
  <c r="J18" i="120"/>
  <c r="I18" i="120"/>
  <c r="H18" i="120"/>
  <c r="G18" i="120"/>
  <c r="E18" i="120"/>
  <c r="D18" i="120"/>
  <c r="M17" i="120"/>
  <c r="L17" i="120"/>
  <c r="K17" i="120"/>
  <c r="J17" i="120"/>
  <c r="I17" i="120"/>
  <c r="H17" i="120"/>
  <c r="G17" i="120"/>
  <c r="F17" i="120"/>
  <c r="E17" i="120"/>
  <c r="D17" i="120"/>
  <c r="M16" i="120"/>
  <c r="L16" i="120"/>
  <c r="K16" i="120"/>
  <c r="J16" i="120"/>
  <c r="I16" i="120"/>
  <c r="H16" i="120"/>
  <c r="G16" i="120"/>
  <c r="F16" i="120"/>
  <c r="E16" i="120"/>
  <c r="D16" i="120"/>
  <c r="M13" i="120"/>
  <c r="L13" i="120"/>
  <c r="K13" i="120"/>
  <c r="I6" i="120" s="1"/>
  <c r="J13" i="120"/>
  <c r="I13" i="120"/>
  <c r="H13" i="120"/>
  <c r="G13" i="120"/>
  <c r="F13" i="120"/>
  <c r="E13" i="120"/>
  <c r="D13" i="120"/>
  <c r="M6" i="120"/>
  <c r="F3" i="120"/>
  <c r="C3" i="120"/>
  <c r="N12" i="121" l="1"/>
  <c r="Q12" i="121" s="1"/>
  <c r="AF58" i="121"/>
  <c r="N13" i="121"/>
  <c r="Q13" i="121" s="1"/>
  <c r="AF27" i="121"/>
  <c r="AF24" i="121"/>
  <c r="N8" i="121"/>
  <c r="Q8" i="121" s="1"/>
  <c r="F2" i="123"/>
  <c r="I3" i="122"/>
  <c r="G8" i="130"/>
  <c r="E8" i="130"/>
  <c r="F8" i="130"/>
  <c r="G8" i="126"/>
  <c r="F8" i="126"/>
  <c r="E7" i="126"/>
  <c r="F7" i="126"/>
  <c r="G7" i="126"/>
  <c r="K15" i="126"/>
  <c r="I8" i="126" s="1"/>
  <c r="I7" i="126"/>
  <c r="D15" i="124"/>
  <c r="Q20" i="125"/>
  <c r="R16" i="125" s="1"/>
  <c r="P20" i="125"/>
  <c r="F14" i="124"/>
  <c r="F15" i="124" s="1"/>
  <c r="D2" i="125"/>
  <c r="Q40" i="125"/>
  <c r="R36" i="125" s="1"/>
  <c r="P40" i="125"/>
  <c r="L14" i="124"/>
  <c r="L15" i="124" s="1"/>
  <c r="Q45" i="125"/>
  <c r="R41" i="125" s="1"/>
  <c r="P45" i="125"/>
  <c r="H14" i="124"/>
  <c r="H15" i="124" s="1"/>
  <c r="Q52" i="125"/>
  <c r="R46" i="125" s="1"/>
  <c r="I14" i="124"/>
  <c r="I15" i="124" s="1"/>
  <c r="P52" i="125"/>
  <c r="Q27" i="125"/>
  <c r="R21" i="125" s="1"/>
  <c r="P27" i="125"/>
  <c r="G14" i="124"/>
  <c r="G15" i="124" s="1"/>
  <c r="Q59" i="125"/>
  <c r="R53" i="125" s="1"/>
  <c r="P59" i="125"/>
  <c r="J14" i="124"/>
  <c r="J15" i="124" s="1"/>
  <c r="Q35" i="125"/>
  <c r="R28" i="125" s="1"/>
  <c r="P35" i="125"/>
  <c r="K14" i="124"/>
  <c r="Q65" i="125"/>
  <c r="R60" i="125" s="1"/>
  <c r="P65" i="125"/>
  <c r="M14" i="124"/>
  <c r="M15" i="124" s="1"/>
  <c r="P15" i="125"/>
  <c r="Q15" i="125"/>
  <c r="R11" i="125" s="1"/>
  <c r="E14" i="124"/>
  <c r="E15" i="124" s="1"/>
  <c r="Q38" i="123"/>
  <c r="P38" i="123"/>
  <c r="P18" i="123"/>
  <c r="Q18" i="123"/>
  <c r="Q5" i="123"/>
  <c r="P5" i="123"/>
  <c r="Q11" i="123"/>
  <c r="R5" i="123" s="1"/>
  <c r="P11" i="123"/>
  <c r="D14" i="122"/>
  <c r="Q24" i="123"/>
  <c r="P24" i="123"/>
  <c r="Q52" i="123"/>
  <c r="P52" i="123"/>
  <c r="Q30" i="123"/>
  <c r="P30" i="123"/>
  <c r="AF16" i="123"/>
  <c r="AG12" i="123" s="1"/>
  <c r="AE16" i="123"/>
  <c r="N16" i="123"/>
  <c r="Q8" i="123"/>
  <c r="P8" i="123"/>
  <c r="P48" i="123"/>
  <c r="Q48" i="123"/>
  <c r="P64" i="123"/>
  <c r="Q64" i="123"/>
  <c r="Q34" i="123"/>
  <c r="P34" i="123"/>
  <c r="Q43" i="123"/>
  <c r="P43" i="123"/>
  <c r="P47" i="123"/>
  <c r="Q47" i="123"/>
  <c r="Q23" i="123"/>
  <c r="P23" i="123"/>
  <c r="I14" i="122"/>
  <c r="I15" i="122" s="1"/>
  <c r="Q58" i="123"/>
  <c r="R52" i="123" s="1"/>
  <c r="P58" i="123"/>
  <c r="Q10" i="123"/>
  <c r="P10" i="123"/>
  <c r="N22" i="123"/>
  <c r="AF22" i="123"/>
  <c r="AG17" i="123" s="1"/>
  <c r="AE22" i="123"/>
  <c r="N46" i="123"/>
  <c r="AF46" i="123"/>
  <c r="AG38" i="123" s="1"/>
  <c r="AE46" i="123"/>
  <c r="Q61" i="123"/>
  <c r="P61" i="123"/>
  <c r="Q71" i="123"/>
  <c r="P71" i="123"/>
  <c r="P67" i="123"/>
  <c r="Q67" i="123"/>
  <c r="Q32" i="123"/>
  <c r="P32" i="123"/>
  <c r="Q73" i="123"/>
  <c r="P73" i="123"/>
  <c r="N51" i="123"/>
  <c r="AF51" i="123"/>
  <c r="AG47" i="123" s="1"/>
  <c r="AE51" i="123"/>
  <c r="Q55" i="123"/>
  <c r="P55" i="123"/>
  <c r="AF37" i="123"/>
  <c r="AG29" i="123" s="1"/>
  <c r="AE37" i="123"/>
  <c r="N37" i="123"/>
  <c r="P20" i="123"/>
  <c r="Q20" i="123"/>
  <c r="Q53" i="123"/>
  <c r="P53" i="123"/>
  <c r="Q63" i="123"/>
  <c r="P63" i="123"/>
  <c r="N28" i="123"/>
  <c r="AF28" i="123"/>
  <c r="AG23" i="123" s="1"/>
  <c r="AE28" i="123"/>
  <c r="Q60" i="123"/>
  <c r="P60" i="123"/>
  <c r="P41" i="123"/>
  <c r="Q41" i="123"/>
  <c r="Q29" i="123"/>
  <c r="P29" i="123"/>
  <c r="Q49" i="123"/>
  <c r="P49" i="123"/>
  <c r="Q56" i="123"/>
  <c r="P56" i="123"/>
  <c r="Q69" i="123"/>
  <c r="P69" i="123"/>
  <c r="Q74" i="123"/>
  <c r="R66" i="123" s="1"/>
  <c r="P74" i="123"/>
  <c r="M14" i="122"/>
  <c r="M15" i="122" s="1"/>
  <c r="Q66" i="123"/>
  <c r="P66" i="123"/>
  <c r="P62" i="123"/>
  <c r="Q62" i="123"/>
  <c r="P45" i="123"/>
  <c r="Q45" i="123"/>
  <c r="Q17" i="123"/>
  <c r="P17" i="123"/>
  <c r="N65" i="123"/>
  <c r="AF65" i="123"/>
  <c r="AG59" i="123" s="1"/>
  <c r="AE65" i="123"/>
  <c r="Q13" i="123"/>
  <c r="P13" i="123"/>
  <c r="Q6" i="123"/>
  <c r="P6" i="123"/>
  <c r="Q59" i="123"/>
  <c r="P59" i="123"/>
  <c r="Q27" i="123"/>
  <c r="P27" i="123"/>
  <c r="N43" i="121"/>
  <c r="AF43" i="121"/>
  <c r="AE43" i="121"/>
  <c r="M49" i="121"/>
  <c r="AF47" i="121"/>
  <c r="AE47" i="121"/>
  <c r="N47" i="121"/>
  <c r="Q54" i="121"/>
  <c r="P54" i="121"/>
  <c r="AF16" i="121"/>
  <c r="AE16" i="121"/>
  <c r="N16" i="121"/>
  <c r="N41" i="121"/>
  <c r="AF41" i="121"/>
  <c r="AE41" i="121"/>
  <c r="N56" i="121"/>
  <c r="AF56" i="121"/>
  <c r="AE56" i="121"/>
  <c r="N60" i="121"/>
  <c r="AF60" i="121"/>
  <c r="AE60" i="121"/>
  <c r="N44" i="121"/>
  <c r="AF44" i="121"/>
  <c r="AE44" i="121"/>
  <c r="N39" i="121"/>
  <c r="AF39" i="121"/>
  <c r="AE39" i="121"/>
  <c r="AF14" i="121"/>
  <c r="AG11" i="121" s="1"/>
  <c r="AE14" i="121"/>
  <c r="N14" i="121"/>
  <c r="Q61" i="121"/>
  <c r="P61" i="121"/>
  <c r="Q45" i="121"/>
  <c r="P45" i="121"/>
  <c r="AF5" i="121"/>
  <c r="AE5" i="121"/>
  <c r="N5" i="121"/>
  <c r="M10" i="121"/>
  <c r="N36" i="121"/>
  <c r="AF36" i="121"/>
  <c r="AE36" i="121"/>
  <c r="AF52" i="121"/>
  <c r="AE52" i="121"/>
  <c r="N52" i="121"/>
  <c r="AF35" i="121"/>
  <c r="AE35" i="121"/>
  <c r="N35" i="121"/>
  <c r="Q40" i="121"/>
  <c r="P40" i="121"/>
  <c r="N17" i="121"/>
  <c r="AF17" i="121"/>
  <c r="AE17" i="121"/>
  <c r="M31" i="121"/>
  <c r="N22" i="121"/>
  <c r="AF22" i="121"/>
  <c r="AE22" i="121"/>
  <c r="N38" i="121"/>
  <c r="M42" i="121"/>
  <c r="AF38" i="121"/>
  <c r="AE38" i="121"/>
  <c r="M19" i="121"/>
  <c r="AF15" i="121"/>
  <c r="AE15" i="121"/>
  <c r="N15" i="121"/>
  <c r="AF32" i="121"/>
  <c r="M37" i="121"/>
  <c r="AE32" i="121"/>
  <c r="N32" i="121"/>
  <c r="N55" i="121"/>
  <c r="AF55" i="121"/>
  <c r="AE55" i="121"/>
  <c r="N59" i="121"/>
  <c r="AF59" i="121"/>
  <c r="AE59" i="121"/>
  <c r="M63" i="121"/>
  <c r="G6" i="120"/>
  <c r="F6" i="120"/>
  <c r="E6" i="120"/>
  <c r="AF6" i="121"/>
  <c r="AE6" i="121"/>
  <c r="N6" i="121"/>
  <c r="Q23" i="121"/>
  <c r="P23" i="121"/>
  <c r="AF28" i="121"/>
  <c r="AE28" i="121"/>
  <c r="N28" i="121"/>
  <c r="F2" i="121"/>
  <c r="I3" i="120"/>
  <c r="N21" i="121"/>
  <c r="AF21" i="121"/>
  <c r="AE21" i="121"/>
  <c r="Q18" i="121"/>
  <c r="P18" i="121"/>
  <c r="N20" i="121"/>
  <c r="AF20" i="121"/>
  <c r="M25" i="121"/>
  <c r="AE20" i="121"/>
  <c r="N53" i="121"/>
  <c r="AF53" i="121"/>
  <c r="AE53" i="121"/>
  <c r="Q58" i="121"/>
  <c r="P58" i="121"/>
  <c r="AD2" i="121"/>
  <c r="N6" i="120" s="1"/>
  <c r="AF26" i="121"/>
  <c r="N7" i="121"/>
  <c r="N9" i="121"/>
  <c r="P11" i="121"/>
  <c r="P12" i="121"/>
  <c r="N26" i="121"/>
  <c r="N29" i="121"/>
  <c r="P34" i="121"/>
  <c r="N48" i="121"/>
  <c r="P50" i="121"/>
  <c r="P51" i="121"/>
  <c r="P8" i="121"/>
  <c r="P13" i="121"/>
  <c r="AE18" i="121"/>
  <c r="P30" i="121"/>
  <c r="P33" i="121"/>
  <c r="AE40" i="121"/>
  <c r="AE54" i="121"/>
  <c r="AF18" i="121"/>
  <c r="N24" i="121"/>
  <c r="N27" i="121"/>
  <c r="AF40" i="121"/>
  <c r="N46" i="121"/>
  <c r="AF54" i="121"/>
  <c r="M57" i="121"/>
  <c r="N62" i="121"/>
  <c r="AE11" i="121"/>
  <c r="AE34" i="121"/>
  <c r="AE50" i="121"/>
  <c r="AE51" i="121"/>
  <c r="AF11" i="121"/>
  <c r="AE13" i="121"/>
  <c r="AE30" i="121"/>
  <c r="AE33" i="121"/>
  <c r="AE7" i="121"/>
  <c r="AE9" i="121"/>
  <c r="AE29" i="121"/>
  <c r="AE48" i="121"/>
  <c r="AE8" i="121"/>
  <c r="AE26" i="121"/>
  <c r="AD61" i="119"/>
  <c r="Z61" i="119"/>
  <c r="Y61" i="119"/>
  <c r="O61" i="119"/>
  <c r="K61" i="119"/>
  <c r="M13" i="118" s="1"/>
  <c r="V60" i="119"/>
  <c r="M60" i="119" s="1"/>
  <c r="U60" i="119"/>
  <c r="O60" i="119"/>
  <c r="K60" i="119"/>
  <c r="G60" i="119"/>
  <c r="V59" i="119"/>
  <c r="M59" i="119" s="1"/>
  <c r="AF59" i="119" s="1"/>
  <c r="U59" i="119"/>
  <c r="O59" i="119"/>
  <c r="K59" i="119"/>
  <c r="G59" i="119"/>
  <c r="V58" i="119"/>
  <c r="M58" i="119" s="1"/>
  <c r="U58" i="119"/>
  <c r="O58" i="119"/>
  <c r="K58" i="119"/>
  <c r="G58" i="119"/>
  <c r="V57" i="119"/>
  <c r="M57" i="119" s="1"/>
  <c r="U57" i="119"/>
  <c r="O57" i="119"/>
  <c r="K57" i="119"/>
  <c r="G57" i="119"/>
  <c r="X56" i="119"/>
  <c r="W56" i="119"/>
  <c r="V56" i="119"/>
  <c r="O56" i="119"/>
  <c r="M56" i="119"/>
  <c r="N56" i="119" s="1"/>
  <c r="K56" i="119"/>
  <c r="G56" i="119"/>
  <c r="AD55" i="119"/>
  <c r="J21" i="118" s="1"/>
  <c r="Z55" i="119"/>
  <c r="J19" i="118" s="1"/>
  <c r="Y55" i="119"/>
  <c r="O55" i="119"/>
  <c r="K55" i="119"/>
  <c r="V54" i="119"/>
  <c r="M54" i="119" s="1"/>
  <c r="AF54" i="119" s="1"/>
  <c r="U54" i="119"/>
  <c r="O54" i="119"/>
  <c r="K54" i="119"/>
  <c r="G54" i="119"/>
  <c r="V53" i="119"/>
  <c r="U53" i="119"/>
  <c r="O53" i="119"/>
  <c r="M53" i="119"/>
  <c r="AF53" i="119" s="1"/>
  <c r="K53" i="119"/>
  <c r="G53" i="119"/>
  <c r="V52" i="119"/>
  <c r="U52" i="119"/>
  <c r="O52" i="119"/>
  <c r="M52" i="119"/>
  <c r="AF52" i="119" s="1"/>
  <c r="K52" i="119"/>
  <c r="G52" i="119"/>
  <c r="V51" i="119"/>
  <c r="M51" i="119" s="1"/>
  <c r="U51" i="119"/>
  <c r="O51" i="119"/>
  <c r="K51" i="119"/>
  <c r="G51" i="119"/>
  <c r="V50" i="119"/>
  <c r="U50" i="119"/>
  <c r="O50" i="119"/>
  <c r="N50" i="119"/>
  <c r="Q50" i="119" s="1"/>
  <c r="M50" i="119"/>
  <c r="AF50" i="119" s="1"/>
  <c r="K50" i="119"/>
  <c r="G50" i="119"/>
  <c r="V49" i="119"/>
  <c r="M49" i="119" s="1"/>
  <c r="U49" i="119"/>
  <c r="O49" i="119"/>
  <c r="K49" i="119"/>
  <c r="G49" i="119"/>
  <c r="V48" i="119"/>
  <c r="M48" i="119" s="1"/>
  <c r="N48" i="119" s="1"/>
  <c r="O48" i="119"/>
  <c r="K48" i="119"/>
  <c r="G48" i="119"/>
  <c r="AD47" i="119"/>
  <c r="Z47" i="119"/>
  <c r="Y47" i="119"/>
  <c r="O47" i="119"/>
  <c r="K47" i="119"/>
  <c r="V46" i="119"/>
  <c r="U46" i="119"/>
  <c r="O46" i="119"/>
  <c r="M46" i="119"/>
  <c r="N46" i="119" s="1"/>
  <c r="K46" i="119"/>
  <c r="G46" i="119"/>
  <c r="V45" i="119"/>
  <c r="U45" i="119"/>
  <c r="O45" i="119"/>
  <c r="M45" i="119"/>
  <c r="AF45" i="119" s="1"/>
  <c r="K45" i="119"/>
  <c r="G45" i="119"/>
  <c r="V44" i="119"/>
  <c r="M44" i="119" s="1"/>
  <c r="U44" i="119"/>
  <c r="O44" i="119"/>
  <c r="K44" i="119"/>
  <c r="G44" i="119"/>
  <c r="V43" i="119"/>
  <c r="M43" i="119" s="1"/>
  <c r="AF43" i="119" s="1"/>
  <c r="U43" i="119"/>
  <c r="O43" i="119"/>
  <c r="K43" i="119"/>
  <c r="G43" i="119"/>
  <c r="V42" i="119"/>
  <c r="M42" i="119" s="1"/>
  <c r="U42" i="119"/>
  <c r="O42" i="119"/>
  <c r="K42" i="119"/>
  <c r="G42" i="119"/>
  <c r="V41" i="119"/>
  <c r="O41" i="119"/>
  <c r="M41" i="119"/>
  <c r="AE41" i="119" s="1"/>
  <c r="K41" i="119"/>
  <c r="G41" i="119"/>
  <c r="AD40" i="119"/>
  <c r="H21" i="118" s="1"/>
  <c r="Z40" i="119"/>
  <c r="H19" i="118" s="1"/>
  <c r="Y40" i="119"/>
  <c r="O40" i="119"/>
  <c r="K40" i="119"/>
  <c r="V39" i="119"/>
  <c r="M39" i="119" s="1"/>
  <c r="N39" i="119" s="1"/>
  <c r="U39" i="119"/>
  <c r="O39" i="119"/>
  <c r="K39" i="119"/>
  <c r="G39" i="119"/>
  <c r="V38" i="119"/>
  <c r="M38" i="119" s="1"/>
  <c r="U38" i="119"/>
  <c r="O38" i="119"/>
  <c r="K38" i="119"/>
  <c r="G38" i="119"/>
  <c r="V37" i="119"/>
  <c r="M37" i="119" s="1"/>
  <c r="N37" i="119" s="1"/>
  <c r="U37" i="119"/>
  <c r="O37" i="119"/>
  <c r="K37" i="119"/>
  <c r="G37" i="119"/>
  <c r="X36" i="119"/>
  <c r="W36" i="119"/>
  <c r="V36" i="119"/>
  <c r="O36" i="119"/>
  <c r="M36" i="119"/>
  <c r="AE36" i="119" s="1"/>
  <c r="K36" i="119"/>
  <c r="G36" i="119"/>
  <c r="AD35" i="119"/>
  <c r="L21" i="118" s="1"/>
  <c r="Z35" i="119"/>
  <c r="L19" i="118" s="1"/>
  <c r="Y35" i="119"/>
  <c r="L18" i="118" s="1"/>
  <c r="O35" i="119"/>
  <c r="K35" i="119"/>
  <c r="V34" i="119"/>
  <c r="M34" i="119" s="1"/>
  <c r="U34" i="119"/>
  <c r="O34" i="119"/>
  <c r="K34" i="119"/>
  <c r="G34" i="119"/>
  <c r="V33" i="119"/>
  <c r="M33" i="119" s="1"/>
  <c r="U33" i="119"/>
  <c r="O33" i="119"/>
  <c r="K33" i="119"/>
  <c r="G33" i="119"/>
  <c r="V32" i="119"/>
  <c r="M32" i="119" s="1"/>
  <c r="N32" i="119" s="1"/>
  <c r="U32" i="119"/>
  <c r="O32" i="119"/>
  <c r="K32" i="119"/>
  <c r="G32" i="119"/>
  <c r="V31" i="119"/>
  <c r="M31" i="119" s="1"/>
  <c r="U31" i="119"/>
  <c r="O31" i="119"/>
  <c r="K31" i="119"/>
  <c r="G31" i="119"/>
  <c r="X30" i="119"/>
  <c r="W30" i="119"/>
  <c r="V30" i="119"/>
  <c r="M30" i="119" s="1"/>
  <c r="O30" i="119"/>
  <c r="K30" i="119"/>
  <c r="G30" i="119"/>
  <c r="AD29" i="119"/>
  <c r="K21" i="118" s="1"/>
  <c r="Z29" i="119"/>
  <c r="K19" i="118" s="1"/>
  <c r="Y29" i="119"/>
  <c r="O29" i="119"/>
  <c r="K29" i="119"/>
  <c r="V28" i="119"/>
  <c r="M28" i="119" s="1"/>
  <c r="U28" i="119"/>
  <c r="O28" i="119"/>
  <c r="K28" i="119"/>
  <c r="G28" i="119"/>
  <c r="V27" i="119"/>
  <c r="U27" i="119"/>
  <c r="O27" i="119"/>
  <c r="M27" i="119"/>
  <c r="AE27" i="119" s="1"/>
  <c r="K27" i="119"/>
  <c r="G27" i="119"/>
  <c r="V26" i="119"/>
  <c r="M26" i="119" s="1"/>
  <c r="U26" i="119"/>
  <c r="O26" i="119"/>
  <c r="K26" i="119"/>
  <c r="G26" i="119"/>
  <c r="V25" i="119"/>
  <c r="U25" i="119"/>
  <c r="O25" i="119"/>
  <c r="M25" i="119"/>
  <c r="N25" i="119" s="1"/>
  <c r="K25" i="119"/>
  <c r="G25" i="119"/>
  <c r="X24" i="119"/>
  <c r="W24" i="119"/>
  <c r="V24" i="119"/>
  <c r="M24" i="119" s="1"/>
  <c r="O24" i="119"/>
  <c r="K24" i="119"/>
  <c r="G24" i="119"/>
  <c r="AD23" i="119"/>
  <c r="G21" i="118" s="1"/>
  <c r="Z23" i="119"/>
  <c r="G19" i="118" s="1"/>
  <c r="Y23" i="119"/>
  <c r="G18" i="118" s="1"/>
  <c r="O23" i="119"/>
  <c r="K23" i="119"/>
  <c r="V22" i="119"/>
  <c r="M22" i="119" s="1"/>
  <c r="U22" i="119"/>
  <c r="O22" i="119"/>
  <c r="K22" i="119"/>
  <c r="G22" i="119"/>
  <c r="V21" i="119"/>
  <c r="M21" i="119" s="1"/>
  <c r="U21" i="119"/>
  <c r="O21" i="119"/>
  <c r="K21" i="119"/>
  <c r="G21" i="119"/>
  <c r="V20" i="119"/>
  <c r="U20" i="119"/>
  <c r="O20" i="119"/>
  <c r="M20" i="119"/>
  <c r="AE20" i="119" s="1"/>
  <c r="K20" i="119"/>
  <c r="G20" i="119"/>
  <c r="V19" i="119"/>
  <c r="M19" i="119" s="1"/>
  <c r="U19" i="119"/>
  <c r="O19" i="119"/>
  <c r="K19" i="119"/>
  <c r="G19" i="119"/>
  <c r="V18" i="119"/>
  <c r="O18" i="119"/>
  <c r="M18" i="119"/>
  <c r="K18" i="119"/>
  <c r="G18" i="119"/>
  <c r="AD17" i="119"/>
  <c r="Z17" i="119"/>
  <c r="Y17" i="119"/>
  <c r="F18" i="118" s="1"/>
  <c r="O17" i="119"/>
  <c r="K17" i="119"/>
  <c r="V16" i="119"/>
  <c r="M16" i="119" s="1"/>
  <c r="N16" i="119" s="1"/>
  <c r="U16" i="119"/>
  <c r="O16" i="119"/>
  <c r="K16" i="119"/>
  <c r="G16" i="119"/>
  <c r="V15" i="119"/>
  <c r="M15" i="119" s="1"/>
  <c r="AE15" i="119" s="1"/>
  <c r="U15" i="119"/>
  <c r="O15" i="119"/>
  <c r="K15" i="119"/>
  <c r="G15" i="119"/>
  <c r="V14" i="119"/>
  <c r="M14" i="119" s="1"/>
  <c r="U14" i="119"/>
  <c r="O14" i="119"/>
  <c r="K14" i="119"/>
  <c r="G14" i="119"/>
  <c r="V13" i="119"/>
  <c r="O13" i="119"/>
  <c r="M13" i="119"/>
  <c r="AF13" i="119" s="1"/>
  <c r="K13" i="119"/>
  <c r="G13" i="119"/>
  <c r="AD12" i="119"/>
  <c r="E21" i="118" s="1"/>
  <c r="Z12" i="119"/>
  <c r="E19" i="118" s="1"/>
  <c r="Y12" i="119"/>
  <c r="E18" i="118" s="1"/>
  <c r="O12" i="119"/>
  <c r="K12" i="119"/>
  <c r="V11" i="119"/>
  <c r="M11" i="119" s="1"/>
  <c r="AF11" i="119" s="1"/>
  <c r="U11" i="119"/>
  <c r="O11" i="119"/>
  <c r="K11" i="119"/>
  <c r="G11" i="119"/>
  <c r="V10" i="119"/>
  <c r="M10" i="119" s="1"/>
  <c r="O10" i="119"/>
  <c r="K10" i="119"/>
  <c r="G10" i="119"/>
  <c r="AD9" i="119"/>
  <c r="AD2" i="119" s="1"/>
  <c r="N6" i="118" s="1"/>
  <c r="Z9" i="119"/>
  <c r="Y9" i="119"/>
  <c r="D18" i="118" s="1"/>
  <c r="O9" i="119"/>
  <c r="K9" i="119"/>
  <c r="V8" i="119"/>
  <c r="M8" i="119" s="1"/>
  <c r="AF8" i="119" s="1"/>
  <c r="U8" i="119"/>
  <c r="O8" i="119"/>
  <c r="K8" i="119"/>
  <c r="G8" i="119"/>
  <c r="V7" i="119"/>
  <c r="M7" i="119" s="1"/>
  <c r="U7" i="119"/>
  <c r="O7" i="119"/>
  <c r="K7" i="119"/>
  <c r="G7" i="119"/>
  <c r="V6" i="119"/>
  <c r="M6" i="119" s="1"/>
  <c r="AF6" i="119" s="1"/>
  <c r="U6" i="119"/>
  <c r="O6" i="119"/>
  <c r="K6" i="119"/>
  <c r="G6" i="119"/>
  <c r="V5" i="119"/>
  <c r="M5" i="119" s="1"/>
  <c r="O5" i="119"/>
  <c r="K5" i="119"/>
  <c r="G5" i="119"/>
  <c r="H2" i="119"/>
  <c r="H1" i="119"/>
  <c r="D1" i="119"/>
  <c r="M22" i="118"/>
  <c r="L22" i="118"/>
  <c r="K22" i="118"/>
  <c r="J22" i="118"/>
  <c r="I22" i="118"/>
  <c r="H22" i="118"/>
  <c r="G22" i="118"/>
  <c r="F22" i="118"/>
  <c r="E22" i="118"/>
  <c r="D22" i="118"/>
  <c r="M21" i="118"/>
  <c r="I21" i="118"/>
  <c r="F21" i="118"/>
  <c r="M20" i="118"/>
  <c r="L20" i="118"/>
  <c r="K20" i="118"/>
  <c r="J20" i="118"/>
  <c r="I20" i="118"/>
  <c r="H20" i="118"/>
  <c r="G20" i="118"/>
  <c r="F20" i="118"/>
  <c r="E20" i="118"/>
  <c r="D20" i="118"/>
  <c r="M19" i="118"/>
  <c r="I19" i="118"/>
  <c r="F19" i="118"/>
  <c r="M18" i="118"/>
  <c r="K18" i="118"/>
  <c r="J18" i="118"/>
  <c r="I18" i="118"/>
  <c r="H18" i="118"/>
  <c r="M17" i="118"/>
  <c r="L17" i="118"/>
  <c r="K17" i="118"/>
  <c r="J17" i="118"/>
  <c r="I17" i="118"/>
  <c r="H17" i="118"/>
  <c r="G17" i="118"/>
  <c r="F17" i="118"/>
  <c r="E17" i="118"/>
  <c r="D17" i="118"/>
  <c r="M16" i="118"/>
  <c r="L16" i="118"/>
  <c r="K16" i="118"/>
  <c r="J16" i="118"/>
  <c r="I16" i="118"/>
  <c r="H16" i="118"/>
  <c r="G16" i="118"/>
  <c r="F16" i="118"/>
  <c r="E16" i="118"/>
  <c r="D16" i="118"/>
  <c r="L13" i="118"/>
  <c r="K13" i="118"/>
  <c r="J13" i="118"/>
  <c r="I13" i="118"/>
  <c r="H13" i="118"/>
  <c r="G13" i="118"/>
  <c r="F13" i="118"/>
  <c r="E13" i="118"/>
  <c r="D13" i="118"/>
  <c r="M6" i="118"/>
  <c r="F3" i="118"/>
  <c r="C3" i="118"/>
  <c r="AE34" i="119" l="1"/>
  <c r="N34" i="119"/>
  <c r="Q34" i="119" s="1"/>
  <c r="N38" i="119"/>
  <c r="AF38" i="119"/>
  <c r="AE38" i="119"/>
  <c r="AF57" i="119"/>
  <c r="N57" i="119"/>
  <c r="Q57" i="119" s="1"/>
  <c r="AE24" i="119"/>
  <c r="AF24" i="119"/>
  <c r="N31" i="119"/>
  <c r="AF31" i="119"/>
  <c r="AE31" i="119"/>
  <c r="AF60" i="119"/>
  <c r="N60" i="119"/>
  <c r="Q60" i="119" s="1"/>
  <c r="AF7" i="119"/>
  <c r="N7" i="119"/>
  <c r="Q7" i="119" s="1"/>
  <c r="AF44" i="119"/>
  <c r="N44" i="119"/>
  <c r="Q44" i="119" s="1"/>
  <c r="AF22" i="119"/>
  <c r="N22" i="119"/>
  <c r="Q22" i="119" s="1"/>
  <c r="M12" i="119"/>
  <c r="AE10" i="119"/>
  <c r="AF10" i="119"/>
  <c r="I6" i="118"/>
  <c r="F1" i="119"/>
  <c r="I3" i="118" s="1"/>
  <c r="N41" i="119"/>
  <c r="Q41" i="119" s="1"/>
  <c r="N36" i="119"/>
  <c r="Q36" i="119" s="1"/>
  <c r="P20" i="119"/>
  <c r="Z2" i="119"/>
  <c r="L6" i="118" s="1"/>
  <c r="N53" i="119"/>
  <c r="Q53" i="119" s="1"/>
  <c r="N20" i="119"/>
  <c r="Q20" i="119" s="1"/>
  <c r="P27" i="119"/>
  <c r="AE56" i="119"/>
  <c r="N13" i="119"/>
  <c r="Q13" i="119" s="1"/>
  <c r="AF56" i="119"/>
  <c r="G6" i="118"/>
  <c r="N27" i="119"/>
  <c r="Q27" i="119" s="1"/>
  <c r="P34" i="119"/>
  <c r="E8" i="126"/>
  <c r="E7" i="124"/>
  <c r="F7" i="124"/>
  <c r="G7" i="124"/>
  <c r="K15" i="124"/>
  <c r="I8" i="124" s="1"/>
  <c r="I7" i="124"/>
  <c r="G8" i="124"/>
  <c r="F8" i="124"/>
  <c r="E8" i="124"/>
  <c r="Q28" i="123"/>
  <c r="R23" i="123" s="1"/>
  <c r="P28" i="123"/>
  <c r="G14" i="122"/>
  <c r="G15" i="122" s="1"/>
  <c r="D15" i="122"/>
  <c r="Q16" i="123"/>
  <c r="R12" i="123" s="1"/>
  <c r="P16" i="123"/>
  <c r="E14" i="122"/>
  <c r="E15" i="122" s="1"/>
  <c r="Q51" i="123"/>
  <c r="R47" i="123" s="1"/>
  <c r="P51" i="123"/>
  <c r="H14" i="122"/>
  <c r="H15" i="122" s="1"/>
  <c r="P46" i="123"/>
  <c r="L14" i="122"/>
  <c r="L15" i="122" s="1"/>
  <c r="Q46" i="123"/>
  <c r="R38" i="123" s="1"/>
  <c r="Q22" i="123"/>
  <c r="R17" i="123" s="1"/>
  <c r="F14" i="122"/>
  <c r="F15" i="122" s="1"/>
  <c r="P22" i="123"/>
  <c r="Q37" i="123"/>
  <c r="R29" i="123" s="1"/>
  <c r="P37" i="123"/>
  <c r="K14" i="122"/>
  <c r="Q65" i="123"/>
  <c r="R59" i="123" s="1"/>
  <c r="P65" i="123"/>
  <c r="J14" i="122"/>
  <c r="J15" i="122" s="1"/>
  <c r="D2" i="123"/>
  <c r="Q16" i="121"/>
  <c r="P16" i="121"/>
  <c r="Q35" i="121"/>
  <c r="P35" i="121"/>
  <c r="Q9" i="121"/>
  <c r="P9" i="121"/>
  <c r="Q20" i="121"/>
  <c r="P20" i="121"/>
  <c r="N42" i="121"/>
  <c r="AF42" i="121"/>
  <c r="AG38" i="121" s="1"/>
  <c r="AE42" i="121"/>
  <c r="Q44" i="121"/>
  <c r="P44" i="121"/>
  <c r="Q62" i="121"/>
  <c r="P62" i="121"/>
  <c r="Q7" i="121"/>
  <c r="P7" i="121"/>
  <c r="Q6" i="121"/>
  <c r="P6" i="121"/>
  <c r="P55" i="121"/>
  <c r="Q55" i="121"/>
  <c r="P38" i="121"/>
  <c r="Q38" i="121"/>
  <c r="N57" i="121"/>
  <c r="AF57" i="121"/>
  <c r="AG50" i="121" s="1"/>
  <c r="AE57" i="121"/>
  <c r="Q32" i="121"/>
  <c r="P32" i="121"/>
  <c r="Q52" i="121"/>
  <c r="P52" i="121"/>
  <c r="Q60" i="121"/>
  <c r="P60" i="121"/>
  <c r="Q47" i="121"/>
  <c r="P47" i="121"/>
  <c r="Q46" i="121"/>
  <c r="P46" i="121"/>
  <c r="N37" i="121"/>
  <c r="AF37" i="121"/>
  <c r="AG32" i="121" s="1"/>
  <c r="AE37" i="121"/>
  <c r="Q22" i="121"/>
  <c r="P22" i="121"/>
  <c r="Q14" i="121"/>
  <c r="R11" i="121" s="1"/>
  <c r="P14" i="121"/>
  <c r="E14" i="120"/>
  <c r="E15" i="120" s="1"/>
  <c r="Q21" i="121"/>
  <c r="P21" i="121"/>
  <c r="AF31" i="121"/>
  <c r="AG26" i="121" s="1"/>
  <c r="AE31" i="121"/>
  <c r="N31" i="121"/>
  <c r="Q59" i="121"/>
  <c r="P59" i="121"/>
  <c r="Q27" i="121"/>
  <c r="P27" i="121"/>
  <c r="Q48" i="121"/>
  <c r="P48" i="121"/>
  <c r="Q15" i="121"/>
  <c r="P15" i="121"/>
  <c r="Q56" i="121"/>
  <c r="P56" i="121"/>
  <c r="AF49" i="121"/>
  <c r="AG43" i="121" s="1"/>
  <c r="AE49" i="121"/>
  <c r="N49" i="121"/>
  <c r="Q24" i="121"/>
  <c r="P24" i="121"/>
  <c r="AF63" i="121"/>
  <c r="AG58" i="121" s="1"/>
  <c r="AE63" i="121"/>
  <c r="N63" i="121"/>
  <c r="Q36" i="121"/>
  <c r="P36" i="121"/>
  <c r="Q29" i="121"/>
  <c r="P29" i="121"/>
  <c r="Q53" i="121"/>
  <c r="P53" i="121"/>
  <c r="Q28" i="121"/>
  <c r="P28" i="121"/>
  <c r="Q17" i="121"/>
  <c r="P17" i="121"/>
  <c r="AF10" i="121"/>
  <c r="AG5" i="121" s="1"/>
  <c r="AE10" i="121"/>
  <c r="N10" i="121"/>
  <c r="AF25" i="121"/>
  <c r="AG20" i="121" s="1"/>
  <c r="AE25" i="121"/>
  <c r="N25" i="121"/>
  <c r="Q26" i="121"/>
  <c r="P26" i="121"/>
  <c r="N19" i="121"/>
  <c r="AF19" i="121"/>
  <c r="AG15" i="121" s="1"/>
  <c r="AE19" i="121"/>
  <c r="Q5" i="121"/>
  <c r="P5" i="121"/>
  <c r="Q39" i="121"/>
  <c r="P39" i="121"/>
  <c r="P41" i="121"/>
  <c r="Q41" i="121"/>
  <c r="Q43" i="121"/>
  <c r="P43" i="121"/>
  <c r="N42" i="119"/>
  <c r="AE42" i="119"/>
  <c r="AF42" i="119"/>
  <c r="N49" i="119"/>
  <c r="AF49" i="119"/>
  <c r="AE49" i="119"/>
  <c r="M55" i="119"/>
  <c r="Q39" i="119"/>
  <c r="P39" i="119"/>
  <c r="M35" i="119"/>
  <c r="AE30" i="119"/>
  <c r="N30" i="119"/>
  <c r="AF30" i="119"/>
  <c r="N33" i="119"/>
  <c r="AF33" i="119"/>
  <c r="AE33" i="119"/>
  <c r="N12" i="119"/>
  <c r="AF12" i="119"/>
  <c r="AG10" i="119" s="1"/>
  <c r="AE12" i="119"/>
  <c r="P37" i="119"/>
  <c r="Q37" i="119"/>
  <c r="Q32" i="119"/>
  <c r="P32" i="119"/>
  <c r="Q16" i="119"/>
  <c r="P16" i="119"/>
  <c r="N21" i="119"/>
  <c r="AF21" i="119"/>
  <c r="AE21" i="119"/>
  <c r="AF14" i="119"/>
  <c r="AE14" i="119"/>
  <c r="N14" i="119"/>
  <c r="M23" i="119"/>
  <c r="N51" i="119"/>
  <c r="AE51" i="119"/>
  <c r="AF51" i="119"/>
  <c r="N58" i="119"/>
  <c r="AE58" i="119"/>
  <c r="AF58" i="119"/>
  <c r="N26" i="119"/>
  <c r="AF26" i="119"/>
  <c r="AE26" i="119"/>
  <c r="P46" i="119"/>
  <c r="Q46" i="119"/>
  <c r="N5" i="119"/>
  <c r="M9" i="119"/>
  <c r="AF5" i="119"/>
  <c r="AE5" i="119"/>
  <c r="N19" i="119"/>
  <c r="AF19" i="119"/>
  <c r="AE19" i="119"/>
  <c r="Q56" i="119"/>
  <c r="P56" i="119"/>
  <c r="Q31" i="119"/>
  <c r="P31" i="119"/>
  <c r="F2" i="119"/>
  <c r="Q38" i="119"/>
  <c r="P38" i="119"/>
  <c r="Q48" i="119"/>
  <c r="P48" i="119"/>
  <c r="Q25" i="119"/>
  <c r="P25" i="119"/>
  <c r="N28" i="119"/>
  <c r="AF28" i="119"/>
  <c r="AE28" i="119"/>
  <c r="AF16" i="119"/>
  <c r="AE37" i="119"/>
  <c r="AE46" i="119"/>
  <c r="E6" i="118"/>
  <c r="F6" i="118"/>
  <c r="D19" i="118"/>
  <c r="D21" i="118"/>
  <c r="N11" i="119"/>
  <c r="AE7" i="119"/>
  <c r="M29" i="119"/>
  <c r="AE44" i="119"/>
  <c r="AE53" i="119"/>
  <c r="AE60" i="119"/>
  <c r="AE16" i="119"/>
  <c r="N6" i="119"/>
  <c r="P13" i="119"/>
  <c r="AE18" i="119"/>
  <c r="AF37" i="119"/>
  <c r="N43" i="119"/>
  <c r="AF46" i="119"/>
  <c r="P50" i="119"/>
  <c r="N52" i="119"/>
  <c r="P57" i="119"/>
  <c r="N59" i="119"/>
  <c r="M61" i="119"/>
  <c r="N15" i="119"/>
  <c r="M17" i="119"/>
  <c r="AF18" i="119"/>
  <c r="N24" i="119"/>
  <c r="AE25" i="119"/>
  <c r="AE32" i="119"/>
  <c r="P36" i="119"/>
  <c r="AE39" i="119"/>
  <c r="AE48" i="119"/>
  <c r="Y2" i="119"/>
  <c r="K6" i="118" s="1"/>
  <c r="N8" i="119"/>
  <c r="AE11" i="119"/>
  <c r="AF25" i="119"/>
  <c r="AF32" i="119"/>
  <c r="AF39" i="119"/>
  <c r="N45" i="119"/>
  <c r="M47" i="119"/>
  <c r="AF48" i="119"/>
  <c r="N54" i="119"/>
  <c r="N10" i="119"/>
  <c r="AE13" i="119"/>
  <c r="AF20" i="119"/>
  <c r="AF27" i="119"/>
  <c r="AF34" i="119"/>
  <c r="M40" i="119"/>
  <c r="AF41" i="119"/>
  <c r="AE50" i="119"/>
  <c r="AE57" i="119"/>
  <c r="P7" i="119"/>
  <c r="P44" i="119"/>
  <c r="P53" i="119"/>
  <c r="P60" i="119"/>
  <c r="N18" i="119"/>
  <c r="AE6" i="119"/>
  <c r="AE8" i="119"/>
  <c r="AF15" i="119"/>
  <c r="AF36" i="119"/>
  <c r="AE45" i="119"/>
  <c r="AE54" i="119"/>
  <c r="AE22" i="119"/>
  <c r="AE43" i="119"/>
  <c r="AE52" i="119"/>
  <c r="AE59" i="119"/>
  <c r="AD66" i="117"/>
  <c r="AC66" i="117"/>
  <c r="Z66" i="117"/>
  <c r="Y66" i="117"/>
  <c r="O66" i="117"/>
  <c r="K66" i="117"/>
  <c r="V65" i="117"/>
  <c r="U65" i="117"/>
  <c r="O65" i="117"/>
  <c r="M65" i="117"/>
  <c r="AF65" i="117" s="1"/>
  <c r="K65" i="117"/>
  <c r="G65" i="117"/>
  <c r="X64" i="117"/>
  <c r="W64" i="117"/>
  <c r="V64" i="117"/>
  <c r="U64" i="117"/>
  <c r="O64" i="117"/>
  <c r="M64" i="117"/>
  <c r="AE64" i="117" s="1"/>
  <c r="K64" i="117"/>
  <c r="G64" i="117"/>
  <c r="V63" i="117"/>
  <c r="M63" i="117" s="1"/>
  <c r="AF63" i="117" s="1"/>
  <c r="U63" i="117"/>
  <c r="O63" i="117"/>
  <c r="K63" i="117"/>
  <c r="G63" i="117"/>
  <c r="V62" i="117"/>
  <c r="U62" i="117"/>
  <c r="O62" i="117"/>
  <c r="M62" i="117"/>
  <c r="AE62" i="117" s="1"/>
  <c r="K62" i="117"/>
  <c r="G62" i="117"/>
  <c r="V61" i="117"/>
  <c r="M61" i="117" s="1"/>
  <c r="U61" i="117"/>
  <c r="O61" i="117"/>
  <c r="K61" i="117"/>
  <c r="G61" i="117"/>
  <c r="X60" i="117"/>
  <c r="W60" i="117"/>
  <c r="V60" i="117"/>
  <c r="O60" i="117"/>
  <c r="M60" i="117"/>
  <c r="N60" i="117" s="1"/>
  <c r="K60" i="117"/>
  <c r="G60" i="117"/>
  <c r="AD59" i="117"/>
  <c r="AC59" i="117"/>
  <c r="Z59" i="117"/>
  <c r="Y59" i="117"/>
  <c r="O59" i="117"/>
  <c r="K59" i="117"/>
  <c r="V58" i="117"/>
  <c r="M58" i="117" s="1"/>
  <c r="U58" i="117"/>
  <c r="O58" i="117"/>
  <c r="K58" i="117"/>
  <c r="G58" i="117"/>
  <c r="V57" i="117"/>
  <c r="U57" i="117"/>
  <c r="O57" i="117"/>
  <c r="M57" i="117"/>
  <c r="N57" i="117" s="1"/>
  <c r="K57" i="117"/>
  <c r="G57" i="117"/>
  <c r="V56" i="117"/>
  <c r="M56" i="117" s="1"/>
  <c r="U56" i="117"/>
  <c r="O56" i="117"/>
  <c r="K56" i="117"/>
  <c r="G56" i="117"/>
  <c r="V55" i="117"/>
  <c r="M55" i="117" s="1"/>
  <c r="U55" i="117"/>
  <c r="O55" i="117"/>
  <c r="K55" i="117"/>
  <c r="G55" i="117"/>
  <c r="V54" i="117"/>
  <c r="M54" i="117" s="1"/>
  <c r="U54" i="117"/>
  <c r="O54" i="117"/>
  <c r="K54" i="117"/>
  <c r="G54" i="117"/>
  <c r="V53" i="117"/>
  <c r="M53" i="117" s="1"/>
  <c r="U53" i="117"/>
  <c r="O53" i="117"/>
  <c r="K53" i="117"/>
  <c r="G53" i="117"/>
  <c r="V52" i="117"/>
  <c r="M52" i="117" s="1"/>
  <c r="O52" i="117"/>
  <c r="K52" i="117"/>
  <c r="G52" i="117"/>
  <c r="AD51" i="117"/>
  <c r="AC51" i="117"/>
  <c r="Z51" i="117"/>
  <c r="Y51" i="117"/>
  <c r="O51" i="117"/>
  <c r="K51" i="117"/>
  <c r="V50" i="117"/>
  <c r="M50" i="117" s="1"/>
  <c r="U50" i="117"/>
  <c r="O50" i="117"/>
  <c r="K50" i="117"/>
  <c r="G50" i="117"/>
  <c r="V49" i="117"/>
  <c r="M49" i="117" s="1"/>
  <c r="U49" i="117"/>
  <c r="O49" i="117"/>
  <c r="K49" i="117"/>
  <c r="G49" i="117"/>
  <c r="V48" i="117"/>
  <c r="U48" i="117"/>
  <c r="O48" i="117"/>
  <c r="M48" i="117"/>
  <c r="AF48" i="117" s="1"/>
  <c r="K48" i="117"/>
  <c r="G48" i="117"/>
  <c r="V47" i="117"/>
  <c r="M47" i="117" s="1"/>
  <c r="AF47" i="117" s="1"/>
  <c r="U47" i="117"/>
  <c r="O47" i="117"/>
  <c r="K47" i="117"/>
  <c r="G47" i="117"/>
  <c r="V46" i="117"/>
  <c r="U46" i="117"/>
  <c r="O46" i="117"/>
  <c r="M46" i="117"/>
  <c r="AF46" i="117" s="1"/>
  <c r="K46" i="117"/>
  <c r="G46" i="117"/>
  <c r="V45" i="117"/>
  <c r="O45" i="117"/>
  <c r="M45" i="117"/>
  <c r="AF45" i="117" s="1"/>
  <c r="K45" i="117"/>
  <c r="G45" i="117"/>
  <c r="AD44" i="117"/>
  <c r="AC44" i="117"/>
  <c r="Z44" i="117"/>
  <c r="Y44" i="117"/>
  <c r="O44" i="117"/>
  <c r="K44" i="117"/>
  <c r="V43" i="117"/>
  <c r="M43" i="117" s="1"/>
  <c r="AF43" i="117" s="1"/>
  <c r="U43" i="117"/>
  <c r="O43" i="117"/>
  <c r="K43" i="117"/>
  <c r="G43" i="117"/>
  <c r="AF42" i="117"/>
  <c r="V42" i="117"/>
  <c r="U42" i="117"/>
  <c r="O42" i="117"/>
  <c r="N42" i="117"/>
  <c r="M42" i="117"/>
  <c r="AE42" i="117" s="1"/>
  <c r="K42" i="117"/>
  <c r="G42" i="117"/>
  <c r="V41" i="117"/>
  <c r="U41" i="117"/>
  <c r="O41" i="117"/>
  <c r="M41" i="117"/>
  <c r="N41" i="117" s="1"/>
  <c r="K41" i="117"/>
  <c r="G41" i="117"/>
  <c r="X40" i="117"/>
  <c r="W40" i="117"/>
  <c r="V40" i="117"/>
  <c r="M40" i="117" s="1"/>
  <c r="O40" i="117"/>
  <c r="K40" i="117"/>
  <c r="G40" i="117"/>
  <c r="AD39" i="117"/>
  <c r="AC39" i="117"/>
  <c r="Z39" i="117"/>
  <c r="Y39" i="117"/>
  <c r="O39" i="117"/>
  <c r="K39" i="117"/>
  <c r="V38" i="117"/>
  <c r="M38" i="117" s="1"/>
  <c r="U38" i="117"/>
  <c r="O38" i="117"/>
  <c r="K38" i="117"/>
  <c r="G38" i="117"/>
  <c r="X37" i="117"/>
  <c r="W37" i="117"/>
  <c r="V37" i="117"/>
  <c r="M37" i="117" s="1"/>
  <c r="U37" i="117"/>
  <c r="O37" i="117"/>
  <c r="K37" i="117"/>
  <c r="G37" i="117"/>
  <c r="V36" i="117"/>
  <c r="U36" i="117"/>
  <c r="O36" i="117"/>
  <c r="N36" i="117"/>
  <c r="Q36" i="117" s="1"/>
  <c r="M36" i="117"/>
  <c r="AE36" i="117" s="1"/>
  <c r="K36" i="117"/>
  <c r="G36" i="117"/>
  <c r="V35" i="117"/>
  <c r="U35" i="117"/>
  <c r="O35" i="117"/>
  <c r="M35" i="117"/>
  <c r="N35" i="117" s="1"/>
  <c r="K35" i="117"/>
  <c r="G35" i="117"/>
  <c r="V34" i="117"/>
  <c r="M34" i="117" s="1"/>
  <c r="U34" i="117"/>
  <c r="O34" i="117"/>
  <c r="K34" i="117"/>
  <c r="G34" i="117"/>
  <c r="X33" i="117"/>
  <c r="W33" i="117"/>
  <c r="V33" i="117"/>
  <c r="M33" i="117" s="1"/>
  <c r="O33" i="117"/>
  <c r="K33" i="117"/>
  <c r="G33" i="117"/>
  <c r="AD32" i="117"/>
  <c r="AC32" i="117"/>
  <c r="Z32" i="117"/>
  <c r="Y32" i="117"/>
  <c r="O32" i="117"/>
  <c r="K32" i="117"/>
  <c r="V31" i="117"/>
  <c r="M31" i="117" s="1"/>
  <c r="U31" i="117"/>
  <c r="O31" i="117"/>
  <c r="K31" i="117"/>
  <c r="G31" i="117"/>
  <c r="X30" i="117"/>
  <c r="W30" i="117"/>
  <c r="V30" i="117"/>
  <c r="U30" i="117"/>
  <c r="O30" i="117"/>
  <c r="M30" i="117"/>
  <c r="AF30" i="117" s="1"/>
  <c r="K30" i="117"/>
  <c r="G30" i="117"/>
  <c r="V29" i="117"/>
  <c r="M29" i="117" s="1"/>
  <c r="U29" i="117"/>
  <c r="O29" i="117"/>
  <c r="K29" i="117"/>
  <c r="G29" i="117"/>
  <c r="V28" i="117"/>
  <c r="M28" i="117" s="1"/>
  <c r="U28" i="117"/>
  <c r="O28" i="117"/>
  <c r="K28" i="117"/>
  <c r="G28" i="117"/>
  <c r="V27" i="117"/>
  <c r="M27" i="117" s="1"/>
  <c r="U27" i="117"/>
  <c r="O27" i="117"/>
  <c r="K27" i="117"/>
  <c r="G27" i="117"/>
  <c r="X26" i="117"/>
  <c r="W26" i="117"/>
  <c r="V26" i="117"/>
  <c r="M26" i="117" s="1"/>
  <c r="N26" i="117" s="1"/>
  <c r="O26" i="117"/>
  <c r="K26" i="117"/>
  <c r="G26" i="117"/>
  <c r="AD25" i="117"/>
  <c r="G21" i="116" s="1"/>
  <c r="AC25" i="117"/>
  <c r="Z25" i="117"/>
  <c r="Y25" i="117"/>
  <c r="O25" i="117"/>
  <c r="K25" i="117"/>
  <c r="V24" i="117"/>
  <c r="M24" i="117" s="1"/>
  <c r="U24" i="117"/>
  <c r="O24" i="117"/>
  <c r="K24" i="117"/>
  <c r="G24" i="117"/>
  <c r="V23" i="117"/>
  <c r="M23" i="117" s="1"/>
  <c r="U23" i="117"/>
  <c r="O23" i="117"/>
  <c r="K23" i="117"/>
  <c r="G23" i="117"/>
  <c r="V22" i="117"/>
  <c r="M22" i="117" s="1"/>
  <c r="U22" i="117"/>
  <c r="O22" i="117"/>
  <c r="K22" i="117"/>
  <c r="G22" i="117"/>
  <c r="V21" i="117"/>
  <c r="M21" i="117" s="1"/>
  <c r="U21" i="117"/>
  <c r="O21" i="117"/>
  <c r="K21" i="117"/>
  <c r="G21" i="117"/>
  <c r="V20" i="117"/>
  <c r="M20" i="117" s="1"/>
  <c r="U20" i="117"/>
  <c r="O20" i="117"/>
  <c r="K20" i="117"/>
  <c r="G20" i="117"/>
  <c r="V19" i="117"/>
  <c r="M19" i="117" s="1"/>
  <c r="O19" i="117"/>
  <c r="K19" i="117"/>
  <c r="G19" i="117"/>
  <c r="AD18" i="117"/>
  <c r="AC18" i="117"/>
  <c r="Z18" i="117"/>
  <c r="Y18" i="117"/>
  <c r="O18" i="117"/>
  <c r="K18" i="117"/>
  <c r="V17" i="117"/>
  <c r="M17" i="117" s="1"/>
  <c r="U17" i="117"/>
  <c r="O17" i="117"/>
  <c r="K17" i="117"/>
  <c r="G17" i="117"/>
  <c r="V16" i="117"/>
  <c r="M16" i="117" s="1"/>
  <c r="AF16" i="117" s="1"/>
  <c r="U16" i="117"/>
  <c r="O16" i="117"/>
  <c r="K16" i="117"/>
  <c r="G16" i="117"/>
  <c r="V15" i="117"/>
  <c r="M15" i="117" s="1"/>
  <c r="AF15" i="117" s="1"/>
  <c r="U15" i="117"/>
  <c r="O15" i="117"/>
  <c r="K15" i="117"/>
  <c r="G15" i="117"/>
  <c r="V14" i="117"/>
  <c r="O14" i="117"/>
  <c r="M14" i="117"/>
  <c r="K14" i="117"/>
  <c r="G14" i="117"/>
  <c r="AD13" i="117"/>
  <c r="AC13" i="117"/>
  <c r="Z13" i="117"/>
  <c r="Y13" i="117"/>
  <c r="O13" i="117"/>
  <c r="K13" i="117"/>
  <c r="V12" i="117"/>
  <c r="U12" i="117"/>
  <c r="O12" i="117"/>
  <c r="M12" i="117"/>
  <c r="AF12" i="117" s="1"/>
  <c r="K12" i="117"/>
  <c r="G12" i="117"/>
  <c r="X11" i="117"/>
  <c r="W11" i="117"/>
  <c r="V11" i="117"/>
  <c r="U11" i="117"/>
  <c r="O11" i="117"/>
  <c r="M11" i="117"/>
  <c r="AF11" i="117" s="1"/>
  <c r="K11" i="117"/>
  <c r="G11" i="117"/>
  <c r="V10" i="117"/>
  <c r="O10" i="117"/>
  <c r="M10" i="117"/>
  <c r="AF10" i="117" s="1"/>
  <c r="K10" i="117"/>
  <c r="G10" i="117"/>
  <c r="AD9" i="117"/>
  <c r="AC9" i="117"/>
  <c r="Z9" i="117"/>
  <c r="Z2" i="117" s="1"/>
  <c r="L6" i="116" s="1"/>
  <c r="Y9" i="117"/>
  <c r="Y2" i="117" s="1"/>
  <c r="K6" i="116" s="1"/>
  <c r="O9" i="117"/>
  <c r="K9" i="117"/>
  <c r="V8" i="117"/>
  <c r="M8" i="117" s="1"/>
  <c r="AF8" i="117" s="1"/>
  <c r="U8" i="117"/>
  <c r="O8" i="117"/>
  <c r="K8" i="117"/>
  <c r="G8" i="117"/>
  <c r="V7" i="117"/>
  <c r="M7" i="117" s="1"/>
  <c r="AF7" i="117" s="1"/>
  <c r="U7" i="117"/>
  <c r="O7" i="117"/>
  <c r="K7" i="117"/>
  <c r="G7" i="117"/>
  <c r="V6" i="117"/>
  <c r="M6" i="117" s="1"/>
  <c r="U6" i="117"/>
  <c r="O6" i="117"/>
  <c r="K6" i="117"/>
  <c r="G6" i="117"/>
  <c r="V5" i="117"/>
  <c r="O5" i="117"/>
  <c r="N5" i="117"/>
  <c r="Q5" i="117" s="1"/>
  <c r="M5" i="117"/>
  <c r="AE5" i="117" s="1"/>
  <c r="K5" i="117"/>
  <c r="G5" i="117"/>
  <c r="AC2" i="117"/>
  <c r="M6" i="116" s="1"/>
  <c r="H2" i="117"/>
  <c r="H1" i="117"/>
  <c r="D1" i="117"/>
  <c r="M22" i="116"/>
  <c r="L22" i="116"/>
  <c r="K22" i="116"/>
  <c r="J22" i="116"/>
  <c r="I22" i="116"/>
  <c r="H22" i="116"/>
  <c r="G22" i="116"/>
  <c r="F22" i="116"/>
  <c r="E22" i="116"/>
  <c r="D22" i="116"/>
  <c r="M21" i="116"/>
  <c r="L21" i="116"/>
  <c r="K21" i="116"/>
  <c r="J21" i="116"/>
  <c r="I21" i="116"/>
  <c r="H21" i="116"/>
  <c r="F21" i="116"/>
  <c r="E21" i="116"/>
  <c r="D21" i="116"/>
  <c r="M20" i="116"/>
  <c r="L20" i="116"/>
  <c r="K20" i="116"/>
  <c r="J20" i="116"/>
  <c r="I20" i="116"/>
  <c r="H20" i="116"/>
  <c r="G20" i="116"/>
  <c r="F20" i="116"/>
  <c r="E20" i="116"/>
  <c r="D20" i="116"/>
  <c r="M19" i="116"/>
  <c r="L19" i="116"/>
  <c r="K19" i="116"/>
  <c r="J19" i="116"/>
  <c r="I19" i="116"/>
  <c r="H19" i="116"/>
  <c r="G19" i="116"/>
  <c r="F19" i="116"/>
  <c r="E19" i="116"/>
  <c r="D19" i="116"/>
  <c r="M18" i="116"/>
  <c r="L18" i="116"/>
  <c r="K18" i="116"/>
  <c r="J18" i="116"/>
  <c r="I18" i="116"/>
  <c r="H18" i="116"/>
  <c r="G18" i="116"/>
  <c r="F18" i="116"/>
  <c r="E18" i="116"/>
  <c r="D18" i="116"/>
  <c r="M17" i="116"/>
  <c r="L17" i="116"/>
  <c r="K17" i="116"/>
  <c r="J17" i="116"/>
  <c r="I17" i="116"/>
  <c r="H17" i="116"/>
  <c r="G17" i="116"/>
  <c r="F17" i="116"/>
  <c r="E17" i="116"/>
  <c r="D17" i="116"/>
  <c r="M16" i="116"/>
  <c r="L16" i="116"/>
  <c r="K16" i="116"/>
  <c r="J16" i="116"/>
  <c r="I16" i="116"/>
  <c r="H16" i="116"/>
  <c r="G16" i="116"/>
  <c r="F16" i="116"/>
  <c r="E16" i="116"/>
  <c r="D16" i="116"/>
  <c r="M13" i="116"/>
  <c r="L13" i="116"/>
  <c r="K13" i="116"/>
  <c r="I6" i="116" s="1"/>
  <c r="J13" i="116"/>
  <c r="I13" i="116"/>
  <c r="H13" i="116"/>
  <c r="G6" i="116" s="1"/>
  <c r="G13" i="116"/>
  <c r="F13" i="116"/>
  <c r="E13" i="116"/>
  <c r="D13" i="116"/>
  <c r="F3" i="116"/>
  <c r="C3" i="116"/>
  <c r="AE6" i="117" l="1"/>
  <c r="AF6" i="117"/>
  <c r="N6" i="117"/>
  <c r="Q6" i="117" s="1"/>
  <c r="M9" i="117"/>
  <c r="AF9" i="117" s="1"/>
  <c r="AG5" i="117" s="1"/>
  <c r="N29" i="117"/>
  <c r="AE29" i="117"/>
  <c r="AE58" i="117"/>
  <c r="N58" i="117"/>
  <c r="Q58" i="117" s="1"/>
  <c r="AF58" i="117"/>
  <c r="N31" i="117"/>
  <c r="Q31" i="117" s="1"/>
  <c r="AE31" i="117"/>
  <c r="AE38" i="117"/>
  <c r="AF38" i="117"/>
  <c r="N38" i="117"/>
  <c r="Q38" i="117" s="1"/>
  <c r="N33" i="117"/>
  <c r="Q33" i="117" s="1"/>
  <c r="AF33" i="117"/>
  <c r="AE33" i="117"/>
  <c r="N61" i="117"/>
  <c r="AF61" i="117"/>
  <c r="AE61" i="117"/>
  <c r="N40" i="117"/>
  <c r="AF40" i="117"/>
  <c r="AE40" i="117"/>
  <c r="N37" i="117"/>
  <c r="AF37" i="117"/>
  <c r="AE37" i="117"/>
  <c r="AF36" i="117"/>
  <c r="AE41" i="117"/>
  <c r="M18" i="117"/>
  <c r="N18" i="117" s="1"/>
  <c r="Q42" i="117"/>
  <c r="AF64" i="117"/>
  <c r="AF5" i="117"/>
  <c r="N62" i="117"/>
  <c r="Q62" i="117" s="1"/>
  <c r="N30" i="117"/>
  <c r="Q30" i="117" s="1"/>
  <c r="AE57" i="117"/>
  <c r="AF62" i="117"/>
  <c r="AF57" i="117"/>
  <c r="AE35" i="117"/>
  <c r="AE60" i="117"/>
  <c r="M13" i="117"/>
  <c r="AF13" i="117" s="1"/>
  <c r="AG10" i="117" s="1"/>
  <c r="AF60" i="117"/>
  <c r="F1" i="117"/>
  <c r="P41" i="119"/>
  <c r="AE30" i="117"/>
  <c r="P22" i="119"/>
  <c r="K15" i="122"/>
  <c r="I8" i="122" s="1"/>
  <c r="I7" i="122"/>
  <c r="E7" i="122"/>
  <c r="G7" i="122"/>
  <c r="F8" i="122"/>
  <c r="G8" i="122"/>
  <c r="F7" i="122"/>
  <c r="Q25" i="121"/>
  <c r="R20" i="121" s="1"/>
  <c r="P25" i="121"/>
  <c r="G14" i="120"/>
  <c r="G15" i="120" s="1"/>
  <c r="Q57" i="121"/>
  <c r="R50" i="121" s="1"/>
  <c r="P57" i="121"/>
  <c r="J14" i="120"/>
  <c r="J15" i="120" s="1"/>
  <c r="Q42" i="121"/>
  <c r="R38" i="121" s="1"/>
  <c r="P42" i="121"/>
  <c r="H14" i="120"/>
  <c r="H15" i="120" s="1"/>
  <c r="D2" i="121"/>
  <c r="Q10" i="121"/>
  <c r="R5" i="121" s="1"/>
  <c r="P10" i="121"/>
  <c r="D14" i="120"/>
  <c r="Q63" i="121"/>
  <c r="R58" i="121" s="1"/>
  <c r="P63" i="121"/>
  <c r="M14" i="120"/>
  <c r="M15" i="120" s="1"/>
  <c r="Q19" i="121"/>
  <c r="R15" i="121" s="1"/>
  <c r="P19" i="121"/>
  <c r="F14" i="120"/>
  <c r="F15" i="120" s="1"/>
  <c r="Q49" i="121"/>
  <c r="R43" i="121" s="1"/>
  <c r="P49" i="121"/>
  <c r="I14" i="120"/>
  <c r="I15" i="120" s="1"/>
  <c r="Q31" i="121"/>
  <c r="R26" i="121" s="1"/>
  <c r="P31" i="121"/>
  <c r="K14" i="120"/>
  <c r="P37" i="121"/>
  <c r="L14" i="120"/>
  <c r="L15" i="120" s="1"/>
  <c r="Q37" i="121"/>
  <c r="R32" i="121" s="1"/>
  <c r="Q54" i="119"/>
  <c r="P54" i="119"/>
  <c r="Q6" i="119"/>
  <c r="P6" i="119"/>
  <c r="Q12" i="119"/>
  <c r="R10" i="119" s="1"/>
  <c r="E14" i="118"/>
  <c r="E15" i="118" s="1"/>
  <c r="P12" i="119"/>
  <c r="P24" i="119"/>
  <c r="Q24" i="119"/>
  <c r="AE17" i="119"/>
  <c r="N17" i="119"/>
  <c r="AF17" i="119"/>
  <c r="AG13" i="119" s="1"/>
  <c r="Q10" i="119"/>
  <c r="P10" i="119"/>
  <c r="AF61" i="119"/>
  <c r="AG56" i="119" s="1"/>
  <c r="AE61" i="119"/>
  <c r="N61" i="119"/>
  <c r="N47" i="119"/>
  <c r="AF47" i="119"/>
  <c r="AG41" i="119" s="1"/>
  <c r="AE47" i="119"/>
  <c r="Q19" i="119"/>
  <c r="P19" i="119"/>
  <c r="Q52" i="119"/>
  <c r="P52" i="119"/>
  <c r="Q18" i="119"/>
  <c r="P18" i="119"/>
  <c r="Q43" i="119"/>
  <c r="P43" i="119"/>
  <c r="P49" i="119"/>
  <c r="Q49" i="119"/>
  <c r="Q28" i="119"/>
  <c r="P28" i="119"/>
  <c r="Q33" i="119"/>
  <c r="P33" i="119"/>
  <c r="N23" i="119"/>
  <c r="AF23" i="119"/>
  <c r="AG18" i="119" s="1"/>
  <c r="AE23" i="119"/>
  <c r="Q59" i="119"/>
  <c r="P59" i="119"/>
  <c r="Q45" i="119"/>
  <c r="P45" i="119"/>
  <c r="Q21" i="119"/>
  <c r="P21" i="119"/>
  <c r="N9" i="119"/>
  <c r="AF9" i="119"/>
  <c r="AG5" i="119" s="1"/>
  <c r="AE9" i="119"/>
  <c r="Q8" i="119"/>
  <c r="P8" i="119"/>
  <c r="Q26" i="119"/>
  <c r="P26" i="119"/>
  <c r="N40" i="119"/>
  <c r="AF40" i="119"/>
  <c r="AG36" i="119" s="1"/>
  <c r="AE40" i="119"/>
  <c r="Q58" i="119"/>
  <c r="P58" i="119"/>
  <c r="AF29" i="119"/>
  <c r="AG24" i="119" s="1"/>
  <c r="AE29" i="119"/>
  <c r="N29" i="119"/>
  <c r="P11" i="119"/>
  <c r="Q11" i="119"/>
  <c r="Q51" i="119"/>
  <c r="P51" i="119"/>
  <c r="Q30" i="119"/>
  <c r="P30" i="119"/>
  <c r="P15" i="119"/>
  <c r="Q15" i="119"/>
  <c r="Q14" i="119"/>
  <c r="P14" i="119"/>
  <c r="N35" i="119"/>
  <c r="AF35" i="119"/>
  <c r="AG30" i="119" s="1"/>
  <c r="AE35" i="119"/>
  <c r="N55" i="119"/>
  <c r="AF55" i="119"/>
  <c r="AG48" i="119" s="1"/>
  <c r="AE55" i="119"/>
  <c r="Q5" i="119"/>
  <c r="P5" i="119"/>
  <c r="Q42" i="119"/>
  <c r="P42" i="119"/>
  <c r="N27" i="117"/>
  <c r="AF27" i="117"/>
  <c r="AE27" i="117"/>
  <c r="Q57" i="117"/>
  <c r="P57" i="117"/>
  <c r="N52" i="117"/>
  <c r="AF52" i="117"/>
  <c r="AE52" i="117"/>
  <c r="M59" i="117"/>
  <c r="N21" i="117"/>
  <c r="AF21" i="117"/>
  <c r="AE21" i="117"/>
  <c r="Q26" i="117"/>
  <c r="P26" i="117"/>
  <c r="N34" i="117"/>
  <c r="M39" i="117"/>
  <c r="AF34" i="117"/>
  <c r="AE34" i="117"/>
  <c r="N50" i="117"/>
  <c r="AF50" i="117"/>
  <c r="AE50" i="117"/>
  <c r="F2" i="117"/>
  <c r="I3" i="116"/>
  <c r="N55" i="117"/>
  <c r="AF55" i="117"/>
  <c r="AE55" i="117"/>
  <c r="N19" i="117"/>
  <c r="AF19" i="117"/>
  <c r="AE19" i="117"/>
  <c r="M25" i="117"/>
  <c r="N28" i="117"/>
  <c r="AF28" i="117"/>
  <c r="AE28" i="117"/>
  <c r="N24" i="117"/>
  <c r="AF24" i="117"/>
  <c r="AE24" i="117"/>
  <c r="Q35" i="117"/>
  <c r="P35" i="117"/>
  <c r="Q41" i="117"/>
  <c r="P41" i="117"/>
  <c r="N53" i="117"/>
  <c r="AF53" i="117"/>
  <c r="AE53" i="117"/>
  <c r="AE18" i="117"/>
  <c r="AF17" i="117"/>
  <c r="AE17" i="117"/>
  <c r="N17" i="117"/>
  <c r="Q61" i="117"/>
  <c r="P61" i="117"/>
  <c r="N22" i="117"/>
  <c r="AF22" i="117"/>
  <c r="AE22" i="117"/>
  <c r="Q29" i="117"/>
  <c r="P29" i="117"/>
  <c r="Q37" i="117"/>
  <c r="P37" i="117"/>
  <c r="Q40" i="117"/>
  <c r="P40" i="117"/>
  <c r="N56" i="117"/>
  <c r="AF56" i="117"/>
  <c r="AE56" i="117"/>
  <c r="N23" i="117"/>
  <c r="AF23" i="117"/>
  <c r="AE23" i="117"/>
  <c r="N20" i="117"/>
  <c r="AF20" i="117"/>
  <c r="AE20" i="117"/>
  <c r="AF49" i="117"/>
  <c r="AE49" i="117"/>
  <c r="N49" i="117"/>
  <c r="Q60" i="117"/>
  <c r="P60" i="117"/>
  <c r="N54" i="117"/>
  <c r="AF54" i="117"/>
  <c r="AE54" i="117"/>
  <c r="AD2" i="117"/>
  <c r="N6" i="116" s="1"/>
  <c r="N9" i="117"/>
  <c r="N13" i="117"/>
  <c r="N16" i="117"/>
  <c r="AF29" i="117"/>
  <c r="AF31" i="117"/>
  <c r="AF35" i="117"/>
  <c r="AF41" i="117"/>
  <c r="M44" i="117"/>
  <c r="N48" i="117"/>
  <c r="M66" i="117"/>
  <c r="E6" i="116"/>
  <c r="F6" i="116"/>
  <c r="N10" i="117"/>
  <c r="N11" i="117"/>
  <c r="N14" i="117"/>
  <c r="N15" i="117"/>
  <c r="AE26" i="117"/>
  <c r="N47" i="117"/>
  <c r="N8" i="117"/>
  <c r="N12" i="117"/>
  <c r="AF26" i="117"/>
  <c r="M32" i="117"/>
  <c r="N45" i="117"/>
  <c r="N46" i="117"/>
  <c r="N64" i="117"/>
  <c r="N7" i="117"/>
  <c r="N43" i="117"/>
  <c r="N63" i="117"/>
  <c r="N65" i="117"/>
  <c r="P5" i="117"/>
  <c r="P6" i="117"/>
  <c r="AE16" i="117"/>
  <c r="P30" i="117"/>
  <c r="P33" i="117"/>
  <c r="P36" i="117"/>
  <c r="P38" i="117"/>
  <c r="P42" i="117"/>
  <c r="AE48" i="117"/>
  <c r="P58" i="117"/>
  <c r="P62" i="117"/>
  <c r="AE10" i="117"/>
  <c r="AE14" i="117"/>
  <c r="AE15" i="117"/>
  <c r="AE47" i="117"/>
  <c r="M51" i="117"/>
  <c r="AE8" i="117"/>
  <c r="AE9" i="117"/>
  <c r="AE12" i="117"/>
  <c r="AF14" i="117"/>
  <c r="AE45" i="117"/>
  <c r="AE46" i="117"/>
  <c r="AE7" i="117"/>
  <c r="AE11" i="117"/>
  <c r="AE43" i="117"/>
  <c r="AE63" i="117"/>
  <c r="AE65" i="117"/>
  <c r="AD67" i="115"/>
  <c r="Z67" i="115"/>
  <c r="Y67" i="115"/>
  <c r="M18" i="114" s="1"/>
  <c r="O67" i="115"/>
  <c r="K67" i="115"/>
  <c r="V66" i="115"/>
  <c r="U66" i="115"/>
  <c r="O66" i="115"/>
  <c r="M66" i="115"/>
  <c r="AE66" i="115" s="1"/>
  <c r="K66" i="115"/>
  <c r="G66" i="115"/>
  <c r="X65" i="115"/>
  <c r="W65" i="115"/>
  <c r="V65" i="115"/>
  <c r="M65" i="115" s="1"/>
  <c r="N65" i="115" s="1"/>
  <c r="U65" i="115"/>
  <c r="O65" i="115"/>
  <c r="K65" i="115"/>
  <c r="G65" i="115"/>
  <c r="V64" i="115"/>
  <c r="U64" i="115"/>
  <c r="O64" i="115"/>
  <c r="M64" i="115"/>
  <c r="AE64" i="115" s="1"/>
  <c r="K64" i="115"/>
  <c r="G64" i="115"/>
  <c r="V63" i="115"/>
  <c r="M63" i="115" s="1"/>
  <c r="U63" i="115"/>
  <c r="O63" i="115"/>
  <c r="K63" i="115"/>
  <c r="G63" i="115"/>
  <c r="AE62" i="115"/>
  <c r="V62" i="115"/>
  <c r="U62" i="115"/>
  <c r="O62" i="115"/>
  <c r="M62" i="115"/>
  <c r="AF62" i="115" s="1"/>
  <c r="K62" i="115"/>
  <c r="G62" i="115"/>
  <c r="X61" i="115"/>
  <c r="W61" i="115"/>
  <c r="V61" i="115"/>
  <c r="M61" i="115" s="1"/>
  <c r="O61" i="115"/>
  <c r="K61" i="115"/>
  <c r="G61" i="115"/>
  <c r="AD60" i="115"/>
  <c r="Z60" i="115"/>
  <c r="Y60" i="115"/>
  <c r="O60" i="115"/>
  <c r="K60" i="115"/>
  <c r="V59" i="115"/>
  <c r="U59" i="115"/>
  <c r="O59" i="115"/>
  <c r="M59" i="115"/>
  <c r="AF59" i="115" s="1"/>
  <c r="K59" i="115"/>
  <c r="G59" i="115"/>
  <c r="V58" i="115"/>
  <c r="M58" i="115" s="1"/>
  <c r="U58" i="115"/>
  <c r="O58" i="115"/>
  <c r="K58" i="115"/>
  <c r="G58" i="115"/>
  <c r="V57" i="115"/>
  <c r="M57" i="115" s="1"/>
  <c r="U57" i="115"/>
  <c r="O57" i="115"/>
  <c r="K57" i="115"/>
  <c r="G57" i="115"/>
  <c r="V56" i="115"/>
  <c r="M56" i="115" s="1"/>
  <c r="U56" i="115"/>
  <c r="O56" i="115"/>
  <c r="K56" i="115"/>
  <c r="G56" i="115"/>
  <c r="V55" i="115"/>
  <c r="M55" i="115" s="1"/>
  <c r="U55" i="115"/>
  <c r="O55" i="115"/>
  <c r="K55" i="115"/>
  <c r="G55" i="115"/>
  <c r="V54" i="115"/>
  <c r="M54" i="115" s="1"/>
  <c r="U54" i="115"/>
  <c r="O54" i="115"/>
  <c r="K54" i="115"/>
  <c r="G54" i="115"/>
  <c r="V53" i="115"/>
  <c r="M53" i="115" s="1"/>
  <c r="O53" i="115"/>
  <c r="K53" i="115"/>
  <c r="G53" i="115"/>
  <c r="AD52" i="115"/>
  <c r="Z52" i="115"/>
  <c r="Y52" i="115"/>
  <c r="O52" i="115"/>
  <c r="K52" i="115"/>
  <c r="V51" i="115"/>
  <c r="U51" i="115"/>
  <c r="O51" i="115"/>
  <c r="M51" i="115"/>
  <c r="AF51" i="115" s="1"/>
  <c r="K51" i="115"/>
  <c r="G51" i="115"/>
  <c r="V50" i="115"/>
  <c r="M50" i="115" s="1"/>
  <c r="U50" i="115"/>
  <c r="O50" i="115"/>
  <c r="K50" i="115"/>
  <c r="G50" i="115"/>
  <c r="V49" i="115"/>
  <c r="U49" i="115"/>
  <c r="O49" i="115"/>
  <c r="M49" i="115"/>
  <c r="AF49" i="115" s="1"/>
  <c r="K49" i="115"/>
  <c r="G49" i="115"/>
  <c r="V48" i="115"/>
  <c r="M48" i="115" s="1"/>
  <c r="AE48" i="115" s="1"/>
  <c r="U48" i="115"/>
  <c r="O48" i="115"/>
  <c r="K48" i="115"/>
  <c r="G48" i="115"/>
  <c r="V47" i="115"/>
  <c r="M47" i="115" s="1"/>
  <c r="U47" i="115"/>
  <c r="O47" i="115"/>
  <c r="K47" i="115"/>
  <c r="G47" i="115"/>
  <c r="V46" i="115"/>
  <c r="M46" i="115" s="1"/>
  <c r="O46" i="115"/>
  <c r="K46" i="115"/>
  <c r="G46" i="115"/>
  <c r="AD45" i="115"/>
  <c r="Z45" i="115"/>
  <c r="Y45" i="115"/>
  <c r="O45" i="115"/>
  <c r="K45" i="115"/>
  <c r="V44" i="115"/>
  <c r="M44" i="115" s="1"/>
  <c r="U44" i="115"/>
  <c r="O44" i="115"/>
  <c r="K44" i="115"/>
  <c r="G44" i="115"/>
  <c r="V43" i="115"/>
  <c r="M43" i="115" s="1"/>
  <c r="U43" i="115"/>
  <c r="O43" i="115"/>
  <c r="K43" i="115"/>
  <c r="G43" i="115"/>
  <c r="V42" i="115"/>
  <c r="M42" i="115" s="1"/>
  <c r="U42" i="115"/>
  <c r="O42" i="115"/>
  <c r="K42" i="115"/>
  <c r="G42" i="115"/>
  <c r="X41" i="115"/>
  <c r="W41" i="115"/>
  <c r="V41" i="115"/>
  <c r="M41" i="115" s="1"/>
  <c r="O41" i="115"/>
  <c r="K41" i="115"/>
  <c r="G41" i="115"/>
  <c r="AD40" i="115"/>
  <c r="Z40" i="115"/>
  <c r="L19" i="114" s="1"/>
  <c r="Y40" i="115"/>
  <c r="O40" i="115"/>
  <c r="K40" i="115"/>
  <c r="V39" i="115"/>
  <c r="M39" i="115" s="1"/>
  <c r="U39" i="115"/>
  <c r="O39" i="115"/>
  <c r="K39" i="115"/>
  <c r="G39" i="115"/>
  <c r="V38" i="115"/>
  <c r="M38" i="115" s="1"/>
  <c r="U38" i="115"/>
  <c r="O38" i="115"/>
  <c r="K38" i="115"/>
  <c r="G38" i="115"/>
  <c r="X37" i="115"/>
  <c r="W37" i="115"/>
  <c r="V37" i="115"/>
  <c r="M37" i="115" s="1"/>
  <c r="U37" i="115"/>
  <c r="O37" i="115"/>
  <c r="K37" i="115"/>
  <c r="G37" i="115"/>
  <c r="V36" i="115"/>
  <c r="M36" i="115" s="1"/>
  <c r="U36" i="115"/>
  <c r="O36" i="115"/>
  <c r="K36" i="115"/>
  <c r="G36" i="115"/>
  <c r="V35" i="115"/>
  <c r="M35" i="115" s="1"/>
  <c r="U35" i="115"/>
  <c r="O35" i="115"/>
  <c r="K35" i="115"/>
  <c r="G35" i="115"/>
  <c r="V34" i="115"/>
  <c r="M34" i="115" s="1"/>
  <c r="U34" i="115"/>
  <c r="O34" i="115"/>
  <c r="K34" i="115"/>
  <c r="G34" i="115"/>
  <c r="X33" i="115"/>
  <c r="W33" i="115"/>
  <c r="V33" i="115"/>
  <c r="M33" i="115" s="1"/>
  <c r="O33" i="115"/>
  <c r="K33" i="115"/>
  <c r="G33" i="115"/>
  <c r="AD32" i="115"/>
  <c r="Z32" i="115"/>
  <c r="K19" i="114" s="1"/>
  <c r="Y32" i="115"/>
  <c r="K18" i="114" s="1"/>
  <c r="O32" i="115"/>
  <c r="K32" i="115"/>
  <c r="V31" i="115"/>
  <c r="M31" i="115" s="1"/>
  <c r="U31" i="115"/>
  <c r="O31" i="115"/>
  <c r="K31" i="115"/>
  <c r="G31" i="115"/>
  <c r="X30" i="115"/>
  <c r="W30" i="115"/>
  <c r="V30" i="115"/>
  <c r="M30" i="115" s="1"/>
  <c r="U30" i="115"/>
  <c r="O30" i="115"/>
  <c r="K30" i="115"/>
  <c r="G30" i="115"/>
  <c r="V29" i="115"/>
  <c r="M29" i="115" s="1"/>
  <c r="U29" i="115"/>
  <c r="O29" i="115"/>
  <c r="K29" i="115"/>
  <c r="G29" i="115"/>
  <c r="V28" i="115"/>
  <c r="M28" i="115" s="1"/>
  <c r="AF28" i="115" s="1"/>
  <c r="U28" i="115"/>
  <c r="O28" i="115"/>
  <c r="K28" i="115"/>
  <c r="G28" i="115"/>
  <c r="V27" i="115"/>
  <c r="M27" i="115" s="1"/>
  <c r="U27" i="115"/>
  <c r="O27" i="115"/>
  <c r="K27" i="115"/>
  <c r="G27" i="115"/>
  <c r="X26" i="115"/>
  <c r="W26" i="115"/>
  <c r="V26" i="115"/>
  <c r="M26" i="115" s="1"/>
  <c r="O26" i="115"/>
  <c r="K26" i="115"/>
  <c r="G26" i="115"/>
  <c r="AD25" i="115"/>
  <c r="G21" i="114" s="1"/>
  <c r="Z25" i="115"/>
  <c r="Y25" i="115"/>
  <c r="O25" i="115"/>
  <c r="K25" i="115"/>
  <c r="V24" i="115"/>
  <c r="M24" i="115" s="1"/>
  <c r="U24" i="115"/>
  <c r="O24" i="115"/>
  <c r="K24" i="115"/>
  <c r="G24" i="115"/>
  <c r="V23" i="115"/>
  <c r="M23" i="115" s="1"/>
  <c r="AF23" i="115" s="1"/>
  <c r="U23" i="115"/>
  <c r="O23" i="115"/>
  <c r="K23" i="115"/>
  <c r="G23" i="115"/>
  <c r="V22" i="115"/>
  <c r="U22" i="115"/>
  <c r="O22" i="115"/>
  <c r="M22" i="115"/>
  <c r="AE22" i="115" s="1"/>
  <c r="K22" i="115"/>
  <c r="G22" i="115"/>
  <c r="V21" i="115"/>
  <c r="M21" i="115" s="1"/>
  <c r="U21" i="115"/>
  <c r="O21" i="115"/>
  <c r="K21" i="115"/>
  <c r="G21" i="115"/>
  <c r="V20" i="115"/>
  <c r="U20" i="115"/>
  <c r="O20" i="115"/>
  <c r="M20" i="115"/>
  <c r="AE20" i="115" s="1"/>
  <c r="K20" i="115"/>
  <c r="G20" i="115"/>
  <c r="V19" i="115"/>
  <c r="O19" i="115"/>
  <c r="M19" i="115"/>
  <c r="K19" i="115"/>
  <c r="G19" i="115"/>
  <c r="AD18" i="115"/>
  <c r="F21" i="114" s="1"/>
  <c r="Z18" i="115"/>
  <c r="Y18" i="115"/>
  <c r="O18" i="115"/>
  <c r="K18" i="115"/>
  <c r="V17" i="115"/>
  <c r="M17" i="115" s="1"/>
  <c r="U17" i="115"/>
  <c r="O17" i="115"/>
  <c r="K17" i="115"/>
  <c r="G17" i="115"/>
  <c r="V16" i="115"/>
  <c r="M16" i="115" s="1"/>
  <c r="U16" i="115"/>
  <c r="O16" i="115"/>
  <c r="K16" i="115"/>
  <c r="G16" i="115"/>
  <c r="V15" i="115"/>
  <c r="M15" i="115" s="1"/>
  <c r="U15" i="115"/>
  <c r="O15" i="115"/>
  <c r="K15" i="115"/>
  <c r="G15" i="115"/>
  <c r="V14" i="115"/>
  <c r="M14" i="115" s="1"/>
  <c r="O14" i="115"/>
  <c r="K14" i="115"/>
  <c r="G14" i="115"/>
  <c r="AD13" i="115"/>
  <c r="Z13" i="115"/>
  <c r="Y13" i="115"/>
  <c r="O13" i="115"/>
  <c r="K13" i="115"/>
  <c r="V12" i="115"/>
  <c r="M12" i="115" s="1"/>
  <c r="U12" i="115"/>
  <c r="O12" i="115"/>
  <c r="K12" i="115"/>
  <c r="G12" i="115"/>
  <c r="X11" i="115"/>
  <c r="W11" i="115"/>
  <c r="V11" i="115"/>
  <c r="M11" i="115" s="1"/>
  <c r="U11" i="115"/>
  <c r="O11" i="115"/>
  <c r="K11" i="115"/>
  <c r="G11" i="115"/>
  <c r="V10" i="115"/>
  <c r="M10" i="115" s="1"/>
  <c r="O10" i="115"/>
  <c r="K10" i="115"/>
  <c r="G10" i="115"/>
  <c r="AD9" i="115"/>
  <c r="D21" i="114" s="1"/>
  <c r="Z9" i="115"/>
  <c r="Y9" i="115"/>
  <c r="Y2" i="115" s="1"/>
  <c r="K6" i="114" s="1"/>
  <c r="O9" i="115"/>
  <c r="K9" i="115"/>
  <c r="V8" i="115"/>
  <c r="M8" i="115" s="1"/>
  <c r="AF8" i="115" s="1"/>
  <c r="U8" i="115"/>
  <c r="O8" i="115"/>
  <c r="K8" i="115"/>
  <c r="G8" i="115"/>
  <c r="V7" i="115"/>
  <c r="M7" i="115" s="1"/>
  <c r="U7" i="115"/>
  <c r="O7" i="115"/>
  <c r="K7" i="115"/>
  <c r="G7" i="115"/>
  <c r="V6" i="115"/>
  <c r="M6" i="115" s="1"/>
  <c r="AF6" i="115" s="1"/>
  <c r="U6" i="115"/>
  <c r="O6" i="115"/>
  <c r="K6" i="115"/>
  <c r="G6" i="115"/>
  <c r="V5" i="115"/>
  <c r="M5" i="115" s="1"/>
  <c r="M9" i="115" s="1"/>
  <c r="O5" i="115"/>
  <c r="K5" i="115"/>
  <c r="G5" i="115"/>
  <c r="H2" i="115"/>
  <c r="H1" i="115"/>
  <c r="D1" i="115"/>
  <c r="M22" i="114"/>
  <c r="L22" i="114"/>
  <c r="K22" i="114"/>
  <c r="J22" i="114"/>
  <c r="I22" i="114"/>
  <c r="H22" i="114"/>
  <c r="G22" i="114"/>
  <c r="F22" i="114"/>
  <c r="E22" i="114"/>
  <c r="D22" i="114"/>
  <c r="M21" i="114"/>
  <c r="L21" i="114"/>
  <c r="K21" i="114"/>
  <c r="J21" i="114"/>
  <c r="I21" i="114"/>
  <c r="H21" i="114"/>
  <c r="E21" i="114"/>
  <c r="M20" i="114"/>
  <c r="L20" i="114"/>
  <c r="K20" i="114"/>
  <c r="J20" i="114"/>
  <c r="I20" i="114"/>
  <c r="H20" i="114"/>
  <c r="G20" i="114"/>
  <c r="F20" i="114"/>
  <c r="E20" i="114"/>
  <c r="D20" i="114"/>
  <c r="M19" i="114"/>
  <c r="J19" i="114"/>
  <c r="I19" i="114"/>
  <c r="H19" i="114"/>
  <c r="G19" i="114"/>
  <c r="F19" i="114"/>
  <c r="E19" i="114"/>
  <c r="D19" i="114"/>
  <c r="L18" i="114"/>
  <c r="J18" i="114"/>
  <c r="I18" i="114"/>
  <c r="H18" i="114"/>
  <c r="G18" i="114"/>
  <c r="F18" i="114"/>
  <c r="E18" i="114"/>
  <c r="D18" i="114"/>
  <c r="M17" i="114"/>
  <c r="L17" i="114"/>
  <c r="K17" i="114"/>
  <c r="J17" i="114"/>
  <c r="I17" i="114"/>
  <c r="H17" i="114"/>
  <c r="G17" i="114"/>
  <c r="F17" i="114"/>
  <c r="E17" i="114"/>
  <c r="D17" i="114"/>
  <c r="M16" i="114"/>
  <c r="L16" i="114"/>
  <c r="K16" i="114"/>
  <c r="J16" i="114"/>
  <c r="I16" i="114"/>
  <c r="H16" i="114"/>
  <c r="G16" i="114"/>
  <c r="F16" i="114"/>
  <c r="E16" i="114"/>
  <c r="D16" i="114"/>
  <c r="M13" i="114"/>
  <c r="L13" i="114"/>
  <c r="K13" i="114"/>
  <c r="I6" i="114" s="1"/>
  <c r="J13" i="114"/>
  <c r="I13" i="114"/>
  <c r="H13" i="114"/>
  <c r="G6" i="114" s="1"/>
  <c r="G13" i="114"/>
  <c r="F13" i="114"/>
  <c r="E13" i="114"/>
  <c r="D13" i="114"/>
  <c r="M6" i="114"/>
  <c r="F3" i="114"/>
  <c r="C3" i="114"/>
  <c r="AF24" i="115" l="1"/>
  <c r="N24" i="115"/>
  <c r="Q24" i="115" s="1"/>
  <c r="AF21" i="115"/>
  <c r="AE21" i="115"/>
  <c r="N21" i="115"/>
  <c r="Q21" i="115" s="1"/>
  <c r="AE63" i="115"/>
  <c r="AF63" i="115"/>
  <c r="N63" i="115"/>
  <c r="Q63" i="115" s="1"/>
  <c r="AE47" i="115"/>
  <c r="N47" i="115"/>
  <c r="Q47" i="115" s="1"/>
  <c r="AF47" i="115"/>
  <c r="AF50" i="115"/>
  <c r="N50" i="115"/>
  <c r="Q50" i="115" s="1"/>
  <c r="N61" i="115"/>
  <c r="AF61" i="115"/>
  <c r="AE61" i="115"/>
  <c r="AF7" i="115"/>
  <c r="N7" i="115"/>
  <c r="Q7" i="115" s="1"/>
  <c r="AF27" i="115"/>
  <c r="N27" i="115"/>
  <c r="Q27" i="115" s="1"/>
  <c r="M52" i="115"/>
  <c r="AF46" i="115"/>
  <c r="AE46" i="115"/>
  <c r="N46" i="115"/>
  <c r="Q46" i="115" s="1"/>
  <c r="AF20" i="115"/>
  <c r="N59" i="115"/>
  <c r="Q59" i="115" s="1"/>
  <c r="M25" i="115"/>
  <c r="N62" i="115"/>
  <c r="Q62" i="115" s="1"/>
  <c r="N19" i="115"/>
  <c r="Q19" i="115" s="1"/>
  <c r="AE59" i="115"/>
  <c r="F1" i="115"/>
  <c r="AE19" i="115"/>
  <c r="AF19" i="115"/>
  <c r="AE13" i="117"/>
  <c r="N20" i="115"/>
  <c r="Q20" i="115" s="1"/>
  <c r="AF18" i="117"/>
  <c r="AG14" i="117" s="1"/>
  <c r="P31" i="117"/>
  <c r="Z2" i="115"/>
  <c r="L6" i="114" s="1"/>
  <c r="E8" i="122"/>
  <c r="K15" i="120"/>
  <c r="I8" i="120" s="1"/>
  <c r="I7" i="120"/>
  <c r="D15" i="120"/>
  <c r="F7" i="120"/>
  <c r="G7" i="120"/>
  <c r="E7" i="120"/>
  <c r="K14" i="118"/>
  <c r="Q29" i="119"/>
  <c r="R24" i="119" s="1"/>
  <c r="P29" i="119"/>
  <c r="G14" i="118"/>
  <c r="G15" i="118" s="1"/>
  <c r="P23" i="119"/>
  <c r="Q23" i="119"/>
  <c r="R18" i="119" s="1"/>
  <c r="Q17" i="119"/>
  <c r="R13" i="119" s="1"/>
  <c r="F14" i="118"/>
  <c r="F15" i="118" s="1"/>
  <c r="P17" i="119"/>
  <c r="P61" i="119"/>
  <c r="M14" i="118"/>
  <c r="M15" i="118" s="1"/>
  <c r="Q61" i="119"/>
  <c r="R56" i="119" s="1"/>
  <c r="Q47" i="119"/>
  <c r="R41" i="119" s="1"/>
  <c r="P47" i="119"/>
  <c r="I14" i="118"/>
  <c r="I15" i="118" s="1"/>
  <c r="Q55" i="119"/>
  <c r="R48" i="119" s="1"/>
  <c r="P55" i="119"/>
  <c r="J14" i="118"/>
  <c r="J15" i="118" s="1"/>
  <c r="D14" i="118"/>
  <c r="Q9" i="119"/>
  <c r="R5" i="119" s="1"/>
  <c r="P9" i="119"/>
  <c r="D2" i="119"/>
  <c r="P40" i="119"/>
  <c r="Q40" i="119"/>
  <c r="R36" i="119" s="1"/>
  <c r="H14" i="118"/>
  <c r="H15" i="118" s="1"/>
  <c r="P35" i="119"/>
  <c r="L14" i="118"/>
  <c r="L15" i="118" s="1"/>
  <c r="Q35" i="119"/>
  <c r="R30" i="119" s="1"/>
  <c r="Q63" i="117"/>
  <c r="P63" i="117"/>
  <c r="Q15" i="117"/>
  <c r="P15" i="117"/>
  <c r="Q24" i="117"/>
  <c r="P24" i="117"/>
  <c r="P21" i="117"/>
  <c r="Q21" i="117"/>
  <c r="Q43" i="117"/>
  <c r="P43" i="117"/>
  <c r="Q14" i="117"/>
  <c r="P14" i="117"/>
  <c r="Q16" i="117"/>
  <c r="P16" i="117"/>
  <c r="AE59" i="117"/>
  <c r="N59" i="117"/>
  <c r="AF59" i="117"/>
  <c r="AG52" i="117" s="1"/>
  <c r="Q7" i="117"/>
  <c r="P7" i="117"/>
  <c r="Q11" i="117"/>
  <c r="P11" i="117"/>
  <c r="Q13" i="117"/>
  <c r="R10" i="117" s="1"/>
  <c r="P13" i="117"/>
  <c r="E14" i="116"/>
  <c r="E15" i="116" s="1"/>
  <c r="P18" i="117"/>
  <c r="F14" i="116"/>
  <c r="F15" i="116" s="1"/>
  <c r="Q18" i="117"/>
  <c r="R14" i="117" s="1"/>
  <c r="Q46" i="117"/>
  <c r="P46" i="117"/>
  <c r="N25" i="117"/>
  <c r="AF25" i="117"/>
  <c r="AG19" i="117" s="1"/>
  <c r="AE25" i="117"/>
  <c r="P52" i="117"/>
  <c r="Q52" i="117"/>
  <c r="Q20" i="117"/>
  <c r="P20" i="117"/>
  <c r="Q45" i="117"/>
  <c r="P45" i="117"/>
  <c r="P53" i="117"/>
  <c r="Q53" i="117"/>
  <c r="Q64" i="117"/>
  <c r="P64" i="117"/>
  <c r="N32" i="117"/>
  <c r="AE32" i="117"/>
  <c r="AF32" i="117"/>
  <c r="AG26" i="117" s="1"/>
  <c r="AF66" i="117"/>
  <c r="AG60" i="117" s="1"/>
  <c r="AE66" i="117"/>
  <c r="N66" i="117"/>
  <c r="Q23" i="117"/>
  <c r="P23" i="117"/>
  <c r="P22" i="117"/>
  <c r="Q22" i="117"/>
  <c r="AE39" i="117"/>
  <c r="N39" i="117"/>
  <c r="AF39" i="117"/>
  <c r="AG33" i="117" s="1"/>
  <c r="Q10" i="117"/>
  <c r="P10" i="117"/>
  <c r="N51" i="117"/>
  <c r="AF51" i="117"/>
  <c r="AG45" i="117" s="1"/>
  <c r="AE51" i="117"/>
  <c r="Q48" i="117"/>
  <c r="P48" i="117"/>
  <c r="P54" i="117"/>
  <c r="Q54" i="117"/>
  <c r="Q19" i="117"/>
  <c r="P19" i="117"/>
  <c r="Q34" i="117"/>
  <c r="P34" i="117"/>
  <c r="Q9" i="117"/>
  <c r="R5" i="117" s="1"/>
  <c r="P9" i="117"/>
  <c r="D14" i="116"/>
  <c r="Q12" i="117"/>
  <c r="P12" i="117"/>
  <c r="AF44" i="117"/>
  <c r="AG40" i="117" s="1"/>
  <c r="AE44" i="117"/>
  <c r="N44" i="117"/>
  <c r="Q8" i="117"/>
  <c r="P8" i="117"/>
  <c r="Q56" i="117"/>
  <c r="P56" i="117"/>
  <c r="Q17" i="117"/>
  <c r="P17" i="117"/>
  <c r="Q28" i="117"/>
  <c r="P28" i="117"/>
  <c r="Q47" i="117"/>
  <c r="P47" i="117"/>
  <c r="Q49" i="117"/>
  <c r="P49" i="117"/>
  <c r="Q55" i="117"/>
  <c r="P55" i="117"/>
  <c r="Q50" i="117"/>
  <c r="P50" i="117"/>
  <c r="Q65" i="117"/>
  <c r="P65" i="117"/>
  <c r="Q27" i="117"/>
  <c r="P27" i="117"/>
  <c r="AF31" i="115"/>
  <c r="AE31" i="115"/>
  <c r="N31" i="115"/>
  <c r="N37" i="115"/>
  <c r="AF37" i="115"/>
  <c r="AE37" i="115"/>
  <c r="F2" i="115"/>
  <c r="I3" i="114"/>
  <c r="N33" i="115"/>
  <c r="AF33" i="115"/>
  <c r="M40" i="115"/>
  <c r="AE33" i="115"/>
  <c r="AF11" i="115"/>
  <c r="AE11" i="115"/>
  <c r="N11" i="115"/>
  <c r="AF54" i="115"/>
  <c r="AE54" i="115"/>
  <c r="N54" i="115"/>
  <c r="AF25" i="115"/>
  <c r="AG19" i="115" s="1"/>
  <c r="AE25" i="115"/>
  <c r="N25" i="115"/>
  <c r="N57" i="115"/>
  <c r="AF57" i="115"/>
  <c r="AE57" i="115"/>
  <c r="N14" i="115"/>
  <c r="M18" i="115"/>
  <c r="AF14" i="115"/>
  <c r="AE14" i="115"/>
  <c r="N36" i="115"/>
  <c r="AF36" i="115"/>
  <c r="AE36" i="115"/>
  <c r="N38" i="115"/>
  <c r="AF38" i="115"/>
  <c r="AE38" i="115"/>
  <c r="N15" i="115"/>
  <c r="AF15" i="115"/>
  <c r="AE15" i="115"/>
  <c r="N39" i="115"/>
  <c r="AF39" i="115"/>
  <c r="AE39" i="115"/>
  <c r="N55" i="115"/>
  <c r="AF55" i="115"/>
  <c r="AE55" i="115"/>
  <c r="AF29" i="115"/>
  <c r="AE29" i="115"/>
  <c r="N29" i="115"/>
  <c r="M32" i="115"/>
  <c r="AF26" i="115"/>
  <c r="AE26" i="115"/>
  <c r="N26" i="115"/>
  <c r="AF34" i="115"/>
  <c r="AE34" i="115"/>
  <c r="N34" i="115"/>
  <c r="N41" i="115"/>
  <c r="M45" i="115"/>
  <c r="AF41" i="115"/>
  <c r="AE41" i="115"/>
  <c r="N43" i="115"/>
  <c r="AF43" i="115"/>
  <c r="AE43" i="115"/>
  <c r="AF9" i="115"/>
  <c r="AG5" i="115" s="1"/>
  <c r="AE9" i="115"/>
  <c r="N9" i="115"/>
  <c r="N42" i="115"/>
  <c r="AF42" i="115"/>
  <c r="AE42" i="115"/>
  <c r="N16" i="115"/>
  <c r="AF16" i="115"/>
  <c r="AE16" i="115"/>
  <c r="M13" i="115"/>
  <c r="AF10" i="115"/>
  <c r="AE10" i="115"/>
  <c r="N10" i="115"/>
  <c r="AF12" i="115"/>
  <c r="AE12" i="115"/>
  <c r="N12" i="115"/>
  <c r="N17" i="115"/>
  <c r="AF17" i="115"/>
  <c r="AE17" i="115"/>
  <c r="AF30" i="115"/>
  <c r="AE30" i="115"/>
  <c r="N30" i="115"/>
  <c r="AF52" i="115"/>
  <c r="AG46" i="115" s="1"/>
  <c r="AE52" i="115"/>
  <c r="N52" i="115"/>
  <c r="AF53" i="115"/>
  <c r="AE53" i="115"/>
  <c r="M60" i="115"/>
  <c r="N53" i="115"/>
  <c r="N58" i="115"/>
  <c r="AF58" i="115"/>
  <c r="AE58" i="115"/>
  <c r="Q65" i="115"/>
  <c r="P65" i="115"/>
  <c r="N56" i="115"/>
  <c r="AF56" i="115"/>
  <c r="AE56" i="115"/>
  <c r="AF35" i="115"/>
  <c r="AE35" i="115"/>
  <c r="N35" i="115"/>
  <c r="N44" i="115"/>
  <c r="AF44" i="115"/>
  <c r="AE44" i="115"/>
  <c r="Q61" i="115"/>
  <c r="P61" i="115"/>
  <c r="AD2" i="115"/>
  <c r="N6" i="114" s="1"/>
  <c r="AF22" i="115"/>
  <c r="AF48" i="115"/>
  <c r="AF64" i="115"/>
  <c r="AE65" i="115"/>
  <c r="AF66" i="115"/>
  <c r="AF65" i="115"/>
  <c r="F6" i="114"/>
  <c r="N8" i="115"/>
  <c r="N28" i="115"/>
  <c r="N51" i="115"/>
  <c r="M67" i="115"/>
  <c r="E6" i="114"/>
  <c r="N5" i="115"/>
  <c r="N6" i="115"/>
  <c r="N23" i="115"/>
  <c r="N49" i="115"/>
  <c r="P7" i="115"/>
  <c r="N22" i="115"/>
  <c r="P24" i="115"/>
  <c r="P27" i="115"/>
  <c r="N48" i="115"/>
  <c r="P50" i="115"/>
  <c r="N64" i="115"/>
  <c r="N66" i="115"/>
  <c r="AE8" i="115"/>
  <c r="P21" i="115"/>
  <c r="AE28" i="115"/>
  <c r="P46" i="115"/>
  <c r="P47" i="115"/>
  <c r="AE51" i="115"/>
  <c r="P63" i="115"/>
  <c r="AE7" i="115"/>
  <c r="P19" i="115"/>
  <c r="P20" i="115"/>
  <c r="AE24" i="115"/>
  <c r="AE27" i="115"/>
  <c r="AE50" i="115"/>
  <c r="P59" i="115"/>
  <c r="P62" i="115"/>
  <c r="AE5" i="115"/>
  <c r="AE6" i="115"/>
  <c r="AE23" i="115"/>
  <c r="AE49" i="115"/>
  <c r="AF5" i="115"/>
  <c r="AD70" i="113"/>
  <c r="Z70" i="113"/>
  <c r="Y70" i="113"/>
  <c r="M18" i="112" s="1"/>
  <c r="O70" i="113"/>
  <c r="K70" i="113"/>
  <c r="V69" i="113"/>
  <c r="U69" i="113"/>
  <c r="O69" i="113"/>
  <c r="M69" i="113"/>
  <c r="AE69" i="113" s="1"/>
  <c r="K69" i="113"/>
  <c r="G69" i="113"/>
  <c r="X68" i="113"/>
  <c r="W68" i="113"/>
  <c r="V68" i="113"/>
  <c r="M68" i="113" s="1"/>
  <c r="N68" i="113" s="1"/>
  <c r="U68" i="113"/>
  <c r="O68" i="113"/>
  <c r="K68" i="113"/>
  <c r="G68" i="113"/>
  <c r="V67" i="113"/>
  <c r="U67" i="113"/>
  <c r="O67" i="113"/>
  <c r="M67" i="113"/>
  <c r="AE67" i="113" s="1"/>
  <c r="K67" i="113"/>
  <c r="G67" i="113"/>
  <c r="V66" i="113"/>
  <c r="M66" i="113" s="1"/>
  <c r="U66" i="113"/>
  <c r="O66" i="113"/>
  <c r="K66" i="113"/>
  <c r="G66" i="113"/>
  <c r="V65" i="113"/>
  <c r="M65" i="113" s="1"/>
  <c r="U65" i="113"/>
  <c r="O65" i="113"/>
  <c r="K65" i="113"/>
  <c r="G65" i="113"/>
  <c r="X64" i="113"/>
  <c r="W64" i="113"/>
  <c r="V64" i="113"/>
  <c r="M64" i="113" s="1"/>
  <c r="N64" i="113" s="1"/>
  <c r="O64" i="113"/>
  <c r="K64" i="113"/>
  <c r="G64" i="113"/>
  <c r="AD63" i="113"/>
  <c r="Z63" i="113"/>
  <c r="Y63" i="113"/>
  <c r="O63" i="113"/>
  <c r="K63" i="113"/>
  <c r="V62" i="113"/>
  <c r="M62" i="113" s="1"/>
  <c r="U62" i="113"/>
  <c r="O62" i="113"/>
  <c r="K62" i="113"/>
  <c r="G62" i="113"/>
  <c r="V61" i="113"/>
  <c r="U61" i="113"/>
  <c r="O61" i="113"/>
  <c r="M61" i="113"/>
  <c r="N61" i="113" s="1"/>
  <c r="K61" i="113"/>
  <c r="G61" i="113"/>
  <c r="V60" i="113"/>
  <c r="M60" i="113" s="1"/>
  <c r="U60" i="113"/>
  <c r="O60" i="113"/>
  <c r="K60" i="113"/>
  <c r="G60" i="113"/>
  <c r="V59" i="113"/>
  <c r="M59" i="113" s="1"/>
  <c r="U59" i="113"/>
  <c r="O59" i="113"/>
  <c r="K59" i="113"/>
  <c r="G59" i="113"/>
  <c r="V58" i="113"/>
  <c r="M58" i="113" s="1"/>
  <c r="U58" i="113"/>
  <c r="O58" i="113"/>
  <c r="K58" i="113"/>
  <c r="G58" i="113"/>
  <c r="V57" i="113"/>
  <c r="M57" i="113" s="1"/>
  <c r="U57" i="113"/>
  <c r="O57" i="113"/>
  <c r="K57" i="113"/>
  <c r="G57" i="113"/>
  <c r="V56" i="113"/>
  <c r="M56" i="113" s="1"/>
  <c r="O56" i="113"/>
  <c r="K56" i="113"/>
  <c r="G56" i="113"/>
  <c r="AD55" i="113"/>
  <c r="Z55" i="113"/>
  <c r="Y55" i="113"/>
  <c r="O55" i="113"/>
  <c r="K55" i="113"/>
  <c r="V54" i="113"/>
  <c r="M54" i="113" s="1"/>
  <c r="U54" i="113"/>
  <c r="O54" i="113"/>
  <c r="K54" i="113"/>
  <c r="G54" i="113"/>
  <c r="V53" i="113"/>
  <c r="M53" i="113" s="1"/>
  <c r="U53" i="113"/>
  <c r="O53" i="113"/>
  <c r="K53" i="113"/>
  <c r="G53" i="113"/>
  <c r="V52" i="113"/>
  <c r="U52" i="113"/>
  <c r="O52" i="113"/>
  <c r="M52" i="113"/>
  <c r="AF52" i="113" s="1"/>
  <c r="K52" i="113"/>
  <c r="G52" i="113"/>
  <c r="V51" i="113"/>
  <c r="U51" i="113"/>
  <c r="O51" i="113"/>
  <c r="M51" i="113"/>
  <c r="AE51" i="113" s="1"/>
  <c r="K51" i="113"/>
  <c r="G51" i="113"/>
  <c r="V50" i="113"/>
  <c r="M50" i="113" s="1"/>
  <c r="U50" i="113"/>
  <c r="O50" i="113"/>
  <c r="K50" i="113"/>
  <c r="G50" i="113"/>
  <c r="V49" i="113"/>
  <c r="M49" i="113" s="1"/>
  <c r="O49" i="113"/>
  <c r="K49" i="113"/>
  <c r="G49" i="113"/>
  <c r="AD48" i="113"/>
  <c r="Z48" i="113"/>
  <c r="Y48" i="113"/>
  <c r="O48" i="113"/>
  <c r="K48" i="113"/>
  <c r="V47" i="113"/>
  <c r="M47" i="113" s="1"/>
  <c r="N47" i="113" s="1"/>
  <c r="U47" i="113"/>
  <c r="O47" i="113"/>
  <c r="K47" i="113"/>
  <c r="G47" i="113"/>
  <c r="V46" i="113"/>
  <c r="M46" i="113" s="1"/>
  <c r="U46" i="113"/>
  <c r="O46" i="113"/>
  <c r="K46" i="113"/>
  <c r="G46" i="113"/>
  <c r="V45" i="113"/>
  <c r="M45" i="113" s="1"/>
  <c r="U45" i="113"/>
  <c r="O45" i="113"/>
  <c r="K45" i="113"/>
  <c r="G45" i="113"/>
  <c r="X44" i="113"/>
  <c r="W44" i="113"/>
  <c r="V44" i="113"/>
  <c r="M44" i="113" s="1"/>
  <c r="N44" i="113" s="1"/>
  <c r="O44" i="113"/>
  <c r="K44" i="113"/>
  <c r="G44" i="113"/>
  <c r="AD43" i="113"/>
  <c r="Z43" i="113"/>
  <c r="L19" i="112" s="1"/>
  <c r="Y43" i="113"/>
  <c r="O43" i="113"/>
  <c r="K43" i="113"/>
  <c r="V42" i="113"/>
  <c r="M42" i="113" s="1"/>
  <c r="U42" i="113"/>
  <c r="O42" i="113"/>
  <c r="K42" i="113"/>
  <c r="G42" i="113"/>
  <c r="V41" i="113"/>
  <c r="M41" i="113" s="1"/>
  <c r="U41" i="113"/>
  <c r="O41" i="113"/>
  <c r="K41" i="113"/>
  <c r="G41" i="113"/>
  <c r="X40" i="113"/>
  <c r="W40" i="113"/>
  <c r="V40" i="113"/>
  <c r="M40" i="113" s="1"/>
  <c r="U40" i="113"/>
  <c r="O40" i="113"/>
  <c r="K40" i="113"/>
  <c r="G40" i="113"/>
  <c r="V39" i="113"/>
  <c r="M39" i="113" s="1"/>
  <c r="U39" i="113"/>
  <c r="O39" i="113"/>
  <c r="K39" i="113"/>
  <c r="G39" i="113"/>
  <c r="V38" i="113"/>
  <c r="M38" i="113" s="1"/>
  <c r="U38" i="113"/>
  <c r="O38" i="113"/>
  <c r="K38" i="113"/>
  <c r="G38" i="113"/>
  <c r="V37" i="113"/>
  <c r="U37" i="113"/>
  <c r="O37" i="113"/>
  <c r="M37" i="113"/>
  <c r="AF37" i="113" s="1"/>
  <c r="K37" i="113"/>
  <c r="G37" i="113"/>
  <c r="X36" i="113"/>
  <c r="W36" i="113"/>
  <c r="V36" i="113"/>
  <c r="M36" i="113" s="1"/>
  <c r="O36" i="113"/>
  <c r="K36" i="113"/>
  <c r="G36" i="113"/>
  <c r="AD35" i="113"/>
  <c r="K21" i="112" s="1"/>
  <c r="Z35" i="113"/>
  <c r="K19" i="112" s="1"/>
  <c r="Y35" i="113"/>
  <c r="K18" i="112" s="1"/>
  <c r="O35" i="113"/>
  <c r="K35" i="113"/>
  <c r="V34" i="113"/>
  <c r="U34" i="113"/>
  <c r="O34" i="113"/>
  <c r="M34" i="113"/>
  <c r="AF34" i="113" s="1"/>
  <c r="K34" i="113"/>
  <c r="G34" i="113"/>
  <c r="V33" i="113"/>
  <c r="M33" i="113" s="1"/>
  <c r="U33" i="113"/>
  <c r="O33" i="113"/>
  <c r="K33" i="113"/>
  <c r="G33" i="113"/>
  <c r="X32" i="113"/>
  <c r="W32" i="113"/>
  <c r="V32" i="113"/>
  <c r="U32" i="113"/>
  <c r="O32" i="113"/>
  <c r="M32" i="113"/>
  <c r="AF32" i="113" s="1"/>
  <c r="K32" i="113"/>
  <c r="G32" i="113"/>
  <c r="V31" i="113"/>
  <c r="M31" i="113" s="1"/>
  <c r="U31" i="113"/>
  <c r="O31" i="113"/>
  <c r="K31" i="113"/>
  <c r="G31" i="113"/>
  <c r="V30" i="113"/>
  <c r="M30" i="113" s="1"/>
  <c r="U30" i="113"/>
  <c r="O30" i="113"/>
  <c r="K30" i="113"/>
  <c r="G30" i="113"/>
  <c r="V29" i="113"/>
  <c r="U29" i="113"/>
  <c r="O29" i="113"/>
  <c r="M29" i="113"/>
  <c r="AF29" i="113" s="1"/>
  <c r="K29" i="113"/>
  <c r="G29" i="113"/>
  <c r="X28" i="113"/>
  <c r="W28" i="113"/>
  <c r="V28" i="113"/>
  <c r="M28" i="113" s="1"/>
  <c r="O28" i="113"/>
  <c r="K28" i="113"/>
  <c r="G28" i="113"/>
  <c r="AD27" i="113"/>
  <c r="Z27" i="113"/>
  <c r="G19" i="112" s="1"/>
  <c r="Y27" i="113"/>
  <c r="O27" i="113"/>
  <c r="K27" i="113"/>
  <c r="V26" i="113"/>
  <c r="U26" i="113"/>
  <c r="O26" i="113"/>
  <c r="M26" i="113"/>
  <c r="AF26" i="113" s="1"/>
  <c r="K26" i="113"/>
  <c r="G26" i="113"/>
  <c r="V25" i="113"/>
  <c r="M25" i="113" s="1"/>
  <c r="AE25" i="113" s="1"/>
  <c r="U25" i="113"/>
  <c r="O25" i="113"/>
  <c r="K25" i="113"/>
  <c r="G25" i="113"/>
  <c r="AF24" i="113"/>
  <c r="AE24" i="113"/>
  <c r="V24" i="113"/>
  <c r="U24" i="113"/>
  <c r="O24" i="113"/>
  <c r="N24" i="113"/>
  <c r="M24" i="113"/>
  <c r="K24" i="113"/>
  <c r="P24" i="113" s="1"/>
  <c r="G24" i="113"/>
  <c r="V23" i="113"/>
  <c r="M23" i="113" s="1"/>
  <c r="U23" i="113"/>
  <c r="O23" i="113"/>
  <c r="K23" i="113"/>
  <c r="G23" i="113"/>
  <c r="V22" i="113"/>
  <c r="M22" i="113" s="1"/>
  <c r="N22" i="113" s="1"/>
  <c r="U22" i="113"/>
  <c r="O22" i="113"/>
  <c r="K22" i="113"/>
  <c r="G22" i="113"/>
  <c r="V21" i="113"/>
  <c r="M21" i="113" s="1"/>
  <c r="N21" i="113" s="1"/>
  <c r="O21" i="113"/>
  <c r="K21" i="113"/>
  <c r="G21" i="113"/>
  <c r="AD20" i="113"/>
  <c r="Z20" i="113"/>
  <c r="Y20" i="113"/>
  <c r="O20" i="113"/>
  <c r="K20" i="113"/>
  <c r="V19" i="113"/>
  <c r="M19" i="113" s="1"/>
  <c r="U19" i="113"/>
  <c r="O19" i="113"/>
  <c r="K19" i="113"/>
  <c r="G19" i="113"/>
  <c r="V18" i="113"/>
  <c r="M18" i="113" s="1"/>
  <c r="U18" i="113"/>
  <c r="O18" i="113"/>
  <c r="K18" i="113"/>
  <c r="G18" i="113"/>
  <c r="V17" i="113"/>
  <c r="M17" i="113" s="1"/>
  <c r="U17" i="113"/>
  <c r="O17" i="113"/>
  <c r="K17" i="113"/>
  <c r="G17" i="113"/>
  <c r="V16" i="113"/>
  <c r="M16" i="113" s="1"/>
  <c r="O16" i="113"/>
  <c r="K16" i="113"/>
  <c r="G16" i="113"/>
  <c r="AD15" i="113"/>
  <c r="Z15" i="113"/>
  <c r="Y15" i="113"/>
  <c r="O15" i="113"/>
  <c r="K15" i="113"/>
  <c r="V14" i="113"/>
  <c r="M14" i="113" s="1"/>
  <c r="U14" i="113"/>
  <c r="O14" i="113"/>
  <c r="K14" i="113"/>
  <c r="G14" i="113"/>
  <c r="V13" i="113"/>
  <c r="U13" i="113"/>
  <c r="O13" i="113"/>
  <c r="M13" i="113"/>
  <c r="AF13" i="113" s="1"/>
  <c r="K13" i="113"/>
  <c r="G13" i="113"/>
  <c r="X12" i="113"/>
  <c r="W12" i="113"/>
  <c r="V12" i="113"/>
  <c r="M12" i="113" s="1"/>
  <c r="U12" i="113"/>
  <c r="O12" i="113"/>
  <c r="K12" i="113"/>
  <c r="G12" i="113"/>
  <c r="V11" i="113"/>
  <c r="M11" i="113" s="1"/>
  <c r="O11" i="113"/>
  <c r="K11" i="113"/>
  <c r="G11" i="113"/>
  <c r="AD10" i="113"/>
  <c r="D21" i="112" s="1"/>
  <c r="Z10" i="113"/>
  <c r="D19" i="112" s="1"/>
  <c r="Y10" i="113"/>
  <c r="Y2" i="113" s="1"/>
  <c r="K6" i="112" s="1"/>
  <c r="O10" i="113"/>
  <c r="K10" i="113"/>
  <c r="V9" i="113"/>
  <c r="U9" i="113"/>
  <c r="O9" i="113"/>
  <c r="M9" i="113"/>
  <c r="AF9" i="113" s="1"/>
  <c r="K9" i="113"/>
  <c r="G9" i="113"/>
  <c r="X8" i="113"/>
  <c r="W8" i="113"/>
  <c r="V8" i="113"/>
  <c r="M8" i="113" s="1"/>
  <c r="U8" i="113"/>
  <c r="O8" i="113"/>
  <c r="K8" i="113"/>
  <c r="G8" i="113"/>
  <c r="V7" i="113"/>
  <c r="U7" i="113"/>
  <c r="O7" i="113"/>
  <c r="M7" i="113"/>
  <c r="AF7" i="113" s="1"/>
  <c r="K7" i="113"/>
  <c r="G7" i="113"/>
  <c r="V6" i="113"/>
  <c r="U6" i="113"/>
  <c r="O6" i="113"/>
  <c r="M6" i="113"/>
  <c r="AE6" i="113" s="1"/>
  <c r="K6" i="113"/>
  <c r="G6" i="113"/>
  <c r="V5" i="113"/>
  <c r="O5" i="113"/>
  <c r="M5" i="113"/>
  <c r="AE5" i="113" s="1"/>
  <c r="K5" i="113"/>
  <c r="G5" i="113"/>
  <c r="AD2" i="113"/>
  <c r="H2" i="113"/>
  <c r="H1" i="113"/>
  <c r="D1" i="113"/>
  <c r="M22" i="112"/>
  <c r="L22" i="112"/>
  <c r="K22" i="112"/>
  <c r="J22" i="112"/>
  <c r="I22" i="112"/>
  <c r="H22" i="112"/>
  <c r="G22" i="112"/>
  <c r="F22" i="112"/>
  <c r="E22" i="112"/>
  <c r="D22" i="112"/>
  <c r="M21" i="112"/>
  <c r="L21" i="112"/>
  <c r="J21" i="112"/>
  <c r="I21" i="112"/>
  <c r="H21" i="112"/>
  <c r="G21" i="112"/>
  <c r="F21" i="112"/>
  <c r="E21" i="112"/>
  <c r="M20" i="112"/>
  <c r="L20" i="112"/>
  <c r="K20" i="112"/>
  <c r="J20" i="112"/>
  <c r="I20" i="112"/>
  <c r="H20" i="112"/>
  <c r="G20" i="112"/>
  <c r="F20" i="112"/>
  <c r="E20" i="112"/>
  <c r="D20" i="112"/>
  <c r="M19" i="112"/>
  <c r="J19" i="112"/>
  <c r="I19" i="112"/>
  <c r="H19" i="112"/>
  <c r="F19" i="112"/>
  <c r="E19" i="112"/>
  <c r="L18" i="112"/>
  <c r="J18" i="112"/>
  <c r="I18" i="112"/>
  <c r="H18" i="112"/>
  <c r="G18" i="112"/>
  <c r="F18" i="112"/>
  <c r="E18" i="112"/>
  <c r="D18" i="112"/>
  <c r="M17" i="112"/>
  <c r="L17" i="112"/>
  <c r="K17" i="112"/>
  <c r="J17" i="112"/>
  <c r="I17" i="112"/>
  <c r="H17" i="112"/>
  <c r="G17" i="112"/>
  <c r="F17" i="112"/>
  <c r="E17" i="112"/>
  <c r="D17" i="112"/>
  <c r="M16" i="112"/>
  <c r="L16" i="112"/>
  <c r="K16" i="112"/>
  <c r="J16" i="112"/>
  <c r="I16" i="112"/>
  <c r="H16" i="112"/>
  <c r="G16" i="112"/>
  <c r="F16" i="112"/>
  <c r="E16" i="112"/>
  <c r="D16" i="112"/>
  <c r="M13" i="112"/>
  <c r="L13" i="112"/>
  <c r="K13" i="112"/>
  <c r="I6" i="112" s="1"/>
  <c r="J13" i="112"/>
  <c r="I13" i="112"/>
  <c r="H13" i="112"/>
  <c r="G13" i="112"/>
  <c r="F13" i="112"/>
  <c r="E13" i="112"/>
  <c r="D13" i="112"/>
  <c r="N6" i="112"/>
  <c r="M6" i="112"/>
  <c r="F3" i="112"/>
  <c r="C3" i="112"/>
  <c r="AE8" i="113" l="1"/>
  <c r="N8" i="113"/>
  <c r="Q8" i="113" s="1"/>
  <c r="AF8" i="113"/>
  <c r="AF49" i="113"/>
  <c r="AE49" i="113"/>
  <c r="N49" i="113"/>
  <c r="Q49" i="113" s="1"/>
  <c r="AF53" i="113"/>
  <c r="N53" i="113"/>
  <c r="Q53" i="113" s="1"/>
  <c r="AF50" i="113"/>
  <c r="AE50" i="113"/>
  <c r="N50" i="113"/>
  <c r="Q50" i="113" s="1"/>
  <c r="N46" i="113"/>
  <c r="AF46" i="113"/>
  <c r="AE46" i="113"/>
  <c r="AF66" i="113"/>
  <c r="AE66" i="113"/>
  <c r="N66" i="113"/>
  <c r="Q66" i="113" s="1"/>
  <c r="Q24" i="113"/>
  <c r="D2" i="117"/>
  <c r="AE37" i="113"/>
  <c r="N13" i="113"/>
  <c r="Q13" i="113" s="1"/>
  <c r="AE34" i="113"/>
  <c r="E6" i="112"/>
  <c r="P49" i="113"/>
  <c r="F1" i="113"/>
  <c r="G8" i="120"/>
  <c r="F8" i="120"/>
  <c r="E8" i="120"/>
  <c r="F7" i="118"/>
  <c r="E7" i="118"/>
  <c r="D15" i="118"/>
  <c r="G7" i="118"/>
  <c r="K15" i="118"/>
  <c r="I8" i="118" s="1"/>
  <c r="I7" i="118"/>
  <c r="P51" i="117"/>
  <c r="I14" i="116"/>
  <c r="I15" i="116" s="1"/>
  <c r="Q51" i="117"/>
  <c r="R45" i="117" s="1"/>
  <c r="Q66" i="117"/>
  <c r="R60" i="117" s="1"/>
  <c r="P66" i="117"/>
  <c r="M14" i="116"/>
  <c r="M15" i="116" s="1"/>
  <c r="Q39" i="117"/>
  <c r="R33" i="117" s="1"/>
  <c r="P39" i="117"/>
  <c r="L14" i="116"/>
  <c r="L15" i="116" s="1"/>
  <c r="Q25" i="117"/>
  <c r="R19" i="117" s="1"/>
  <c r="P25" i="117"/>
  <c r="G14" i="116"/>
  <c r="G15" i="116" s="1"/>
  <c r="Q32" i="117"/>
  <c r="R26" i="117" s="1"/>
  <c r="P32" i="117"/>
  <c r="K14" i="116"/>
  <c r="Q44" i="117"/>
  <c r="R40" i="117" s="1"/>
  <c r="P44" i="117"/>
  <c r="H14" i="116"/>
  <c r="H15" i="116" s="1"/>
  <c r="D15" i="116"/>
  <c r="Q59" i="117"/>
  <c r="R52" i="117" s="1"/>
  <c r="P59" i="117"/>
  <c r="J14" i="116"/>
  <c r="J15" i="116" s="1"/>
  <c r="Q6" i="115"/>
  <c r="P6" i="115"/>
  <c r="N32" i="115"/>
  <c r="AF32" i="115"/>
  <c r="AG26" i="115" s="1"/>
  <c r="AE32" i="115"/>
  <c r="Q64" i="115"/>
  <c r="P64" i="115"/>
  <c r="AF67" i="115"/>
  <c r="AG61" i="115" s="1"/>
  <c r="AE67" i="115"/>
  <c r="N67" i="115"/>
  <c r="Q25" i="115"/>
  <c r="R19" i="115" s="1"/>
  <c r="P25" i="115"/>
  <c r="G14" i="114"/>
  <c r="G15" i="114" s="1"/>
  <c r="Q33" i="115"/>
  <c r="P33" i="115"/>
  <c r="N40" i="115"/>
  <c r="AF40" i="115"/>
  <c r="AG33" i="115" s="1"/>
  <c r="AE40" i="115"/>
  <c r="Q51" i="115"/>
  <c r="P51" i="115"/>
  <c r="Q38" i="115"/>
  <c r="P38" i="115"/>
  <c r="N13" i="115"/>
  <c r="AF13" i="115"/>
  <c r="AG10" i="115" s="1"/>
  <c r="AE13" i="115"/>
  <c r="Q48" i="115"/>
  <c r="P48" i="115"/>
  <c r="Q28" i="115"/>
  <c r="P28" i="115"/>
  <c r="Q16" i="115"/>
  <c r="P16" i="115"/>
  <c r="N45" i="115"/>
  <c r="AF45" i="115"/>
  <c r="AG41" i="115" s="1"/>
  <c r="AE45" i="115"/>
  <c r="Q15" i="115"/>
  <c r="P15" i="115"/>
  <c r="Q29" i="115"/>
  <c r="P29" i="115"/>
  <c r="Q8" i="115"/>
  <c r="P8" i="115"/>
  <c r="Q58" i="115"/>
  <c r="P58" i="115"/>
  <c r="Q41" i="115"/>
  <c r="P41" i="115"/>
  <c r="Q54" i="115"/>
  <c r="P54" i="115"/>
  <c r="P43" i="115"/>
  <c r="Q43" i="115"/>
  <c r="Q44" i="115"/>
  <c r="P44" i="115"/>
  <c r="Q53" i="115"/>
  <c r="P53" i="115"/>
  <c r="P17" i="115"/>
  <c r="Q17" i="115"/>
  <c r="Q34" i="115"/>
  <c r="P34" i="115"/>
  <c r="Q55" i="115"/>
  <c r="P55" i="115"/>
  <c r="Q36" i="115"/>
  <c r="P36" i="115"/>
  <c r="Q56" i="115"/>
  <c r="P56" i="115"/>
  <c r="Q66" i="115"/>
  <c r="P66" i="115"/>
  <c r="Q22" i="115"/>
  <c r="P22" i="115"/>
  <c r="Q35" i="115"/>
  <c r="P35" i="115"/>
  <c r="N60" i="115"/>
  <c r="AF60" i="115"/>
  <c r="AG53" i="115" s="1"/>
  <c r="AE60" i="115"/>
  <c r="Q12" i="115"/>
  <c r="P12" i="115"/>
  <c r="Q42" i="115"/>
  <c r="P42" i="115"/>
  <c r="Q37" i="115"/>
  <c r="P37" i="115"/>
  <c r="Q30" i="115"/>
  <c r="P30" i="115"/>
  <c r="Q9" i="115"/>
  <c r="R5" i="115" s="1"/>
  <c r="P9" i="115"/>
  <c r="D14" i="114"/>
  <c r="Q11" i="115"/>
  <c r="P11" i="115"/>
  <c r="Q31" i="115"/>
  <c r="P31" i="115"/>
  <c r="Q5" i="115"/>
  <c r="P5" i="115"/>
  <c r="P57" i="115"/>
  <c r="Q57" i="115"/>
  <c r="Q49" i="115"/>
  <c r="P49" i="115"/>
  <c r="Q26" i="115"/>
  <c r="P26" i="115"/>
  <c r="Q39" i="115"/>
  <c r="P39" i="115"/>
  <c r="N18" i="115"/>
  <c r="AF18" i="115"/>
  <c r="AG14" i="115" s="1"/>
  <c r="AE18" i="115"/>
  <c r="Q23" i="115"/>
  <c r="P23" i="115"/>
  <c r="Q52" i="115"/>
  <c r="R46" i="115" s="1"/>
  <c r="I14" i="114"/>
  <c r="I15" i="114" s="1"/>
  <c r="P52" i="115"/>
  <c r="Q10" i="115"/>
  <c r="P10" i="115"/>
  <c r="Q14" i="115"/>
  <c r="P14" i="115"/>
  <c r="AE16" i="113"/>
  <c r="M20" i="113"/>
  <c r="AF16" i="113"/>
  <c r="N16" i="113"/>
  <c r="N23" i="113"/>
  <c r="AF23" i="113"/>
  <c r="AE23" i="113"/>
  <c r="AF31" i="113"/>
  <c r="AE31" i="113"/>
  <c r="N31" i="113"/>
  <c r="Q61" i="113"/>
  <c r="P61" i="113"/>
  <c r="N19" i="113"/>
  <c r="AF19" i="113"/>
  <c r="AE19" i="113"/>
  <c r="Q22" i="113"/>
  <c r="P22" i="113"/>
  <c r="AE17" i="113"/>
  <c r="AF17" i="113"/>
  <c r="N17" i="113"/>
  <c r="M55" i="113"/>
  <c r="N39" i="113"/>
  <c r="AF39" i="113"/>
  <c r="AE39" i="113"/>
  <c r="N41" i="113"/>
  <c r="AF41" i="113"/>
  <c r="AE41" i="113"/>
  <c r="AF12" i="113"/>
  <c r="AE12" i="113"/>
  <c r="N12" i="113"/>
  <c r="F2" i="113"/>
  <c r="I3" i="112"/>
  <c r="AF14" i="113"/>
  <c r="AE14" i="113"/>
  <c r="N14" i="113"/>
  <c r="N60" i="113"/>
  <c r="AF60" i="113"/>
  <c r="AE60" i="113"/>
  <c r="N36" i="113"/>
  <c r="AF36" i="113"/>
  <c r="M43" i="113"/>
  <c r="AE36" i="113"/>
  <c r="N40" i="113"/>
  <c r="AE40" i="113"/>
  <c r="AF40" i="113"/>
  <c r="N42" i="113"/>
  <c r="AF42" i="113"/>
  <c r="AE42" i="113"/>
  <c r="AF28" i="113"/>
  <c r="M35" i="113"/>
  <c r="AE28" i="113"/>
  <c r="N28" i="113"/>
  <c r="AF30" i="113"/>
  <c r="AE30" i="113"/>
  <c r="N30" i="113"/>
  <c r="AE38" i="113"/>
  <c r="AF38" i="113"/>
  <c r="N38" i="113"/>
  <c r="AE56" i="113"/>
  <c r="M63" i="113"/>
  <c r="AF56" i="113"/>
  <c r="N56" i="113"/>
  <c r="N65" i="113"/>
  <c r="AF65" i="113"/>
  <c r="AE65" i="113"/>
  <c r="M15" i="113"/>
  <c r="AF11" i="113"/>
  <c r="AE11" i="113"/>
  <c r="N11" i="113"/>
  <c r="Q47" i="113"/>
  <c r="P47" i="113"/>
  <c r="Q64" i="113"/>
  <c r="P64" i="113"/>
  <c r="AE57" i="113"/>
  <c r="AF57" i="113"/>
  <c r="N57" i="113"/>
  <c r="AF33" i="113"/>
  <c r="AE33" i="113"/>
  <c r="N33" i="113"/>
  <c r="Q44" i="113"/>
  <c r="P44" i="113"/>
  <c r="P46" i="113"/>
  <c r="Q46" i="113"/>
  <c r="P68" i="113"/>
  <c r="Q68" i="113"/>
  <c r="N62" i="113"/>
  <c r="AF62" i="113"/>
  <c r="AE62" i="113"/>
  <c r="N18" i="113"/>
  <c r="AF18" i="113"/>
  <c r="AE18" i="113"/>
  <c r="N45" i="113"/>
  <c r="AF45" i="113"/>
  <c r="AE45" i="113"/>
  <c r="AF54" i="113"/>
  <c r="AE54" i="113"/>
  <c r="N54" i="113"/>
  <c r="N59" i="113"/>
  <c r="AF59" i="113"/>
  <c r="AE59" i="113"/>
  <c r="Q21" i="113"/>
  <c r="P21" i="113"/>
  <c r="N58" i="113"/>
  <c r="AF58" i="113"/>
  <c r="AE58" i="113"/>
  <c r="Z2" i="113"/>
  <c r="L6" i="112" s="1"/>
  <c r="AF5" i="113"/>
  <c r="AF6" i="113"/>
  <c r="AF25" i="113"/>
  <c r="AF51" i="113"/>
  <c r="AF67" i="113"/>
  <c r="AE68" i="113"/>
  <c r="AF69" i="113"/>
  <c r="M10" i="113"/>
  <c r="M27" i="113"/>
  <c r="N32" i="113"/>
  <c r="N34" i="113"/>
  <c r="N37" i="113"/>
  <c r="AE64" i="113"/>
  <c r="AF68" i="113"/>
  <c r="AE21" i="113"/>
  <c r="AE22" i="113"/>
  <c r="AE47" i="113"/>
  <c r="AE61" i="113"/>
  <c r="AF64" i="113"/>
  <c r="M70" i="113"/>
  <c r="F6" i="112"/>
  <c r="G6" i="112"/>
  <c r="AF21" i="113"/>
  <c r="AF22" i="113"/>
  <c r="AF47" i="113"/>
  <c r="AF61" i="113"/>
  <c r="N7" i="113"/>
  <c r="N9" i="113"/>
  <c r="N26" i="113"/>
  <c r="N29" i="113"/>
  <c r="AE44" i="113"/>
  <c r="N52" i="113"/>
  <c r="N5" i="113"/>
  <c r="N6" i="113"/>
  <c r="P8" i="113"/>
  <c r="P13" i="113"/>
  <c r="N25" i="113"/>
  <c r="AF44" i="113"/>
  <c r="M48" i="113"/>
  <c r="N51" i="113"/>
  <c r="P53" i="113"/>
  <c r="N67" i="113"/>
  <c r="N69" i="113"/>
  <c r="AE13" i="113"/>
  <c r="AE32" i="113"/>
  <c r="AE53" i="113"/>
  <c r="AE7" i="113"/>
  <c r="AE9" i="113"/>
  <c r="AE26" i="113"/>
  <c r="AE29" i="113"/>
  <c r="AE52" i="113"/>
  <c r="AD71" i="111"/>
  <c r="Z71" i="111"/>
  <c r="Y71" i="111"/>
  <c r="O71" i="111"/>
  <c r="K71" i="111"/>
  <c r="V70" i="111"/>
  <c r="M70" i="111" s="1"/>
  <c r="U70" i="111"/>
  <c r="O70" i="111"/>
  <c r="K70" i="111"/>
  <c r="G70" i="111"/>
  <c r="X69" i="111"/>
  <c r="W69" i="111"/>
  <c r="V69" i="111"/>
  <c r="U69" i="111"/>
  <c r="O69" i="111"/>
  <c r="M69" i="111"/>
  <c r="N69" i="111" s="1"/>
  <c r="K69" i="111"/>
  <c r="G69" i="111"/>
  <c r="V68" i="111"/>
  <c r="M68" i="111" s="1"/>
  <c r="U68" i="111"/>
  <c r="O68" i="111"/>
  <c r="K68" i="111"/>
  <c r="G68" i="111"/>
  <c r="V67" i="111"/>
  <c r="U67" i="111"/>
  <c r="O67" i="111"/>
  <c r="M67" i="111"/>
  <c r="N67" i="111" s="1"/>
  <c r="K67" i="111"/>
  <c r="G67" i="111"/>
  <c r="V66" i="111"/>
  <c r="M66" i="111" s="1"/>
  <c r="U66" i="111"/>
  <c r="O66" i="111"/>
  <c r="K66" i="111"/>
  <c r="G66" i="111"/>
  <c r="X65" i="111"/>
  <c r="W65" i="111"/>
  <c r="V65" i="111"/>
  <c r="M65" i="111" s="1"/>
  <c r="O65" i="111"/>
  <c r="K65" i="111"/>
  <c r="G65" i="111"/>
  <c r="AD64" i="111"/>
  <c r="Z64" i="111"/>
  <c r="Y64" i="111"/>
  <c r="O64" i="111"/>
  <c r="K64" i="111"/>
  <c r="V63" i="111"/>
  <c r="M63" i="111" s="1"/>
  <c r="U63" i="111"/>
  <c r="O63" i="111"/>
  <c r="K63" i="111"/>
  <c r="G63" i="111"/>
  <c r="V62" i="111"/>
  <c r="M62" i="111" s="1"/>
  <c r="AF62" i="111" s="1"/>
  <c r="U62" i="111"/>
  <c r="O62" i="111"/>
  <c r="K62" i="111"/>
  <c r="G62" i="111"/>
  <c r="V61" i="111"/>
  <c r="M61" i="111" s="1"/>
  <c r="U61" i="111"/>
  <c r="O61" i="111"/>
  <c r="K61" i="111"/>
  <c r="G61" i="111"/>
  <c r="AF60" i="111"/>
  <c r="V60" i="111"/>
  <c r="M60" i="111" s="1"/>
  <c r="U60" i="111"/>
  <c r="O60" i="111"/>
  <c r="K60" i="111"/>
  <c r="G60" i="111"/>
  <c r="V59" i="111"/>
  <c r="M59" i="111" s="1"/>
  <c r="AE59" i="111" s="1"/>
  <c r="U59" i="111"/>
  <c r="O59" i="111"/>
  <c r="K59" i="111"/>
  <c r="G59" i="111"/>
  <c r="V58" i="111"/>
  <c r="M58" i="111" s="1"/>
  <c r="N58" i="111" s="1"/>
  <c r="P58" i="111" s="1"/>
  <c r="U58" i="111"/>
  <c r="O58" i="111"/>
  <c r="K58" i="111"/>
  <c r="G58" i="111"/>
  <c r="V57" i="111"/>
  <c r="M57" i="111" s="1"/>
  <c r="O57" i="111"/>
  <c r="K57" i="111"/>
  <c r="G57" i="111"/>
  <c r="AD56" i="111"/>
  <c r="Z56" i="111"/>
  <c r="I19" i="110" s="1"/>
  <c r="Y56" i="111"/>
  <c r="O56" i="111"/>
  <c r="K56" i="111"/>
  <c r="V55" i="111"/>
  <c r="M55" i="111" s="1"/>
  <c r="U55" i="111"/>
  <c r="O55" i="111"/>
  <c r="K55" i="111"/>
  <c r="G55" i="111"/>
  <c r="V54" i="111"/>
  <c r="M54" i="111" s="1"/>
  <c r="U54" i="111"/>
  <c r="O54" i="111"/>
  <c r="K54" i="111"/>
  <c r="G54" i="111"/>
  <c r="V53" i="111"/>
  <c r="U53" i="111"/>
  <c r="O53" i="111"/>
  <c r="M53" i="111"/>
  <c r="K53" i="111"/>
  <c r="G53" i="111"/>
  <c r="V52" i="111"/>
  <c r="M52" i="111" s="1"/>
  <c r="U52" i="111"/>
  <c r="O52" i="111"/>
  <c r="K52" i="111"/>
  <c r="G52" i="111"/>
  <c r="AE51" i="111"/>
  <c r="V51" i="111"/>
  <c r="U51" i="111"/>
  <c r="O51" i="111"/>
  <c r="M51" i="111"/>
  <c r="N51" i="111" s="1"/>
  <c r="K51" i="111"/>
  <c r="G51" i="111"/>
  <c r="V50" i="111"/>
  <c r="M50" i="111" s="1"/>
  <c r="AF50" i="111" s="1"/>
  <c r="O50" i="111"/>
  <c r="K50" i="111"/>
  <c r="G50" i="111"/>
  <c r="AD49" i="111"/>
  <c r="H21" i="110" s="1"/>
  <c r="Z49" i="111"/>
  <c r="Y49" i="111"/>
  <c r="O49" i="111"/>
  <c r="K49" i="111"/>
  <c r="V48" i="111"/>
  <c r="M48" i="111" s="1"/>
  <c r="U48" i="111"/>
  <c r="O48" i="111"/>
  <c r="K48" i="111"/>
  <c r="G48" i="111"/>
  <c r="V47" i="111"/>
  <c r="M47" i="111" s="1"/>
  <c r="AE47" i="111" s="1"/>
  <c r="U47" i="111"/>
  <c r="O47" i="111"/>
  <c r="K47" i="111"/>
  <c r="G47" i="111"/>
  <c r="V46" i="111"/>
  <c r="M46" i="111" s="1"/>
  <c r="U46" i="111"/>
  <c r="O46" i="111"/>
  <c r="K46" i="111"/>
  <c r="G46" i="111"/>
  <c r="X45" i="111"/>
  <c r="W45" i="111"/>
  <c r="V45" i="111"/>
  <c r="M45" i="111" s="1"/>
  <c r="AF45" i="111" s="1"/>
  <c r="O45" i="111"/>
  <c r="K45" i="111"/>
  <c r="G45" i="111"/>
  <c r="AD44" i="111"/>
  <c r="L21" i="110" s="1"/>
  <c r="Z44" i="111"/>
  <c r="Y44" i="111"/>
  <c r="O44" i="111"/>
  <c r="K44" i="111"/>
  <c r="V43" i="111"/>
  <c r="M43" i="111" s="1"/>
  <c r="U43" i="111"/>
  <c r="O43" i="111"/>
  <c r="K43" i="111"/>
  <c r="G43" i="111"/>
  <c r="V42" i="111"/>
  <c r="M42" i="111" s="1"/>
  <c r="U42" i="111"/>
  <c r="O42" i="111"/>
  <c r="K42" i="111"/>
  <c r="G42" i="111"/>
  <c r="V41" i="111"/>
  <c r="M41" i="111" s="1"/>
  <c r="N41" i="111" s="1"/>
  <c r="P41" i="111" s="1"/>
  <c r="U41" i="111"/>
  <c r="O41" i="111"/>
  <c r="K41" i="111"/>
  <c r="G41" i="111"/>
  <c r="X40" i="111"/>
  <c r="W40" i="111"/>
  <c r="V40" i="111"/>
  <c r="M40" i="111" s="1"/>
  <c r="U40" i="111"/>
  <c r="O40" i="111"/>
  <c r="K40" i="111"/>
  <c r="G40" i="111"/>
  <c r="V39" i="111"/>
  <c r="M39" i="111" s="1"/>
  <c r="U39" i="111"/>
  <c r="O39" i="111"/>
  <c r="N39" i="111"/>
  <c r="P39" i="111" s="1"/>
  <c r="K39" i="111"/>
  <c r="G39" i="111"/>
  <c r="V38" i="111"/>
  <c r="U38" i="111"/>
  <c r="O38" i="111"/>
  <c r="M38" i="111"/>
  <c r="K38" i="111"/>
  <c r="G38" i="111"/>
  <c r="V37" i="111"/>
  <c r="M37" i="111" s="1"/>
  <c r="U37" i="111"/>
  <c r="O37" i="111"/>
  <c r="K37" i="111"/>
  <c r="G37" i="111"/>
  <c r="X36" i="111"/>
  <c r="W36" i="111"/>
  <c r="V36" i="111"/>
  <c r="M36" i="111" s="1"/>
  <c r="O36" i="111"/>
  <c r="N36" i="111"/>
  <c r="P36" i="111" s="1"/>
  <c r="K36" i="111"/>
  <c r="G36" i="111"/>
  <c r="AD35" i="111"/>
  <c r="K21" i="110" s="1"/>
  <c r="Z35" i="111"/>
  <c r="K19" i="110" s="1"/>
  <c r="Y35" i="111"/>
  <c r="O35" i="111"/>
  <c r="K35" i="111"/>
  <c r="V34" i="111"/>
  <c r="U34" i="111"/>
  <c r="O34" i="111"/>
  <c r="M34" i="111"/>
  <c r="K34" i="111"/>
  <c r="G34" i="111"/>
  <c r="V33" i="111"/>
  <c r="M33" i="111" s="1"/>
  <c r="U33" i="111"/>
  <c r="O33" i="111"/>
  <c r="K33" i="111"/>
  <c r="G33" i="111"/>
  <c r="V32" i="111"/>
  <c r="M32" i="111" s="1"/>
  <c r="U32" i="111"/>
  <c r="O32" i="111"/>
  <c r="K32" i="111"/>
  <c r="G32" i="111"/>
  <c r="X31" i="111"/>
  <c r="W31" i="111"/>
  <c r="V31" i="111"/>
  <c r="M31" i="111" s="1"/>
  <c r="U31" i="111"/>
  <c r="O31" i="111"/>
  <c r="K31" i="111"/>
  <c r="G31" i="111"/>
  <c r="V30" i="111"/>
  <c r="M30" i="111" s="1"/>
  <c r="U30" i="111"/>
  <c r="O30" i="111"/>
  <c r="K30" i="111"/>
  <c r="G30" i="111"/>
  <c r="AF29" i="111"/>
  <c r="V29" i="111"/>
  <c r="U29" i="111"/>
  <c r="O29" i="111"/>
  <c r="N29" i="111"/>
  <c r="M29" i="111"/>
  <c r="AE29" i="111" s="1"/>
  <c r="K29" i="111"/>
  <c r="G29" i="111"/>
  <c r="V28" i="111"/>
  <c r="M28" i="111" s="1"/>
  <c r="N28" i="111" s="1"/>
  <c r="U28" i="111"/>
  <c r="O28" i="111"/>
  <c r="K28" i="111"/>
  <c r="G28" i="111"/>
  <c r="X27" i="111"/>
  <c r="W27" i="111"/>
  <c r="V27" i="111"/>
  <c r="M27" i="111" s="1"/>
  <c r="O27" i="111"/>
  <c r="K27" i="111"/>
  <c r="G27" i="111"/>
  <c r="AD26" i="111"/>
  <c r="G21" i="110" s="1"/>
  <c r="Z26" i="111"/>
  <c r="Y26" i="111"/>
  <c r="O26" i="111"/>
  <c r="K26" i="111"/>
  <c r="G13" i="110" s="1"/>
  <c r="V25" i="111"/>
  <c r="M25" i="111" s="1"/>
  <c r="N25" i="111" s="1"/>
  <c r="U25" i="111"/>
  <c r="O25" i="111"/>
  <c r="K25" i="111"/>
  <c r="G25" i="111"/>
  <c r="V24" i="111"/>
  <c r="M24" i="111" s="1"/>
  <c r="AE24" i="111" s="1"/>
  <c r="U24" i="111"/>
  <c r="O24" i="111"/>
  <c r="K24" i="111"/>
  <c r="G24" i="111"/>
  <c r="AF23" i="111"/>
  <c r="V23" i="111"/>
  <c r="M23" i="111" s="1"/>
  <c r="U23" i="111"/>
  <c r="O23" i="111"/>
  <c r="K23" i="111"/>
  <c r="G23" i="111"/>
  <c r="V22" i="111"/>
  <c r="M22" i="111" s="1"/>
  <c r="AE22" i="111" s="1"/>
  <c r="U22" i="111"/>
  <c r="O22" i="111"/>
  <c r="K22" i="111"/>
  <c r="G22" i="111"/>
  <c r="V21" i="111"/>
  <c r="M21" i="111" s="1"/>
  <c r="U21" i="111"/>
  <c r="O21" i="111"/>
  <c r="K21" i="111"/>
  <c r="G21" i="111"/>
  <c r="AF20" i="111"/>
  <c r="V20" i="111"/>
  <c r="M20" i="111" s="1"/>
  <c r="O20" i="111"/>
  <c r="K20" i="111"/>
  <c r="G20" i="111"/>
  <c r="AD19" i="111"/>
  <c r="F21" i="110" s="1"/>
  <c r="Z19" i="111"/>
  <c r="F19" i="110" s="1"/>
  <c r="Y19" i="111"/>
  <c r="F18" i="110" s="1"/>
  <c r="O19" i="111"/>
  <c r="K19" i="111"/>
  <c r="V18" i="111"/>
  <c r="M18" i="111" s="1"/>
  <c r="N18" i="111" s="1"/>
  <c r="P18" i="111" s="1"/>
  <c r="U18" i="111"/>
  <c r="O18" i="111"/>
  <c r="K18" i="111"/>
  <c r="G18" i="111"/>
  <c r="V17" i="111"/>
  <c r="M17" i="111" s="1"/>
  <c r="U17" i="111"/>
  <c r="O17" i="111"/>
  <c r="K17" i="111"/>
  <c r="G17" i="111"/>
  <c r="V16" i="111"/>
  <c r="U16" i="111"/>
  <c r="O16" i="111"/>
  <c r="M16" i="111"/>
  <c r="K16" i="111"/>
  <c r="G16" i="111"/>
  <c r="V15" i="111"/>
  <c r="M15" i="111" s="1"/>
  <c r="O15" i="111"/>
  <c r="K15" i="111"/>
  <c r="G15" i="111"/>
  <c r="AD14" i="111"/>
  <c r="Z14" i="111"/>
  <c r="E19" i="110" s="1"/>
  <c r="Y14" i="111"/>
  <c r="E18" i="110" s="1"/>
  <c r="O14" i="111"/>
  <c r="K14" i="111"/>
  <c r="V13" i="111"/>
  <c r="M13" i="111" s="1"/>
  <c r="U13" i="111"/>
  <c r="O13" i="111"/>
  <c r="K13" i="111"/>
  <c r="G13" i="111"/>
  <c r="V12" i="111"/>
  <c r="M12" i="111" s="1"/>
  <c r="U12" i="111"/>
  <c r="O12" i="111"/>
  <c r="K12" i="111"/>
  <c r="G12" i="111"/>
  <c r="X11" i="111"/>
  <c r="W11" i="111"/>
  <c r="V11" i="111"/>
  <c r="U11" i="111"/>
  <c r="O11" i="111"/>
  <c r="M11" i="111"/>
  <c r="N11" i="111" s="1"/>
  <c r="K11" i="111"/>
  <c r="G11" i="111"/>
  <c r="V10" i="111"/>
  <c r="M10" i="111" s="1"/>
  <c r="O10" i="111"/>
  <c r="K10" i="111"/>
  <c r="G10" i="111"/>
  <c r="AD9" i="111"/>
  <c r="D21" i="110" s="1"/>
  <c r="Z9" i="111"/>
  <c r="D19" i="110" s="1"/>
  <c r="Y9" i="111"/>
  <c r="O9" i="111"/>
  <c r="K9" i="111"/>
  <c r="V8" i="111"/>
  <c r="U8" i="111"/>
  <c r="O8" i="111"/>
  <c r="M8" i="111"/>
  <c r="N8" i="111" s="1"/>
  <c r="K8" i="111"/>
  <c r="G8" i="111"/>
  <c r="V7" i="111"/>
  <c r="M7" i="111" s="1"/>
  <c r="U7" i="111"/>
  <c r="O7" i="111"/>
  <c r="K7" i="111"/>
  <c r="G7" i="111"/>
  <c r="V6" i="111"/>
  <c r="M6" i="111" s="1"/>
  <c r="U6" i="111"/>
  <c r="O6" i="111"/>
  <c r="K6" i="111"/>
  <c r="G6" i="111"/>
  <c r="V5" i="111"/>
  <c r="M5" i="111" s="1"/>
  <c r="O5" i="111"/>
  <c r="K5" i="111"/>
  <c r="G5" i="111"/>
  <c r="H2" i="111"/>
  <c r="H1" i="111"/>
  <c r="D1" i="111"/>
  <c r="M22" i="110"/>
  <c r="L22" i="110"/>
  <c r="K22" i="110"/>
  <c r="J22" i="110"/>
  <c r="I22" i="110"/>
  <c r="H22" i="110"/>
  <c r="G22" i="110"/>
  <c r="F22" i="110"/>
  <c r="E22" i="110"/>
  <c r="D22" i="110"/>
  <c r="M21" i="110"/>
  <c r="J21" i="110"/>
  <c r="I21" i="110"/>
  <c r="E21" i="110"/>
  <c r="M20" i="110"/>
  <c r="L20" i="110"/>
  <c r="K20" i="110"/>
  <c r="J20" i="110"/>
  <c r="I20" i="110"/>
  <c r="H20" i="110"/>
  <c r="G20" i="110"/>
  <c r="F20" i="110"/>
  <c r="E20" i="110"/>
  <c r="D20" i="110"/>
  <c r="M19" i="110"/>
  <c r="L19" i="110"/>
  <c r="J19" i="110"/>
  <c r="H19" i="110"/>
  <c r="G19" i="110"/>
  <c r="M18" i="110"/>
  <c r="L18" i="110"/>
  <c r="K18" i="110"/>
  <c r="J18" i="110"/>
  <c r="I18" i="110"/>
  <c r="H18" i="110"/>
  <c r="G18" i="110"/>
  <c r="D18" i="110"/>
  <c r="M17" i="110"/>
  <c r="L17" i="110"/>
  <c r="K17" i="110"/>
  <c r="J17" i="110"/>
  <c r="I17" i="110"/>
  <c r="H17" i="110"/>
  <c r="G17" i="110"/>
  <c r="F17" i="110"/>
  <c r="E17" i="110"/>
  <c r="D17" i="110"/>
  <c r="M16" i="110"/>
  <c r="L16" i="110"/>
  <c r="K16" i="110"/>
  <c r="J16" i="110"/>
  <c r="I16" i="110"/>
  <c r="H16" i="110"/>
  <c r="G16" i="110"/>
  <c r="F16" i="110"/>
  <c r="E16" i="110"/>
  <c r="D16" i="110"/>
  <c r="M13" i="110"/>
  <c r="L13" i="110"/>
  <c r="K13" i="110"/>
  <c r="I6" i="110" s="1"/>
  <c r="J13" i="110"/>
  <c r="I13" i="110"/>
  <c r="H13" i="110"/>
  <c r="F13" i="110"/>
  <c r="E13" i="110"/>
  <c r="D13" i="110"/>
  <c r="G6" i="110" s="1"/>
  <c r="M6" i="110"/>
  <c r="F3" i="110"/>
  <c r="C3" i="110"/>
  <c r="AF65" i="111" l="1"/>
  <c r="AE65" i="111"/>
  <c r="N65" i="111"/>
  <c r="AE12" i="111"/>
  <c r="AF12" i="111"/>
  <c r="N12" i="111"/>
  <c r="AF33" i="111"/>
  <c r="N33" i="111"/>
  <c r="AE68" i="111"/>
  <c r="AF68" i="111"/>
  <c r="N68" i="111"/>
  <c r="AE31" i="111"/>
  <c r="AF31" i="111"/>
  <c r="N31" i="111"/>
  <c r="Q31" i="111" s="1"/>
  <c r="AF54" i="111"/>
  <c r="N54" i="111"/>
  <c r="Q54" i="111" s="1"/>
  <c r="AE52" i="111"/>
  <c r="AF52" i="111"/>
  <c r="N52" i="111"/>
  <c r="AE70" i="111"/>
  <c r="AF70" i="111"/>
  <c r="N70" i="111"/>
  <c r="Q70" i="111" s="1"/>
  <c r="AE11" i="111"/>
  <c r="Z2" i="111"/>
  <c r="L6" i="110" s="1"/>
  <c r="AF11" i="111"/>
  <c r="Y2" i="111"/>
  <c r="K6" i="110" s="1"/>
  <c r="P54" i="111"/>
  <c r="AE67" i="111"/>
  <c r="AF67" i="111"/>
  <c r="M9" i="111"/>
  <c r="N9" i="111" s="1"/>
  <c r="M49" i="111"/>
  <c r="AE49" i="111" s="1"/>
  <c r="P50" i="113"/>
  <c r="P66" i="113"/>
  <c r="Q36" i="111"/>
  <c r="D2" i="115"/>
  <c r="G8" i="118"/>
  <c r="F8" i="118"/>
  <c r="E8" i="118"/>
  <c r="E7" i="116"/>
  <c r="F7" i="116"/>
  <c r="G7" i="116"/>
  <c r="G8" i="116"/>
  <c r="F8" i="116"/>
  <c r="K15" i="116"/>
  <c r="I8" i="116" s="1"/>
  <c r="I7" i="116"/>
  <c r="Q60" i="115"/>
  <c r="R53" i="115" s="1"/>
  <c r="P60" i="115"/>
  <c r="J14" i="114"/>
  <c r="J15" i="114" s="1"/>
  <c r="Q45" i="115"/>
  <c r="R41" i="115" s="1"/>
  <c r="P45" i="115"/>
  <c r="H14" i="114"/>
  <c r="H15" i="114" s="1"/>
  <c r="E14" i="114"/>
  <c r="E15" i="114" s="1"/>
  <c r="Q13" i="115"/>
  <c r="R10" i="115" s="1"/>
  <c r="P13" i="115"/>
  <c r="Q67" i="115"/>
  <c r="R61" i="115" s="1"/>
  <c r="P67" i="115"/>
  <c r="M14" i="114"/>
  <c r="M15" i="114" s="1"/>
  <c r="D15" i="114"/>
  <c r="Q40" i="115"/>
  <c r="R33" i="115" s="1"/>
  <c r="P40" i="115"/>
  <c r="L14" i="114"/>
  <c r="L15" i="114" s="1"/>
  <c r="K14" i="114"/>
  <c r="Q32" i="115"/>
  <c r="R26" i="115" s="1"/>
  <c r="P32" i="115"/>
  <c r="Q18" i="115"/>
  <c r="R14" i="115" s="1"/>
  <c r="P18" i="115"/>
  <c r="F14" i="114"/>
  <c r="F15" i="114" s="1"/>
  <c r="N63" i="113"/>
  <c r="AF63" i="113"/>
  <c r="AG56" i="113" s="1"/>
  <c r="AE63" i="113"/>
  <c r="P60" i="113"/>
  <c r="Q60" i="113"/>
  <c r="Q37" i="113"/>
  <c r="P37" i="113"/>
  <c r="Q38" i="113"/>
  <c r="P38" i="113"/>
  <c r="Q42" i="113"/>
  <c r="P42" i="113"/>
  <c r="Q39" i="113"/>
  <c r="P39" i="113"/>
  <c r="Q31" i="113"/>
  <c r="P31" i="113"/>
  <c r="Q34" i="113"/>
  <c r="P34" i="113"/>
  <c r="Q11" i="113"/>
  <c r="P11" i="113"/>
  <c r="AF55" i="113"/>
  <c r="AG49" i="113" s="1"/>
  <c r="AE55" i="113"/>
  <c r="N55" i="113"/>
  <c r="Q14" i="113"/>
  <c r="P14" i="113"/>
  <c r="Q6" i="113"/>
  <c r="P6" i="113"/>
  <c r="Q32" i="113"/>
  <c r="P32" i="113"/>
  <c r="Q45" i="113"/>
  <c r="P45" i="113"/>
  <c r="Q17" i="113"/>
  <c r="P17" i="113"/>
  <c r="Q5" i="113"/>
  <c r="P5" i="113"/>
  <c r="AF27" i="113"/>
  <c r="AG21" i="113" s="1"/>
  <c r="AE27" i="113"/>
  <c r="N27" i="113"/>
  <c r="Q58" i="113"/>
  <c r="P58" i="113"/>
  <c r="Q33" i="113"/>
  <c r="P33" i="113"/>
  <c r="Q30" i="113"/>
  <c r="P30" i="113"/>
  <c r="Q40" i="113"/>
  <c r="P40" i="113"/>
  <c r="P52" i="113"/>
  <c r="Q52" i="113"/>
  <c r="AF70" i="113"/>
  <c r="AG64" i="113" s="1"/>
  <c r="AE70" i="113"/>
  <c r="N70" i="113"/>
  <c r="AF10" i="113"/>
  <c r="AG5" i="113" s="1"/>
  <c r="AE10" i="113"/>
  <c r="N10" i="113"/>
  <c r="AF15" i="113"/>
  <c r="AG11" i="113" s="1"/>
  <c r="AE15" i="113"/>
  <c r="N15" i="113"/>
  <c r="Q12" i="113"/>
  <c r="P12" i="113"/>
  <c r="Q69" i="113"/>
  <c r="P69" i="113"/>
  <c r="Q18" i="113"/>
  <c r="P18" i="113"/>
  <c r="N43" i="113"/>
  <c r="AF43" i="113"/>
  <c r="AG36" i="113" s="1"/>
  <c r="AE43" i="113"/>
  <c r="Q23" i="113"/>
  <c r="P23" i="113"/>
  <c r="Q67" i="113"/>
  <c r="P67" i="113"/>
  <c r="P29" i="113"/>
  <c r="Q29" i="113"/>
  <c r="Q57" i="113"/>
  <c r="P57" i="113"/>
  <c r="Q28" i="113"/>
  <c r="P28" i="113"/>
  <c r="Q16" i="113"/>
  <c r="P16" i="113"/>
  <c r="Q25" i="113"/>
  <c r="P25" i="113"/>
  <c r="P26" i="113"/>
  <c r="Q26" i="113"/>
  <c r="Q65" i="113"/>
  <c r="P65" i="113"/>
  <c r="Q36" i="113"/>
  <c r="P36" i="113"/>
  <c r="Q51" i="113"/>
  <c r="P51" i="113"/>
  <c r="P9" i="113"/>
  <c r="Q9" i="113"/>
  <c r="Q59" i="113"/>
  <c r="P59" i="113"/>
  <c r="Q62" i="113"/>
  <c r="P62" i="113"/>
  <c r="Q56" i="113"/>
  <c r="P56" i="113"/>
  <c r="N35" i="113"/>
  <c r="AE35" i="113"/>
  <c r="AF35" i="113"/>
  <c r="AG28" i="113" s="1"/>
  <c r="N20" i="113"/>
  <c r="AF20" i="113"/>
  <c r="AG16" i="113" s="1"/>
  <c r="AE20" i="113"/>
  <c r="N48" i="113"/>
  <c r="AF48" i="113"/>
  <c r="AG44" i="113" s="1"/>
  <c r="AE48" i="113"/>
  <c r="P7" i="113"/>
  <c r="Q7" i="113"/>
  <c r="Q54" i="113"/>
  <c r="P54" i="113"/>
  <c r="Q41" i="113"/>
  <c r="P41" i="113"/>
  <c r="Q19" i="113"/>
  <c r="P19" i="113"/>
  <c r="AE9" i="111"/>
  <c r="N6" i="111"/>
  <c r="AE6" i="111"/>
  <c r="Q25" i="111"/>
  <c r="P25" i="111"/>
  <c r="Q28" i="111"/>
  <c r="P28" i="111"/>
  <c r="AF6" i="111"/>
  <c r="AF10" i="111"/>
  <c r="AE10" i="111"/>
  <c r="N10" i="111"/>
  <c r="AF13" i="111"/>
  <c r="AE13" i="111"/>
  <c r="N13" i="111"/>
  <c r="Q18" i="111"/>
  <c r="N21" i="111"/>
  <c r="AE21" i="111"/>
  <c r="P31" i="111"/>
  <c r="N42" i="111"/>
  <c r="AF42" i="111"/>
  <c r="AF57" i="111"/>
  <c r="AE57" i="111"/>
  <c r="M64" i="111"/>
  <c r="Q69" i="111"/>
  <c r="P69" i="111"/>
  <c r="F1" i="111"/>
  <c r="AE8" i="111"/>
  <c r="M19" i="111"/>
  <c r="AF15" i="111"/>
  <c r="AE15" i="111"/>
  <c r="N15" i="111"/>
  <c r="AF21" i="111"/>
  <c r="N23" i="111"/>
  <c r="AE23" i="111"/>
  <c r="Q39" i="111"/>
  <c r="AE42" i="111"/>
  <c r="N47" i="111"/>
  <c r="AF47" i="111"/>
  <c r="Q51" i="111"/>
  <c r="P51" i="111"/>
  <c r="N59" i="111"/>
  <c r="AF59" i="111"/>
  <c r="E6" i="110"/>
  <c r="AF8" i="111"/>
  <c r="AF17" i="111"/>
  <c r="AE17" i="111"/>
  <c r="AF18" i="111"/>
  <c r="AE18" i="111"/>
  <c r="M35" i="111"/>
  <c r="N27" i="111"/>
  <c r="N17" i="111"/>
  <c r="AE25" i="111"/>
  <c r="AE28" i="111"/>
  <c r="AF30" i="111"/>
  <c r="AE30" i="111"/>
  <c r="N30" i="111"/>
  <c r="AF36" i="111"/>
  <c r="AE36" i="111"/>
  <c r="M44" i="111"/>
  <c r="AF38" i="111"/>
  <c r="AE38" i="111"/>
  <c r="AF39" i="111"/>
  <c r="AE39" i="111"/>
  <c r="AF34" i="111"/>
  <c r="AE34" i="111"/>
  <c r="N34" i="111"/>
  <c r="N49" i="111"/>
  <c r="Q52" i="111"/>
  <c r="P52" i="111"/>
  <c r="N62" i="111"/>
  <c r="AE62" i="111"/>
  <c r="F6" i="110"/>
  <c r="N20" i="111"/>
  <c r="AE20" i="111"/>
  <c r="AF25" i="111"/>
  <c r="AF28" i="111"/>
  <c r="N38" i="111"/>
  <c r="Q41" i="111"/>
  <c r="N61" i="111"/>
  <c r="AF61" i="111"/>
  <c r="N63" i="111"/>
  <c r="AF63" i="111"/>
  <c r="Q65" i="111"/>
  <c r="N66" i="111"/>
  <c r="M71" i="111"/>
  <c r="AF66" i="111"/>
  <c r="N5" i="111"/>
  <c r="AE5" i="111"/>
  <c r="N7" i="111"/>
  <c r="AF7" i="111"/>
  <c r="Q12" i="111"/>
  <c r="P12" i="111"/>
  <c r="M14" i="111"/>
  <c r="AF53" i="111"/>
  <c r="AE53" i="111"/>
  <c r="N53" i="111"/>
  <c r="Q58" i="111"/>
  <c r="AE61" i="111"/>
  <c r="AE63" i="111"/>
  <c r="AE66" i="111"/>
  <c r="Q68" i="111"/>
  <c r="AF5" i="111"/>
  <c r="AE7" i="111"/>
  <c r="Q11" i="111"/>
  <c r="P11" i="111"/>
  <c r="M26" i="111"/>
  <c r="AF41" i="111"/>
  <c r="AE41" i="111"/>
  <c r="N46" i="111"/>
  <c r="AE46" i="111"/>
  <c r="M56" i="111"/>
  <c r="N50" i="111"/>
  <c r="AF51" i="111"/>
  <c r="AE69" i="111"/>
  <c r="AF16" i="111"/>
  <c r="AE16" i="111"/>
  <c r="N16" i="111"/>
  <c r="N22" i="111"/>
  <c r="AF22" i="111"/>
  <c r="N24" i="111"/>
  <c r="AF24" i="111"/>
  <c r="AE27" i="111"/>
  <c r="AF46" i="111"/>
  <c r="N48" i="111"/>
  <c r="AE48" i="111"/>
  <c r="AF55" i="111"/>
  <c r="AE55" i="111"/>
  <c r="N55" i="111"/>
  <c r="AF58" i="111"/>
  <c r="AE58" i="111"/>
  <c r="AF69" i="111"/>
  <c r="AF27" i="111"/>
  <c r="Q29" i="111"/>
  <c r="P29" i="111"/>
  <c r="AF32" i="111"/>
  <c r="AE32" i="111"/>
  <c r="N32" i="111"/>
  <c r="AF37" i="111"/>
  <c r="AE37" i="111"/>
  <c r="N37" i="111"/>
  <c r="N43" i="111"/>
  <c r="AE43" i="111"/>
  <c r="N45" i="111"/>
  <c r="AE45" i="111"/>
  <c r="AF48" i="111"/>
  <c r="Q67" i="111"/>
  <c r="P67" i="111"/>
  <c r="Q8" i="111"/>
  <c r="P8" i="111"/>
  <c r="N40" i="111"/>
  <c r="AF40" i="111"/>
  <c r="AE40" i="111"/>
  <c r="AF43" i="111"/>
  <c r="AE50" i="111"/>
  <c r="N57" i="111"/>
  <c r="N60" i="111"/>
  <c r="AE60" i="111"/>
  <c r="AD2" i="111"/>
  <c r="N6" i="110" s="1"/>
  <c r="P65" i="111"/>
  <c r="P68" i="111"/>
  <c r="P70" i="111"/>
  <c r="AE33" i="111"/>
  <c r="AE54" i="111"/>
  <c r="X12" i="109"/>
  <c r="W12" i="109"/>
  <c r="AF49" i="111" l="1"/>
  <c r="AG45" i="111" s="1"/>
  <c r="Q33" i="111"/>
  <c r="P33" i="111"/>
  <c r="AF9" i="111"/>
  <c r="AG5" i="111" s="1"/>
  <c r="E8" i="116"/>
  <c r="K15" i="114"/>
  <c r="I8" i="114" s="1"/>
  <c r="I7" i="114"/>
  <c r="E7" i="114"/>
  <c r="G8" i="114"/>
  <c r="F8" i="114"/>
  <c r="F7" i="114"/>
  <c r="G7" i="114"/>
  <c r="I14" i="112"/>
  <c r="I15" i="112" s="1"/>
  <c r="Q55" i="113"/>
  <c r="R49" i="113" s="1"/>
  <c r="P55" i="113"/>
  <c r="D2" i="113"/>
  <c r="Q10" i="113"/>
  <c r="R5" i="113" s="1"/>
  <c r="P10" i="113"/>
  <c r="D14" i="112"/>
  <c r="K14" i="112"/>
  <c r="Q35" i="113"/>
  <c r="R28" i="113" s="1"/>
  <c r="P35" i="113"/>
  <c r="Q15" i="113"/>
  <c r="R11" i="113" s="1"/>
  <c r="E14" i="112"/>
  <c r="E15" i="112" s="1"/>
  <c r="P15" i="113"/>
  <c r="Q70" i="113"/>
  <c r="R64" i="113" s="1"/>
  <c r="P70" i="113"/>
  <c r="M14" i="112"/>
  <c r="M15" i="112" s="1"/>
  <c r="Q48" i="113"/>
  <c r="R44" i="113" s="1"/>
  <c r="P48" i="113"/>
  <c r="H14" i="112"/>
  <c r="H15" i="112" s="1"/>
  <c r="Q20" i="113"/>
  <c r="R16" i="113" s="1"/>
  <c r="P20" i="113"/>
  <c r="F14" i="112"/>
  <c r="F15" i="112" s="1"/>
  <c r="Q43" i="113"/>
  <c r="R36" i="113" s="1"/>
  <c r="P43" i="113"/>
  <c r="L14" i="112"/>
  <c r="L15" i="112" s="1"/>
  <c r="Q27" i="113"/>
  <c r="R21" i="113" s="1"/>
  <c r="P27" i="113"/>
  <c r="G14" i="112"/>
  <c r="G15" i="112" s="1"/>
  <c r="Q63" i="113"/>
  <c r="R56" i="113" s="1"/>
  <c r="P63" i="113"/>
  <c r="J14" i="112"/>
  <c r="J15" i="112" s="1"/>
  <c r="Q23" i="111"/>
  <c r="P23" i="111"/>
  <c r="Q7" i="111"/>
  <c r="P7" i="111"/>
  <c r="P21" i="111"/>
  <c r="Q21" i="111"/>
  <c r="F2" i="111"/>
  <c r="I3" i="110"/>
  <c r="P61" i="111"/>
  <c r="Q61" i="111"/>
  <c r="Q49" i="111"/>
  <c r="R45" i="111" s="1"/>
  <c r="P49" i="111"/>
  <c r="H14" i="110"/>
  <c r="H15" i="110" s="1"/>
  <c r="Q59" i="111"/>
  <c r="P59" i="111"/>
  <c r="P37" i="111"/>
  <c r="Q37" i="111"/>
  <c r="Q40" i="111"/>
  <c r="P40" i="111"/>
  <c r="P15" i="111"/>
  <c r="Q15" i="111"/>
  <c r="P34" i="111"/>
  <c r="Q34" i="111"/>
  <c r="Q50" i="111"/>
  <c r="P50" i="111"/>
  <c r="AF56" i="111"/>
  <c r="AG50" i="111" s="1"/>
  <c r="AE56" i="111"/>
  <c r="N56" i="111"/>
  <c r="N19" i="111"/>
  <c r="AF19" i="111"/>
  <c r="AG15" i="111" s="1"/>
  <c r="AE19" i="111"/>
  <c r="Q27" i="111"/>
  <c r="P27" i="111"/>
  <c r="AF35" i="111"/>
  <c r="AG27" i="111" s="1"/>
  <c r="AE35" i="111"/>
  <c r="N35" i="111"/>
  <c r="D2" i="111" s="1"/>
  <c r="Q6" i="111"/>
  <c r="P6" i="111"/>
  <c r="Q45" i="111"/>
  <c r="P45" i="111"/>
  <c r="P55" i="111"/>
  <c r="Q55" i="111"/>
  <c r="Q32" i="111"/>
  <c r="P32" i="111"/>
  <c r="Q38" i="111"/>
  <c r="P38" i="111"/>
  <c r="Q48" i="111"/>
  <c r="P48" i="111"/>
  <c r="Q17" i="111"/>
  <c r="P17" i="111"/>
  <c r="Q46" i="111"/>
  <c r="P46" i="111"/>
  <c r="Q20" i="111"/>
  <c r="P20" i="111"/>
  <c r="Q60" i="111"/>
  <c r="P60" i="111"/>
  <c r="Q24" i="111"/>
  <c r="P24" i="111"/>
  <c r="Q53" i="111"/>
  <c r="P53" i="111"/>
  <c r="Q66" i="111"/>
  <c r="P66" i="111"/>
  <c r="AE26" i="111"/>
  <c r="N26" i="111"/>
  <c r="AF26" i="111"/>
  <c r="AG20" i="111" s="1"/>
  <c r="Q62" i="111"/>
  <c r="P62" i="111"/>
  <c r="N64" i="111"/>
  <c r="AF64" i="111"/>
  <c r="AG57" i="111" s="1"/>
  <c r="AE64" i="111"/>
  <c r="Q9" i="111"/>
  <c r="R5" i="111" s="1"/>
  <c r="P9" i="111"/>
  <c r="D14" i="110"/>
  <c r="Q30" i="111"/>
  <c r="P30" i="111"/>
  <c r="Q42" i="111"/>
  <c r="P42" i="111"/>
  <c r="Q5" i="111"/>
  <c r="P5" i="111"/>
  <c r="AF71" i="111"/>
  <c r="AG65" i="111" s="1"/>
  <c r="AE71" i="111"/>
  <c r="N71" i="111"/>
  <c r="P47" i="111"/>
  <c r="Q47" i="111"/>
  <c r="Q13" i="111"/>
  <c r="P13" i="111"/>
  <c r="P57" i="111"/>
  <c r="Q57" i="111"/>
  <c r="P22" i="111"/>
  <c r="Q22" i="111"/>
  <c r="N44" i="111"/>
  <c r="AF44" i="111"/>
  <c r="AG36" i="111" s="1"/>
  <c r="AE44" i="111"/>
  <c r="Q43" i="111"/>
  <c r="P43" i="111"/>
  <c r="P16" i="111"/>
  <c r="Q16" i="111"/>
  <c r="AF14" i="111"/>
  <c r="AG10" i="111" s="1"/>
  <c r="AE14" i="111"/>
  <c r="N14" i="111"/>
  <c r="Q63" i="111"/>
  <c r="P63" i="111"/>
  <c r="Q10" i="111"/>
  <c r="P10" i="111"/>
  <c r="X41" i="109"/>
  <c r="W41" i="109"/>
  <c r="E8" i="114" l="1"/>
  <c r="K15" i="112"/>
  <c r="I8" i="112" s="1"/>
  <c r="I7" i="112"/>
  <c r="D15" i="112"/>
  <c r="G7" i="112"/>
  <c r="F7" i="112"/>
  <c r="E7" i="112"/>
  <c r="Q44" i="111"/>
  <c r="R36" i="111" s="1"/>
  <c r="P44" i="111"/>
  <c r="L14" i="110"/>
  <c r="L15" i="110" s="1"/>
  <c r="Q64" i="111"/>
  <c r="R57" i="111" s="1"/>
  <c r="P64" i="111"/>
  <c r="J14" i="110"/>
  <c r="J15" i="110" s="1"/>
  <c r="Q19" i="111"/>
  <c r="R15" i="111" s="1"/>
  <c r="P19" i="111"/>
  <c r="F14" i="110"/>
  <c r="F15" i="110" s="1"/>
  <c r="Q71" i="111"/>
  <c r="R65" i="111" s="1"/>
  <c r="P71" i="111"/>
  <c r="M14" i="110"/>
  <c r="M15" i="110" s="1"/>
  <c r="P35" i="111"/>
  <c r="K14" i="110"/>
  <c r="Q35" i="111"/>
  <c r="R27" i="111" s="1"/>
  <c r="P14" i="111"/>
  <c r="Q14" i="111"/>
  <c r="R10" i="111" s="1"/>
  <c r="E14" i="110"/>
  <c r="E15" i="110" s="1"/>
  <c r="Q26" i="111"/>
  <c r="R20" i="111" s="1"/>
  <c r="P26" i="111"/>
  <c r="G14" i="110"/>
  <c r="G15" i="110" s="1"/>
  <c r="I14" i="110"/>
  <c r="I15" i="110" s="1"/>
  <c r="P56" i="111"/>
  <c r="Q56" i="111"/>
  <c r="R50" i="111" s="1"/>
  <c r="D15" i="110"/>
  <c r="AD73" i="109"/>
  <c r="Z73" i="109"/>
  <c r="Y73" i="109"/>
  <c r="O73" i="109"/>
  <c r="K73" i="109"/>
  <c r="V72" i="109"/>
  <c r="M72" i="109" s="1"/>
  <c r="U72" i="109"/>
  <c r="O72" i="109"/>
  <c r="K72" i="109"/>
  <c r="G72" i="109"/>
  <c r="V71" i="109"/>
  <c r="M71" i="109" s="1"/>
  <c r="AF71" i="109" s="1"/>
  <c r="U71" i="109"/>
  <c r="O71" i="109"/>
  <c r="K71" i="109"/>
  <c r="G71" i="109"/>
  <c r="X70" i="109"/>
  <c r="W70" i="109"/>
  <c r="V70" i="109"/>
  <c r="M70" i="109" s="1"/>
  <c r="AE70" i="109" s="1"/>
  <c r="U70" i="109"/>
  <c r="O70" i="109"/>
  <c r="K70" i="109"/>
  <c r="G70" i="109"/>
  <c r="V69" i="109"/>
  <c r="M69" i="109" s="1"/>
  <c r="AF69" i="109" s="1"/>
  <c r="U69" i="109"/>
  <c r="O69" i="109"/>
  <c r="K69" i="109"/>
  <c r="G69" i="109"/>
  <c r="V68" i="109"/>
  <c r="M68" i="109" s="1"/>
  <c r="U68" i="109"/>
  <c r="O68" i="109"/>
  <c r="K68" i="109"/>
  <c r="G68" i="109"/>
  <c r="V67" i="109"/>
  <c r="M67" i="109" s="1"/>
  <c r="N67" i="109" s="1"/>
  <c r="U67" i="109"/>
  <c r="O67" i="109"/>
  <c r="K67" i="109"/>
  <c r="G67" i="109"/>
  <c r="X66" i="109"/>
  <c r="W66" i="109"/>
  <c r="V66" i="109"/>
  <c r="M66" i="109" s="1"/>
  <c r="O66" i="109"/>
  <c r="K66" i="109"/>
  <c r="G66" i="109"/>
  <c r="AD65" i="109"/>
  <c r="J21" i="108" s="1"/>
  <c r="Z65" i="109"/>
  <c r="Y65" i="109"/>
  <c r="O65" i="109"/>
  <c r="K65" i="109"/>
  <c r="V64" i="109"/>
  <c r="M64" i="109" s="1"/>
  <c r="U64" i="109"/>
  <c r="O64" i="109"/>
  <c r="K64" i="109"/>
  <c r="G64" i="109"/>
  <c r="V63" i="109"/>
  <c r="M63" i="109" s="1"/>
  <c r="N63" i="109" s="1"/>
  <c r="U63" i="109"/>
  <c r="O63" i="109"/>
  <c r="K63" i="109"/>
  <c r="Q63" i="109" s="1"/>
  <c r="G63" i="109"/>
  <c r="V62" i="109"/>
  <c r="M62" i="109" s="1"/>
  <c r="N62" i="109" s="1"/>
  <c r="U62" i="109"/>
  <c r="P62" i="109"/>
  <c r="O62" i="109"/>
  <c r="K62" i="109"/>
  <c r="G62" i="109"/>
  <c r="V61" i="109"/>
  <c r="M61" i="109" s="1"/>
  <c r="N61" i="109" s="1"/>
  <c r="P61" i="109" s="1"/>
  <c r="U61" i="109"/>
  <c r="O61" i="109"/>
  <c r="K61" i="109"/>
  <c r="G61" i="109"/>
  <c r="V60" i="109"/>
  <c r="M60" i="109" s="1"/>
  <c r="AF60" i="109" s="1"/>
  <c r="U60" i="109"/>
  <c r="O60" i="109"/>
  <c r="K60" i="109"/>
  <c r="G60" i="109"/>
  <c r="V59" i="109"/>
  <c r="U59" i="109"/>
  <c r="O59" i="109"/>
  <c r="M59" i="109"/>
  <c r="K59" i="109"/>
  <c r="G59" i="109"/>
  <c r="V58" i="109"/>
  <c r="M58" i="109" s="1"/>
  <c r="AE58" i="109" s="1"/>
  <c r="O58" i="109"/>
  <c r="K58" i="109"/>
  <c r="G58" i="109"/>
  <c r="AD57" i="109"/>
  <c r="Z57" i="109"/>
  <c r="I19" i="108" s="1"/>
  <c r="Y57" i="109"/>
  <c r="I18" i="108" s="1"/>
  <c r="O57" i="109"/>
  <c r="K57" i="109"/>
  <c r="V56" i="109"/>
  <c r="M56" i="109" s="1"/>
  <c r="U56" i="109"/>
  <c r="O56" i="109"/>
  <c r="K56" i="109"/>
  <c r="G56" i="109"/>
  <c r="V55" i="109"/>
  <c r="M55" i="109" s="1"/>
  <c r="U55" i="109"/>
  <c r="O55" i="109"/>
  <c r="K55" i="109"/>
  <c r="G55" i="109"/>
  <c r="V54" i="109"/>
  <c r="U54" i="109"/>
  <c r="O54" i="109"/>
  <c r="M54" i="109"/>
  <c r="AE54" i="109" s="1"/>
  <c r="K54" i="109"/>
  <c r="G54" i="109"/>
  <c r="V53" i="109"/>
  <c r="M53" i="109" s="1"/>
  <c r="U53" i="109"/>
  <c r="O53" i="109"/>
  <c r="K53" i="109"/>
  <c r="G53" i="109"/>
  <c r="V52" i="109"/>
  <c r="M52" i="109" s="1"/>
  <c r="AE52" i="109" s="1"/>
  <c r="U52" i="109"/>
  <c r="O52" i="109"/>
  <c r="K52" i="109"/>
  <c r="G52" i="109"/>
  <c r="V51" i="109"/>
  <c r="M51" i="109" s="1"/>
  <c r="O51" i="109"/>
  <c r="K51" i="109"/>
  <c r="G51" i="109"/>
  <c r="AD50" i="109"/>
  <c r="Z50" i="109"/>
  <c r="H19" i="108" s="1"/>
  <c r="Y50" i="109"/>
  <c r="O50" i="109"/>
  <c r="K50" i="109"/>
  <c r="AE49" i="109"/>
  <c r="V49" i="109"/>
  <c r="M49" i="109" s="1"/>
  <c r="N49" i="109" s="1"/>
  <c r="U49" i="109"/>
  <c r="O49" i="109"/>
  <c r="K49" i="109"/>
  <c r="Q49" i="109" s="1"/>
  <c r="G49" i="109"/>
  <c r="AE48" i="109"/>
  <c r="V48" i="109"/>
  <c r="M48" i="109" s="1"/>
  <c r="N48" i="109" s="1"/>
  <c r="Q48" i="109" s="1"/>
  <c r="U48" i="109"/>
  <c r="O48" i="109"/>
  <c r="K48" i="109"/>
  <c r="G48" i="109"/>
  <c r="V47" i="109"/>
  <c r="M47" i="109" s="1"/>
  <c r="N47" i="109" s="1"/>
  <c r="U47" i="109"/>
  <c r="O47" i="109"/>
  <c r="K47" i="109"/>
  <c r="G47" i="109"/>
  <c r="AF46" i="109"/>
  <c r="AE46" i="109"/>
  <c r="X46" i="109"/>
  <c r="W46" i="109"/>
  <c r="V46" i="109"/>
  <c r="M46" i="109" s="1"/>
  <c r="N46" i="109" s="1"/>
  <c r="O46" i="109"/>
  <c r="K46" i="109"/>
  <c r="Q46" i="109" s="1"/>
  <c r="G46" i="109"/>
  <c r="AD45" i="109"/>
  <c r="L21" i="108" s="1"/>
  <c r="Z45" i="109"/>
  <c r="Y45" i="109"/>
  <c r="O45" i="109"/>
  <c r="K45" i="109"/>
  <c r="V44" i="109"/>
  <c r="M44" i="109" s="1"/>
  <c r="N44" i="109" s="1"/>
  <c r="P44" i="109" s="1"/>
  <c r="U44" i="109"/>
  <c r="O44" i="109"/>
  <c r="K44" i="109"/>
  <c r="G44" i="109"/>
  <c r="V43" i="109"/>
  <c r="M43" i="109" s="1"/>
  <c r="N43" i="109" s="1"/>
  <c r="U43" i="109"/>
  <c r="O43" i="109"/>
  <c r="K43" i="109"/>
  <c r="G43" i="109"/>
  <c r="V42" i="109"/>
  <c r="U42" i="109"/>
  <c r="O42" i="109"/>
  <c r="M42" i="109"/>
  <c r="K42" i="109"/>
  <c r="G42" i="109"/>
  <c r="V41" i="109"/>
  <c r="M41" i="109" s="1"/>
  <c r="U41" i="109"/>
  <c r="O41" i="109"/>
  <c r="N41" i="109"/>
  <c r="K41" i="109"/>
  <c r="G41" i="109"/>
  <c r="V40" i="109"/>
  <c r="U40" i="109"/>
  <c r="O40" i="109"/>
  <c r="M40" i="109"/>
  <c r="N40" i="109" s="1"/>
  <c r="K40" i="109"/>
  <c r="G40" i="109"/>
  <c r="V39" i="109"/>
  <c r="M39" i="109" s="1"/>
  <c r="N39" i="109" s="1"/>
  <c r="Q39" i="109" s="1"/>
  <c r="U39" i="109"/>
  <c r="O39" i="109"/>
  <c r="K39" i="109"/>
  <c r="G39" i="109"/>
  <c r="V38" i="109"/>
  <c r="U38" i="109"/>
  <c r="O38" i="109"/>
  <c r="N38" i="109"/>
  <c r="M38" i="109"/>
  <c r="AE38" i="109" s="1"/>
  <c r="K38" i="109"/>
  <c r="G38" i="109"/>
  <c r="X37" i="109"/>
  <c r="W37" i="109"/>
  <c r="V37" i="109"/>
  <c r="O37" i="109"/>
  <c r="M37" i="109"/>
  <c r="N37" i="109" s="1"/>
  <c r="K37" i="109"/>
  <c r="G37" i="109"/>
  <c r="AD36" i="109"/>
  <c r="Z36" i="109"/>
  <c r="K19" i="108" s="1"/>
  <c r="Y36" i="109"/>
  <c r="O36" i="109"/>
  <c r="K36" i="109"/>
  <c r="AF35" i="109"/>
  <c r="V35" i="109"/>
  <c r="U35" i="109"/>
  <c r="O35" i="109"/>
  <c r="N35" i="109"/>
  <c r="M35" i="109"/>
  <c r="AE35" i="109" s="1"/>
  <c r="K35" i="109"/>
  <c r="G35" i="109"/>
  <c r="V34" i="109"/>
  <c r="M34" i="109" s="1"/>
  <c r="AF34" i="109" s="1"/>
  <c r="U34" i="109"/>
  <c r="O34" i="109"/>
  <c r="K34" i="109"/>
  <c r="G34" i="109"/>
  <c r="V33" i="109"/>
  <c r="M33" i="109" s="1"/>
  <c r="AE33" i="109" s="1"/>
  <c r="U33" i="109"/>
  <c r="O33" i="109"/>
  <c r="K33" i="109"/>
  <c r="G33" i="109"/>
  <c r="AF32" i="109"/>
  <c r="X32" i="109"/>
  <c r="W32" i="109"/>
  <c r="V32" i="109"/>
  <c r="U32" i="109"/>
  <c r="O32" i="109"/>
  <c r="M32" i="109"/>
  <c r="AE32" i="109" s="1"/>
  <c r="K32" i="109"/>
  <c r="G32" i="109"/>
  <c r="V31" i="109"/>
  <c r="M31" i="109" s="1"/>
  <c r="U31" i="109"/>
  <c r="O31" i="109"/>
  <c r="K31" i="109"/>
  <c r="G31" i="109"/>
  <c r="V30" i="109"/>
  <c r="U30" i="109"/>
  <c r="O30" i="109"/>
  <c r="M30" i="109"/>
  <c r="N30" i="109" s="1"/>
  <c r="K30" i="109"/>
  <c r="G30" i="109"/>
  <c r="AE29" i="109"/>
  <c r="V29" i="109"/>
  <c r="M29" i="109" s="1"/>
  <c r="N29" i="109" s="1"/>
  <c r="Q29" i="109" s="1"/>
  <c r="U29" i="109"/>
  <c r="O29" i="109"/>
  <c r="K29" i="109"/>
  <c r="G29" i="109"/>
  <c r="X28" i="109"/>
  <c r="W28" i="109"/>
  <c r="V28" i="109"/>
  <c r="M28" i="109" s="1"/>
  <c r="O28" i="109"/>
  <c r="K28" i="109"/>
  <c r="G28" i="109"/>
  <c r="AD27" i="109"/>
  <c r="G21" i="108" s="1"/>
  <c r="Z27" i="109"/>
  <c r="G19" i="108" s="1"/>
  <c r="Y27" i="109"/>
  <c r="O27" i="109"/>
  <c r="K27" i="109"/>
  <c r="G13" i="108" s="1"/>
  <c r="AF26" i="109"/>
  <c r="V26" i="109"/>
  <c r="M26" i="109" s="1"/>
  <c r="N26" i="109" s="1"/>
  <c r="U26" i="109"/>
  <c r="O26" i="109"/>
  <c r="K26" i="109"/>
  <c r="G26" i="109"/>
  <c r="V25" i="109"/>
  <c r="M25" i="109" s="1"/>
  <c r="N25" i="109" s="1"/>
  <c r="Q25" i="109" s="1"/>
  <c r="U25" i="109"/>
  <c r="O25" i="109"/>
  <c r="K25" i="109"/>
  <c r="G25" i="109"/>
  <c r="V24" i="109"/>
  <c r="M24" i="109" s="1"/>
  <c r="N24" i="109" s="1"/>
  <c r="P24" i="109" s="1"/>
  <c r="U24" i="109"/>
  <c r="O24" i="109"/>
  <c r="K24" i="109"/>
  <c r="G24" i="109"/>
  <c r="AF23" i="109"/>
  <c r="V23" i="109"/>
  <c r="M23" i="109" s="1"/>
  <c r="N23" i="109" s="1"/>
  <c r="U23" i="109"/>
  <c r="O23" i="109"/>
  <c r="K23" i="109"/>
  <c r="G23" i="109"/>
  <c r="V22" i="109"/>
  <c r="M22" i="109" s="1"/>
  <c r="U22" i="109"/>
  <c r="O22" i="109"/>
  <c r="K22" i="109"/>
  <c r="G22" i="109"/>
  <c r="V21" i="109"/>
  <c r="M21" i="109" s="1"/>
  <c r="O21" i="109"/>
  <c r="K21" i="109"/>
  <c r="G21" i="109"/>
  <c r="AD20" i="109"/>
  <c r="Z20" i="109"/>
  <c r="F19" i="108" s="1"/>
  <c r="Y20" i="109"/>
  <c r="F18" i="108" s="1"/>
  <c r="O20" i="109"/>
  <c r="K20" i="109"/>
  <c r="V19" i="109"/>
  <c r="U19" i="109"/>
  <c r="O19" i="109"/>
  <c r="M19" i="109"/>
  <c r="N19" i="109" s="1"/>
  <c r="K19" i="109"/>
  <c r="G19" i="109"/>
  <c r="V18" i="109"/>
  <c r="M18" i="109" s="1"/>
  <c r="U18" i="109"/>
  <c r="O18" i="109"/>
  <c r="K18" i="109"/>
  <c r="G18" i="109"/>
  <c r="V17" i="109"/>
  <c r="U17" i="109"/>
  <c r="O17" i="109"/>
  <c r="M17" i="109"/>
  <c r="AE17" i="109" s="1"/>
  <c r="K17" i="109"/>
  <c r="G17" i="109"/>
  <c r="V16" i="109"/>
  <c r="M16" i="109" s="1"/>
  <c r="O16" i="109"/>
  <c r="K16" i="109"/>
  <c r="G16" i="109"/>
  <c r="AD15" i="109"/>
  <c r="E21" i="108" s="1"/>
  <c r="Z15" i="109"/>
  <c r="Y15" i="109"/>
  <c r="O15" i="109"/>
  <c r="K15" i="109"/>
  <c r="V14" i="109"/>
  <c r="M14" i="109" s="1"/>
  <c r="U14" i="109"/>
  <c r="O14" i="109"/>
  <c r="K14" i="109"/>
  <c r="G14" i="109"/>
  <c r="V13" i="109"/>
  <c r="U13" i="109"/>
  <c r="O13" i="109"/>
  <c r="M13" i="109"/>
  <c r="N13" i="109" s="1"/>
  <c r="K13" i="109"/>
  <c r="G13" i="109"/>
  <c r="V12" i="109"/>
  <c r="U12" i="109"/>
  <c r="O12" i="109"/>
  <c r="M12" i="109"/>
  <c r="AE12" i="109" s="1"/>
  <c r="K12" i="109"/>
  <c r="G12" i="109"/>
  <c r="V11" i="109"/>
  <c r="M11" i="109" s="1"/>
  <c r="O11" i="109"/>
  <c r="K11" i="109"/>
  <c r="G11" i="109"/>
  <c r="AD10" i="109"/>
  <c r="Z10" i="109"/>
  <c r="D19" i="108" s="1"/>
  <c r="Y10" i="109"/>
  <c r="O10" i="109"/>
  <c r="K10" i="109"/>
  <c r="V9" i="109"/>
  <c r="M9" i="109" s="1"/>
  <c r="N9" i="109" s="1"/>
  <c r="U9" i="109"/>
  <c r="O9" i="109"/>
  <c r="K9" i="109"/>
  <c r="G9" i="109"/>
  <c r="X8" i="109"/>
  <c r="W8" i="109"/>
  <c r="V8" i="109"/>
  <c r="U8" i="109"/>
  <c r="O8" i="109"/>
  <c r="M8" i="109"/>
  <c r="N8" i="109" s="1"/>
  <c r="K8" i="109"/>
  <c r="G8" i="109"/>
  <c r="V7" i="109"/>
  <c r="M7" i="109" s="1"/>
  <c r="N7" i="109" s="1"/>
  <c r="P7" i="109" s="1"/>
  <c r="U7" i="109"/>
  <c r="O7" i="109"/>
  <c r="K7" i="109"/>
  <c r="G7" i="109"/>
  <c r="AF6" i="109"/>
  <c r="V6" i="109"/>
  <c r="M6" i="109" s="1"/>
  <c r="N6" i="109" s="1"/>
  <c r="U6" i="109"/>
  <c r="O6" i="109"/>
  <c r="K6" i="109"/>
  <c r="G6" i="109"/>
  <c r="V5" i="109"/>
  <c r="M5" i="109" s="1"/>
  <c r="N5" i="109" s="1"/>
  <c r="O5" i="109"/>
  <c r="K5" i="109"/>
  <c r="G5" i="109"/>
  <c r="H2" i="109"/>
  <c r="H1" i="109"/>
  <c r="D1" i="109"/>
  <c r="M22" i="108"/>
  <c r="L22" i="108"/>
  <c r="K22" i="108"/>
  <c r="J22" i="108"/>
  <c r="I22" i="108"/>
  <c r="H22" i="108"/>
  <c r="G22" i="108"/>
  <c r="F22" i="108"/>
  <c r="E22" i="108"/>
  <c r="D22" i="108"/>
  <c r="M21" i="108"/>
  <c r="K21" i="108"/>
  <c r="I21" i="108"/>
  <c r="H21" i="108"/>
  <c r="F21" i="108"/>
  <c r="D21" i="108"/>
  <c r="M20" i="108"/>
  <c r="L20" i="108"/>
  <c r="K20" i="108"/>
  <c r="J20" i="108"/>
  <c r="I20" i="108"/>
  <c r="H20" i="108"/>
  <c r="G20" i="108"/>
  <c r="F20" i="108"/>
  <c r="E20" i="108"/>
  <c r="D20" i="108"/>
  <c r="M19" i="108"/>
  <c r="L19" i="108"/>
  <c r="J19" i="108"/>
  <c r="E19" i="108"/>
  <c r="M18" i="108"/>
  <c r="L18" i="108"/>
  <c r="K18" i="108"/>
  <c r="J18" i="108"/>
  <c r="H18" i="108"/>
  <c r="G18" i="108"/>
  <c r="E18" i="108"/>
  <c r="D18" i="108"/>
  <c r="M17" i="108"/>
  <c r="L17" i="108"/>
  <c r="K17" i="108"/>
  <c r="J17" i="108"/>
  <c r="I17" i="108"/>
  <c r="H17" i="108"/>
  <c r="G17" i="108"/>
  <c r="F17" i="108"/>
  <c r="E17" i="108"/>
  <c r="D17" i="108"/>
  <c r="M16" i="108"/>
  <c r="L16" i="108"/>
  <c r="K16" i="108"/>
  <c r="J16" i="108"/>
  <c r="I16" i="108"/>
  <c r="H16" i="108"/>
  <c r="G16" i="108"/>
  <c r="F16" i="108"/>
  <c r="E16" i="108"/>
  <c r="D16" i="108"/>
  <c r="M13" i="108"/>
  <c r="L13" i="108"/>
  <c r="K13" i="108"/>
  <c r="I6" i="108" s="1"/>
  <c r="J13" i="108"/>
  <c r="I13" i="108"/>
  <c r="H13" i="108"/>
  <c r="E6" i="108" s="1"/>
  <c r="F13" i="108"/>
  <c r="E13" i="108"/>
  <c r="D13" i="108"/>
  <c r="F6" i="108" s="1"/>
  <c r="M6" i="108"/>
  <c r="F3" i="108"/>
  <c r="C3" i="108"/>
  <c r="AF53" i="109" l="1"/>
  <c r="AE53" i="109"/>
  <c r="N53" i="109"/>
  <c r="P53" i="109" s="1"/>
  <c r="AE72" i="109"/>
  <c r="N72" i="109"/>
  <c r="Q72" i="109" s="1"/>
  <c r="AF72" i="109"/>
  <c r="AE14" i="109"/>
  <c r="N14" i="109"/>
  <c r="P40" i="109"/>
  <c r="Q40" i="109"/>
  <c r="AF66" i="109"/>
  <c r="N66" i="109"/>
  <c r="P66" i="109" s="1"/>
  <c r="P37" i="109"/>
  <c r="Q37" i="109"/>
  <c r="AE16" i="109"/>
  <c r="AF16" i="109"/>
  <c r="N28" i="109"/>
  <c r="Q28" i="109" s="1"/>
  <c r="AF28" i="109"/>
  <c r="AE28" i="109"/>
  <c r="N64" i="109"/>
  <c r="Q64" i="109" s="1"/>
  <c r="AF64" i="109"/>
  <c r="AF12" i="109"/>
  <c r="N32" i="109"/>
  <c r="Q6" i="109"/>
  <c r="Q26" i="109"/>
  <c r="N60" i="109"/>
  <c r="Q60" i="109" s="1"/>
  <c r="P9" i="109"/>
  <c r="Q44" i="109"/>
  <c r="AF29" i="109"/>
  <c r="AE13" i="109"/>
  <c r="Q41" i="109"/>
  <c r="AE44" i="109"/>
  <c r="P47" i="109"/>
  <c r="AD2" i="109"/>
  <c r="N6" i="108" s="1"/>
  <c r="AF44" i="109"/>
  <c r="AF54" i="109"/>
  <c r="AF17" i="109"/>
  <c r="P48" i="109"/>
  <c r="P25" i="109"/>
  <c r="AE25" i="109"/>
  <c r="Q62" i="109"/>
  <c r="Q5" i="109"/>
  <c r="AE8" i="109"/>
  <c r="AF25" i="109"/>
  <c r="AE62" i="109"/>
  <c r="AF8" i="109"/>
  <c r="P46" i="109"/>
  <c r="E8" i="112"/>
  <c r="G8" i="112"/>
  <c r="F8" i="112"/>
  <c r="G8" i="110"/>
  <c r="F8" i="110"/>
  <c r="K15" i="110"/>
  <c r="I8" i="110" s="1"/>
  <c r="I7" i="110"/>
  <c r="G7" i="110"/>
  <c r="E7" i="110"/>
  <c r="F7" i="110"/>
  <c r="Q23" i="109"/>
  <c r="P23" i="109"/>
  <c r="Q19" i="109"/>
  <c r="P19" i="109"/>
  <c r="Q43" i="109"/>
  <c r="P43" i="109"/>
  <c r="AE68" i="109"/>
  <c r="N68" i="109"/>
  <c r="AF68" i="109"/>
  <c r="Q13" i="109"/>
  <c r="P13" i="109"/>
  <c r="AE31" i="109"/>
  <c r="N31" i="109"/>
  <c r="AF31" i="109"/>
  <c r="AE51" i="109"/>
  <c r="AF51" i="109"/>
  <c r="M57" i="109"/>
  <c r="N51" i="109"/>
  <c r="AF22" i="109"/>
  <c r="N22" i="109"/>
  <c r="AE22" i="109"/>
  <c r="AE11" i="109"/>
  <c r="AF11" i="109"/>
  <c r="M15" i="109"/>
  <c r="N11" i="109"/>
  <c r="Q53" i="109"/>
  <c r="AE9" i="109"/>
  <c r="AE24" i="109"/>
  <c r="Q30" i="109"/>
  <c r="P30" i="109"/>
  <c r="N34" i="109"/>
  <c r="AF42" i="109"/>
  <c r="N42" i="109"/>
  <c r="AF56" i="109"/>
  <c r="AE56" i="109"/>
  <c r="Q67" i="109"/>
  <c r="P67" i="109"/>
  <c r="N71" i="109"/>
  <c r="AE5" i="109"/>
  <c r="AF9" i="109"/>
  <c r="AF13" i="109"/>
  <c r="AF24" i="109"/>
  <c r="AE37" i="109"/>
  <c r="M45" i="109"/>
  <c r="P39" i="109"/>
  <c r="AE47" i="109"/>
  <c r="N56" i="109"/>
  <c r="P60" i="109"/>
  <c r="AE61" i="109"/>
  <c r="AE64" i="109"/>
  <c r="N70" i="109"/>
  <c r="AF5" i="109"/>
  <c r="AF18" i="109"/>
  <c r="AE18" i="109"/>
  <c r="Q38" i="109"/>
  <c r="AF47" i="109"/>
  <c r="AF59" i="109"/>
  <c r="N59" i="109"/>
  <c r="AF61" i="109"/>
  <c r="Q66" i="109"/>
  <c r="Q7" i="109"/>
  <c r="M10" i="109"/>
  <c r="N18" i="109"/>
  <c r="P26" i="109"/>
  <c r="M36" i="109"/>
  <c r="AE43" i="109"/>
  <c r="N52" i="109"/>
  <c r="AF55" i="109"/>
  <c r="AE55" i="109"/>
  <c r="M73" i="109"/>
  <c r="AF19" i="109"/>
  <c r="AE19" i="109"/>
  <c r="Y2" i="109"/>
  <c r="K6" i="108" s="1"/>
  <c r="AF21" i="109"/>
  <c r="N21" i="109"/>
  <c r="AE23" i="109"/>
  <c r="AE26" i="109"/>
  <c r="AE30" i="109"/>
  <c r="N33" i="109"/>
  <c r="AE34" i="109"/>
  <c r="P38" i="109"/>
  <c r="AF43" i="109"/>
  <c r="P49" i="109"/>
  <c r="N55" i="109"/>
  <c r="P63" i="109"/>
  <c r="M65" i="109"/>
  <c r="AE67" i="109"/>
  <c r="AE71" i="109"/>
  <c r="Z2" i="109"/>
  <c r="L6" i="108" s="1"/>
  <c r="Q14" i="109"/>
  <c r="P14" i="109"/>
  <c r="AF30" i="109"/>
  <c r="Q32" i="109"/>
  <c r="P32" i="109"/>
  <c r="AF58" i="109"/>
  <c r="N58" i="109"/>
  <c r="AE60" i="109"/>
  <c r="AE63" i="109"/>
  <c r="AF67" i="109"/>
  <c r="N69" i="109"/>
  <c r="AE7" i="109"/>
  <c r="N17" i="109"/>
  <c r="P41" i="109"/>
  <c r="AE42" i="109"/>
  <c r="AF49" i="109"/>
  <c r="AF63" i="109"/>
  <c r="G6" i="108"/>
  <c r="F1" i="109"/>
  <c r="P6" i="109"/>
  <c r="AF7" i="109"/>
  <c r="M20" i="109"/>
  <c r="M27" i="109"/>
  <c r="P29" i="109"/>
  <c r="AF38" i="109"/>
  <c r="AF40" i="109"/>
  <c r="AE40" i="109"/>
  <c r="AF52" i="109"/>
  <c r="N54" i="109"/>
  <c r="AE66" i="109"/>
  <c r="AF33" i="109"/>
  <c r="Q35" i="109"/>
  <c r="M50" i="109"/>
  <c r="AE59" i="109"/>
  <c r="AF70" i="109"/>
  <c r="Q9" i="109"/>
  <c r="AF14" i="109"/>
  <c r="Q24" i="109"/>
  <c r="AF41" i="109"/>
  <c r="AE41" i="109"/>
  <c r="AE69" i="109"/>
  <c r="P5" i="109"/>
  <c r="AE6" i="109"/>
  <c r="Q8" i="109"/>
  <c r="P8" i="109"/>
  <c r="N12" i="109"/>
  <c r="N16" i="109"/>
  <c r="AE21" i="109"/>
  <c r="P35" i="109"/>
  <c r="AF37" i="109"/>
  <c r="AF39" i="109"/>
  <c r="AE39" i="109"/>
  <c r="Q47" i="109"/>
  <c r="AF48" i="109"/>
  <c r="Q61" i="109"/>
  <c r="AF62" i="109"/>
  <c r="P72" i="109"/>
  <c r="AD70" i="107"/>
  <c r="Z70" i="107"/>
  <c r="Y70" i="107"/>
  <c r="M18" i="106" s="1"/>
  <c r="O70" i="107"/>
  <c r="K70" i="107"/>
  <c r="V69" i="107"/>
  <c r="U69" i="107"/>
  <c r="O69" i="107"/>
  <c r="M69" i="107"/>
  <c r="AE69" i="107" s="1"/>
  <c r="K69" i="107"/>
  <c r="G69" i="107"/>
  <c r="V68" i="107"/>
  <c r="M68" i="107" s="1"/>
  <c r="U68" i="107"/>
  <c r="O68" i="107"/>
  <c r="K68" i="107"/>
  <c r="G68" i="107"/>
  <c r="V67" i="107"/>
  <c r="M67" i="107" s="1"/>
  <c r="U67" i="107"/>
  <c r="O67" i="107"/>
  <c r="K67" i="107"/>
  <c r="G67" i="107"/>
  <c r="V66" i="107"/>
  <c r="M66" i="107" s="1"/>
  <c r="U66" i="107"/>
  <c r="O66" i="107"/>
  <c r="K66" i="107"/>
  <c r="G66" i="107"/>
  <c r="X65" i="107"/>
  <c r="W65" i="107"/>
  <c r="V65" i="107"/>
  <c r="M65" i="107" s="1"/>
  <c r="O65" i="107"/>
  <c r="K65" i="107"/>
  <c r="G65" i="107"/>
  <c r="AD64" i="107"/>
  <c r="Z64" i="107"/>
  <c r="Y64" i="107"/>
  <c r="O64" i="107"/>
  <c r="K64" i="107"/>
  <c r="V63" i="107"/>
  <c r="M63" i="107" s="1"/>
  <c r="U63" i="107"/>
  <c r="O63" i="107"/>
  <c r="K63" i="107"/>
  <c r="G63" i="107"/>
  <c r="V62" i="107"/>
  <c r="M62" i="107" s="1"/>
  <c r="U62" i="107"/>
  <c r="O62" i="107"/>
  <c r="K62" i="107"/>
  <c r="G62" i="107"/>
  <c r="V61" i="107"/>
  <c r="M61" i="107" s="1"/>
  <c r="U61" i="107"/>
  <c r="O61" i="107"/>
  <c r="K61" i="107"/>
  <c r="G61" i="107"/>
  <c r="V60" i="107"/>
  <c r="M60" i="107" s="1"/>
  <c r="U60" i="107"/>
  <c r="O60" i="107"/>
  <c r="K60" i="107"/>
  <c r="G60" i="107"/>
  <c r="V59" i="107"/>
  <c r="M59" i="107" s="1"/>
  <c r="O59" i="107"/>
  <c r="K59" i="107"/>
  <c r="G59" i="107"/>
  <c r="AD58" i="107"/>
  <c r="I21" i="106" s="1"/>
  <c r="Z58" i="107"/>
  <c r="I19" i="106" s="1"/>
  <c r="Y58" i="107"/>
  <c r="I18" i="106" s="1"/>
  <c r="O58" i="107"/>
  <c r="K58" i="107"/>
  <c r="V57" i="107"/>
  <c r="U57" i="107"/>
  <c r="O57" i="107"/>
  <c r="M57" i="107"/>
  <c r="AF57" i="107" s="1"/>
  <c r="K57" i="107"/>
  <c r="G57" i="107"/>
  <c r="V56" i="107"/>
  <c r="U56" i="107"/>
  <c r="O56" i="107"/>
  <c r="M56" i="107"/>
  <c r="AF56" i="107" s="1"/>
  <c r="K56" i="107"/>
  <c r="G56" i="107"/>
  <c r="V55" i="107"/>
  <c r="U55" i="107"/>
  <c r="O55" i="107"/>
  <c r="M55" i="107"/>
  <c r="AF55" i="107" s="1"/>
  <c r="K55" i="107"/>
  <c r="G55" i="107"/>
  <c r="V54" i="107"/>
  <c r="M54" i="107" s="1"/>
  <c r="AF54" i="107" s="1"/>
  <c r="U54" i="107"/>
  <c r="O54" i="107"/>
  <c r="K54" i="107"/>
  <c r="G54" i="107"/>
  <c r="V53" i="107"/>
  <c r="O53" i="107"/>
  <c r="M53" i="107"/>
  <c r="N53" i="107" s="1"/>
  <c r="K53" i="107"/>
  <c r="G53" i="107"/>
  <c r="V52" i="107"/>
  <c r="M52" i="107" s="1"/>
  <c r="U52" i="107"/>
  <c r="O52" i="107"/>
  <c r="K52" i="107"/>
  <c r="G52" i="107"/>
  <c r="V51" i="107"/>
  <c r="M51" i="107" s="1"/>
  <c r="U51" i="107"/>
  <c r="O51" i="107"/>
  <c r="K51" i="107"/>
  <c r="G51" i="107"/>
  <c r="V50" i="107"/>
  <c r="M50" i="107" s="1"/>
  <c r="O50" i="107"/>
  <c r="K50" i="107"/>
  <c r="G50" i="107"/>
  <c r="AD49" i="107"/>
  <c r="H21" i="106" s="1"/>
  <c r="Z49" i="107"/>
  <c r="H19" i="106" s="1"/>
  <c r="Y49" i="107"/>
  <c r="H18" i="106" s="1"/>
  <c r="O49" i="107"/>
  <c r="K49" i="107"/>
  <c r="V48" i="107"/>
  <c r="M48" i="107" s="1"/>
  <c r="U48" i="107"/>
  <c r="O48" i="107"/>
  <c r="K48" i="107"/>
  <c r="G48" i="107"/>
  <c r="V47" i="107"/>
  <c r="M47" i="107" s="1"/>
  <c r="U47" i="107"/>
  <c r="O47" i="107"/>
  <c r="K47" i="107"/>
  <c r="G47" i="107"/>
  <c r="AF46" i="107"/>
  <c r="V46" i="107"/>
  <c r="U46" i="107"/>
  <c r="O46" i="107"/>
  <c r="N46" i="107"/>
  <c r="Q46" i="107" s="1"/>
  <c r="M46" i="107"/>
  <c r="AE46" i="107" s="1"/>
  <c r="K46" i="107"/>
  <c r="G46" i="107"/>
  <c r="V45" i="107"/>
  <c r="U45" i="107"/>
  <c r="O45" i="107"/>
  <c r="M45" i="107"/>
  <c r="AF45" i="107" s="1"/>
  <c r="K45" i="107"/>
  <c r="G45" i="107"/>
  <c r="V44" i="107"/>
  <c r="U44" i="107"/>
  <c r="O44" i="107"/>
  <c r="M44" i="107"/>
  <c r="AF44" i="107" s="1"/>
  <c r="K44" i="107"/>
  <c r="G44" i="107"/>
  <c r="X43" i="107"/>
  <c r="W43" i="107"/>
  <c r="V43" i="107"/>
  <c r="M43" i="107" s="1"/>
  <c r="O43" i="107"/>
  <c r="K43" i="107"/>
  <c r="G43" i="107"/>
  <c r="AD42" i="107"/>
  <c r="Z42" i="107"/>
  <c r="Y42" i="107"/>
  <c r="L18" i="106" s="1"/>
  <c r="O42" i="107"/>
  <c r="K42" i="107"/>
  <c r="V41" i="107"/>
  <c r="M41" i="107" s="1"/>
  <c r="AF41" i="107" s="1"/>
  <c r="U41" i="107"/>
  <c r="O41" i="107"/>
  <c r="K41" i="107"/>
  <c r="G41" i="107"/>
  <c r="V40" i="107"/>
  <c r="M40" i="107" s="1"/>
  <c r="AF40" i="107" s="1"/>
  <c r="U40" i="107"/>
  <c r="O40" i="107"/>
  <c r="K40" i="107"/>
  <c r="G40" i="107"/>
  <c r="V39" i="107"/>
  <c r="U39" i="107"/>
  <c r="O39" i="107"/>
  <c r="M39" i="107"/>
  <c r="AF39" i="107" s="1"/>
  <c r="K39" i="107"/>
  <c r="G39" i="107"/>
  <c r="AF38" i="107"/>
  <c r="V38" i="107"/>
  <c r="U38" i="107"/>
  <c r="O38" i="107"/>
  <c r="M38" i="107"/>
  <c r="AE38" i="107" s="1"/>
  <c r="K38" i="107"/>
  <c r="G38" i="107"/>
  <c r="X37" i="107"/>
  <c r="W37" i="107"/>
  <c r="V37" i="107"/>
  <c r="M37" i="107" s="1"/>
  <c r="O37" i="107"/>
  <c r="K37" i="107"/>
  <c r="G37" i="107"/>
  <c r="AD36" i="107"/>
  <c r="Z36" i="107"/>
  <c r="Y36" i="107"/>
  <c r="K18" i="106" s="1"/>
  <c r="O36" i="107"/>
  <c r="K36" i="107"/>
  <c r="V35" i="107"/>
  <c r="U35" i="107"/>
  <c r="O35" i="107"/>
  <c r="M35" i="107"/>
  <c r="AE35" i="107" s="1"/>
  <c r="K35" i="107"/>
  <c r="G35" i="107"/>
  <c r="V34" i="107"/>
  <c r="M34" i="107" s="1"/>
  <c r="U34" i="107"/>
  <c r="O34" i="107"/>
  <c r="K34" i="107"/>
  <c r="G34" i="107"/>
  <c r="V33" i="107"/>
  <c r="M33" i="107" s="1"/>
  <c r="U33" i="107"/>
  <c r="O33" i="107"/>
  <c r="K33" i="107"/>
  <c r="G33" i="107"/>
  <c r="V32" i="107"/>
  <c r="M32" i="107" s="1"/>
  <c r="U32" i="107"/>
  <c r="O32" i="107"/>
  <c r="K32" i="107"/>
  <c r="G32" i="107"/>
  <c r="X31" i="107"/>
  <c r="W31" i="107"/>
  <c r="V31" i="107"/>
  <c r="M31" i="107" s="1"/>
  <c r="O31" i="107"/>
  <c r="K31" i="107"/>
  <c r="G31" i="107"/>
  <c r="AD30" i="107"/>
  <c r="G21" i="106" s="1"/>
  <c r="Z30" i="107"/>
  <c r="Y30" i="107"/>
  <c r="O30" i="107"/>
  <c r="K30" i="107"/>
  <c r="V29" i="107"/>
  <c r="M29" i="107" s="1"/>
  <c r="U29" i="107"/>
  <c r="O29" i="107"/>
  <c r="K29" i="107"/>
  <c r="G29" i="107"/>
  <c r="V28" i="107"/>
  <c r="M28" i="107" s="1"/>
  <c r="U28" i="107"/>
  <c r="O28" i="107"/>
  <c r="K28" i="107"/>
  <c r="G28" i="107"/>
  <c r="V27" i="107"/>
  <c r="M27" i="107" s="1"/>
  <c r="U27" i="107"/>
  <c r="O27" i="107"/>
  <c r="K27" i="107"/>
  <c r="G27" i="107"/>
  <c r="V26" i="107"/>
  <c r="M26" i="107" s="1"/>
  <c r="U26" i="107"/>
  <c r="O26" i="107"/>
  <c r="K26" i="107"/>
  <c r="G26" i="107"/>
  <c r="V25" i="107"/>
  <c r="O25" i="107"/>
  <c r="M25" i="107"/>
  <c r="AE25" i="107" s="1"/>
  <c r="K25" i="107"/>
  <c r="G25" i="107"/>
  <c r="V24" i="107"/>
  <c r="U24" i="107"/>
  <c r="O24" i="107"/>
  <c r="M24" i="107"/>
  <c r="AF24" i="107" s="1"/>
  <c r="K24" i="107"/>
  <c r="G24" i="107"/>
  <c r="V23" i="107"/>
  <c r="U23" i="107"/>
  <c r="O23" i="107"/>
  <c r="M23" i="107"/>
  <c r="AF23" i="107" s="1"/>
  <c r="K23" i="107"/>
  <c r="G23" i="107"/>
  <c r="V22" i="107"/>
  <c r="O22" i="107"/>
  <c r="M22" i="107"/>
  <c r="AF22" i="107" s="1"/>
  <c r="K22" i="107"/>
  <c r="G22" i="107"/>
  <c r="AD21" i="107"/>
  <c r="F21" i="106" s="1"/>
  <c r="Z21" i="107"/>
  <c r="Y21" i="107"/>
  <c r="F18" i="106" s="1"/>
  <c r="O21" i="107"/>
  <c r="K21" i="107"/>
  <c r="F13" i="106" s="1"/>
  <c r="V20" i="107"/>
  <c r="M20" i="107" s="1"/>
  <c r="U20" i="107"/>
  <c r="O20" i="107"/>
  <c r="K20" i="107"/>
  <c r="G20" i="107"/>
  <c r="V19" i="107"/>
  <c r="M19" i="107" s="1"/>
  <c r="U19" i="107"/>
  <c r="O19" i="107"/>
  <c r="K19" i="107"/>
  <c r="G19" i="107"/>
  <c r="V18" i="107"/>
  <c r="M18" i="107" s="1"/>
  <c r="U18" i="107"/>
  <c r="O18" i="107"/>
  <c r="K18" i="107"/>
  <c r="G18" i="107"/>
  <c r="V17" i="107"/>
  <c r="M17" i="107" s="1"/>
  <c r="O17" i="107"/>
  <c r="K17" i="107"/>
  <c r="G17" i="107"/>
  <c r="V16" i="107"/>
  <c r="M16" i="107" s="1"/>
  <c r="O16" i="107"/>
  <c r="K16" i="107"/>
  <c r="G16" i="107"/>
  <c r="AD15" i="107"/>
  <c r="E21" i="106" s="1"/>
  <c r="Z15" i="107"/>
  <c r="Y15" i="107"/>
  <c r="E18" i="106" s="1"/>
  <c r="O15" i="107"/>
  <c r="K15" i="107"/>
  <c r="V14" i="107"/>
  <c r="M14" i="107" s="1"/>
  <c r="U14" i="107"/>
  <c r="O14" i="107"/>
  <c r="K14" i="107"/>
  <c r="G14" i="107"/>
  <c r="X13" i="107"/>
  <c r="W13" i="107"/>
  <c r="V13" i="107"/>
  <c r="M13" i="107" s="1"/>
  <c r="U13" i="107"/>
  <c r="O13" i="107"/>
  <c r="K13" i="107"/>
  <c r="G13" i="107"/>
  <c r="V12" i="107"/>
  <c r="M12" i="107" s="1"/>
  <c r="O12" i="107"/>
  <c r="K12" i="107"/>
  <c r="G12" i="107"/>
  <c r="AD11" i="107"/>
  <c r="D21" i="106" s="1"/>
  <c r="Z11" i="107"/>
  <c r="Z2" i="107" s="1"/>
  <c r="Y11" i="107"/>
  <c r="D18" i="106" s="1"/>
  <c r="O11" i="107"/>
  <c r="K11" i="107"/>
  <c r="V10" i="107"/>
  <c r="U10" i="107"/>
  <c r="P10" i="107"/>
  <c r="O10" i="107"/>
  <c r="N10" i="107"/>
  <c r="Q10" i="107" s="1"/>
  <c r="M10" i="107"/>
  <c r="AE10" i="107" s="1"/>
  <c r="K10" i="107"/>
  <c r="G10" i="107"/>
  <c r="V9" i="107"/>
  <c r="M9" i="107" s="1"/>
  <c r="U9" i="107"/>
  <c r="O9" i="107"/>
  <c r="K9" i="107"/>
  <c r="G9" i="107"/>
  <c r="V8" i="107"/>
  <c r="M8" i="107" s="1"/>
  <c r="U8" i="107"/>
  <c r="O8" i="107"/>
  <c r="K8" i="107"/>
  <c r="G8" i="107"/>
  <c r="V7" i="107"/>
  <c r="M7" i="107" s="1"/>
  <c r="AF7" i="107" s="1"/>
  <c r="U7" i="107"/>
  <c r="O7" i="107"/>
  <c r="K7" i="107"/>
  <c r="G7" i="107"/>
  <c r="V6" i="107"/>
  <c r="M6" i="107" s="1"/>
  <c r="AF6" i="107" s="1"/>
  <c r="U6" i="107"/>
  <c r="O6" i="107"/>
  <c r="K6" i="107"/>
  <c r="G6" i="107"/>
  <c r="V5" i="107"/>
  <c r="M5" i="107" s="1"/>
  <c r="AF5" i="107" s="1"/>
  <c r="O5" i="107"/>
  <c r="K5" i="107"/>
  <c r="G5" i="107"/>
  <c r="H2" i="107"/>
  <c r="H1" i="107"/>
  <c r="D1" i="107"/>
  <c r="M22" i="106"/>
  <c r="L22" i="106"/>
  <c r="K22" i="106"/>
  <c r="J22" i="106"/>
  <c r="I22" i="106"/>
  <c r="H22" i="106"/>
  <c r="G22" i="106"/>
  <c r="F22" i="106"/>
  <c r="E22" i="106"/>
  <c r="D22" i="106"/>
  <c r="M21" i="106"/>
  <c r="L21" i="106"/>
  <c r="K21" i="106"/>
  <c r="J21" i="106"/>
  <c r="M20" i="106"/>
  <c r="L20" i="106"/>
  <c r="K20" i="106"/>
  <c r="J20" i="106"/>
  <c r="I20" i="106"/>
  <c r="H20" i="106"/>
  <c r="G20" i="106"/>
  <c r="F20" i="106"/>
  <c r="E20" i="106"/>
  <c r="D20" i="106"/>
  <c r="M19" i="106"/>
  <c r="L19" i="106"/>
  <c r="K19" i="106"/>
  <c r="J19" i="106"/>
  <c r="G19" i="106"/>
  <c r="F19" i="106"/>
  <c r="E19" i="106"/>
  <c r="J18" i="106"/>
  <c r="G18" i="106"/>
  <c r="M17" i="106"/>
  <c r="L17" i="106"/>
  <c r="K17" i="106"/>
  <c r="J17" i="106"/>
  <c r="I17" i="106"/>
  <c r="H17" i="106"/>
  <c r="G17" i="106"/>
  <c r="F17" i="106"/>
  <c r="E17" i="106"/>
  <c r="D17" i="106"/>
  <c r="M16" i="106"/>
  <c r="L16" i="106"/>
  <c r="K16" i="106"/>
  <c r="J16" i="106"/>
  <c r="I16" i="106"/>
  <c r="H16" i="106"/>
  <c r="G16" i="106"/>
  <c r="F16" i="106"/>
  <c r="E16" i="106"/>
  <c r="D16" i="106"/>
  <c r="M13" i="106"/>
  <c r="L13" i="106"/>
  <c r="K13" i="106"/>
  <c r="I6" i="106" s="1"/>
  <c r="J13" i="106"/>
  <c r="I13" i="106"/>
  <c r="H13" i="106"/>
  <c r="G13" i="106"/>
  <c r="E13" i="106"/>
  <c r="D13" i="106"/>
  <c r="F6" i="106" s="1"/>
  <c r="M6" i="106"/>
  <c r="L6" i="106"/>
  <c r="F3" i="106"/>
  <c r="C3" i="106"/>
  <c r="AE20" i="107" l="1"/>
  <c r="AF20" i="107"/>
  <c r="M42" i="107"/>
  <c r="AF43" i="107"/>
  <c r="N43" i="107"/>
  <c r="AF9" i="107"/>
  <c r="N9" i="107"/>
  <c r="Q9" i="107" s="1"/>
  <c r="AE9" i="107"/>
  <c r="AE57" i="107"/>
  <c r="AF35" i="107"/>
  <c r="AF69" i="107"/>
  <c r="N45" i="107"/>
  <c r="Q45" i="107" s="1"/>
  <c r="P64" i="109"/>
  <c r="N25" i="107"/>
  <c r="Q25" i="107" s="1"/>
  <c r="AE45" i="107"/>
  <c r="F1" i="107"/>
  <c r="F2" i="107" s="1"/>
  <c r="AF10" i="107"/>
  <c r="AF25" i="107"/>
  <c r="Y2" i="107"/>
  <c r="K6" i="106" s="1"/>
  <c r="AE53" i="107"/>
  <c r="P46" i="107"/>
  <c r="AF53" i="107"/>
  <c r="P28" i="109"/>
  <c r="N57" i="107"/>
  <c r="Q57" i="107" s="1"/>
  <c r="E8" i="110"/>
  <c r="Q52" i="109"/>
  <c r="P52" i="109"/>
  <c r="Q68" i="109"/>
  <c r="P68" i="109"/>
  <c r="Q16" i="109"/>
  <c r="P16" i="109"/>
  <c r="N45" i="109"/>
  <c r="AF45" i="109"/>
  <c r="AG37" i="109" s="1"/>
  <c r="AE45" i="109"/>
  <c r="Q17" i="109"/>
  <c r="P17" i="109"/>
  <c r="Q22" i="109"/>
  <c r="P22" i="109"/>
  <c r="Q51" i="109"/>
  <c r="P51" i="109"/>
  <c r="Q21" i="109"/>
  <c r="P21" i="109"/>
  <c r="AE65" i="109"/>
  <c r="AF65" i="109"/>
  <c r="AG58" i="109" s="1"/>
  <c r="N65" i="109"/>
  <c r="Q71" i="109"/>
  <c r="P71" i="109"/>
  <c r="N27" i="109"/>
  <c r="AF27" i="109"/>
  <c r="AG21" i="109" s="1"/>
  <c r="AE27" i="109"/>
  <c r="N50" i="109"/>
  <c r="AF50" i="109"/>
  <c r="AG46" i="109" s="1"/>
  <c r="AE50" i="109"/>
  <c r="I3" i="108"/>
  <c r="F2" i="109"/>
  <c r="Q58" i="109"/>
  <c r="P58" i="109"/>
  <c r="Q55" i="109"/>
  <c r="P55" i="109"/>
  <c r="AF36" i="109"/>
  <c r="AG28" i="109" s="1"/>
  <c r="AE36" i="109"/>
  <c r="N36" i="109"/>
  <c r="Q70" i="109"/>
  <c r="P70" i="109"/>
  <c r="Q11" i="109"/>
  <c r="P11" i="109"/>
  <c r="Q31" i="109"/>
  <c r="P31" i="109"/>
  <c r="Q42" i="109"/>
  <c r="P42" i="109"/>
  <c r="Q33" i="109"/>
  <c r="P33" i="109"/>
  <c r="Q12" i="109"/>
  <c r="P12" i="109"/>
  <c r="Q69" i="109"/>
  <c r="P69" i="109"/>
  <c r="AF20" i="109"/>
  <c r="AG16" i="109" s="1"/>
  <c r="AE20" i="109"/>
  <c r="N20" i="109"/>
  <c r="Q54" i="109"/>
  <c r="P54" i="109"/>
  <c r="AF73" i="109"/>
  <c r="AG66" i="109" s="1"/>
  <c r="AE73" i="109"/>
  <c r="N73" i="109"/>
  <c r="Q56" i="109"/>
  <c r="P56" i="109"/>
  <c r="AF15" i="109"/>
  <c r="AG11" i="109" s="1"/>
  <c r="AE15" i="109"/>
  <c r="N15" i="109"/>
  <c r="Q34" i="109"/>
  <c r="P34" i="109"/>
  <c r="Q18" i="109"/>
  <c r="P18" i="109"/>
  <c r="AF57" i="109"/>
  <c r="AG51" i="109" s="1"/>
  <c r="AE57" i="109"/>
  <c r="N57" i="109"/>
  <c r="AF10" i="109"/>
  <c r="AG5" i="109" s="1"/>
  <c r="AE10" i="109"/>
  <c r="N10" i="109"/>
  <c r="Q59" i="109"/>
  <c r="P59" i="109"/>
  <c r="G6" i="106"/>
  <c r="N18" i="107"/>
  <c r="AF18" i="107"/>
  <c r="AE18" i="107"/>
  <c r="N48" i="107"/>
  <c r="AF48" i="107"/>
  <c r="AE48" i="107"/>
  <c r="N29" i="107"/>
  <c r="AF29" i="107"/>
  <c r="AE29" i="107"/>
  <c r="N51" i="107"/>
  <c r="AF51" i="107"/>
  <c r="AE51" i="107"/>
  <c r="N59" i="107"/>
  <c r="AF59" i="107"/>
  <c r="M64" i="107"/>
  <c r="AE59" i="107"/>
  <c r="N66" i="107"/>
  <c r="AF66" i="107"/>
  <c r="AE66" i="107"/>
  <c r="N16" i="107"/>
  <c r="AF16" i="107"/>
  <c r="AE16" i="107"/>
  <c r="M21" i="107"/>
  <c r="N27" i="107"/>
  <c r="AF27" i="107"/>
  <c r="AE27" i="107"/>
  <c r="N34" i="107"/>
  <c r="AF34" i="107"/>
  <c r="AE34" i="107"/>
  <c r="N12" i="107"/>
  <c r="M15" i="107"/>
  <c r="AF12" i="107"/>
  <c r="AE12" i="107"/>
  <c r="N62" i="107"/>
  <c r="AF62" i="107"/>
  <c r="AE62" i="107"/>
  <c r="N19" i="107"/>
  <c r="AF19" i="107"/>
  <c r="AE19" i="107"/>
  <c r="N32" i="107"/>
  <c r="AF32" i="107"/>
  <c r="AE32" i="107"/>
  <c r="N14" i="107"/>
  <c r="AF14" i="107"/>
  <c r="AE14" i="107"/>
  <c r="AF42" i="107"/>
  <c r="AG37" i="107" s="1"/>
  <c r="AE42" i="107"/>
  <c r="N42" i="107"/>
  <c r="N60" i="107"/>
  <c r="AF60" i="107"/>
  <c r="AE60" i="107"/>
  <c r="N65" i="107"/>
  <c r="AF65" i="107"/>
  <c r="M70" i="107"/>
  <c r="AE65" i="107"/>
  <c r="N67" i="107"/>
  <c r="AF67" i="107"/>
  <c r="AE67" i="107"/>
  <c r="N17" i="107"/>
  <c r="AF17" i="107"/>
  <c r="AE17" i="107"/>
  <c r="N47" i="107"/>
  <c r="AF47" i="107"/>
  <c r="AE47" i="107"/>
  <c r="N52" i="107"/>
  <c r="AF52" i="107"/>
  <c r="AE52" i="107"/>
  <c r="AF8" i="107"/>
  <c r="AE8" i="107"/>
  <c r="N8" i="107"/>
  <c r="N28" i="107"/>
  <c r="AF28" i="107"/>
  <c r="AE28" i="107"/>
  <c r="M58" i="107"/>
  <c r="N50" i="107"/>
  <c r="AF50" i="107"/>
  <c r="AE50" i="107"/>
  <c r="N63" i="107"/>
  <c r="AF63" i="107"/>
  <c r="AE63" i="107"/>
  <c r="E6" i="106"/>
  <c r="N13" i="107"/>
  <c r="AF13" i="107"/>
  <c r="AE13" i="107"/>
  <c r="N26" i="107"/>
  <c r="AF26" i="107"/>
  <c r="AE26" i="107"/>
  <c r="N31" i="107"/>
  <c r="AF31" i="107"/>
  <c r="M36" i="107"/>
  <c r="AE31" i="107"/>
  <c r="N33" i="107"/>
  <c r="AF33" i="107"/>
  <c r="AE33" i="107"/>
  <c r="Q53" i="107"/>
  <c r="P53" i="107"/>
  <c r="N61" i="107"/>
  <c r="AF61" i="107"/>
  <c r="AE61" i="107"/>
  <c r="N68" i="107"/>
  <c r="AF68" i="107"/>
  <c r="AE68" i="107"/>
  <c r="D19" i="106"/>
  <c r="AD2" i="107"/>
  <c r="N6" i="106" s="1"/>
  <c r="AF37" i="107"/>
  <c r="N24" i="107"/>
  <c r="N41" i="107"/>
  <c r="N44" i="107"/>
  <c r="N56" i="107"/>
  <c r="N7" i="107"/>
  <c r="N22" i="107"/>
  <c r="N23" i="107"/>
  <c r="P25" i="107"/>
  <c r="N37" i="107"/>
  <c r="N40" i="107"/>
  <c r="N55" i="107"/>
  <c r="N5" i="107"/>
  <c r="N6" i="107"/>
  <c r="N39" i="107"/>
  <c r="N54" i="107"/>
  <c r="N20" i="107"/>
  <c r="M30" i="107"/>
  <c r="N35" i="107"/>
  <c r="N38" i="107"/>
  <c r="N69" i="107"/>
  <c r="M49" i="107"/>
  <c r="AE24" i="107"/>
  <c r="AE41" i="107"/>
  <c r="AE43" i="107"/>
  <c r="AE44" i="107"/>
  <c r="AE56" i="107"/>
  <c r="AE7" i="107"/>
  <c r="M11" i="107"/>
  <c r="AE22" i="107"/>
  <c r="AE23" i="107"/>
  <c r="AE40" i="107"/>
  <c r="AE55" i="107"/>
  <c r="AE5" i="107"/>
  <c r="AE6" i="107"/>
  <c r="AE39" i="107"/>
  <c r="AE54" i="107"/>
  <c r="AE37" i="107"/>
  <c r="AD63" i="103"/>
  <c r="Z63" i="103"/>
  <c r="M19" i="102" s="1"/>
  <c r="Y63" i="103"/>
  <c r="O63" i="103"/>
  <c r="K63" i="103"/>
  <c r="M13" i="102" s="1"/>
  <c r="V62" i="103"/>
  <c r="M62" i="103" s="1"/>
  <c r="U62" i="103"/>
  <c r="O62" i="103"/>
  <c r="K62" i="103"/>
  <c r="G62" i="103"/>
  <c r="V61" i="103"/>
  <c r="M61" i="103" s="1"/>
  <c r="N61" i="103" s="1"/>
  <c r="U61" i="103"/>
  <c r="O61" i="103"/>
  <c r="K61" i="103"/>
  <c r="G61" i="103"/>
  <c r="V60" i="103"/>
  <c r="M60" i="103" s="1"/>
  <c r="N60" i="103" s="1"/>
  <c r="U60" i="103"/>
  <c r="O60" i="103"/>
  <c r="K60" i="103"/>
  <c r="G60" i="103"/>
  <c r="V59" i="103"/>
  <c r="U59" i="103"/>
  <c r="O59" i="103"/>
  <c r="M59" i="103"/>
  <c r="K59" i="103"/>
  <c r="G59" i="103"/>
  <c r="X58" i="103"/>
  <c r="W58" i="103"/>
  <c r="V58" i="103"/>
  <c r="M58" i="103" s="1"/>
  <c r="O58" i="103"/>
  <c r="K58" i="103"/>
  <c r="G58" i="103"/>
  <c r="AD57" i="103"/>
  <c r="Z57" i="103"/>
  <c r="Y57" i="103"/>
  <c r="J18" i="102" s="1"/>
  <c r="O57" i="103"/>
  <c r="K57" i="103"/>
  <c r="V56" i="103"/>
  <c r="M56" i="103" s="1"/>
  <c r="U56" i="103"/>
  <c r="O56" i="103"/>
  <c r="K56" i="103"/>
  <c r="G56" i="103"/>
  <c r="V55" i="103"/>
  <c r="M55" i="103" s="1"/>
  <c r="U55" i="103"/>
  <c r="O55" i="103"/>
  <c r="K55" i="103"/>
  <c r="G55" i="103"/>
  <c r="V54" i="103"/>
  <c r="M54" i="103" s="1"/>
  <c r="N54" i="103" s="1"/>
  <c r="U54" i="103"/>
  <c r="O54" i="103"/>
  <c r="K54" i="103"/>
  <c r="G54" i="103"/>
  <c r="V53" i="103"/>
  <c r="M53" i="103" s="1"/>
  <c r="N53" i="103" s="1"/>
  <c r="U53" i="103"/>
  <c r="O53" i="103"/>
  <c r="K53" i="103"/>
  <c r="G53" i="103"/>
  <c r="V52" i="103"/>
  <c r="M52" i="103" s="1"/>
  <c r="O52" i="103"/>
  <c r="K52" i="103"/>
  <c r="G52" i="103"/>
  <c r="AD51" i="103"/>
  <c r="Z51" i="103"/>
  <c r="Y51" i="103"/>
  <c r="O51" i="103"/>
  <c r="K51" i="103"/>
  <c r="V50" i="103"/>
  <c r="U50" i="103"/>
  <c r="O50" i="103"/>
  <c r="M50" i="103"/>
  <c r="N50" i="103" s="1"/>
  <c r="Q50" i="103" s="1"/>
  <c r="K50" i="103"/>
  <c r="G50" i="103"/>
  <c r="AF49" i="103"/>
  <c r="V49" i="103"/>
  <c r="U49" i="103"/>
  <c r="O49" i="103"/>
  <c r="M49" i="103"/>
  <c r="N49" i="103" s="1"/>
  <c r="K49" i="103"/>
  <c r="G49" i="103"/>
  <c r="V48" i="103"/>
  <c r="M48" i="103" s="1"/>
  <c r="U48" i="103"/>
  <c r="O48" i="103"/>
  <c r="K48" i="103"/>
  <c r="G48" i="103"/>
  <c r="V47" i="103"/>
  <c r="M47" i="103" s="1"/>
  <c r="U47" i="103"/>
  <c r="O47" i="103"/>
  <c r="K47" i="103"/>
  <c r="G47" i="103"/>
  <c r="AF46" i="103"/>
  <c r="V46" i="103"/>
  <c r="M46" i="103" s="1"/>
  <c r="U46" i="103"/>
  <c r="O46" i="103"/>
  <c r="K46" i="103"/>
  <c r="G46" i="103"/>
  <c r="V45" i="103"/>
  <c r="M45" i="103" s="1"/>
  <c r="AF45" i="103" s="1"/>
  <c r="U45" i="103"/>
  <c r="O45" i="103"/>
  <c r="K45" i="103"/>
  <c r="G45" i="103"/>
  <c r="V44" i="103"/>
  <c r="M44" i="103" s="1"/>
  <c r="AE44" i="103" s="1"/>
  <c r="O44" i="103"/>
  <c r="K44" i="103"/>
  <c r="G44" i="103"/>
  <c r="AD43" i="103"/>
  <c r="Z43" i="103"/>
  <c r="Y43" i="103"/>
  <c r="H18" i="102" s="1"/>
  <c r="O43" i="103"/>
  <c r="K43" i="103"/>
  <c r="AF42" i="103"/>
  <c r="V42" i="103"/>
  <c r="M42" i="103" s="1"/>
  <c r="U42" i="103"/>
  <c r="O42" i="103"/>
  <c r="K42" i="103"/>
  <c r="G42" i="103"/>
  <c r="V41" i="103"/>
  <c r="U41" i="103"/>
  <c r="O41" i="103"/>
  <c r="M41" i="103"/>
  <c r="K41" i="103"/>
  <c r="G41" i="103"/>
  <c r="V40" i="103"/>
  <c r="M40" i="103" s="1"/>
  <c r="U40" i="103"/>
  <c r="O40" i="103"/>
  <c r="K40" i="103"/>
  <c r="G40" i="103"/>
  <c r="V39" i="103"/>
  <c r="M39" i="103" s="1"/>
  <c r="N39" i="103" s="1"/>
  <c r="Q39" i="103" s="1"/>
  <c r="U39" i="103"/>
  <c r="O39" i="103"/>
  <c r="K39" i="103"/>
  <c r="G39" i="103"/>
  <c r="V38" i="103"/>
  <c r="M38" i="103" s="1"/>
  <c r="U38" i="103"/>
  <c r="O38" i="103"/>
  <c r="K38" i="103"/>
  <c r="G38" i="103"/>
  <c r="X37" i="103"/>
  <c r="W37" i="103"/>
  <c r="V37" i="103"/>
  <c r="M37" i="103" s="1"/>
  <c r="AE37" i="103" s="1"/>
  <c r="O37" i="103"/>
  <c r="K37" i="103"/>
  <c r="G37" i="103"/>
  <c r="AD36" i="103"/>
  <c r="Z36" i="103"/>
  <c r="Y36" i="103"/>
  <c r="O36" i="103"/>
  <c r="K36" i="103"/>
  <c r="L13" i="102" s="1"/>
  <c r="I6" i="102" s="1"/>
  <c r="V35" i="103"/>
  <c r="M35" i="103" s="1"/>
  <c r="U35" i="103"/>
  <c r="O35" i="103"/>
  <c r="K35" i="103"/>
  <c r="G35" i="103"/>
  <c r="V34" i="103"/>
  <c r="U34" i="103"/>
  <c r="Q34" i="103"/>
  <c r="O34" i="103"/>
  <c r="N34" i="103"/>
  <c r="M34" i="103"/>
  <c r="K34" i="103"/>
  <c r="G34" i="103"/>
  <c r="AF33" i="103"/>
  <c r="V33" i="103"/>
  <c r="U33" i="103"/>
  <c r="O33" i="103"/>
  <c r="M33" i="103"/>
  <c r="N33" i="103" s="1"/>
  <c r="K33" i="103"/>
  <c r="G33" i="103"/>
  <c r="V32" i="103"/>
  <c r="M32" i="103" s="1"/>
  <c r="U32" i="103"/>
  <c r="O32" i="103"/>
  <c r="K32" i="103"/>
  <c r="G32" i="103"/>
  <c r="X31" i="103"/>
  <c r="W31" i="103"/>
  <c r="V31" i="103"/>
  <c r="M31" i="103" s="1"/>
  <c r="O31" i="103"/>
  <c r="K31" i="103"/>
  <c r="G31" i="103"/>
  <c r="AD30" i="103"/>
  <c r="Z30" i="103"/>
  <c r="Y30" i="103"/>
  <c r="K18" i="102" s="1"/>
  <c r="O30" i="103"/>
  <c r="K30" i="103"/>
  <c r="V29" i="103"/>
  <c r="U29" i="103"/>
  <c r="O29" i="103"/>
  <c r="M29" i="103"/>
  <c r="K29" i="103"/>
  <c r="G29" i="103"/>
  <c r="V28" i="103"/>
  <c r="M28" i="103" s="1"/>
  <c r="U28" i="103"/>
  <c r="O28" i="103"/>
  <c r="K28" i="103"/>
  <c r="G28" i="103"/>
  <c r="V27" i="103"/>
  <c r="U27" i="103"/>
  <c r="O27" i="103"/>
  <c r="M27" i="103"/>
  <c r="K27" i="103"/>
  <c r="G27" i="103"/>
  <c r="V26" i="103"/>
  <c r="U26" i="103"/>
  <c r="O26" i="103"/>
  <c r="M26" i="103"/>
  <c r="N26" i="103" s="1"/>
  <c r="K26" i="103"/>
  <c r="G26" i="103"/>
  <c r="X25" i="103"/>
  <c r="W25" i="103"/>
  <c r="V25" i="103"/>
  <c r="M25" i="103" s="1"/>
  <c r="O25" i="103"/>
  <c r="K25" i="103"/>
  <c r="G25" i="103"/>
  <c r="AD24" i="103"/>
  <c r="Z24" i="103"/>
  <c r="Y24" i="103"/>
  <c r="O24" i="103"/>
  <c r="K24" i="103"/>
  <c r="G13" i="102" s="1"/>
  <c r="AF23" i="103"/>
  <c r="V23" i="103"/>
  <c r="M23" i="103" s="1"/>
  <c r="N23" i="103" s="1"/>
  <c r="U23" i="103"/>
  <c r="O23" i="103"/>
  <c r="K23" i="103"/>
  <c r="G23" i="103"/>
  <c r="V22" i="103"/>
  <c r="M22" i="103" s="1"/>
  <c r="U22" i="103"/>
  <c r="O22" i="103"/>
  <c r="K22" i="103"/>
  <c r="G22" i="103"/>
  <c r="V21" i="103"/>
  <c r="M21" i="103" s="1"/>
  <c r="U21" i="103"/>
  <c r="O21" i="103"/>
  <c r="K21" i="103"/>
  <c r="G21" i="103"/>
  <c r="V20" i="103"/>
  <c r="U20" i="103"/>
  <c r="O20" i="103"/>
  <c r="N20" i="103"/>
  <c r="P20" i="103" s="1"/>
  <c r="M20" i="103"/>
  <c r="K20" i="103"/>
  <c r="G20" i="103"/>
  <c r="V19" i="103"/>
  <c r="M19" i="103" s="1"/>
  <c r="U19" i="103"/>
  <c r="O19" i="103"/>
  <c r="K19" i="103"/>
  <c r="G19" i="103"/>
  <c r="V18" i="103"/>
  <c r="M18" i="103" s="1"/>
  <c r="O18" i="103"/>
  <c r="K18" i="103"/>
  <c r="G18" i="103"/>
  <c r="AD17" i="103"/>
  <c r="Z17" i="103"/>
  <c r="F19" i="102" s="1"/>
  <c r="Y17" i="103"/>
  <c r="F18" i="102" s="1"/>
  <c r="O17" i="103"/>
  <c r="K17" i="103"/>
  <c r="V16" i="103"/>
  <c r="M16" i="103" s="1"/>
  <c r="AE16" i="103" s="1"/>
  <c r="U16" i="103"/>
  <c r="O16" i="103"/>
  <c r="K16" i="103"/>
  <c r="G16" i="103"/>
  <c r="V15" i="103"/>
  <c r="U15" i="103"/>
  <c r="O15" i="103"/>
  <c r="M15" i="103"/>
  <c r="K15" i="103"/>
  <c r="G15" i="103"/>
  <c r="V14" i="103"/>
  <c r="M14" i="103" s="1"/>
  <c r="N14" i="103" s="1"/>
  <c r="U14" i="103"/>
  <c r="O14" i="103"/>
  <c r="K14" i="103"/>
  <c r="G14" i="103"/>
  <c r="V13" i="103"/>
  <c r="O13" i="103"/>
  <c r="N13" i="103"/>
  <c r="P13" i="103" s="1"/>
  <c r="M13" i="103"/>
  <c r="K13" i="103"/>
  <c r="G13" i="103"/>
  <c r="AD12" i="103"/>
  <c r="E21" i="102" s="1"/>
  <c r="Z12" i="103"/>
  <c r="Y12" i="103"/>
  <c r="O12" i="103"/>
  <c r="K12" i="103"/>
  <c r="V11" i="103"/>
  <c r="U11" i="103"/>
  <c r="O11" i="103"/>
  <c r="M11" i="103"/>
  <c r="N11" i="103" s="1"/>
  <c r="K11" i="103"/>
  <c r="G11" i="103"/>
  <c r="X10" i="103"/>
  <c r="W10" i="103"/>
  <c r="V10" i="103"/>
  <c r="M10" i="103" s="1"/>
  <c r="AE10" i="103" s="1"/>
  <c r="U10" i="103"/>
  <c r="O10" i="103"/>
  <c r="K10" i="103"/>
  <c r="G10" i="103"/>
  <c r="F1" i="103" s="1"/>
  <c r="V9" i="103"/>
  <c r="M9" i="103" s="1"/>
  <c r="O9" i="103"/>
  <c r="K9" i="103"/>
  <c r="G9" i="103"/>
  <c r="AD8" i="103"/>
  <c r="Z8" i="103"/>
  <c r="Z2" i="103" s="1"/>
  <c r="L6" i="102" s="1"/>
  <c r="Y8" i="103"/>
  <c r="D18" i="102" s="1"/>
  <c r="O8" i="103"/>
  <c r="K8" i="103"/>
  <c r="V7" i="103"/>
  <c r="M7" i="103" s="1"/>
  <c r="N7" i="103" s="1"/>
  <c r="U7" i="103"/>
  <c r="O7" i="103"/>
  <c r="K7" i="103"/>
  <c r="G7" i="103"/>
  <c r="V6" i="103"/>
  <c r="M6" i="103" s="1"/>
  <c r="U6" i="103"/>
  <c r="O6" i="103"/>
  <c r="K6" i="103"/>
  <c r="G6" i="103"/>
  <c r="V5" i="103"/>
  <c r="M5" i="103" s="1"/>
  <c r="O5" i="103"/>
  <c r="K5" i="103"/>
  <c r="G5" i="103"/>
  <c r="H2" i="103"/>
  <c r="H1" i="103"/>
  <c r="D1" i="103"/>
  <c r="M22" i="102"/>
  <c r="L22" i="102"/>
  <c r="K22" i="102"/>
  <c r="J22" i="102"/>
  <c r="I22" i="102"/>
  <c r="H22" i="102"/>
  <c r="G22" i="102"/>
  <c r="F22" i="102"/>
  <c r="E22" i="102"/>
  <c r="D22" i="102"/>
  <c r="M21" i="102"/>
  <c r="L21" i="102"/>
  <c r="J21" i="102"/>
  <c r="I21" i="102"/>
  <c r="H21" i="102"/>
  <c r="G21" i="102"/>
  <c r="F21" i="102"/>
  <c r="D21" i="102"/>
  <c r="M20" i="102"/>
  <c r="L20" i="102"/>
  <c r="K20" i="102"/>
  <c r="J20" i="102"/>
  <c r="I20" i="102"/>
  <c r="H20" i="102"/>
  <c r="G20" i="102"/>
  <c r="F20" i="102"/>
  <c r="E20" i="102"/>
  <c r="D20" i="102"/>
  <c r="L19" i="102"/>
  <c r="K19" i="102"/>
  <c r="J19" i="102"/>
  <c r="I19" i="102"/>
  <c r="H19" i="102"/>
  <c r="G19" i="102"/>
  <c r="E19" i="102"/>
  <c r="D19" i="102"/>
  <c r="M18" i="102"/>
  <c r="L18" i="102"/>
  <c r="I18" i="102"/>
  <c r="G18" i="102"/>
  <c r="E18" i="102"/>
  <c r="M17" i="102"/>
  <c r="L17" i="102"/>
  <c r="K17" i="102"/>
  <c r="J17" i="102"/>
  <c r="I17" i="102"/>
  <c r="H17" i="102"/>
  <c r="G17" i="102"/>
  <c r="F17" i="102"/>
  <c r="E17" i="102"/>
  <c r="D17" i="102"/>
  <c r="M16" i="102"/>
  <c r="L16" i="102"/>
  <c r="K16" i="102"/>
  <c r="J16" i="102"/>
  <c r="I16" i="102"/>
  <c r="H16" i="102"/>
  <c r="G16" i="102"/>
  <c r="F16" i="102"/>
  <c r="E16" i="102"/>
  <c r="D16" i="102"/>
  <c r="K13" i="102"/>
  <c r="J13" i="102"/>
  <c r="I13" i="102"/>
  <c r="H13" i="102"/>
  <c r="F13" i="102"/>
  <c r="E13" i="102"/>
  <c r="D13" i="102"/>
  <c r="M6" i="102"/>
  <c r="F3" i="102"/>
  <c r="C3" i="102"/>
  <c r="N5" i="103" l="1"/>
  <c r="AF5" i="103"/>
  <c r="AE5" i="103"/>
  <c r="N58" i="103"/>
  <c r="AF58" i="103"/>
  <c r="AF18" i="103"/>
  <c r="AE18" i="103"/>
  <c r="Q11" i="103"/>
  <c r="P11" i="103"/>
  <c r="N40" i="103"/>
  <c r="AF40" i="103"/>
  <c r="N19" i="103"/>
  <c r="AF19" i="103"/>
  <c r="AE19" i="103"/>
  <c r="Y2" i="103"/>
  <c r="K6" i="102" s="1"/>
  <c r="AE14" i="103"/>
  <c r="AF14" i="103"/>
  <c r="M63" i="103"/>
  <c r="AE63" i="103" s="1"/>
  <c r="N59" i="103"/>
  <c r="AE60" i="103"/>
  <c r="AF26" i="103"/>
  <c r="AF60" i="103"/>
  <c r="Q43" i="107"/>
  <c r="P43" i="107"/>
  <c r="P57" i="107"/>
  <c r="P9" i="107"/>
  <c r="P45" i="107"/>
  <c r="I3" i="106"/>
  <c r="I14" i="108"/>
  <c r="I15" i="108" s="1"/>
  <c r="P57" i="109"/>
  <c r="Q57" i="109"/>
  <c r="R51" i="109" s="1"/>
  <c r="M14" i="108"/>
  <c r="M15" i="108" s="1"/>
  <c r="Q73" i="109"/>
  <c r="R66" i="109" s="1"/>
  <c r="P73" i="109"/>
  <c r="Q27" i="109"/>
  <c r="R21" i="109" s="1"/>
  <c r="P27" i="109"/>
  <c r="G14" i="108"/>
  <c r="G15" i="108" s="1"/>
  <c r="Q65" i="109"/>
  <c r="R58" i="109" s="1"/>
  <c r="P65" i="109"/>
  <c r="J14" i="108"/>
  <c r="J15" i="108" s="1"/>
  <c r="P45" i="109"/>
  <c r="L14" i="108"/>
  <c r="L15" i="108" s="1"/>
  <c r="Q45" i="109"/>
  <c r="R37" i="109" s="1"/>
  <c r="Q20" i="109"/>
  <c r="R16" i="109" s="1"/>
  <c r="P20" i="109"/>
  <c r="F14" i="108"/>
  <c r="F15" i="108" s="1"/>
  <c r="Q15" i="109"/>
  <c r="R11" i="109" s="1"/>
  <c r="E14" i="108"/>
  <c r="E15" i="108" s="1"/>
  <c r="P15" i="109"/>
  <c r="Q10" i="109"/>
  <c r="R5" i="109" s="1"/>
  <c r="P10" i="109"/>
  <c r="D2" i="109"/>
  <c r="D14" i="108"/>
  <c r="Q50" i="109"/>
  <c r="R46" i="109" s="1"/>
  <c r="P50" i="109"/>
  <c r="H14" i="108"/>
  <c r="H15" i="108" s="1"/>
  <c r="K14" i="108"/>
  <c r="Q36" i="109"/>
  <c r="R28" i="109" s="1"/>
  <c r="P36" i="109"/>
  <c r="Q67" i="107"/>
  <c r="P67" i="107"/>
  <c r="Q40" i="107"/>
  <c r="P40" i="107"/>
  <c r="N15" i="107"/>
  <c r="AF15" i="107"/>
  <c r="AG12" i="107" s="1"/>
  <c r="AE15" i="107"/>
  <c r="P12" i="107"/>
  <c r="Q12" i="107"/>
  <c r="N49" i="107"/>
  <c r="AF49" i="107"/>
  <c r="AG43" i="107" s="1"/>
  <c r="AE49" i="107"/>
  <c r="Q69" i="107"/>
  <c r="P69" i="107"/>
  <c r="Q33" i="107"/>
  <c r="P33" i="107"/>
  <c r="P16" i="107"/>
  <c r="Q16" i="107"/>
  <c r="Q38" i="107"/>
  <c r="P38" i="107"/>
  <c r="Q35" i="107"/>
  <c r="P35" i="107"/>
  <c r="AF70" i="107"/>
  <c r="AG65" i="107" s="1"/>
  <c r="AE70" i="107"/>
  <c r="N70" i="107"/>
  <c r="N30" i="107"/>
  <c r="AF30" i="107"/>
  <c r="AG22" i="107" s="1"/>
  <c r="AE30" i="107"/>
  <c r="Q68" i="107"/>
  <c r="P68" i="107"/>
  <c r="Q52" i="107"/>
  <c r="P52" i="107"/>
  <c r="N11" i="107"/>
  <c r="AF11" i="107"/>
  <c r="AG5" i="107" s="1"/>
  <c r="AE11" i="107"/>
  <c r="Q22" i="107"/>
  <c r="P22" i="107"/>
  <c r="Q31" i="107"/>
  <c r="P31" i="107"/>
  <c r="Q32" i="107"/>
  <c r="P32" i="107"/>
  <c r="Q7" i="107"/>
  <c r="P7" i="107"/>
  <c r="Q50" i="107"/>
  <c r="P50" i="107"/>
  <c r="Q66" i="107"/>
  <c r="P66" i="107"/>
  <c r="Q39" i="107"/>
  <c r="P39" i="107"/>
  <c r="N58" i="107"/>
  <c r="AF58" i="107"/>
  <c r="AG50" i="107" s="1"/>
  <c r="AE58" i="107"/>
  <c r="Q60" i="107"/>
  <c r="P60" i="107"/>
  <c r="Q19" i="107"/>
  <c r="P19" i="107"/>
  <c r="Q41" i="107"/>
  <c r="P41" i="107"/>
  <c r="Q24" i="107"/>
  <c r="P24" i="107"/>
  <c r="P28" i="107"/>
  <c r="Q28" i="107"/>
  <c r="P17" i="107"/>
  <c r="Q17" i="107"/>
  <c r="AF21" i="107"/>
  <c r="AG16" i="107" s="1"/>
  <c r="AE21" i="107"/>
  <c r="N21" i="107"/>
  <c r="Q59" i="107"/>
  <c r="P59" i="107"/>
  <c r="Q18" i="107"/>
  <c r="P18" i="107"/>
  <c r="Q51" i="107"/>
  <c r="P51" i="107"/>
  <c r="Q37" i="107"/>
  <c r="P37" i="107"/>
  <c r="Q14" i="107"/>
  <c r="P14" i="107"/>
  <c r="AF36" i="107"/>
  <c r="AG31" i="107" s="1"/>
  <c r="AE36" i="107"/>
  <c r="N36" i="107"/>
  <c r="Q63" i="107"/>
  <c r="P63" i="107"/>
  <c r="Q23" i="107"/>
  <c r="P23" i="107"/>
  <c r="Q29" i="107"/>
  <c r="P29" i="107"/>
  <c r="Q20" i="107"/>
  <c r="P20" i="107"/>
  <c r="Q65" i="107"/>
  <c r="P65" i="107"/>
  <c r="Q54" i="107"/>
  <c r="P54" i="107"/>
  <c r="Q34" i="107"/>
  <c r="P34" i="107"/>
  <c r="Q56" i="107"/>
  <c r="P56" i="107"/>
  <c r="Q61" i="107"/>
  <c r="P61" i="107"/>
  <c r="Q47" i="107"/>
  <c r="P47" i="107"/>
  <c r="Q48" i="107"/>
  <c r="P48" i="107"/>
  <c r="Q6" i="107"/>
  <c r="P6" i="107"/>
  <c r="Q44" i="107"/>
  <c r="P44" i="107"/>
  <c r="Q26" i="107"/>
  <c r="P26" i="107"/>
  <c r="N64" i="107"/>
  <c r="AF64" i="107"/>
  <c r="AG59" i="107" s="1"/>
  <c r="AE64" i="107"/>
  <c r="Q5" i="107"/>
  <c r="P5" i="107"/>
  <c r="Q42" i="107"/>
  <c r="R37" i="107" s="1"/>
  <c r="P42" i="107"/>
  <c r="L14" i="106"/>
  <c r="L15" i="106" s="1"/>
  <c r="Q27" i="107"/>
  <c r="P27" i="107"/>
  <c r="Q55" i="107"/>
  <c r="P55" i="107"/>
  <c r="P13" i="107"/>
  <c r="Q13" i="107"/>
  <c r="Q8" i="107"/>
  <c r="P8" i="107"/>
  <c r="P62" i="107"/>
  <c r="Q62" i="107"/>
  <c r="G6" i="102"/>
  <c r="I3" i="102"/>
  <c r="F2" i="103"/>
  <c r="AF32" i="103"/>
  <c r="AE32" i="103"/>
  <c r="N35" i="103"/>
  <c r="AE35" i="103"/>
  <c r="AF41" i="103"/>
  <c r="AE41" i="103"/>
  <c r="Q40" i="103"/>
  <c r="P40" i="103"/>
  <c r="Q23" i="103"/>
  <c r="P23" i="103"/>
  <c r="Q26" i="103"/>
  <c r="P26" i="103"/>
  <c r="Q58" i="103"/>
  <c r="P58" i="103"/>
  <c r="N37" i="103"/>
  <c r="AF37" i="103"/>
  <c r="M43" i="103"/>
  <c r="AF48" i="103"/>
  <c r="AE48" i="103"/>
  <c r="AF6" i="103"/>
  <c r="AE6" i="103"/>
  <c r="N6" i="103"/>
  <c r="Q20" i="103"/>
  <c r="AE23" i="103"/>
  <c r="AF29" i="103"/>
  <c r="AE29" i="103"/>
  <c r="N29" i="103"/>
  <c r="N32" i="103"/>
  <c r="Q49" i="103"/>
  <c r="P49" i="103"/>
  <c r="N9" i="103"/>
  <c r="M12" i="103"/>
  <c r="AE15" i="103"/>
  <c r="N15" i="103"/>
  <c r="AF15" i="103"/>
  <c r="AE52" i="103"/>
  <c r="AF52" i="103"/>
  <c r="N52" i="103"/>
  <c r="M57" i="103"/>
  <c r="Q61" i="103"/>
  <c r="P61" i="103"/>
  <c r="AE9" i="103"/>
  <c r="AF9" i="103"/>
  <c r="AE46" i="103"/>
  <c r="N46" i="103"/>
  <c r="AF55" i="103"/>
  <c r="AE55" i="103"/>
  <c r="N55" i="103"/>
  <c r="AF27" i="103"/>
  <c r="AE27" i="103"/>
  <c r="AF35" i="103"/>
  <c r="N41" i="103"/>
  <c r="N21" i="103"/>
  <c r="AE21" i="103"/>
  <c r="N27" i="103"/>
  <c r="AF38" i="103"/>
  <c r="AE38" i="103"/>
  <c r="N38" i="103"/>
  <c r="M17" i="103"/>
  <c r="AF13" i="103"/>
  <c r="AE13" i="103"/>
  <c r="AF21" i="103"/>
  <c r="AD2" i="103"/>
  <c r="N6" i="102" s="1"/>
  <c r="K21" i="102"/>
  <c r="Q33" i="103"/>
  <c r="P33" i="103"/>
  <c r="M36" i="103"/>
  <c r="N44" i="103"/>
  <c r="M51" i="103"/>
  <c r="AF50" i="103"/>
  <c r="AE50" i="103"/>
  <c r="AF63" i="103"/>
  <c r="AG58" i="103" s="1"/>
  <c r="N63" i="103"/>
  <c r="AF44" i="103"/>
  <c r="AF47" i="103"/>
  <c r="AE47" i="103"/>
  <c r="N47" i="103"/>
  <c r="AE53" i="103"/>
  <c r="Q5" i="103"/>
  <c r="P5" i="103"/>
  <c r="P39" i="103"/>
  <c r="AF62" i="103"/>
  <c r="AE62" i="103"/>
  <c r="N62" i="103"/>
  <c r="AF7" i="103"/>
  <c r="AF16" i="103"/>
  <c r="N16" i="103"/>
  <c r="AF22" i="103"/>
  <c r="AE22" i="103"/>
  <c r="N22" i="103"/>
  <c r="AF53" i="103"/>
  <c r="M8" i="103"/>
  <c r="AF25" i="103"/>
  <c r="M30" i="103"/>
  <c r="N25" i="103"/>
  <c r="AE31" i="103"/>
  <c r="N31" i="103"/>
  <c r="AF31" i="103"/>
  <c r="N48" i="103"/>
  <c r="AE11" i="103"/>
  <c r="AF11" i="103"/>
  <c r="AF34" i="103"/>
  <c r="AE34" i="103"/>
  <c r="AF39" i="103"/>
  <c r="AE39" i="103"/>
  <c r="N42" i="103"/>
  <c r="AE42" i="103"/>
  <c r="P7" i="103"/>
  <c r="Q7" i="103"/>
  <c r="Q13" i="103"/>
  <c r="Q19" i="103"/>
  <c r="P19" i="103"/>
  <c r="P50" i="103"/>
  <c r="Q53" i="103"/>
  <c r="P53" i="103"/>
  <c r="AF56" i="103"/>
  <c r="AE56" i="103"/>
  <c r="N56" i="103"/>
  <c r="P59" i="103"/>
  <c r="AE7" i="103"/>
  <c r="Q54" i="103"/>
  <c r="P54" i="103"/>
  <c r="E6" i="102"/>
  <c r="F6" i="102"/>
  <c r="AE25" i="103"/>
  <c r="N28" i="103"/>
  <c r="AE28" i="103"/>
  <c r="P34" i="103"/>
  <c r="Q14" i="103"/>
  <c r="P14" i="103"/>
  <c r="AF20" i="103"/>
  <c r="AE20" i="103"/>
  <c r="AF28" i="103"/>
  <c r="Q60" i="103"/>
  <c r="P60" i="103"/>
  <c r="AF10" i="103"/>
  <c r="AE26" i="103"/>
  <c r="AE33" i="103"/>
  <c r="AE40" i="103"/>
  <c r="AE49" i="103"/>
  <c r="N18" i="103"/>
  <c r="AE58" i="103"/>
  <c r="M24" i="103"/>
  <c r="N10" i="103"/>
  <c r="Q59" i="103"/>
  <c r="AF59" i="103"/>
  <c r="AE45" i="103"/>
  <c r="AE59" i="103"/>
  <c r="AE54" i="103"/>
  <c r="AE61" i="103"/>
  <c r="AF54" i="103"/>
  <c r="AF61" i="103"/>
  <c r="N45" i="103"/>
  <c r="AD66" i="101"/>
  <c r="AC66" i="101"/>
  <c r="Z66" i="101"/>
  <c r="Y66" i="101"/>
  <c r="O66" i="101"/>
  <c r="K66" i="101"/>
  <c r="V65" i="101"/>
  <c r="M65" i="101" s="1"/>
  <c r="U65" i="101"/>
  <c r="O65" i="101"/>
  <c r="K65" i="101"/>
  <c r="G65" i="101"/>
  <c r="X64" i="101"/>
  <c r="W64" i="101"/>
  <c r="V64" i="101"/>
  <c r="M64" i="101" s="1"/>
  <c r="U64" i="101"/>
  <c r="O64" i="101"/>
  <c r="K64" i="101"/>
  <c r="G64" i="101"/>
  <c r="V63" i="101"/>
  <c r="M63" i="101" s="1"/>
  <c r="U63" i="101"/>
  <c r="O63" i="101"/>
  <c r="K63" i="101"/>
  <c r="G63" i="101"/>
  <c r="V62" i="101"/>
  <c r="U62" i="101"/>
  <c r="O62" i="101"/>
  <c r="M62" i="101"/>
  <c r="AF62" i="101" s="1"/>
  <c r="K62" i="101"/>
  <c r="G62" i="101"/>
  <c r="V61" i="101"/>
  <c r="M61" i="101" s="1"/>
  <c r="U61" i="101"/>
  <c r="O61" i="101"/>
  <c r="K61" i="101"/>
  <c r="G61" i="101"/>
  <c r="X60" i="101"/>
  <c r="W60" i="101"/>
  <c r="V60" i="101"/>
  <c r="M60" i="101" s="1"/>
  <c r="O60" i="101"/>
  <c r="K60" i="101"/>
  <c r="G60" i="101"/>
  <c r="AD59" i="101"/>
  <c r="AC59" i="101"/>
  <c r="Z59" i="101"/>
  <c r="Y59" i="101"/>
  <c r="O59" i="101"/>
  <c r="K59" i="101"/>
  <c r="V58" i="101"/>
  <c r="U58" i="101"/>
  <c r="O58" i="101"/>
  <c r="N58" i="101"/>
  <c r="Q58" i="101" s="1"/>
  <c r="M58" i="101"/>
  <c r="AF58" i="101" s="1"/>
  <c r="K58" i="101"/>
  <c r="G58" i="101"/>
  <c r="V57" i="101"/>
  <c r="M57" i="101" s="1"/>
  <c r="U57" i="101"/>
  <c r="O57" i="101"/>
  <c r="K57" i="101"/>
  <c r="G57" i="101"/>
  <c r="V56" i="101"/>
  <c r="M56" i="101" s="1"/>
  <c r="U56" i="101"/>
  <c r="O56" i="101"/>
  <c r="K56" i="101"/>
  <c r="G56" i="101"/>
  <c r="V55" i="101"/>
  <c r="M55" i="101" s="1"/>
  <c r="U55" i="101"/>
  <c r="O55" i="101"/>
  <c r="K55" i="101"/>
  <c r="G55" i="101"/>
  <c r="V54" i="101"/>
  <c r="M54" i="101" s="1"/>
  <c r="O54" i="101"/>
  <c r="K54" i="101"/>
  <c r="G54" i="101"/>
  <c r="AD53" i="101"/>
  <c r="AC53" i="101"/>
  <c r="I20" i="100" s="1"/>
  <c r="Z53" i="101"/>
  <c r="Y53" i="101"/>
  <c r="O53" i="101"/>
  <c r="K53" i="101"/>
  <c r="V52" i="101"/>
  <c r="M52" i="101" s="1"/>
  <c r="U52" i="101"/>
  <c r="O52" i="101"/>
  <c r="K52" i="101"/>
  <c r="G52" i="101"/>
  <c r="V51" i="101"/>
  <c r="M51" i="101" s="1"/>
  <c r="U51" i="101"/>
  <c r="O51" i="101"/>
  <c r="K51" i="101"/>
  <c r="G51" i="101"/>
  <c r="V50" i="101"/>
  <c r="M50" i="101" s="1"/>
  <c r="U50" i="101"/>
  <c r="O50" i="101"/>
  <c r="K50" i="101"/>
  <c r="G50" i="101"/>
  <c r="V49" i="101"/>
  <c r="M49" i="101" s="1"/>
  <c r="AF49" i="101" s="1"/>
  <c r="U49" i="101"/>
  <c r="O49" i="101"/>
  <c r="K49" i="101"/>
  <c r="G49" i="101"/>
  <c r="V48" i="101"/>
  <c r="M48" i="101" s="1"/>
  <c r="U48" i="101"/>
  <c r="O48" i="101"/>
  <c r="K48" i="101"/>
  <c r="G48" i="101"/>
  <c r="V47" i="101"/>
  <c r="U47" i="101"/>
  <c r="O47" i="101"/>
  <c r="M47" i="101"/>
  <c r="AF47" i="101" s="1"/>
  <c r="K47" i="101"/>
  <c r="G47" i="101"/>
  <c r="V46" i="101"/>
  <c r="O46" i="101"/>
  <c r="M46" i="101"/>
  <c r="AF46" i="101" s="1"/>
  <c r="K46" i="101"/>
  <c r="G46" i="101"/>
  <c r="AD45" i="101"/>
  <c r="AC45" i="101"/>
  <c r="Z45" i="101"/>
  <c r="Y45" i="101"/>
  <c r="O45" i="101"/>
  <c r="K45" i="101"/>
  <c r="V44" i="101"/>
  <c r="M44" i="101" s="1"/>
  <c r="AF44" i="101" s="1"/>
  <c r="U44" i="101"/>
  <c r="O44" i="101"/>
  <c r="K44" i="101"/>
  <c r="G44" i="101"/>
  <c r="V43" i="101"/>
  <c r="U43" i="101"/>
  <c r="O43" i="101"/>
  <c r="N43" i="101"/>
  <c r="Q43" i="101" s="1"/>
  <c r="M43" i="101"/>
  <c r="AE43" i="101" s="1"/>
  <c r="K43" i="101"/>
  <c r="G43" i="101"/>
  <c r="V42" i="101"/>
  <c r="U42" i="101"/>
  <c r="O42" i="101"/>
  <c r="N42" i="101"/>
  <c r="M42" i="101"/>
  <c r="AF42" i="101" s="1"/>
  <c r="K42" i="101"/>
  <c r="G42" i="101"/>
  <c r="V41" i="101"/>
  <c r="U41" i="101"/>
  <c r="O41" i="101"/>
  <c r="M41" i="101"/>
  <c r="N41" i="101" s="1"/>
  <c r="K41" i="101"/>
  <c r="G41" i="101"/>
  <c r="V40" i="101"/>
  <c r="M40" i="101" s="1"/>
  <c r="U40" i="101"/>
  <c r="O40" i="101"/>
  <c r="K40" i="101"/>
  <c r="G40" i="101"/>
  <c r="X39" i="101"/>
  <c r="W39" i="101"/>
  <c r="V39" i="101"/>
  <c r="M39" i="101" s="1"/>
  <c r="O39" i="101"/>
  <c r="K39" i="101"/>
  <c r="G39" i="101"/>
  <c r="AD38" i="101"/>
  <c r="AC38" i="101"/>
  <c r="Z38" i="101"/>
  <c r="Y38" i="101"/>
  <c r="O38" i="101"/>
  <c r="K38" i="101"/>
  <c r="V37" i="101"/>
  <c r="U37" i="101"/>
  <c r="O37" i="101"/>
  <c r="M37" i="101"/>
  <c r="N37" i="101" s="1"/>
  <c r="K37" i="101"/>
  <c r="G37" i="101"/>
  <c r="X36" i="101"/>
  <c r="W36" i="101"/>
  <c r="V36" i="101"/>
  <c r="U36" i="101"/>
  <c r="O36" i="101"/>
  <c r="M36" i="101"/>
  <c r="AF36" i="101" s="1"/>
  <c r="K36" i="101"/>
  <c r="G36" i="101"/>
  <c r="V35" i="101"/>
  <c r="M35" i="101" s="1"/>
  <c r="U35" i="101"/>
  <c r="O35" i="101"/>
  <c r="K35" i="101"/>
  <c r="G35" i="101"/>
  <c r="AF34" i="101"/>
  <c r="V34" i="101"/>
  <c r="U34" i="101"/>
  <c r="O34" i="101"/>
  <c r="M34" i="101"/>
  <c r="N34" i="101" s="1"/>
  <c r="K34" i="101"/>
  <c r="G34" i="101"/>
  <c r="V33" i="101"/>
  <c r="M33" i="101" s="1"/>
  <c r="U33" i="101"/>
  <c r="O33" i="101"/>
  <c r="K33" i="101"/>
  <c r="G33" i="101"/>
  <c r="X32" i="101"/>
  <c r="W32" i="101"/>
  <c r="V32" i="101"/>
  <c r="O32" i="101"/>
  <c r="M32" i="101"/>
  <c r="N32" i="101" s="1"/>
  <c r="K32" i="101"/>
  <c r="G32" i="101"/>
  <c r="AD31" i="101"/>
  <c r="K21" i="100" s="1"/>
  <c r="AC31" i="101"/>
  <c r="K20" i="100" s="1"/>
  <c r="Z31" i="101"/>
  <c r="Y31" i="101"/>
  <c r="O31" i="101"/>
  <c r="K31" i="101"/>
  <c r="V30" i="101"/>
  <c r="M30" i="101" s="1"/>
  <c r="U30" i="101"/>
  <c r="O30" i="101"/>
  <c r="K30" i="101"/>
  <c r="G30" i="101"/>
  <c r="X29" i="101"/>
  <c r="W29" i="101"/>
  <c r="V29" i="101"/>
  <c r="M29" i="101" s="1"/>
  <c r="N29" i="101" s="1"/>
  <c r="U29" i="101"/>
  <c r="O29" i="101"/>
  <c r="K29" i="101"/>
  <c r="G29" i="101"/>
  <c r="V28" i="101"/>
  <c r="M28" i="101" s="1"/>
  <c r="U28" i="101"/>
  <c r="O28" i="101"/>
  <c r="K28" i="101"/>
  <c r="G28" i="101"/>
  <c r="V27" i="101"/>
  <c r="M27" i="101" s="1"/>
  <c r="U27" i="101"/>
  <c r="O27" i="101"/>
  <c r="K27" i="101"/>
  <c r="G27" i="101"/>
  <c r="V26" i="101"/>
  <c r="M26" i="101" s="1"/>
  <c r="U26" i="101"/>
  <c r="O26" i="101"/>
  <c r="K26" i="101"/>
  <c r="G26" i="101"/>
  <c r="X25" i="101"/>
  <c r="W25" i="101"/>
  <c r="V25" i="101"/>
  <c r="M25" i="101" s="1"/>
  <c r="O25" i="101"/>
  <c r="K25" i="101"/>
  <c r="G25" i="101"/>
  <c r="AD24" i="101"/>
  <c r="G21" i="100" s="1"/>
  <c r="AC24" i="101"/>
  <c r="Z24" i="101"/>
  <c r="Y24" i="101"/>
  <c r="O24" i="101"/>
  <c r="K24" i="101"/>
  <c r="V23" i="101"/>
  <c r="M23" i="101" s="1"/>
  <c r="U23" i="101"/>
  <c r="O23" i="101"/>
  <c r="K23" i="101"/>
  <c r="G23" i="101"/>
  <c r="V22" i="101"/>
  <c r="M22" i="101" s="1"/>
  <c r="U22" i="101"/>
  <c r="O22" i="101"/>
  <c r="K22" i="101"/>
  <c r="G22" i="101"/>
  <c r="V21" i="101"/>
  <c r="M21" i="101" s="1"/>
  <c r="U21" i="101"/>
  <c r="O21" i="101"/>
  <c r="K21" i="101"/>
  <c r="G21" i="101"/>
  <c r="V20" i="101"/>
  <c r="M20" i="101" s="1"/>
  <c r="U20" i="101"/>
  <c r="O20" i="101"/>
  <c r="K20" i="101"/>
  <c r="G20" i="101"/>
  <c r="V19" i="101"/>
  <c r="M19" i="101" s="1"/>
  <c r="U19" i="101"/>
  <c r="O19" i="101"/>
  <c r="K19" i="101"/>
  <c r="G19" i="101"/>
  <c r="V18" i="101"/>
  <c r="M18" i="101" s="1"/>
  <c r="O18" i="101"/>
  <c r="K18" i="101"/>
  <c r="G18" i="101"/>
  <c r="AD17" i="101"/>
  <c r="AD2" i="101" s="1"/>
  <c r="N6" i="100" s="1"/>
  <c r="AC17" i="101"/>
  <c r="Z17" i="101"/>
  <c r="F19" i="100" s="1"/>
  <c r="Y17" i="101"/>
  <c r="F18" i="100" s="1"/>
  <c r="O17" i="101"/>
  <c r="K17" i="101"/>
  <c r="V16" i="101"/>
  <c r="M16" i="101" s="1"/>
  <c r="U16" i="101"/>
  <c r="O16" i="101"/>
  <c r="K16" i="101"/>
  <c r="G16" i="101"/>
  <c r="V15" i="101"/>
  <c r="M15" i="101" s="1"/>
  <c r="AF15" i="101" s="1"/>
  <c r="U15" i="101"/>
  <c r="O15" i="101"/>
  <c r="K15" i="101"/>
  <c r="G15" i="101"/>
  <c r="V14" i="101"/>
  <c r="U14" i="101"/>
  <c r="O14" i="101"/>
  <c r="M14" i="101"/>
  <c r="AF14" i="101" s="1"/>
  <c r="K14" i="101"/>
  <c r="G14" i="101"/>
  <c r="V13" i="101"/>
  <c r="O13" i="101"/>
  <c r="M13" i="101"/>
  <c r="K13" i="101"/>
  <c r="G13" i="101"/>
  <c r="AD12" i="101"/>
  <c r="AC12" i="101"/>
  <c r="Z12" i="101"/>
  <c r="Y12" i="101"/>
  <c r="O12" i="101"/>
  <c r="K12" i="101"/>
  <c r="V11" i="101"/>
  <c r="U11" i="101"/>
  <c r="O11" i="101"/>
  <c r="M11" i="101"/>
  <c r="AE11" i="101" s="1"/>
  <c r="K11" i="101"/>
  <c r="G11" i="101"/>
  <c r="AE10" i="101"/>
  <c r="X10" i="101"/>
  <c r="W10" i="101"/>
  <c r="V10" i="101"/>
  <c r="U10" i="101"/>
  <c r="O10" i="101"/>
  <c r="M10" i="101"/>
  <c r="N10" i="101" s="1"/>
  <c r="K10" i="101"/>
  <c r="G10" i="101"/>
  <c r="V9" i="101"/>
  <c r="M9" i="101" s="1"/>
  <c r="O9" i="101"/>
  <c r="K9" i="101"/>
  <c r="G9" i="101"/>
  <c r="AD8" i="101"/>
  <c r="AC8" i="101"/>
  <c r="Z8" i="101"/>
  <c r="Z2" i="101" s="1"/>
  <c r="L6" i="100" s="1"/>
  <c r="Y8" i="101"/>
  <c r="Y2" i="101" s="1"/>
  <c r="K6" i="100" s="1"/>
  <c r="O8" i="101"/>
  <c r="K8" i="101"/>
  <c r="V7" i="101"/>
  <c r="M7" i="101" s="1"/>
  <c r="U7" i="101"/>
  <c r="O7" i="101"/>
  <c r="K7" i="101"/>
  <c r="G7" i="101"/>
  <c r="AE6" i="101"/>
  <c r="V6" i="101"/>
  <c r="U6" i="101"/>
  <c r="O6" i="101"/>
  <c r="M6" i="101"/>
  <c r="AF6" i="101" s="1"/>
  <c r="K6" i="101"/>
  <c r="G6" i="101"/>
  <c r="V5" i="101"/>
  <c r="M5" i="101" s="1"/>
  <c r="O5" i="101"/>
  <c r="K5" i="101"/>
  <c r="G5" i="101"/>
  <c r="H2" i="101"/>
  <c r="H1" i="101"/>
  <c r="D1" i="101"/>
  <c r="M22" i="100"/>
  <c r="L22" i="100"/>
  <c r="K22" i="100"/>
  <c r="J22" i="100"/>
  <c r="I22" i="100"/>
  <c r="H22" i="100"/>
  <c r="G22" i="100"/>
  <c r="F22" i="100"/>
  <c r="E22" i="100"/>
  <c r="D22" i="100"/>
  <c r="M21" i="100"/>
  <c r="L21" i="100"/>
  <c r="J21" i="100"/>
  <c r="I21" i="100"/>
  <c r="H21" i="100"/>
  <c r="F21" i="100"/>
  <c r="E21" i="100"/>
  <c r="D21" i="100"/>
  <c r="M20" i="100"/>
  <c r="L20" i="100"/>
  <c r="J20" i="100"/>
  <c r="H20" i="100"/>
  <c r="G20" i="100"/>
  <c r="E20" i="100"/>
  <c r="D20" i="100"/>
  <c r="M19" i="100"/>
  <c r="L19" i="100"/>
  <c r="K19" i="100"/>
  <c r="J19" i="100"/>
  <c r="I19" i="100"/>
  <c r="H19" i="100"/>
  <c r="G19" i="100"/>
  <c r="E19" i="100"/>
  <c r="M18" i="100"/>
  <c r="L18" i="100"/>
  <c r="K18" i="100"/>
  <c r="J18" i="100"/>
  <c r="I18" i="100"/>
  <c r="H18" i="100"/>
  <c r="G18" i="100"/>
  <c r="E18" i="100"/>
  <c r="M17" i="100"/>
  <c r="L17" i="100"/>
  <c r="K17" i="100"/>
  <c r="J17" i="100"/>
  <c r="I17" i="100"/>
  <c r="H17" i="100"/>
  <c r="G17" i="100"/>
  <c r="F17" i="100"/>
  <c r="E17" i="100"/>
  <c r="D17" i="100"/>
  <c r="M16" i="100"/>
  <c r="L16" i="100"/>
  <c r="K16" i="100"/>
  <c r="J16" i="100"/>
  <c r="I16" i="100"/>
  <c r="H16" i="100"/>
  <c r="G16" i="100"/>
  <c r="F16" i="100"/>
  <c r="E16" i="100"/>
  <c r="D16" i="100"/>
  <c r="M13" i="100"/>
  <c r="L13" i="100"/>
  <c r="K13" i="100"/>
  <c r="I6" i="100" s="1"/>
  <c r="J13" i="100"/>
  <c r="I13" i="100"/>
  <c r="H13" i="100"/>
  <c r="G6" i="100" s="1"/>
  <c r="G13" i="100"/>
  <c r="F13" i="100"/>
  <c r="E13" i="100"/>
  <c r="D13" i="100"/>
  <c r="F3" i="100"/>
  <c r="C3" i="100"/>
  <c r="AE63" i="101" l="1"/>
  <c r="AF63" i="101"/>
  <c r="N25" i="101"/>
  <c r="AF25" i="101"/>
  <c r="AE25" i="101"/>
  <c r="N64" i="101"/>
  <c r="AF64" i="101"/>
  <c r="AE64" i="101"/>
  <c r="AF39" i="101"/>
  <c r="N39" i="101"/>
  <c r="Q39" i="101" s="1"/>
  <c r="AE39" i="101"/>
  <c r="AF48" i="101"/>
  <c r="N48" i="101"/>
  <c r="Q48" i="101" s="1"/>
  <c r="N60" i="101"/>
  <c r="AF60" i="101"/>
  <c r="AE60" i="101"/>
  <c r="AE7" i="101"/>
  <c r="AF7" i="101"/>
  <c r="N7" i="101"/>
  <c r="Q7" i="101" s="1"/>
  <c r="AF16" i="101"/>
  <c r="N16" i="101"/>
  <c r="Q16" i="101" s="1"/>
  <c r="N28" i="101"/>
  <c r="AE28" i="101"/>
  <c r="N35" i="101"/>
  <c r="AF35" i="101"/>
  <c r="AE65" i="101"/>
  <c r="AF65" i="101"/>
  <c r="N40" i="101"/>
  <c r="AF40" i="101"/>
  <c r="AE40" i="101"/>
  <c r="AF5" i="101"/>
  <c r="M8" i="101"/>
  <c r="AF8" i="101" s="1"/>
  <c r="AG5" i="101" s="1"/>
  <c r="N5" i="101"/>
  <c r="Q5" i="101" s="1"/>
  <c r="AE5" i="101"/>
  <c r="AF9" i="101"/>
  <c r="M12" i="101"/>
  <c r="AF12" i="101" s="1"/>
  <c r="AG9" i="101" s="1"/>
  <c r="AE36" i="101"/>
  <c r="Q42" i="101"/>
  <c r="D18" i="100"/>
  <c r="N11" i="101"/>
  <c r="Q11" i="101" s="1"/>
  <c r="AC2" i="101"/>
  <c r="M6" i="100" s="1"/>
  <c r="AE34" i="101"/>
  <c r="N62" i="101"/>
  <c r="Q62" i="101" s="1"/>
  <c r="F20" i="100"/>
  <c r="N6" i="101"/>
  <c r="Q6" i="101" s="1"/>
  <c r="AE42" i="101"/>
  <c r="AF11" i="101"/>
  <c r="AE62" i="101"/>
  <c r="AF37" i="101"/>
  <c r="F1" i="101"/>
  <c r="D19" i="100"/>
  <c r="AF43" i="101"/>
  <c r="N36" i="101"/>
  <c r="Q36" i="101" s="1"/>
  <c r="M17" i="101"/>
  <c r="AF41" i="101"/>
  <c r="AE58" i="101"/>
  <c r="D15" i="108"/>
  <c r="F7" i="108"/>
  <c r="G7" i="108"/>
  <c r="E7" i="108"/>
  <c r="K15" i="108"/>
  <c r="I8" i="108" s="1"/>
  <c r="I7" i="108"/>
  <c r="D2" i="107"/>
  <c r="P11" i="107"/>
  <c r="D14" i="106"/>
  <c r="Q11" i="107"/>
  <c r="R5" i="107" s="1"/>
  <c r="Q21" i="107"/>
  <c r="R16" i="107" s="1"/>
  <c r="P21" i="107"/>
  <c r="F14" i="106"/>
  <c r="F15" i="106" s="1"/>
  <c r="Q49" i="107"/>
  <c r="R43" i="107" s="1"/>
  <c r="P49" i="107"/>
  <c r="H14" i="106"/>
  <c r="H15" i="106" s="1"/>
  <c r="Q36" i="107"/>
  <c r="R31" i="107" s="1"/>
  <c r="P36" i="107"/>
  <c r="K14" i="106"/>
  <c r="P15" i="107"/>
  <c r="Q15" i="107"/>
  <c r="R12" i="107" s="1"/>
  <c r="E14" i="106"/>
  <c r="E15" i="106" s="1"/>
  <c r="I14" i="106"/>
  <c r="I15" i="106" s="1"/>
  <c r="Q58" i="107"/>
  <c r="R50" i="107" s="1"/>
  <c r="P58" i="107"/>
  <c r="Q30" i="107"/>
  <c r="R22" i="107" s="1"/>
  <c r="P30" i="107"/>
  <c r="G14" i="106"/>
  <c r="G15" i="106" s="1"/>
  <c r="Q64" i="107"/>
  <c r="R59" i="107" s="1"/>
  <c r="P64" i="107"/>
  <c r="J14" i="106"/>
  <c r="J15" i="106" s="1"/>
  <c r="Q70" i="107"/>
  <c r="R65" i="107" s="1"/>
  <c r="P70" i="107"/>
  <c r="M14" i="106"/>
  <c r="M15" i="106" s="1"/>
  <c r="N30" i="103"/>
  <c r="AE30" i="103"/>
  <c r="AF30" i="103"/>
  <c r="AG25" i="103" s="1"/>
  <c r="Q63" i="103"/>
  <c r="R58" i="103" s="1"/>
  <c r="P63" i="103"/>
  <c r="M14" i="102"/>
  <c r="M15" i="102" s="1"/>
  <c r="AF8" i="103"/>
  <c r="AG5" i="103" s="1"/>
  <c r="AE8" i="103"/>
  <c r="N8" i="103"/>
  <c r="Q22" i="103"/>
  <c r="P22" i="103"/>
  <c r="Q9" i="103"/>
  <c r="P9" i="103"/>
  <c r="Q44" i="103"/>
  <c r="P44" i="103"/>
  <c r="P10" i="103"/>
  <c r="Q10" i="103"/>
  <c r="Q35" i="103"/>
  <c r="P35" i="103"/>
  <c r="AF43" i="103"/>
  <c r="AG37" i="103" s="1"/>
  <c r="AE43" i="103"/>
  <c r="N43" i="103"/>
  <c r="P25" i="103"/>
  <c r="Q25" i="103"/>
  <c r="Q37" i="103"/>
  <c r="P37" i="103"/>
  <c r="Q15" i="103"/>
  <c r="P15" i="103"/>
  <c r="N12" i="103"/>
  <c r="AF12" i="103"/>
  <c r="AG9" i="103" s="1"/>
  <c r="AE12" i="103"/>
  <c r="P16" i="103"/>
  <c r="Q16" i="103"/>
  <c r="Q55" i="103"/>
  <c r="P55" i="103"/>
  <c r="Q28" i="103"/>
  <c r="P28" i="103"/>
  <c r="Q46" i="103"/>
  <c r="P46" i="103"/>
  <c r="Q18" i="103"/>
  <c r="P18" i="103"/>
  <c r="Q6" i="103"/>
  <c r="P6" i="103"/>
  <c r="Q45" i="103"/>
  <c r="P45" i="103"/>
  <c r="Q32" i="103"/>
  <c r="P32" i="103"/>
  <c r="Q29" i="103"/>
  <c r="P29" i="103"/>
  <c r="P62" i="103"/>
  <c r="Q62" i="103"/>
  <c r="Q48" i="103"/>
  <c r="P48" i="103"/>
  <c r="Q56" i="103"/>
  <c r="P56" i="103"/>
  <c r="N17" i="103"/>
  <c r="AF17" i="103"/>
  <c r="AG13" i="103" s="1"/>
  <c r="AE17" i="103"/>
  <c r="AE57" i="103"/>
  <c r="AF57" i="103"/>
  <c r="AG52" i="103" s="1"/>
  <c r="N57" i="103"/>
  <c r="P27" i="103"/>
  <c r="Q27" i="103"/>
  <c r="Q21" i="103"/>
  <c r="P21" i="103"/>
  <c r="P41" i="103"/>
  <c r="Q41" i="103"/>
  <c r="N51" i="103"/>
  <c r="AE51" i="103"/>
  <c r="AF51" i="103"/>
  <c r="AG44" i="103" s="1"/>
  <c r="Q42" i="103"/>
  <c r="P42" i="103"/>
  <c r="AF36" i="103"/>
  <c r="AG31" i="103" s="1"/>
  <c r="AE36" i="103"/>
  <c r="N36" i="103"/>
  <c r="AF24" i="103"/>
  <c r="AG18" i="103" s="1"/>
  <c r="AE24" i="103"/>
  <c r="N24" i="103"/>
  <c r="Q31" i="103"/>
  <c r="P31" i="103"/>
  <c r="Q47" i="103"/>
  <c r="P47" i="103"/>
  <c r="P38" i="103"/>
  <c r="Q38" i="103"/>
  <c r="Q52" i="103"/>
  <c r="P52" i="103"/>
  <c r="F2" i="101"/>
  <c r="I3" i="100"/>
  <c r="N20" i="101"/>
  <c r="AF20" i="101"/>
  <c r="AE20" i="101"/>
  <c r="Q25" i="101"/>
  <c r="P25" i="101"/>
  <c r="N30" i="101"/>
  <c r="AE30" i="101"/>
  <c r="AF30" i="101"/>
  <c r="N54" i="101"/>
  <c r="AF54" i="101"/>
  <c r="M59" i="101"/>
  <c r="AE54" i="101"/>
  <c r="AF18" i="101"/>
  <c r="AE18" i="101"/>
  <c r="M24" i="101"/>
  <c r="N18" i="101"/>
  <c r="Q29" i="101"/>
  <c r="P29" i="101"/>
  <c r="N52" i="101"/>
  <c r="AF52" i="101"/>
  <c r="AE52" i="101"/>
  <c r="N22" i="101"/>
  <c r="AF22" i="101"/>
  <c r="AE22" i="101"/>
  <c r="N26" i="101"/>
  <c r="M31" i="101"/>
  <c r="AF26" i="101"/>
  <c r="AE26" i="101"/>
  <c r="N23" i="101"/>
  <c r="AF23" i="101"/>
  <c r="AE23" i="101"/>
  <c r="N57" i="101"/>
  <c r="AF57" i="101"/>
  <c r="AE57" i="101"/>
  <c r="N21" i="101"/>
  <c r="AF21" i="101"/>
  <c r="AE21" i="101"/>
  <c r="Q35" i="101"/>
  <c r="P35" i="101"/>
  <c r="N50" i="101"/>
  <c r="AF50" i="101"/>
  <c r="AE50" i="101"/>
  <c r="N27" i="101"/>
  <c r="AF27" i="101"/>
  <c r="AE27" i="101"/>
  <c r="Q41" i="101"/>
  <c r="P41" i="101"/>
  <c r="N33" i="101"/>
  <c r="AF33" i="101"/>
  <c r="AE33" i="101"/>
  <c r="N55" i="101"/>
  <c r="AF55" i="101"/>
  <c r="AE55" i="101"/>
  <c r="Q40" i="101"/>
  <c r="P40" i="101"/>
  <c r="Q64" i="101"/>
  <c r="P64" i="101"/>
  <c r="Q10" i="101"/>
  <c r="P10" i="101"/>
  <c r="N17" i="101"/>
  <c r="AF17" i="101"/>
  <c r="AG13" i="101" s="1"/>
  <c r="AE17" i="101"/>
  <c r="AF19" i="101"/>
  <c r="AE19" i="101"/>
  <c r="N19" i="101"/>
  <c r="Q28" i="101"/>
  <c r="P28" i="101"/>
  <c r="Q32" i="101"/>
  <c r="P32" i="101"/>
  <c r="Q34" i="101"/>
  <c r="P34" i="101"/>
  <c r="N61" i="101"/>
  <c r="M66" i="101"/>
  <c r="AF61" i="101"/>
  <c r="AE61" i="101"/>
  <c r="Q37" i="101"/>
  <c r="P37" i="101"/>
  <c r="N51" i="101"/>
  <c r="AF51" i="101"/>
  <c r="AE51" i="101"/>
  <c r="Q60" i="101"/>
  <c r="P60" i="101"/>
  <c r="N56" i="101"/>
  <c r="AF56" i="101"/>
  <c r="AE56" i="101"/>
  <c r="AF10" i="101"/>
  <c r="AE35" i="101"/>
  <c r="AE37" i="101"/>
  <c r="AE41" i="101"/>
  <c r="M45" i="101"/>
  <c r="N49" i="101"/>
  <c r="N8" i="101"/>
  <c r="N12" i="101"/>
  <c r="N15" i="101"/>
  <c r="AF28" i="101"/>
  <c r="AE29" i="101"/>
  <c r="AE32" i="101"/>
  <c r="N46" i="101"/>
  <c r="N47" i="101"/>
  <c r="E6" i="100"/>
  <c r="F6" i="100"/>
  <c r="N9" i="101"/>
  <c r="N13" i="101"/>
  <c r="N14" i="101"/>
  <c r="P16" i="101"/>
  <c r="AF29" i="101"/>
  <c r="AF32" i="101"/>
  <c r="M38" i="101"/>
  <c r="N44" i="101"/>
  <c r="P48" i="101"/>
  <c r="N63" i="101"/>
  <c r="N65" i="101"/>
  <c r="P7" i="101"/>
  <c r="P11" i="101"/>
  <c r="P43" i="101"/>
  <c r="AE49" i="101"/>
  <c r="M53" i="101"/>
  <c r="P5" i="101"/>
  <c r="P6" i="101"/>
  <c r="AE16" i="101"/>
  <c r="P36" i="101"/>
  <c r="P39" i="101"/>
  <c r="P42" i="101"/>
  <c r="AE48" i="101"/>
  <c r="P58" i="101"/>
  <c r="P62" i="101"/>
  <c r="AE15" i="101"/>
  <c r="AE46" i="101"/>
  <c r="AE47" i="101"/>
  <c r="AE9" i="101"/>
  <c r="AE13" i="101"/>
  <c r="AE14" i="101"/>
  <c r="AE44" i="101"/>
  <c r="AE8" i="101"/>
  <c r="AE12" i="101"/>
  <c r="AF13" i="101"/>
  <c r="AD75" i="99"/>
  <c r="AC75" i="99"/>
  <c r="Z75" i="99"/>
  <c r="Y75" i="99"/>
  <c r="O75" i="99"/>
  <c r="K75" i="99"/>
  <c r="V74" i="99"/>
  <c r="M74" i="99" s="1"/>
  <c r="AF74" i="99" s="1"/>
  <c r="U74" i="99"/>
  <c r="O74" i="99"/>
  <c r="K74" i="99"/>
  <c r="G74" i="99"/>
  <c r="V73" i="99"/>
  <c r="M73" i="99" s="1"/>
  <c r="U73" i="99"/>
  <c r="O73" i="99"/>
  <c r="K73" i="99"/>
  <c r="G73" i="99"/>
  <c r="X72" i="99"/>
  <c r="W72" i="99"/>
  <c r="V72" i="99"/>
  <c r="M72" i="99" s="1"/>
  <c r="U72" i="99"/>
  <c r="O72" i="99"/>
  <c r="K72" i="99"/>
  <c r="G72" i="99"/>
  <c r="V71" i="99"/>
  <c r="M71" i="99" s="1"/>
  <c r="U71" i="99"/>
  <c r="O71" i="99"/>
  <c r="K71" i="99"/>
  <c r="G71" i="99"/>
  <c r="AE70" i="99"/>
  <c r="V70" i="99"/>
  <c r="U70" i="99"/>
  <c r="O70" i="99"/>
  <c r="M70" i="99"/>
  <c r="N70" i="99" s="1"/>
  <c r="K70" i="99"/>
  <c r="G70" i="99"/>
  <c r="V69" i="99"/>
  <c r="M69" i="99" s="1"/>
  <c r="U69" i="99"/>
  <c r="O69" i="99"/>
  <c r="K69" i="99"/>
  <c r="G69" i="99"/>
  <c r="X68" i="99"/>
  <c r="W68" i="99"/>
  <c r="V68" i="99"/>
  <c r="M68" i="99" s="1"/>
  <c r="O68" i="99"/>
  <c r="K68" i="99"/>
  <c r="G68" i="99"/>
  <c r="AD67" i="99"/>
  <c r="AC67" i="99"/>
  <c r="Z67" i="99"/>
  <c r="Y67" i="99"/>
  <c r="O67" i="99"/>
  <c r="K67" i="99"/>
  <c r="V66" i="99"/>
  <c r="M66" i="99" s="1"/>
  <c r="U66" i="99"/>
  <c r="O66" i="99"/>
  <c r="K66" i="99"/>
  <c r="G66" i="99"/>
  <c r="V65" i="99"/>
  <c r="M65" i="99" s="1"/>
  <c r="U65" i="99"/>
  <c r="O65" i="99"/>
  <c r="K65" i="99"/>
  <c r="G65" i="99"/>
  <c r="V64" i="99"/>
  <c r="M64" i="99" s="1"/>
  <c r="U64" i="99"/>
  <c r="O64" i="99"/>
  <c r="K64" i="99"/>
  <c r="G64" i="99"/>
  <c r="V63" i="99"/>
  <c r="M63" i="99" s="1"/>
  <c r="U63" i="99"/>
  <c r="O63" i="99"/>
  <c r="K63" i="99"/>
  <c r="G63" i="99"/>
  <c r="V62" i="99"/>
  <c r="M62" i="99" s="1"/>
  <c r="O62" i="99"/>
  <c r="K62" i="99"/>
  <c r="G62" i="99"/>
  <c r="AD61" i="99"/>
  <c r="AC61" i="99"/>
  <c r="Z61" i="99"/>
  <c r="Y61" i="99"/>
  <c r="O61" i="99"/>
  <c r="K61" i="99"/>
  <c r="V60" i="99"/>
  <c r="M60" i="99" s="1"/>
  <c r="U60" i="99"/>
  <c r="O60" i="99"/>
  <c r="K60" i="99"/>
  <c r="G60" i="99"/>
  <c r="V59" i="99"/>
  <c r="M59" i="99" s="1"/>
  <c r="U59" i="99"/>
  <c r="O59" i="99"/>
  <c r="K59" i="99"/>
  <c r="G59" i="99"/>
  <c r="V58" i="99"/>
  <c r="M58" i="99" s="1"/>
  <c r="U58" i="99"/>
  <c r="O58" i="99"/>
  <c r="K58" i="99"/>
  <c r="G58" i="99"/>
  <c r="V57" i="99"/>
  <c r="U57" i="99"/>
  <c r="O57" i="99"/>
  <c r="M57" i="99"/>
  <c r="AF57" i="99" s="1"/>
  <c r="K57" i="99"/>
  <c r="G57" i="99"/>
  <c r="V56" i="99"/>
  <c r="U56" i="99"/>
  <c r="O56" i="99"/>
  <c r="M56" i="99"/>
  <c r="AF56" i="99" s="1"/>
  <c r="K56" i="99"/>
  <c r="G56" i="99"/>
  <c r="V55" i="99"/>
  <c r="O55" i="99"/>
  <c r="M55" i="99"/>
  <c r="AF55" i="99" s="1"/>
  <c r="K55" i="99"/>
  <c r="G55" i="99"/>
  <c r="AD54" i="99"/>
  <c r="AC54" i="99"/>
  <c r="Z54" i="99"/>
  <c r="Y54" i="99"/>
  <c r="O54" i="99"/>
  <c r="K54" i="99"/>
  <c r="V53" i="99"/>
  <c r="M53" i="99" s="1"/>
  <c r="AF53" i="99" s="1"/>
  <c r="U53" i="99"/>
  <c r="O53" i="99"/>
  <c r="K53" i="99"/>
  <c r="G53" i="99"/>
  <c r="X52" i="99"/>
  <c r="W52" i="99"/>
  <c r="V52" i="99"/>
  <c r="U52" i="99"/>
  <c r="O52" i="99"/>
  <c r="M52" i="99"/>
  <c r="AF52" i="99" s="1"/>
  <c r="K52" i="99"/>
  <c r="G52" i="99"/>
  <c r="V51" i="99"/>
  <c r="M51" i="99" s="1"/>
  <c r="AF51" i="99" s="1"/>
  <c r="U51" i="99"/>
  <c r="O51" i="99"/>
  <c r="K51" i="99"/>
  <c r="G51" i="99"/>
  <c r="V50" i="99"/>
  <c r="U50" i="99"/>
  <c r="O50" i="99"/>
  <c r="M50" i="99"/>
  <c r="AF50" i="99" s="1"/>
  <c r="K50" i="99"/>
  <c r="G50" i="99"/>
  <c r="V49" i="99"/>
  <c r="U49" i="99"/>
  <c r="O49" i="99"/>
  <c r="M49" i="99"/>
  <c r="AE49" i="99" s="1"/>
  <c r="K49" i="99"/>
  <c r="G49" i="99"/>
  <c r="V48" i="99"/>
  <c r="U48" i="99"/>
  <c r="O48" i="99"/>
  <c r="M48" i="99"/>
  <c r="N48" i="99" s="1"/>
  <c r="K48" i="99"/>
  <c r="G48" i="99"/>
  <c r="X47" i="99"/>
  <c r="W47" i="99"/>
  <c r="V47" i="99"/>
  <c r="O47" i="99"/>
  <c r="M47" i="99"/>
  <c r="AF47" i="99" s="1"/>
  <c r="K47" i="99"/>
  <c r="G47" i="99"/>
  <c r="AD46" i="99"/>
  <c r="AC46" i="99"/>
  <c r="Z46" i="99"/>
  <c r="Y46" i="99"/>
  <c r="O46" i="99"/>
  <c r="K46" i="99"/>
  <c r="V45" i="99"/>
  <c r="M45" i="99" s="1"/>
  <c r="AE45" i="99" s="1"/>
  <c r="U45" i="99"/>
  <c r="O45" i="99"/>
  <c r="K45" i="99"/>
  <c r="G45" i="99"/>
  <c r="V44" i="99"/>
  <c r="M44" i="99" s="1"/>
  <c r="N44" i="99" s="1"/>
  <c r="U44" i="99"/>
  <c r="O44" i="99"/>
  <c r="K44" i="99"/>
  <c r="G44" i="99"/>
  <c r="V43" i="99"/>
  <c r="M43" i="99" s="1"/>
  <c r="U43" i="99"/>
  <c r="O43" i="99"/>
  <c r="K43" i="99"/>
  <c r="G43" i="99"/>
  <c r="X42" i="99"/>
  <c r="W42" i="99"/>
  <c r="V42" i="99"/>
  <c r="M42" i="99" s="1"/>
  <c r="U42" i="99"/>
  <c r="O42" i="99"/>
  <c r="K42" i="99"/>
  <c r="G42" i="99"/>
  <c r="V41" i="99"/>
  <c r="M41" i="99" s="1"/>
  <c r="U41" i="99"/>
  <c r="O41" i="99"/>
  <c r="K41" i="99"/>
  <c r="G41" i="99"/>
  <c r="V40" i="99"/>
  <c r="M40" i="99" s="1"/>
  <c r="U40" i="99"/>
  <c r="O40" i="99"/>
  <c r="K40" i="99"/>
  <c r="G40" i="99"/>
  <c r="V39" i="99"/>
  <c r="M39" i="99" s="1"/>
  <c r="U39" i="99"/>
  <c r="O39" i="99"/>
  <c r="K39" i="99"/>
  <c r="G39" i="99"/>
  <c r="X38" i="99"/>
  <c r="W38" i="99"/>
  <c r="V38" i="99"/>
  <c r="M38" i="99" s="1"/>
  <c r="O38" i="99"/>
  <c r="K38" i="99"/>
  <c r="G38" i="99"/>
  <c r="AD37" i="99"/>
  <c r="AC37" i="99"/>
  <c r="Z37" i="99"/>
  <c r="Y37" i="99"/>
  <c r="K18" i="98" s="1"/>
  <c r="O37" i="99"/>
  <c r="K37" i="99"/>
  <c r="V36" i="99"/>
  <c r="M36" i="99" s="1"/>
  <c r="U36" i="99"/>
  <c r="O36" i="99"/>
  <c r="K36" i="99"/>
  <c r="G36" i="99"/>
  <c r="V35" i="99"/>
  <c r="M35" i="99" s="1"/>
  <c r="U35" i="99"/>
  <c r="O35" i="99"/>
  <c r="K35" i="99"/>
  <c r="G35" i="99"/>
  <c r="V34" i="99"/>
  <c r="M34" i="99" s="1"/>
  <c r="U34" i="99"/>
  <c r="O34" i="99"/>
  <c r="K34" i="99"/>
  <c r="G34" i="99"/>
  <c r="X33" i="99"/>
  <c r="W33" i="99"/>
  <c r="V33" i="99"/>
  <c r="M33" i="99" s="1"/>
  <c r="U33" i="99"/>
  <c r="O33" i="99"/>
  <c r="K33" i="99"/>
  <c r="G33" i="99"/>
  <c r="V32" i="99"/>
  <c r="M32" i="99" s="1"/>
  <c r="U32" i="99"/>
  <c r="O32" i="99"/>
  <c r="K32" i="99"/>
  <c r="G32" i="99"/>
  <c r="V31" i="99"/>
  <c r="M31" i="99" s="1"/>
  <c r="U31" i="99"/>
  <c r="O31" i="99"/>
  <c r="K31" i="99"/>
  <c r="G31" i="99"/>
  <c r="V30" i="99"/>
  <c r="M30" i="99" s="1"/>
  <c r="U30" i="99"/>
  <c r="O30" i="99"/>
  <c r="K30" i="99"/>
  <c r="G30" i="99"/>
  <c r="X29" i="99"/>
  <c r="W29" i="99"/>
  <c r="V29" i="99"/>
  <c r="M29" i="99" s="1"/>
  <c r="O29" i="99"/>
  <c r="K29" i="99"/>
  <c r="G29" i="99"/>
  <c r="AD28" i="99"/>
  <c r="AC28" i="99"/>
  <c r="Z28" i="99"/>
  <c r="Y28" i="99"/>
  <c r="O28" i="99"/>
  <c r="K28" i="99"/>
  <c r="V27" i="99"/>
  <c r="M27" i="99" s="1"/>
  <c r="U27" i="99"/>
  <c r="O27" i="99"/>
  <c r="K27" i="99"/>
  <c r="G27" i="99"/>
  <c r="X26" i="99"/>
  <c r="W26" i="99"/>
  <c r="V26" i="99"/>
  <c r="M26" i="99" s="1"/>
  <c r="U26" i="99"/>
  <c r="O26" i="99"/>
  <c r="K26" i="99"/>
  <c r="G26" i="99"/>
  <c r="V25" i="99"/>
  <c r="M25" i="99" s="1"/>
  <c r="U25" i="99"/>
  <c r="O25" i="99"/>
  <c r="K25" i="99"/>
  <c r="G25" i="99"/>
  <c r="V24" i="99"/>
  <c r="M24" i="99" s="1"/>
  <c r="U24" i="99"/>
  <c r="O24" i="99"/>
  <c r="K24" i="99"/>
  <c r="G24" i="99"/>
  <c r="V23" i="99"/>
  <c r="M23" i="99" s="1"/>
  <c r="AF23" i="99" s="1"/>
  <c r="U23" i="99"/>
  <c r="O23" i="99"/>
  <c r="K23" i="99"/>
  <c r="G23" i="99"/>
  <c r="V22" i="99"/>
  <c r="M22" i="99" s="1"/>
  <c r="U22" i="99"/>
  <c r="O22" i="99"/>
  <c r="K22" i="99"/>
  <c r="G22" i="99"/>
  <c r="V21" i="99"/>
  <c r="M21" i="99" s="1"/>
  <c r="O21" i="99"/>
  <c r="K21" i="99"/>
  <c r="G21" i="99"/>
  <c r="AD20" i="99"/>
  <c r="AC20" i="99"/>
  <c r="Z20" i="99"/>
  <c r="Y20" i="99"/>
  <c r="O20" i="99"/>
  <c r="K20" i="99"/>
  <c r="V19" i="99"/>
  <c r="M19" i="99" s="1"/>
  <c r="AF19" i="99" s="1"/>
  <c r="U19" i="99"/>
  <c r="O19" i="99"/>
  <c r="K19" i="99"/>
  <c r="G19" i="99"/>
  <c r="X18" i="99"/>
  <c r="W18" i="99"/>
  <c r="V18" i="99"/>
  <c r="U18" i="99"/>
  <c r="O18" i="99"/>
  <c r="N18" i="99"/>
  <c r="Q18" i="99" s="1"/>
  <c r="M18" i="99"/>
  <c r="AF18" i="99" s="1"/>
  <c r="K18" i="99"/>
  <c r="G18" i="99"/>
  <c r="V17" i="99"/>
  <c r="U17" i="99"/>
  <c r="O17" i="99"/>
  <c r="M17" i="99"/>
  <c r="AF17" i="99" s="1"/>
  <c r="K17" i="99"/>
  <c r="G17" i="99"/>
  <c r="V16" i="99"/>
  <c r="U16" i="99"/>
  <c r="O16" i="99"/>
  <c r="M16" i="99"/>
  <c r="AF16" i="99" s="1"/>
  <c r="K16" i="99"/>
  <c r="G16" i="99"/>
  <c r="V15" i="99"/>
  <c r="U15" i="99"/>
  <c r="O15" i="99"/>
  <c r="M15" i="99"/>
  <c r="AE15" i="99" s="1"/>
  <c r="K15" i="99"/>
  <c r="G15" i="99"/>
  <c r="V14" i="99"/>
  <c r="O14" i="99"/>
  <c r="M14" i="99"/>
  <c r="AE14" i="99" s="1"/>
  <c r="K14" i="99"/>
  <c r="G14" i="99"/>
  <c r="AD13" i="99"/>
  <c r="AC13" i="99"/>
  <c r="Z13" i="99"/>
  <c r="Y13" i="99"/>
  <c r="O13" i="99"/>
  <c r="K13" i="99"/>
  <c r="V12" i="99"/>
  <c r="M12" i="99" s="1"/>
  <c r="N12" i="99" s="1"/>
  <c r="U12" i="99"/>
  <c r="O12" i="99"/>
  <c r="K12" i="99"/>
  <c r="G12" i="99"/>
  <c r="X11" i="99"/>
  <c r="W11" i="99"/>
  <c r="V11" i="99"/>
  <c r="U11" i="99"/>
  <c r="O11" i="99"/>
  <c r="M11" i="99"/>
  <c r="N11" i="99" s="1"/>
  <c r="K11" i="99"/>
  <c r="G11" i="99"/>
  <c r="V10" i="99"/>
  <c r="M10" i="99" s="1"/>
  <c r="AE10" i="99" s="1"/>
  <c r="O10" i="99"/>
  <c r="K10" i="99"/>
  <c r="G10" i="99"/>
  <c r="AD9" i="99"/>
  <c r="D21" i="98" s="1"/>
  <c r="AC9" i="99"/>
  <c r="Z9" i="99"/>
  <c r="D19" i="98" s="1"/>
  <c r="Y9" i="99"/>
  <c r="Y2" i="99" s="1"/>
  <c r="K6" i="98" s="1"/>
  <c r="O9" i="99"/>
  <c r="K9" i="99"/>
  <c r="V8" i="99"/>
  <c r="M8" i="99" s="1"/>
  <c r="N8" i="99" s="1"/>
  <c r="U8" i="99"/>
  <c r="O8" i="99"/>
  <c r="K8" i="99"/>
  <c r="G8" i="99"/>
  <c r="X7" i="99"/>
  <c r="W7" i="99"/>
  <c r="V7" i="99"/>
  <c r="M7" i="99" s="1"/>
  <c r="N7" i="99" s="1"/>
  <c r="U7" i="99"/>
  <c r="O7" i="99"/>
  <c r="K7" i="99"/>
  <c r="G7" i="99"/>
  <c r="V6" i="99"/>
  <c r="U6" i="99"/>
  <c r="O6" i="99"/>
  <c r="M6" i="99"/>
  <c r="N6" i="99" s="1"/>
  <c r="K6" i="99"/>
  <c r="G6" i="99"/>
  <c r="V5" i="99"/>
  <c r="M5" i="99" s="1"/>
  <c r="N5" i="99" s="1"/>
  <c r="O5" i="99"/>
  <c r="K5" i="99"/>
  <c r="G5" i="99"/>
  <c r="AC2" i="99"/>
  <c r="Z2" i="99"/>
  <c r="H2" i="99"/>
  <c r="H1" i="99"/>
  <c r="D1" i="99"/>
  <c r="M22" i="98"/>
  <c r="L22" i="98"/>
  <c r="K22" i="98"/>
  <c r="J22" i="98"/>
  <c r="I22" i="98"/>
  <c r="H22" i="98"/>
  <c r="G22" i="98"/>
  <c r="F22" i="98"/>
  <c r="E22" i="98"/>
  <c r="D22" i="98"/>
  <c r="M21" i="98"/>
  <c r="L21" i="98"/>
  <c r="K21" i="98"/>
  <c r="J21" i="98"/>
  <c r="I21" i="98"/>
  <c r="H21" i="98"/>
  <c r="G21" i="98"/>
  <c r="F21" i="98"/>
  <c r="E21" i="98"/>
  <c r="M20" i="98"/>
  <c r="L20" i="98"/>
  <c r="K20" i="98"/>
  <c r="J20" i="98"/>
  <c r="I20" i="98"/>
  <c r="H20" i="98"/>
  <c r="G20" i="98"/>
  <c r="F20" i="98"/>
  <c r="E20" i="98"/>
  <c r="D20" i="98"/>
  <c r="M19" i="98"/>
  <c r="L19" i="98"/>
  <c r="K19" i="98"/>
  <c r="J19" i="98"/>
  <c r="I19" i="98"/>
  <c r="H19" i="98"/>
  <c r="G19" i="98"/>
  <c r="F19" i="98"/>
  <c r="E19" i="98"/>
  <c r="M18" i="98"/>
  <c r="L18" i="98"/>
  <c r="J18" i="98"/>
  <c r="I18" i="98"/>
  <c r="H18" i="98"/>
  <c r="G18" i="98"/>
  <c r="F18" i="98"/>
  <c r="E18" i="98"/>
  <c r="M17" i="98"/>
  <c r="L17" i="98"/>
  <c r="K17" i="98"/>
  <c r="J17" i="98"/>
  <c r="I17" i="98"/>
  <c r="H17" i="98"/>
  <c r="G17" i="98"/>
  <c r="F17" i="98"/>
  <c r="E17" i="98"/>
  <c r="D17" i="98"/>
  <c r="M16" i="98"/>
  <c r="L16" i="98"/>
  <c r="K16" i="98"/>
  <c r="J16" i="98"/>
  <c r="I16" i="98"/>
  <c r="H16" i="98"/>
  <c r="G16" i="98"/>
  <c r="F16" i="98"/>
  <c r="E16" i="98"/>
  <c r="D16" i="98"/>
  <c r="M13" i="98"/>
  <c r="L13" i="98"/>
  <c r="K13" i="98"/>
  <c r="I6" i="98" s="1"/>
  <c r="J13" i="98"/>
  <c r="I13" i="98"/>
  <c r="H13" i="98"/>
  <c r="F6" i="98" s="1"/>
  <c r="G13" i="98"/>
  <c r="F13" i="98"/>
  <c r="E13" i="98"/>
  <c r="D13" i="98"/>
  <c r="M6" i="98"/>
  <c r="L6" i="98"/>
  <c r="F3" i="98"/>
  <c r="C3" i="98"/>
  <c r="N72" i="99" l="1"/>
  <c r="AF72" i="99"/>
  <c r="AE71" i="99"/>
  <c r="AF71" i="99"/>
  <c r="N68" i="99"/>
  <c r="Q68" i="99" s="1"/>
  <c r="AF68" i="99"/>
  <c r="AE68" i="99"/>
  <c r="AF21" i="99"/>
  <c r="N21" i="99"/>
  <c r="AF22" i="99"/>
  <c r="N22" i="99"/>
  <c r="N66" i="99"/>
  <c r="AF66" i="99"/>
  <c r="AE66" i="99"/>
  <c r="AE73" i="99"/>
  <c r="AF73" i="99"/>
  <c r="N42" i="99"/>
  <c r="AF42" i="99"/>
  <c r="AE42" i="99"/>
  <c r="AD2" i="99"/>
  <c r="N6" i="98" s="1"/>
  <c r="F1" i="99"/>
  <c r="N56" i="99"/>
  <c r="D18" i="98"/>
  <c r="P18" i="99"/>
  <c r="N57" i="99"/>
  <c r="AF70" i="99"/>
  <c r="N16" i="99"/>
  <c r="Q16" i="99" s="1"/>
  <c r="N52" i="99"/>
  <c r="N55" i="99"/>
  <c r="N47" i="99"/>
  <c r="Q47" i="99" s="1"/>
  <c r="N50" i="99"/>
  <c r="Q50" i="99" s="1"/>
  <c r="G8" i="108"/>
  <c r="F8" i="108"/>
  <c r="E8" i="108"/>
  <c r="G7" i="106"/>
  <c r="D15" i="106"/>
  <c r="F7" i="106"/>
  <c r="E7" i="106"/>
  <c r="K15" i="106"/>
  <c r="I8" i="106" s="1"/>
  <c r="I7" i="106"/>
  <c r="P8" i="103"/>
  <c r="Q8" i="103"/>
  <c r="R5" i="103" s="1"/>
  <c r="D14" i="102"/>
  <c r="D2" i="103"/>
  <c r="P51" i="103"/>
  <c r="I14" i="102"/>
  <c r="I15" i="102" s="1"/>
  <c r="Q51" i="103"/>
  <c r="R44" i="103" s="1"/>
  <c r="G14" i="102"/>
  <c r="G15" i="102" s="1"/>
  <c r="P24" i="103"/>
  <c r="Q24" i="103"/>
  <c r="R18" i="103" s="1"/>
  <c r="Q12" i="103"/>
  <c r="R9" i="103" s="1"/>
  <c r="P12" i="103"/>
  <c r="E14" i="102"/>
  <c r="E15" i="102" s="1"/>
  <c r="Q43" i="103"/>
  <c r="R37" i="103" s="1"/>
  <c r="H14" i="102"/>
  <c r="H15" i="102" s="1"/>
  <c r="P43" i="103"/>
  <c r="Q17" i="103"/>
  <c r="R13" i="103" s="1"/>
  <c r="F14" i="102"/>
  <c r="F15" i="102" s="1"/>
  <c r="P17" i="103"/>
  <c r="Q36" i="103"/>
  <c r="R31" i="103" s="1"/>
  <c r="P36" i="103"/>
  <c r="L14" i="102"/>
  <c r="L15" i="102" s="1"/>
  <c r="J14" i="102"/>
  <c r="J15" i="102" s="1"/>
  <c r="Q57" i="103"/>
  <c r="R52" i="103" s="1"/>
  <c r="P57" i="103"/>
  <c r="P30" i="103"/>
  <c r="K14" i="102"/>
  <c r="Q30" i="103"/>
  <c r="R25" i="103" s="1"/>
  <c r="N38" i="101"/>
  <c r="AF38" i="101"/>
  <c r="AG32" i="101" s="1"/>
  <c r="AE38" i="101"/>
  <c r="F14" i="100"/>
  <c r="F15" i="100" s="1"/>
  <c r="Q17" i="101"/>
  <c r="R13" i="101" s="1"/>
  <c r="P17" i="101"/>
  <c r="Q33" i="101"/>
  <c r="P33" i="101"/>
  <c r="Q15" i="101"/>
  <c r="P15" i="101"/>
  <c r="P22" i="101"/>
  <c r="Q22" i="101"/>
  <c r="Q46" i="101"/>
  <c r="P46" i="101"/>
  <c r="N53" i="101"/>
  <c r="AF53" i="101"/>
  <c r="AG46" i="101" s="1"/>
  <c r="AE53" i="101"/>
  <c r="Q12" i="101"/>
  <c r="R9" i="101" s="1"/>
  <c r="P12" i="101"/>
  <c r="E14" i="100"/>
  <c r="E15" i="100" s="1"/>
  <c r="Q54" i="101"/>
  <c r="P54" i="101"/>
  <c r="Q14" i="101"/>
  <c r="P14" i="101"/>
  <c r="Q8" i="101"/>
  <c r="R5" i="101" s="1"/>
  <c r="P8" i="101"/>
  <c r="D14" i="100"/>
  <c r="Q57" i="101"/>
  <c r="P57" i="101"/>
  <c r="Q27" i="101"/>
  <c r="P27" i="101"/>
  <c r="Q30" i="101"/>
  <c r="P30" i="101"/>
  <c r="Q13" i="101"/>
  <c r="P13" i="101"/>
  <c r="P52" i="101"/>
  <c r="Q52" i="101"/>
  <c r="Q51" i="101"/>
  <c r="P51" i="101"/>
  <c r="Q19" i="101"/>
  <c r="P19" i="101"/>
  <c r="Q23" i="101"/>
  <c r="P23" i="101"/>
  <c r="AF45" i="101"/>
  <c r="AG39" i="101" s="1"/>
  <c r="AE45" i="101"/>
  <c r="N45" i="101"/>
  <c r="Q65" i="101"/>
  <c r="P65" i="101"/>
  <c r="P50" i="101"/>
  <c r="Q50" i="101"/>
  <c r="Q18" i="101"/>
  <c r="P18" i="101"/>
  <c r="Q49" i="101"/>
  <c r="P49" i="101"/>
  <c r="Q9" i="101"/>
  <c r="P9" i="101"/>
  <c r="Q63" i="101"/>
  <c r="P63" i="101"/>
  <c r="Q47" i="101"/>
  <c r="P47" i="101"/>
  <c r="Q55" i="101"/>
  <c r="P55" i="101"/>
  <c r="N24" i="101"/>
  <c r="AF24" i="101"/>
  <c r="AG18" i="101" s="1"/>
  <c r="AE24" i="101"/>
  <c r="N31" i="101"/>
  <c r="AF31" i="101"/>
  <c r="AG25" i="101" s="1"/>
  <c r="AE31" i="101"/>
  <c r="Q44" i="101"/>
  <c r="P44" i="101"/>
  <c r="AF66" i="101"/>
  <c r="AG60" i="101" s="1"/>
  <c r="AE66" i="101"/>
  <c r="N66" i="101"/>
  <c r="P26" i="101"/>
  <c r="Q26" i="101"/>
  <c r="P20" i="101"/>
  <c r="Q20" i="101"/>
  <c r="Q61" i="101"/>
  <c r="P61" i="101"/>
  <c r="Q56" i="101"/>
  <c r="P56" i="101"/>
  <c r="Q21" i="101"/>
  <c r="P21" i="101"/>
  <c r="AE59" i="101"/>
  <c r="N59" i="101"/>
  <c r="AF59" i="101"/>
  <c r="AG54" i="101" s="1"/>
  <c r="N65" i="99"/>
  <c r="AF65" i="99"/>
  <c r="AE65" i="99"/>
  <c r="Q5" i="99"/>
  <c r="P5" i="99"/>
  <c r="Q11" i="99"/>
  <c r="P11" i="99"/>
  <c r="N36" i="99"/>
  <c r="AF36" i="99"/>
  <c r="AE36" i="99"/>
  <c r="AF58" i="99"/>
  <c r="AE58" i="99"/>
  <c r="N58" i="99"/>
  <c r="F2" i="99"/>
  <c r="I3" i="98"/>
  <c r="N63" i="99"/>
  <c r="AF63" i="99"/>
  <c r="AE63" i="99"/>
  <c r="N32" i="99"/>
  <c r="AF32" i="99"/>
  <c r="AE32" i="99"/>
  <c r="N34" i="99"/>
  <c r="AF34" i="99"/>
  <c r="AE34" i="99"/>
  <c r="Q66" i="99"/>
  <c r="P66" i="99"/>
  <c r="N41" i="99"/>
  <c r="AF41" i="99"/>
  <c r="AE41" i="99"/>
  <c r="N69" i="99"/>
  <c r="AF69" i="99"/>
  <c r="M75" i="99"/>
  <c r="AE69" i="99"/>
  <c r="N38" i="99"/>
  <c r="AF38" i="99"/>
  <c r="AE38" i="99"/>
  <c r="M46" i="99"/>
  <c r="N27" i="99"/>
  <c r="AF27" i="99"/>
  <c r="AE27" i="99"/>
  <c r="Q7" i="99"/>
  <c r="P7" i="99"/>
  <c r="Q48" i="99"/>
  <c r="P48" i="99"/>
  <c r="AF30" i="99"/>
  <c r="AE30" i="99"/>
  <c r="N30" i="99"/>
  <c r="Q6" i="99"/>
  <c r="P6" i="99"/>
  <c r="N39" i="99"/>
  <c r="AF39" i="99"/>
  <c r="AE39" i="99"/>
  <c r="N59" i="99"/>
  <c r="AF59" i="99"/>
  <c r="AE59" i="99"/>
  <c r="N25" i="99"/>
  <c r="AF25" i="99"/>
  <c r="AE25" i="99"/>
  <c r="AF24" i="99"/>
  <c r="AE24" i="99"/>
  <c r="N24" i="99"/>
  <c r="Q42" i="99"/>
  <c r="P42" i="99"/>
  <c r="N43" i="99"/>
  <c r="AF43" i="99"/>
  <c r="AE43" i="99"/>
  <c r="N64" i="99"/>
  <c r="AF64" i="99"/>
  <c r="AE64" i="99"/>
  <c r="Q70" i="99"/>
  <c r="P70" i="99"/>
  <c r="N26" i="99"/>
  <c r="AF26" i="99"/>
  <c r="AE26" i="99"/>
  <c r="Q8" i="99"/>
  <c r="P8" i="99"/>
  <c r="N33" i="99"/>
  <c r="AF33" i="99"/>
  <c r="AE33" i="99"/>
  <c r="N35" i="99"/>
  <c r="AF35" i="99"/>
  <c r="AE35" i="99"/>
  <c r="N40" i="99"/>
  <c r="AF40" i="99"/>
  <c r="AE40" i="99"/>
  <c r="Q12" i="99"/>
  <c r="P12" i="99"/>
  <c r="N62" i="99"/>
  <c r="AF62" i="99"/>
  <c r="M67" i="99"/>
  <c r="AE62" i="99"/>
  <c r="N29" i="99"/>
  <c r="AF29" i="99"/>
  <c r="AE29" i="99"/>
  <c r="M37" i="99"/>
  <c r="N31" i="99"/>
  <c r="AF31" i="99"/>
  <c r="AE31" i="99"/>
  <c r="Q44" i="99"/>
  <c r="P44" i="99"/>
  <c r="Q72" i="99"/>
  <c r="P72" i="99"/>
  <c r="N60" i="99"/>
  <c r="AF60" i="99"/>
  <c r="AE60" i="99"/>
  <c r="AE5" i="99"/>
  <c r="AE6" i="99"/>
  <c r="AE8" i="99"/>
  <c r="AF10" i="99"/>
  <c r="AE12" i="99"/>
  <c r="AF14" i="99"/>
  <c r="AF15" i="99"/>
  <c r="M20" i="99"/>
  <c r="AE44" i="99"/>
  <c r="AF45" i="99"/>
  <c r="AE47" i="99"/>
  <c r="AE48" i="99"/>
  <c r="AF49" i="99"/>
  <c r="M54" i="99"/>
  <c r="AE72" i="99"/>
  <c r="AF5" i="99"/>
  <c r="AF6" i="99"/>
  <c r="AE7" i="99"/>
  <c r="AF8" i="99"/>
  <c r="AE11" i="99"/>
  <c r="AF12" i="99"/>
  <c r="N23" i="99"/>
  <c r="AF44" i="99"/>
  <c r="AF48" i="99"/>
  <c r="AF7" i="99"/>
  <c r="AF11" i="99"/>
  <c r="E6" i="98"/>
  <c r="G6" i="98"/>
  <c r="M9" i="99"/>
  <c r="M13" i="99"/>
  <c r="N17" i="99"/>
  <c r="N19" i="99"/>
  <c r="N51" i="99"/>
  <c r="N53" i="99"/>
  <c r="N74" i="99"/>
  <c r="N10" i="99"/>
  <c r="N14" i="99"/>
  <c r="N15" i="99"/>
  <c r="N45" i="99"/>
  <c r="N49" i="99"/>
  <c r="N71" i="99"/>
  <c r="N73" i="99"/>
  <c r="P16" i="99"/>
  <c r="P50" i="99"/>
  <c r="AE23" i="99"/>
  <c r="AE57" i="99"/>
  <c r="M61" i="99"/>
  <c r="AE21" i="99"/>
  <c r="AE22" i="99"/>
  <c r="M28" i="99"/>
  <c r="AE55" i="99"/>
  <c r="AE56" i="99"/>
  <c r="AE17" i="99"/>
  <c r="AE19" i="99"/>
  <c r="AE51" i="99"/>
  <c r="AE53" i="99"/>
  <c r="AE16" i="99"/>
  <c r="AE18" i="99"/>
  <c r="AE50" i="99"/>
  <c r="AE52" i="99"/>
  <c r="AE74" i="99"/>
  <c r="AD73" i="97"/>
  <c r="Z73" i="97"/>
  <c r="Y73" i="97"/>
  <c r="O73" i="97"/>
  <c r="K73" i="97"/>
  <c r="V72" i="97"/>
  <c r="U72" i="97"/>
  <c r="O72" i="97"/>
  <c r="M72" i="97"/>
  <c r="AF72" i="97" s="1"/>
  <c r="K72" i="97"/>
  <c r="G72" i="97"/>
  <c r="V71" i="97"/>
  <c r="M71" i="97" s="1"/>
  <c r="U71" i="97"/>
  <c r="O71" i="97"/>
  <c r="K71" i="97"/>
  <c r="G71" i="97"/>
  <c r="X70" i="97"/>
  <c r="W70" i="97"/>
  <c r="V70" i="97"/>
  <c r="U70" i="97"/>
  <c r="O70" i="97"/>
  <c r="M70" i="97"/>
  <c r="AF70" i="97" s="1"/>
  <c r="K70" i="97"/>
  <c r="G70" i="97"/>
  <c r="V69" i="97"/>
  <c r="M69" i="97" s="1"/>
  <c r="U69" i="97"/>
  <c r="O69" i="97"/>
  <c r="K69" i="97"/>
  <c r="G69" i="97"/>
  <c r="V68" i="97"/>
  <c r="M68" i="97" s="1"/>
  <c r="U68" i="97"/>
  <c r="O68" i="97"/>
  <c r="K68" i="97"/>
  <c r="G68" i="97"/>
  <c r="AF67" i="97"/>
  <c r="V67" i="97"/>
  <c r="U67" i="97"/>
  <c r="O67" i="97"/>
  <c r="M67" i="97"/>
  <c r="N67" i="97" s="1"/>
  <c r="K67" i="97"/>
  <c r="G67" i="97"/>
  <c r="X66" i="97"/>
  <c r="W66" i="97"/>
  <c r="V66" i="97"/>
  <c r="M66" i="97" s="1"/>
  <c r="O66" i="97"/>
  <c r="K66" i="97"/>
  <c r="G66" i="97"/>
  <c r="AD65" i="97"/>
  <c r="Z65" i="97"/>
  <c r="Y65" i="97"/>
  <c r="O65" i="97"/>
  <c r="K65" i="97"/>
  <c r="V64" i="97"/>
  <c r="U64" i="97"/>
  <c r="O64" i="97"/>
  <c r="M64" i="97"/>
  <c r="N64" i="97" s="1"/>
  <c r="K64" i="97"/>
  <c r="G64" i="97"/>
  <c r="AF63" i="97"/>
  <c r="V63" i="97"/>
  <c r="U63" i="97"/>
  <c r="O63" i="97"/>
  <c r="N63" i="97"/>
  <c r="P63" i="97" s="1"/>
  <c r="M63" i="97"/>
  <c r="AE63" i="97" s="1"/>
  <c r="K63" i="97"/>
  <c r="G63" i="97"/>
  <c r="V62" i="97"/>
  <c r="M62" i="97" s="1"/>
  <c r="U62" i="97"/>
  <c r="O62" i="97"/>
  <c r="K62" i="97"/>
  <c r="G62" i="97"/>
  <c r="V61" i="97"/>
  <c r="M61" i="97" s="1"/>
  <c r="U61" i="97"/>
  <c r="O61" i="97"/>
  <c r="K61" i="97"/>
  <c r="G61" i="97"/>
  <c r="AF60" i="97"/>
  <c r="AE60" i="97"/>
  <c r="V60" i="97"/>
  <c r="U60" i="97"/>
  <c r="O60" i="97"/>
  <c r="N60" i="97"/>
  <c r="M60" i="97"/>
  <c r="K60" i="97"/>
  <c r="G60" i="97"/>
  <c r="V59" i="97"/>
  <c r="O59" i="97"/>
  <c r="M59" i="97"/>
  <c r="K59" i="97"/>
  <c r="G59" i="97"/>
  <c r="AD58" i="97"/>
  <c r="Z58" i="97"/>
  <c r="Y58" i="97"/>
  <c r="O58" i="97"/>
  <c r="K58" i="97"/>
  <c r="V57" i="97"/>
  <c r="U57" i="97"/>
  <c r="O57" i="97"/>
  <c r="M57" i="97"/>
  <c r="AF57" i="97" s="1"/>
  <c r="K57" i="97"/>
  <c r="G57" i="97"/>
  <c r="V56" i="97"/>
  <c r="M56" i="97" s="1"/>
  <c r="U56" i="97"/>
  <c r="O56" i="97"/>
  <c r="K56" i="97"/>
  <c r="G56" i="97"/>
  <c r="AF55" i="97"/>
  <c r="V55" i="97"/>
  <c r="U55" i="97"/>
  <c r="O55" i="97"/>
  <c r="N55" i="97"/>
  <c r="M55" i="97"/>
  <c r="AE55" i="97" s="1"/>
  <c r="K55" i="97"/>
  <c r="G55" i="97"/>
  <c r="V54" i="97"/>
  <c r="M54" i="97" s="1"/>
  <c r="U54" i="97"/>
  <c r="O54" i="97"/>
  <c r="K54" i="97"/>
  <c r="G54" i="97"/>
  <c r="AF53" i="97"/>
  <c r="AE53" i="97"/>
  <c r="V53" i="97"/>
  <c r="U53" i="97"/>
  <c r="O53" i="97"/>
  <c r="N53" i="97"/>
  <c r="Q53" i="97" s="1"/>
  <c r="M53" i="97"/>
  <c r="K53" i="97"/>
  <c r="G53" i="97"/>
  <c r="V52" i="97"/>
  <c r="O52" i="97"/>
  <c r="N52" i="97"/>
  <c r="Q52" i="97" s="1"/>
  <c r="M52" i="97"/>
  <c r="K52" i="97"/>
  <c r="G52" i="97"/>
  <c r="AD51" i="97"/>
  <c r="Z51" i="97"/>
  <c r="Y51" i="97"/>
  <c r="O51" i="97"/>
  <c r="K51" i="97"/>
  <c r="V50" i="97"/>
  <c r="M50" i="97" s="1"/>
  <c r="U50" i="97"/>
  <c r="O50" i="97"/>
  <c r="K50" i="97"/>
  <c r="G50" i="97"/>
  <c r="V49" i="97"/>
  <c r="U49" i="97"/>
  <c r="O49" i="97"/>
  <c r="M49" i="97"/>
  <c r="N49" i="97" s="1"/>
  <c r="K49" i="97"/>
  <c r="G49" i="97"/>
  <c r="V48" i="97"/>
  <c r="M48" i="97" s="1"/>
  <c r="U48" i="97"/>
  <c r="O48" i="97"/>
  <c r="K48" i="97"/>
  <c r="G48" i="97"/>
  <c r="V47" i="97"/>
  <c r="M47" i="97" s="1"/>
  <c r="U47" i="97"/>
  <c r="O47" i="97"/>
  <c r="K47" i="97"/>
  <c r="G47" i="97"/>
  <c r="X46" i="97"/>
  <c r="W46" i="97"/>
  <c r="V46" i="97"/>
  <c r="O46" i="97"/>
  <c r="M46" i="97"/>
  <c r="AF46" i="97" s="1"/>
  <c r="K46" i="97"/>
  <c r="G46" i="97"/>
  <c r="AD45" i="97"/>
  <c r="Z45" i="97"/>
  <c r="Y45" i="97"/>
  <c r="O45" i="97"/>
  <c r="K45" i="97"/>
  <c r="V44" i="97"/>
  <c r="M44" i="97" s="1"/>
  <c r="U44" i="97"/>
  <c r="O44" i="97"/>
  <c r="K44" i="97"/>
  <c r="G44" i="97"/>
  <c r="V43" i="97"/>
  <c r="U43" i="97"/>
  <c r="O43" i="97"/>
  <c r="N43" i="97"/>
  <c r="Q43" i="97" s="1"/>
  <c r="M43" i="97"/>
  <c r="AF43" i="97" s="1"/>
  <c r="K43" i="97"/>
  <c r="G43" i="97"/>
  <c r="X42" i="97"/>
  <c r="W42" i="97"/>
  <c r="V42" i="97"/>
  <c r="M42" i="97" s="1"/>
  <c r="U42" i="97"/>
  <c r="O42" i="97"/>
  <c r="K42" i="97"/>
  <c r="G42" i="97"/>
  <c r="V41" i="97"/>
  <c r="M41" i="97" s="1"/>
  <c r="U41" i="97"/>
  <c r="O41" i="97"/>
  <c r="K41" i="97"/>
  <c r="G41" i="97"/>
  <c r="AF40" i="97"/>
  <c r="V40" i="97"/>
  <c r="U40" i="97"/>
  <c r="O40" i="97"/>
  <c r="N40" i="97"/>
  <c r="M40" i="97"/>
  <c r="AE40" i="97" s="1"/>
  <c r="K40" i="97"/>
  <c r="G40" i="97"/>
  <c r="V39" i="97"/>
  <c r="M39" i="97" s="1"/>
  <c r="U39" i="97"/>
  <c r="O39" i="97"/>
  <c r="K39" i="97"/>
  <c r="G39" i="97"/>
  <c r="X38" i="97"/>
  <c r="W38" i="97"/>
  <c r="V38" i="97"/>
  <c r="M38" i="97" s="1"/>
  <c r="O38" i="97"/>
  <c r="K38" i="97"/>
  <c r="G38" i="97"/>
  <c r="AD37" i="97"/>
  <c r="Z37" i="97"/>
  <c r="Y37" i="97"/>
  <c r="O37" i="97"/>
  <c r="K37" i="97"/>
  <c r="V36" i="97"/>
  <c r="M36" i="97" s="1"/>
  <c r="U36" i="97"/>
  <c r="O36" i="97"/>
  <c r="K36" i="97"/>
  <c r="G36" i="97"/>
  <c r="V35" i="97"/>
  <c r="M35" i="97" s="1"/>
  <c r="U35" i="97"/>
  <c r="O35" i="97"/>
  <c r="K35" i="97"/>
  <c r="G35" i="97"/>
  <c r="X34" i="97"/>
  <c r="W34" i="97"/>
  <c r="V34" i="97"/>
  <c r="M34" i="97" s="1"/>
  <c r="U34" i="97"/>
  <c r="O34" i="97"/>
  <c r="K34" i="97"/>
  <c r="G34" i="97"/>
  <c r="AF33" i="97"/>
  <c r="V33" i="97"/>
  <c r="U33" i="97"/>
  <c r="O33" i="97"/>
  <c r="N33" i="97"/>
  <c r="M33" i="97"/>
  <c r="AE33" i="97" s="1"/>
  <c r="K33" i="97"/>
  <c r="G33" i="97"/>
  <c r="V32" i="97"/>
  <c r="M32" i="97" s="1"/>
  <c r="U32" i="97"/>
  <c r="O32" i="97"/>
  <c r="K32" i="97"/>
  <c r="G32" i="97"/>
  <c r="AF31" i="97"/>
  <c r="V31" i="97"/>
  <c r="U31" i="97"/>
  <c r="O31" i="97"/>
  <c r="M31" i="97"/>
  <c r="N31" i="97" s="1"/>
  <c r="P31" i="97" s="1"/>
  <c r="K31" i="97"/>
  <c r="G31" i="97"/>
  <c r="AF30" i="97"/>
  <c r="X30" i="97"/>
  <c r="W30" i="97"/>
  <c r="V30" i="97"/>
  <c r="O30" i="97"/>
  <c r="N30" i="97"/>
  <c r="M30" i="97"/>
  <c r="K30" i="97"/>
  <c r="G30" i="97"/>
  <c r="AD29" i="97"/>
  <c r="AD2" i="97" s="1"/>
  <c r="N6" i="96" s="1"/>
  <c r="Z29" i="97"/>
  <c r="Y29" i="97"/>
  <c r="O29" i="97"/>
  <c r="K29" i="97"/>
  <c r="AF28" i="97"/>
  <c r="V28" i="97"/>
  <c r="U28" i="97"/>
  <c r="O28" i="97"/>
  <c r="N28" i="97"/>
  <c r="M28" i="97"/>
  <c r="AE28" i="97" s="1"/>
  <c r="K28" i="97"/>
  <c r="G28" i="97"/>
  <c r="AF27" i="97"/>
  <c r="AE27" i="97"/>
  <c r="X27" i="97"/>
  <c r="W27" i="97"/>
  <c r="V27" i="97"/>
  <c r="U27" i="97"/>
  <c r="O27" i="97"/>
  <c r="M27" i="97"/>
  <c r="N27" i="97" s="1"/>
  <c r="Q27" i="97" s="1"/>
  <c r="K27" i="97"/>
  <c r="G27" i="97"/>
  <c r="AF26" i="97"/>
  <c r="V26" i="97"/>
  <c r="U26" i="97"/>
  <c r="O26" i="97"/>
  <c r="N26" i="97"/>
  <c r="M26" i="97"/>
  <c r="AE26" i="97" s="1"/>
  <c r="K26" i="97"/>
  <c r="G26" i="97"/>
  <c r="V25" i="97"/>
  <c r="M25" i="97" s="1"/>
  <c r="U25" i="97"/>
  <c r="O25" i="97"/>
  <c r="K25" i="97"/>
  <c r="G25" i="97"/>
  <c r="V24" i="97"/>
  <c r="M24" i="97" s="1"/>
  <c r="U24" i="97"/>
  <c r="O24" i="97"/>
  <c r="K24" i="97"/>
  <c r="G24" i="97"/>
  <c r="V23" i="97"/>
  <c r="U23" i="97"/>
  <c r="O23" i="97"/>
  <c r="M23" i="97"/>
  <c r="N23" i="97" s="1"/>
  <c r="K23" i="97"/>
  <c r="G23" i="97"/>
  <c r="V22" i="97"/>
  <c r="O22" i="97"/>
  <c r="M22" i="97"/>
  <c r="N22" i="97" s="1"/>
  <c r="K22" i="97"/>
  <c r="G22" i="97"/>
  <c r="AD21" i="97"/>
  <c r="Z21" i="97"/>
  <c r="Y21" i="97"/>
  <c r="O21" i="97"/>
  <c r="K21" i="97"/>
  <c r="V20" i="97"/>
  <c r="M20" i="97" s="1"/>
  <c r="U20" i="97"/>
  <c r="O20" i="97"/>
  <c r="K20" i="97"/>
  <c r="G20" i="97"/>
  <c r="X19" i="97"/>
  <c r="W19" i="97"/>
  <c r="V19" i="97"/>
  <c r="M19" i="97" s="1"/>
  <c r="U19" i="97"/>
  <c r="O19" i="97"/>
  <c r="K19" i="97"/>
  <c r="G19" i="97"/>
  <c r="AF18" i="97"/>
  <c r="AE18" i="97"/>
  <c r="V18" i="97"/>
  <c r="U18" i="97"/>
  <c r="O18" i="97"/>
  <c r="M18" i="97"/>
  <c r="N18" i="97" s="1"/>
  <c r="P18" i="97" s="1"/>
  <c r="K18" i="97"/>
  <c r="Q18" i="97" s="1"/>
  <c r="G18" i="97"/>
  <c r="V17" i="97"/>
  <c r="M17" i="97" s="1"/>
  <c r="U17" i="97"/>
  <c r="O17" i="97"/>
  <c r="K17" i="97"/>
  <c r="G17" i="97"/>
  <c r="V16" i="97"/>
  <c r="M16" i="97" s="1"/>
  <c r="U16" i="97"/>
  <c r="O16" i="97"/>
  <c r="K16" i="97"/>
  <c r="G16" i="97"/>
  <c r="AF15" i="97"/>
  <c r="V15" i="97"/>
  <c r="U15" i="97"/>
  <c r="O15" i="97"/>
  <c r="M15" i="97"/>
  <c r="AE15" i="97" s="1"/>
  <c r="K15" i="97"/>
  <c r="V14" i="97"/>
  <c r="M14" i="97" s="1"/>
  <c r="O14" i="97"/>
  <c r="K14" i="97"/>
  <c r="G14" i="97"/>
  <c r="AD13" i="97"/>
  <c r="Z13" i="97"/>
  <c r="Y13" i="97"/>
  <c r="O13" i="97"/>
  <c r="K13" i="97"/>
  <c r="V12" i="97"/>
  <c r="U12" i="97"/>
  <c r="O12" i="97"/>
  <c r="M12" i="97"/>
  <c r="AF12" i="97" s="1"/>
  <c r="K12" i="97"/>
  <c r="G12" i="97"/>
  <c r="X11" i="97"/>
  <c r="W11" i="97"/>
  <c r="V11" i="97"/>
  <c r="U11" i="97"/>
  <c r="O11" i="97"/>
  <c r="N11" i="97"/>
  <c r="M11" i="97"/>
  <c r="AE11" i="97" s="1"/>
  <c r="K11" i="97"/>
  <c r="G11" i="97"/>
  <c r="V10" i="97"/>
  <c r="M10" i="97" s="1"/>
  <c r="O10" i="97"/>
  <c r="K10" i="97"/>
  <c r="G10" i="97"/>
  <c r="AD9" i="97"/>
  <c r="Z9" i="97"/>
  <c r="Z2" i="97" s="1"/>
  <c r="L6" i="96" s="1"/>
  <c r="Y9" i="97"/>
  <c r="Y2" i="97" s="1"/>
  <c r="K6" i="96" s="1"/>
  <c r="O9" i="97"/>
  <c r="K9" i="97"/>
  <c r="V8" i="97"/>
  <c r="M8" i="97" s="1"/>
  <c r="U8" i="97"/>
  <c r="O8" i="97"/>
  <c r="K8" i="97"/>
  <c r="G8" i="97"/>
  <c r="X7" i="97"/>
  <c r="W7" i="97"/>
  <c r="V7" i="97"/>
  <c r="M7" i="97" s="1"/>
  <c r="U7" i="97"/>
  <c r="O7" i="97"/>
  <c r="K7" i="97"/>
  <c r="G7" i="97"/>
  <c r="F1" i="97" s="1"/>
  <c r="F2" i="97" s="1"/>
  <c r="V6" i="97"/>
  <c r="M6" i="97" s="1"/>
  <c r="U6" i="97"/>
  <c r="O6" i="97"/>
  <c r="K6" i="97"/>
  <c r="G6" i="97"/>
  <c r="AF5" i="97"/>
  <c r="V5" i="97"/>
  <c r="O5" i="97"/>
  <c r="M5" i="97"/>
  <c r="N5" i="97" s="1"/>
  <c r="P5" i="97" s="1"/>
  <c r="K5" i="97"/>
  <c r="G5" i="97"/>
  <c r="H2" i="97"/>
  <c r="H1" i="97"/>
  <c r="D1" i="97"/>
  <c r="M22" i="96"/>
  <c r="L22" i="96"/>
  <c r="K22" i="96"/>
  <c r="J22" i="96"/>
  <c r="I22" i="96"/>
  <c r="H22" i="96"/>
  <c r="G22" i="96"/>
  <c r="F22" i="96"/>
  <c r="E22" i="96"/>
  <c r="D22" i="96"/>
  <c r="M21" i="96"/>
  <c r="L21" i="96"/>
  <c r="K21" i="96"/>
  <c r="J21" i="96"/>
  <c r="I21" i="96"/>
  <c r="H21" i="96"/>
  <c r="G21" i="96"/>
  <c r="F21" i="96"/>
  <c r="E21" i="96"/>
  <c r="D21" i="96"/>
  <c r="M20" i="96"/>
  <c r="L20" i="96"/>
  <c r="K20" i="96"/>
  <c r="J20" i="96"/>
  <c r="I20" i="96"/>
  <c r="H20" i="96"/>
  <c r="G20" i="96"/>
  <c r="F20" i="96"/>
  <c r="E20" i="96"/>
  <c r="D20" i="96"/>
  <c r="M19" i="96"/>
  <c r="L19" i="96"/>
  <c r="K19" i="96"/>
  <c r="J19" i="96"/>
  <c r="I19" i="96"/>
  <c r="H19" i="96"/>
  <c r="G19" i="96"/>
  <c r="F19" i="96"/>
  <c r="E19" i="96"/>
  <c r="D19" i="96"/>
  <c r="M18" i="96"/>
  <c r="L18" i="96"/>
  <c r="K18" i="96"/>
  <c r="J18" i="96"/>
  <c r="I18" i="96"/>
  <c r="H18" i="96"/>
  <c r="G18" i="96"/>
  <c r="F18" i="96"/>
  <c r="E18" i="96"/>
  <c r="D18" i="96"/>
  <c r="M17" i="96"/>
  <c r="L17" i="96"/>
  <c r="K17" i="96"/>
  <c r="J17" i="96"/>
  <c r="I17" i="96"/>
  <c r="H17" i="96"/>
  <c r="G17" i="96"/>
  <c r="F17" i="96"/>
  <c r="E17" i="96"/>
  <c r="D17" i="96"/>
  <c r="M16" i="96"/>
  <c r="L16" i="96"/>
  <c r="K16" i="96"/>
  <c r="J16" i="96"/>
  <c r="I16" i="96"/>
  <c r="H16" i="96"/>
  <c r="G16" i="96"/>
  <c r="F16" i="96"/>
  <c r="E16" i="96"/>
  <c r="D16" i="96"/>
  <c r="M13" i="96"/>
  <c r="L13" i="96"/>
  <c r="K13" i="96"/>
  <c r="I6" i="96" s="1"/>
  <c r="J13" i="96"/>
  <c r="I13" i="96"/>
  <c r="H13" i="96"/>
  <c r="G13" i="96"/>
  <c r="F13" i="96"/>
  <c r="E13" i="96"/>
  <c r="D13" i="96"/>
  <c r="M6" i="96"/>
  <c r="F3" i="96"/>
  <c r="C3" i="96"/>
  <c r="AF25" i="97" l="1"/>
  <c r="AE25" i="97"/>
  <c r="N25" i="97"/>
  <c r="Q25" i="97" s="1"/>
  <c r="N14" i="97"/>
  <c r="M21" i="97"/>
  <c r="AF14" i="97"/>
  <c r="AE14" i="97"/>
  <c r="AF8" i="97"/>
  <c r="AE8" i="97"/>
  <c r="N8" i="97"/>
  <c r="P8" i="97" s="1"/>
  <c r="AF61" i="97"/>
  <c r="AE61" i="97"/>
  <c r="N61" i="97"/>
  <c r="AF19" i="97"/>
  <c r="AE19" i="97"/>
  <c r="N19" i="97"/>
  <c r="AF68" i="97"/>
  <c r="AE68" i="97"/>
  <c r="N68" i="97"/>
  <c r="Q68" i="97" s="1"/>
  <c r="N16" i="97"/>
  <c r="AF16" i="97"/>
  <c r="AE16" i="97"/>
  <c r="M65" i="97"/>
  <c r="AF42" i="97"/>
  <c r="AE42" i="97"/>
  <c r="N42" i="97"/>
  <c r="N62" i="97"/>
  <c r="Q62" i="97" s="1"/>
  <c r="AF62" i="97"/>
  <c r="AE62" i="97"/>
  <c r="M45" i="97"/>
  <c r="AF45" i="97" s="1"/>
  <c r="AG38" i="97" s="1"/>
  <c r="AF38" i="97"/>
  <c r="N38" i="97"/>
  <c r="P49" i="97"/>
  <c r="Q49" i="97"/>
  <c r="AF32" i="97"/>
  <c r="AE32" i="97"/>
  <c r="N32" i="97"/>
  <c r="Q32" i="97" s="1"/>
  <c r="N35" i="97"/>
  <c r="AF35" i="97"/>
  <c r="AE35" i="97"/>
  <c r="N50" i="97"/>
  <c r="AF50" i="97"/>
  <c r="AE50" i="97"/>
  <c r="M58" i="97"/>
  <c r="N39" i="97"/>
  <c r="AF39" i="97"/>
  <c r="AE39" i="97"/>
  <c r="N69" i="97"/>
  <c r="Q69" i="97" s="1"/>
  <c r="AF69" i="97"/>
  <c r="AE69" i="97"/>
  <c r="M37" i="97"/>
  <c r="AF66" i="97"/>
  <c r="AE66" i="97"/>
  <c r="M73" i="97"/>
  <c r="AF73" i="97" s="1"/>
  <c r="AG66" i="97" s="1"/>
  <c r="N66" i="97"/>
  <c r="Q66" i="97" s="1"/>
  <c r="N47" i="97"/>
  <c r="AF47" i="97"/>
  <c r="AE47" i="97"/>
  <c r="M13" i="97"/>
  <c r="AF10" i="97"/>
  <c r="AE10" i="97"/>
  <c r="N10" i="97"/>
  <c r="AF17" i="97"/>
  <c r="AE17" i="97"/>
  <c r="N17" i="97"/>
  <c r="N20" i="97"/>
  <c r="AF20" i="97"/>
  <c r="AE20" i="97"/>
  <c r="AF24" i="97"/>
  <c r="AE24" i="97"/>
  <c r="N24" i="97"/>
  <c r="Q24" i="97" s="1"/>
  <c r="N7" i="97"/>
  <c r="P7" i="97" s="1"/>
  <c r="AE7" i="97"/>
  <c r="AF7" i="97"/>
  <c r="N54" i="97"/>
  <c r="P54" i="97" s="1"/>
  <c r="AF54" i="97"/>
  <c r="AE54" i="97"/>
  <c r="AF34" i="97"/>
  <c r="AE34" i="97"/>
  <c r="N34" i="97"/>
  <c r="N41" i="97"/>
  <c r="Q41" i="97" s="1"/>
  <c r="AF41" i="97"/>
  <c r="AE41" i="97"/>
  <c r="N71" i="97"/>
  <c r="Q71" i="97" s="1"/>
  <c r="AF71" i="97"/>
  <c r="AE71" i="97"/>
  <c r="N48" i="97"/>
  <c r="Q48" i="97" s="1"/>
  <c r="AF48" i="97"/>
  <c r="AE48" i="97"/>
  <c r="AF6" i="97"/>
  <c r="AE6" i="97"/>
  <c r="N6" i="97"/>
  <c r="P6" i="97" s="1"/>
  <c r="N56" i="97"/>
  <c r="P56" i="97" s="1"/>
  <c r="AF56" i="97"/>
  <c r="AE56" i="97"/>
  <c r="AF44" i="97"/>
  <c r="AE44" i="97"/>
  <c r="N44" i="97"/>
  <c r="AF36" i="97"/>
  <c r="AE36" i="97"/>
  <c r="N36" i="97"/>
  <c r="AF11" i="97"/>
  <c r="AE5" i="97"/>
  <c r="AE22" i="97"/>
  <c r="AE49" i="97"/>
  <c r="AF22" i="97"/>
  <c r="AE31" i="97"/>
  <c r="AF49" i="97"/>
  <c r="AE67" i="97"/>
  <c r="N12" i="97"/>
  <c r="Q12" i="97" s="1"/>
  <c r="P68" i="99"/>
  <c r="AE43" i="97"/>
  <c r="AE52" i="97"/>
  <c r="Q63" i="97"/>
  <c r="N70" i="97"/>
  <c r="P70" i="97" s="1"/>
  <c r="N72" i="97"/>
  <c r="P72" i="97" s="1"/>
  <c r="N46" i="97"/>
  <c r="AF52" i="97"/>
  <c r="N57" i="97"/>
  <c r="N59" i="97"/>
  <c r="AE12" i="97"/>
  <c r="N15" i="97"/>
  <c r="Q55" i="97"/>
  <c r="AE23" i="97"/>
  <c r="AE72" i="97"/>
  <c r="Q22" i="99"/>
  <c r="P22" i="99"/>
  <c r="AF23" i="97"/>
  <c r="AE59" i="97"/>
  <c r="AF59" i="97"/>
  <c r="AE70" i="97"/>
  <c r="Q55" i="99"/>
  <c r="P55" i="99"/>
  <c r="Q21" i="99"/>
  <c r="P21" i="99"/>
  <c r="P26" i="97"/>
  <c r="P28" i="97"/>
  <c r="AE30" i="97"/>
  <c r="AE46" i="97"/>
  <c r="M51" i="97"/>
  <c r="AE57" i="97"/>
  <c r="Q52" i="99"/>
  <c r="P52" i="99"/>
  <c r="M9" i="97"/>
  <c r="Q60" i="97"/>
  <c r="P47" i="99"/>
  <c r="Q57" i="99"/>
  <c r="P57" i="99"/>
  <c r="AE64" i="97"/>
  <c r="AF64" i="97"/>
  <c r="Q56" i="99"/>
  <c r="P56" i="99"/>
  <c r="M29" i="97"/>
  <c r="N29" i="97" s="1"/>
  <c r="P29" i="97" s="1"/>
  <c r="G8" i="106"/>
  <c r="E8" i="106"/>
  <c r="F8" i="106"/>
  <c r="K15" i="102"/>
  <c r="I8" i="102" s="1"/>
  <c r="I7" i="102"/>
  <c r="G7" i="102"/>
  <c r="E7" i="102"/>
  <c r="F7" i="102"/>
  <c r="D15" i="102"/>
  <c r="Q66" i="101"/>
  <c r="R60" i="101" s="1"/>
  <c r="P66" i="101"/>
  <c r="M14" i="100"/>
  <c r="M15" i="100" s="1"/>
  <c r="Q45" i="101"/>
  <c r="R39" i="101" s="1"/>
  <c r="P45" i="101"/>
  <c r="H14" i="100"/>
  <c r="H15" i="100" s="1"/>
  <c r="Q31" i="101"/>
  <c r="R25" i="101" s="1"/>
  <c r="P31" i="101"/>
  <c r="K14" i="100"/>
  <c r="Q24" i="101"/>
  <c r="R18" i="101" s="1"/>
  <c r="P24" i="101"/>
  <c r="G14" i="100"/>
  <c r="G15" i="100" s="1"/>
  <c r="D15" i="100"/>
  <c r="Q53" i="101"/>
  <c r="R46" i="101" s="1"/>
  <c r="P53" i="101"/>
  <c r="I14" i="100"/>
  <c r="I15" i="100" s="1"/>
  <c r="Q59" i="101"/>
  <c r="R54" i="101" s="1"/>
  <c r="P59" i="101"/>
  <c r="J14" i="100"/>
  <c r="J15" i="100" s="1"/>
  <c r="D2" i="101"/>
  <c r="Q38" i="101"/>
  <c r="R32" i="101" s="1"/>
  <c r="P38" i="101"/>
  <c r="L14" i="100"/>
  <c r="L15" i="100" s="1"/>
  <c r="Q14" i="99"/>
  <c r="P14" i="99"/>
  <c r="Q74" i="99"/>
  <c r="P74" i="99"/>
  <c r="Q29" i="99"/>
  <c r="P29" i="99"/>
  <c r="P35" i="99"/>
  <c r="Q35" i="99"/>
  <c r="Q25" i="99"/>
  <c r="P25" i="99"/>
  <c r="Q38" i="99"/>
  <c r="P38" i="99"/>
  <c r="Q34" i="99"/>
  <c r="P34" i="99"/>
  <c r="Q10" i="99"/>
  <c r="P10" i="99"/>
  <c r="Q53" i="99"/>
  <c r="P53" i="99"/>
  <c r="Q23" i="99"/>
  <c r="P23" i="99"/>
  <c r="Q60" i="99"/>
  <c r="P60" i="99"/>
  <c r="Q64" i="99"/>
  <c r="P64" i="99"/>
  <c r="N61" i="99"/>
  <c r="AF61" i="99"/>
  <c r="AG55" i="99" s="1"/>
  <c r="AE61" i="99"/>
  <c r="Q51" i="99"/>
  <c r="P51" i="99"/>
  <c r="N67" i="99"/>
  <c r="AF67" i="99"/>
  <c r="AG62" i="99" s="1"/>
  <c r="AE67" i="99"/>
  <c r="AF75" i="99"/>
  <c r="AG68" i="99" s="1"/>
  <c r="AE75" i="99"/>
  <c r="N75" i="99"/>
  <c r="Q36" i="99"/>
  <c r="P36" i="99"/>
  <c r="Q19" i="99"/>
  <c r="P19" i="99"/>
  <c r="AF20" i="99"/>
  <c r="AG14" i="99" s="1"/>
  <c r="AE20" i="99"/>
  <c r="N20" i="99"/>
  <c r="P33" i="99"/>
  <c r="Q33" i="99"/>
  <c r="Q59" i="99"/>
  <c r="P59" i="99"/>
  <c r="Q32" i="99"/>
  <c r="P32" i="99"/>
  <c r="Q17" i="99"/>
  <c r="P17" i="99"/>
  <c r="P62" i="99"/>
  <c r="Q62" i="99"/>
  <c r="Q43" i="99"/>
  <c r="P43" i="99"/>
  <c r="Q69" i="99"/>
  <c r="P69" i="99"/>
  <c r="Q73" i="99"/>
  <c r="P73" i="99"/>
  <c r="N13" i="99"/>
  <c r="AF13" i="99"/>
  <c r="AG10" i="99" s="1"/>
  <c r="AE13" i="99"/>
  <c r="Q71" i="99"/>
  <c r="P71" i="99"/>
  <c r="N9" i="99"/>
  <c r="AF9" i="99"/>
  <c r="AG5" i="99" s="1"/>
  <c r="AE9" i="99"/>
  <c r="P39" i="99"/>
  <c r="Q39" i="99"/>
  <c r="P63" i="99"/>
  <c r="Q63" i="99"/>
  <c r="Q49" i="99"/>
  <c r="P49" i="99"/>
  <c r="Q24" i="99"/>
  <c r="P24" i="99"/>
  <c r="Q41" i="99"/>
  <c r="P41" i="99"/>
  <c r="N28" i="99"/>
  <c r="AF28" i="99"/>
  <c r="AG21" i="99" s="1"/>
  <c r="AE28" i="99"/>
  <c r="Q45" i="99"/>
  <c r="P45" i="99"/>
  <c r="Q31" i="99"/>
  <c r="P31" i="99"/>
  <c r="Q26" i="99"/>
  <c r="P26" i="99"/>
  <c r="Q27" i="99"/>
  <c r="P27" i="99"/>
  <c r="Q15" i="99"/>
  <c r="P15" i="99"/>
  <c r="AF54" i="99"/>
  <c r="AG47" i="99" s="1"/>
  <c r="AE54" i="99"/>
  <c r="N54" i="99"/>
  <c r="N37" i="99"/>
  <c r="AF37" i="99"/>
  <c r="AG29" i="99" s="1"/>
  <c r="AE37" i="99"/>
  <c r="Q40" i="99"/>
  <c r="P40" i="99"/>
  <c r="Q30" i="99"/>
  <c r="P30" i="99"/>
  <c r="AE46" i="99"/>
  <c r="N46" i="99"/>
  <c r="AF46" i="99"/>
  <c r="AG38" i="99" s="1"/>
  <c r="Q58" i="99"/>
  <c r="P58" i="99"/>
  <c r="Q65" i="99"/>
  <c r="P65" i="99"/>
  <c r="Q29" i="97"/>
  <c r="R22" i="97" s="1"/>
  <c r="G14" i="96"/>
  <c r="G15" i="96" s="1"/>
  <c r="Q64" i="97"/>
  <c r="P64" i="97"/>
  <c r="P30" i="97"/>
  <c r="Q30" i="97"/>
  <c r="Q50" i="97"/>
  <c r="P50" i="97"/>
  <c r="Q22" i="97"/>
  <c r="P22" i="97"/>
  <c r="Q67" i="97"/>
  <c r="P67" i="97"/>
  <c r="P35" i="97"/>
  <c r="Q35" i="97"/>
  <c r="Q11" i="97"/>
  <c r="P11" i="97"/>
  <c r="P33" i="97"/>
  <c r="Q33" i="97"/>
  <c r="P43" i="97"/>
  <c r="P62" i="97"/>
  <c r="Q10" i="97"/>
  <c r="P10" i="97"/>
  <c r="P41" i="97"/>
  <c r="P48" i="97"/>
  <c r="F6" i="96"/>
  <c r="E6" i="96"/>
  <c r="P40" i="97"/>
  <c r="Q40" i="97"/>
  <c r="AE73" i="97"/>
  <c r="N73" i="97"/>
  <c r="AF13" i="97"/>
  <c r="AG10" i="97" s="1"/>
  <c r="AE13" i="97"/>
  <c r="N45" i="97"/>
  <c r="N13" i="97"/>
  <c r="Q23" i="97"/>
  <c r="P23" i="97"/>
  <c r="P60" i="97"/>
  <c r="G6" i="96"/>
  <c r="P27" i="97"/>
  <c r="P32" i="97"/>
  <c r="P55" i="97"/>
  <c r="Q56" i="97"/>
  <c r="Q7" i="97"/>
  <c r="Q5" i="97"/>
  <c r="Q6" i="97"/>
  <c r="P25" i="97"/>
  <c r="Q26" i="97"/>
  <c r="Q28" i="97"/>
  <c r="Q31" i="97"/>
  <c r="AE38" i="97"/>
  <c r="P52" i="97"/>
  <c r="P53" i="97"/>
  <c r="Q54" i="97"/>
  <c r="P66" i="97"/>
  <c r="P69" i="97"/>
  <c r="Q70" i="97"/>
  <c r="P71" i="97"/>
  <c r="Q72" i="97"/>
  <c r="P12" i="97"/>
  <c r="I3" i="96"/>
  <c r="P24" i="97"/>
  <c r="P68" i="97"/>
  <c r="AD73" i="95"/>
  <c r="Z73" i="95"/>
  <c r="M19" i="94" s="1"/>
  <c r="Y73" i="95"/>
  <c r="O73" i="95"/>
  <c r="K73" i="95"/>
  <c r="V72" i="95"/>
  <c r="M72" i="95" s="1"/>
  <c r="AE72" i="95" s="1"/>
  <c r="U72" i="95"/>
  <c r="O72" i="95"/>
  <c r="K72" i="95"/>
  <c r="G72" i="95"/>
  <c r="V71" i="95"/>
  <c r="U71" i="95"/>
  <c r="O71" i="95"/>
  <c r="M71" i="95"/>
  <c r="AE71" i="95" s="1"/>
  <c r="K71" i="95"/>
  <c r="G71" i="95"/>
  <c r="X70" i="95"/>
  <c r="W70" i="95"/>
  <c r="V70" i="95"/>
  <c r="M70" i="95" s="1"/>
  <c r="N70" i="95" s="1"/>
  <c r="U70" i="95"/>
  <c r="O70" i="95"/>
  <c r="K70" i="95"/>
  <c r="G70" i="95"/>
  <c r="AF69" i="95"/>
  <c r="V69" i="95"/>
  <c r="U69" i="95"/>
  <c r="O69" i="95"/>
  <c r="N69" i="95"/>
  <c r="Q69" i="95" s="1"/>
  <c r="M69" i="95"/>
  <c r="AE69" i="95" s="1"/>
  <c r="K69" i="95"/>
  <c r="G69" i="95"/>
  <c r="V68" i="95"/>
  <c r="M68" i="95" s="1"/>
  <c r="U68" i="95"/>
  <c r="O68" i="95"/>
  <c r="K68" i="95"/>
  <c r="G68" i="95"/>
  <c r="V67" i="95"/>
  <c r="M67" i="95" s="1"/>
  <c r="U67" i="95"/>
  <c r="O67" i="95"/>
  <c r="K67" i="95"/>
  <c r="G67" i="95"/>
  <c r="AF66" i="95"/>
  <c r="X66" i="95"/>
  <c r="W66" i="95"/>
  <c r="V66" i="95"/>
  <c r="O66" i="95"/>
  <c r="M66" i="95"/>
  <c r="AE66" i="95" s="1"/>
  <c r="K66" i="95"/>
  <c r="G66" i="95"/>
  <c r="AD65" i="95"/>
  <c r="Z65" i="95"/>
  <c r="Y65" i="95"/>
  <c r="O65" i="95"/>
  <c r="K65" i="95"/>
  <c r="J13" i="94" s="1"/>
  <c r="V64" i="95"/>
  <c r="M64" i="95" s="1"/>
  <c r="U64" i="95"/>
  <c r="O64" i="95"/>
  <c r="K64" i="95"/>
  <c r="G64" i="95"/>
  <c r="V63" i="95"/>
  <c r="U63" i="95"/>
  <c r="O63" i="95"/>
  <c r="M63" i="95"/>
  <c r="N63" i="95" s="1"/>
  <c r="K63" i="95"/>
  <c r="G63" i="95"/>
  <c r="V62" i="95"/>
  <c r="M62" i="95" s="1"/>
  <c r="U62" i="95"/>
  <c r="O62" i="95"/>
  <c r="K62" i="95"/>
  <c r="G62" i="95"/>
  <c r="V61" i="95"/>
  <c r="M61" i="95" s="1"/>
  <c r="U61" i="95"/>
  <c r="O61" i="95"/>
  <c r="K61" i="95"/>
  <c r="G61" i="95"/>
  <c r="V60" i="95"/>
  <c r="M60" i="95" s="1"/>
  <c r="U60" i="95"/>
  <c r="O60" i="95"/>
  <c r="K60" i="95"/>
  <c r="G60" i="95"/>
  <c r="V59" i="95"/>
  <c r="M59" i="95" s="1"/>
  <c r="O59" i="95"/>
  <c r="K59" i="95"/>
  <c r="G59" i="95"/>
  <c r="AD58" i="95"/>
  <c r="Z58" i="95"/>
  <c r="Y58" i="95"/>
  <c r="I18" i="94" s="1"/>
  <c r="O58" i="95"/>
  <c r="K58" i="95"/>
  <c r="AE57" i="95"/>
  <c r="V57" i="95"/>
  <c r="U57" i="95"/>
  <c r="O57" i="95"/>
  <c r="M57" i="95"/>
  <c r="AF57" i="95" s="1"/>
  <c r="K57" i="95"/>
  <c r="G57" i="95"/>
  <c r="V56" i="95"/>
  <c r="M56" i="95" s="1"/>
  <c r="U56" i="95"/>
  <c r="O56" i="95"/>
  <c r="K56" i="95"/>
  <c r="G56" i="95"/>
  <c r="V55" i="95"/>
  <c r="M55" i="95" s="1"/>
  <c r="U55" i="95"/>
  <c r="O55" i="95"/>
  <c r="K55" i="95"/>
  <c r="G55" i="95"/>
  <c r="V54" i="95"/>
  <c r="M54" i="95" s="1"/>
  <c r="AE54" i="95" s="1"/>
  <c r="U54" i="95"/>
  <c r="O54" i="95"/>
  <c r="K54" i="95"/>
  <c r="G54" i="95"/>
  <c r="V53" i="95"/>
  <c r="M53" i="95" s="1"/>
  <c r="U53" i="95"/>
  <c r="O53" i="95"/>
  <c r="K53" i="95"/>
  <c r="G53" i="95"/>
  <c r="AF52" i="95"/>
  <c r="V52" i="95"/>
  <c r="O52" i="95"/>
  <c r="N52" i="95"/>
  <c r="Q52" i="95" s="1"/>
  <c r="M52" i="95"/>
  <c r="K52" i="95"/>
  <c r="P52" i="95" s="1"/>
  <c r="G52" i="95"/>
  <c r="AD51" i="95"/>
  <c r="Z51" i="95"/>
  <c r="Y51" i="95"/>
  <c r="O51" i="95"/>
  <c r="K51" i="95"/>
  <c r="V50" i="95"/>
  <c r="M50" i="95" s="1"/>
  <c r="U50" i="95"/>
  <c r="O50" i="95"/>
  <c r="K50" i="95"/>
  <c r="G50" i="95"/>
  <c r="V49" i="95"/>
  <c r="M49" i="95" s="1"/>
  <c r="U49" i="95"/>
  <c r="O49" i="95"/>
  <c r="K49" i="95"/>
  <c r="G49" i="95"/>
  <c r="V48" i="95"/>
  <c r="M48" i="95" s="1"/>
  <c r="U48" i="95"/>
  <c r="O48" i="95"/>
  <c r="K48" i="95"/>
  <c r="G48" i="95"/>
  <c r="V47" i="95"/>
  <c r="M47" i="95" s="1"/>
  <c r="U47" i="95"/>
  <c r="O47" i="95"/>
  <c r="K47" i="95"/>
  <c r="G47" i="95"/>
  <c r="X46" i="95"/>
  <c r="W46" i="95"/>
  <c r="V46" i="95"/>
  <c r="O46" i="95"/>
  <c r="M46" i="95"/>
  <c r="N46" i="95" s="1"/>
  <c r="K46" i="95"/>
  <c r="G46" i="95"/>
  <c r="AD45" i="95"/>
  <c r="Z45" i="95"/>
  <c r="Y45" i="95"/>
  <c r="L18" i="94" s="1"/>
  <c r="O45" i="95"/>
  <c r="K45" i="95"/>
  <c r="V44" i="95"/>
  <c r="M44" i="95" s="1"/>
  <c r="U44" i="95"/>
  <c r="O44" i="95"/>
  <c r="K44" i="95"/>
  <c r="G44" i="95"/>
  <c r="V43" i="95"/>
  <c r="M43" i="95" s="1"/>
  <c r="U43" i="95"/>
  <c r="O43" i="95"/>
  <c r="K43" i="95"/>
  <c r="G43" i="95"/>
  <c r="X42" i="95"/>
  <c r="W42" i="95"/>
  <c r="V42" i="95"/>
  <c r="M42" i="95" s="1"/>
  <c r="U42" i="95"/>
  <c r="O42" i="95"/>
  <c r="K42" i="95"/>
  <c r="G42" i="95"/>
  <c r="V41" i="95"/>
  <c r="M41" i="95" s="1"/>
  <c r="U41" i="95"/>
  <c r="O41" i="95"/>
  <c r="K41" i="95"/>
  <c r="G41" i="95"/>
  <c r="V40" i="95"/>
  <c r="M40" i="95" s="1"/>
  <c r="U40" i="95"/>
  <c r="O40" i="95"/>
  <c r="K40" i="95"/>
  <c r="G40" i="95"/>
  <c r="V39" i="95"/>
  <c r="M39" i="95" s="1"/>
  <c r="U39" i="95"/>
  <c r="O39" i="95"/>
  <c r="K39" i="95"/>
  <c r="G39" i="95"/>
  <c r="X38" i="95"/>
  <c r="W38" i="95"/>
  <c r="V38" i="95"/>
  <c r="M38" i="95" s="1"/>
  <c r="O38" i="95"/>
  <c r="K38" i="95"/>
  <c r="G38" i="95"/>
  <c r="AD37" i="95"/>
  <c r="Z37" i="95"/>
  <c r="Y37" i="95"/>
  <c r="K18" i="94" s="1"/>
  <c r="O37" i="95"/>
  <c r="K37" i="95"/>
  <c r="V36" i="95"/>
  <c r="M36" i="95" s="1"/>
  <c r="U36" i="95"/>
  <c r="O36" i="95"/>
  <c r="K36" i="95"/>
  <c r="G36" i="95"/>
  <c r="V35" i="95"/>
  <c r="M35" i="95" s="1"/>
  <c r="U35" i="95"/>
  <c r="O35" i="95"/>
  <c r="K35" i="95"/>
  <c r="G35" i="95"/>
  <c r="X34" i="95"/>
  <c r="W34" i="95"/>
  <c r="V34" i="95"/>
  <c r="U34" i="95"/>
  <c r="P34" i="95"/>
  <c r="O34" i="95"/>
  <c r="N34" i="95"/>
  <c r="Q34" i="95" s="1"/>
  <c r="M34" i="95"/>
  <c r="AF34" i="95" s="1"/>
  <c r="K34" i="95"/>
  <c r="G34" i="95"/>
  <c r="V33" i="95"/>
  <c r="M33" i="95" s="1"/>
  <c r="U33" i="95"/>
  <c r="O33" i="95"/>
  <c r="K33" i="95"/>
  <c r="G33" i="95"/>
  <c r="V32" i="95"/>
  <c r="U32" i="95"/>
  <c r="O32" i="95"/>
  <c r="N32" i="95"/>
  <c r="Q32" i="95" s="1"/>
  <c r="M32" i="95"/>
  <c r="AF32" i="95" s="1"/>
  <c r="K32" i="95"/>
  <c r="G32" i="95"/>
  <c r="V31" i="95"/>
  <c r="M31" i="95" s="1"/>
  <c r="AE31" i="95" s="1"/>
  <c r="U31" i="95"/>
  <c r="O31" i="95"/>
  <c r="K31" i="95"/>
  <c r="G31" i="95"/>
  <c r="X30" i="95"/>
  <c r="W30" i="95"/>
  <c r="V30" i="95"/>
  <c r="M30" i="95" s="1"/>
  <c r="O30" i="95"/>
  <c r="K30" i="95"/>
  <c r="G30" i="95"/>
  <c r="AD29" i="95"/>
  <c r="Z29" i="95"/>
  <c r="G19" i="94" s="1"/>
  <c r="Y29" i="95"/>
  <c r="O29" i="95"/>
  <c r="K29" i="95"/>
  <c r="V28" i="95"/>
  <c r="U28" i="95"/>
  <c r="O28" i="95"/>
  <c r="M28" i="95"/>
  <c r="AE28" i="95" s="1"/>
  <c r="K28" i="95"/>
  <c r="G28" i="95"/>
  <c r="X27" i="95"/>
  <c r="W27" i="95"/>
  <c r="V27" i="95"/>
  <c r="M27" i="95" s="1"/>
  <c r="U27" i="95"/>
  <c r="O27" i="95"/>
  <c r="K27" i="95"/>
  <c r="G27" i="95"/>
  <c r="V26" i="95"/>
  <c r="M26" i="95" s="1"/>
  <c r="AE26" i="95" s="1"/>
  <c r="U26" i="95"/>
  <c r="O26" i="95"/>
  <c r="K26" i="95"/>
  <c r="G26" i="95"/>
  <c r="V25" i="95"/>
  <c r="U25" i="95"/>
  <c r="O25" i="95"/>
  <c r="N25" i="95"/>
  <c r="Q25" i="95" s="1"/>
  <c r="M25" i="95"/>
  <c r="AE25" i="95" s="1"/>
  <c r="K25" i="95"/>
  <c r="G25" i="95"/>
  <c r="V24" i="95"/>
  <c r="M24" i="95" s="1"/>
  <c r="U24" i="95"/>
  <c r="O24" i="95"/>
  <c r="K24" i="95"/>
  <c r="G24" i="95"/>
  <c r="V23" i="95"/>
  <c r="M23" i="95" s="1"/>
  <c r="U23" i="95"/>
  <c r="O23" i="95"/>
  <c r="K23" i="95"/>
  <c r="G23" i="95"/>
  <c r="V22" i="95"/>
  <c r="M22" i="95" s="1"/>
  <c r="O22" i="95"/>
  <c r="K22" i="95"/>
  <c r="G22" i="95"/>
  <c r="AD21" i="95"/>
  <c r="F21" i="94" s="1"/>
  <c r="Z21" i="95"/>
  <c r="Y21" i="95"/>
  <c r="O21" i="95"/>
  <c r="K21" i="95"/>
  <c r="V20" i="95"/>
  <c r="M20" i="95" s="1"/>
  <c r="U20" i="95"/>
  <c r="O20" i="95"/>
  <c r="K20" i="95"/>
  <c r="G20" i="95"/>
  <c r="X19" i="95"/>
  <c r="W19" i="95"/>
  <c r="V19" i="95"/>
  <c r="U19" i="95"/>
  <c r="O19" i="95"/>
  <c r="M19" i="95"/>
  <c r="N19" i="95" s="1"/>
  <c r="K19" i="95"/>
  <c r="G19" i="95"/>
  <c r="V18" i="95"/>
  <c r="M18" i="95" s="1"/>
  <c r="U18" i="95"/>
  <c r="O18" i="95"/>
  <c r="K18" i="95"/>
  <c r="G18" i="95"/>
  <c r="V17" i="95"/>
  <c r="M17" i="95" s="1"/>
  <c r="U17" i="95"/>
  <c r="O17" i="95"/>
  <c r="K17" i="95"/>
  <c r="G17" i="95"/>
  <c r="V16" i="95"/>
  <c r="M16" i="95" s="1"/>
  <c r="U16" i="95"/>
  <c r="O16" i="95"/>
  <c r="K16" i="95"/>
  <c r="G16" i="95"/>
  <c r="V15" i="95"/>
  <c r="M15" i="95" s="1"/>
  <c r="U15" i="95"/>
  <c r="O15" i="95"/>
  <c r="K15" i="95"/>
  <c r="G15" i="95"/>
  <c r="V14" i="95"/>
  <c r="M14" i="95" s="1"/>
  <c r="O14" i="95"/>
  <c r="K14" i="95"/>
  <c r="G14" i="95"/>
  <c r="AD13" i="95"/>
  <c r="Z13" i="95"/>
  <c r="Y13" i="95"/>
  <c r="O13" i="95"/>
  <c r="K13" i="95"/>
  <c r="V12" i="95"/>
  <c r="M12" i="95" s="1"/>
  <c r="U12" i="95"/>
  <c r="O12" i="95"/>
  <c r="K12" i="95"/>
  <c r="G12" i="95"/>
  <c r="X11" i="95"/>
  <c r="W11" i="95"/>
  <c r="V11" i="95"/>
  <c r="M11" i="95" s="1"/>
  <c r="U11" i="95"/>
  <c r="O11" i="95"/>
  <c r="K11" i="95"/>
  <c r="G11" i="95"/>
  <c r="V10" i="95"/>
  <c r="M10" i="95" s="1"/>
  <c r="O10" i="95"/>
  <c r="K10" i="95"/>
  <c r="G10" i="95"/>
  <c r="AD9" i="95"/>
  <c r="Z9" i="95"/>
  <c r="Z2" i="95" s="1"/>
  <c r="L6" i="94" s="1"/>
  <c r="Y9" i="95"/>
  <c r="Y2" i="95" s="1"/>
  <c r="K6" i="94" s="1"/>
  <c r="O9" i="95"/>
  <c r="K9" i="95"/>
  <c r="V8" i="95"/>
  <c r="M8" i="95" s="1"/>
  <c r="U8" i="95"/>
  <c r="O8" i="95"/>
  <c r="K8" i="95"/>
  <c r="G8" i="95"/>
  <c r="X7" i="95"/>
  <c r="W7" i="95"/>
  <c r="V7" i="95"/>
  <c r="M7" i="95" s="1"/>
  <c r="U7" i="95"/>
  <c r="O7" i="95"/>
  <c r="K7" i="95"/>
  <c r="G7" i="95"/>
  <c r="V6" i="95"/>
  <c r="M6" i="95" s="1"/>
  <c r="U6" i="95"/>
  <c r="O6" i="95"/>
  <c r="K6" i="95"/>
  <c r="G6" i="95"/>
  <c r="V5" i="95"/>
  <c r="M5" i="95" s="1"/>
  <c r="O5" i="95"/>
  <c r="K5" i="95"/>
  <c r="G5" i="95"/>
  <c r="F1" i="95" s="1"/>
  <c r="H2" i="95"/>
  <c r="H1" i="95"/>
  <c r="D1" i="95"/>
  <c r="F3" i="94" s="1"/>
  <c r="M22" i="94"/>
  <c r="L22" i="94"/>
  <c r="K22" i="94"/>
  <c r="J22" i="94"/>
  <c r="I22" i="94"/>
  <c r="H22" i="94"/>
  <c r="G22" i="94"/>
  <c r="F22" i="94"/>
  <c r="E22" i="94"/>
  <c r="D22" i="94"/>
  <c r="M21" i="94"/>
  <c r="L21" i="94"/>
  <c r="K21" i="94"/>
  <c r="J21" i="94"/>
  <c r="I21" i="94"/>
  <c r="H21" i="94"/>
  <c r="G21" i="94"/>
  <c r="E21" i="94"/>
  <c r="D21" i="94"/>
  <c r="M20" i="94"/>
  <c r="L20" i="94"/>
  <c r="K20" i="94"/>
  <c r="J20" i="94"/>
  <c r="I20" i="94"/>
  <c r="H20" i="94"/>
  <c r="G20" i="94"/>
  <c r="F20" i="94"/>
  <c r="E20" i="94"/>
  <c r="D20" i="94"/>
  <c r="L19" i="94"/>
  <c r="K19" i="94"/>
  <c r="J19" i="94"/>
  <c r="I19" i="94"/>
  <c r="H19" i="94"/>
  <c r="F19" i="94"/>
  <c r="E19" i="94"/>
  <c r="D19" i="94"/>
  <c r="M18" i="94"/>
  <c r="J18" i="94"/>
  <c r="H18" i="94"/>
  <c r="G18" i="94"/>
  <c r="F18" i="94"/>
  <c r="E18" i="94"/>
  <c r="D18" i="94"/>
  <c r="M17" i="94"/>
  <c r="L17" i="94"/>
  <c r="K17" i="94"/>
  <c r="J17" i="94"/>
  <c r="I17" i="94"/>
  <c r="H17" i="94"/>
  <c r="G17" i="94"/>
  <c r="F17" i="94"/>
  <c r="E17" i="94"/>
  <c r="D17" i="94"/>
  <c r="M16" i="94"/>
  <c r="L16" i="94"/>
  <c r="K16" i="94"/>
  <c r="J16" i="94"/>
  <c r="I16" i="94"/>
  <c r="H16" i="94"/>
  <c r="G16" i="94"/>
  <c r="F16" i="94"/>
  <c r="E16" i="94"/>
  <c r="D16" i="94"/>
  <c r="M13" i="94"/>
  <c r="L13" i="94"/>
  <c r="K13" i="94"/>
  <c r="I6" i="94" s="1"/>
  <c r="I13" i="94"/>
  <c r="H13" i="94"/>
  <c r="G13" i="94"/>
  <c r="F13" i="94"/>
  <c r="E13" i="94"/>
  <c r="D13" i="94"/>
  <c r="M6" i="94"/>
  <c r="C3" i="94"/>
  <c r="AF36" i="95" l="1"/>
  <c r="AE36" i="95"/>
  <c r="N36" i="95"/>
  <c r="AF11" i="95"/>
  <c r="N11" i="95"/>
  <c r="AF55" i="95"/>
  <c r="N55" i="95"/>
  <c r="Q55" i="95" s="1"/>
  <c r="AF8" i="95"/>
  <c r="N8" i="95"/>
  <c r="Q8" i="95" s="1"/>
  <c r="AF5" i="95"/>
  <c r="N5" i="95"/>
  <c r="Q5" i="95" s="1"/>
  <c r="AF27" i="95"/>
  <c r="N27" i="95"/>
  <c r="Q27" i="95" s="1"/>
  <c r="N49" i="95"/>
  <c r="AF49" i="95"/>
  <c r="N24" i="95"/>
  <c r="AF24" i="95"/>
  <c r="AE24" i="95"/>
  <c r="N68" i="95"/>
  <c r="AF68" i="95"/>
  <c r="AE68" i="95"/>
  <c r="AF6" i="95"/>
  <c r="N6" i="95"/>
  <c r="Q6" i="95" s="1"/>
  <c r="AE53" i="95"/>
  <c r="AF53" i="95"/>
  <c r="N53" i="95"/>
  <c r="Q53" i="95" s="1"/>
  <c r="AF10" i="95"/>
  <c r="AE10" i="95"/>
  <c r="N10" i="95"/>
  <c r="AF39" i="95"/>
  <c r="AE39" i="95"/>
  <c r="N39" i="95"/>
  <c r="N51" i="97"/>
  <c r="AF51" i="97"/>
  <c r="AG46" i="97" s="1"/>
  <c r="AE51" i="97"/>
  <c r="Q59" i="97"/>
  <c r="P59" i="97"/>
  <c r="Q34" i="97"/>
  <c r="P34" i="97"/>
  <c r="Q16" i="97"/>
  <c r="P16" i="97"/>
  <c r="N57" i="95"/>
  <c r="Q57" i="97"/>
  <c r="P57" i="97"/>
  <c r="Q44" i="97"/>
  <c r="P44" i="97"/>
  <c r="Q8" i="97"/>
  <c r="P46" i="97"/>
  <c r="Q46" i="97"/>
  <c r="AF25" i="95"/>
  <c r="P47" i="97"/>
  <c r="Q47" i="97"/>
  <c r="P19" i="97"/>
  <c r="Q19" i="97"/>
  <c r="Q61" i="97"/>
  <c r="P61" i="97"/>
  <c r="P71" i="95"/>
  <c r="Q38" i="97"/>
  <c r="P38" i="97"/>
  <c r="AD2" i="95"/>
  <c r="N6" i="94" s="1"/>
  <c r="P66" i="95"/>
  <c r="AF37" i="97"/>
  <c r="AG30" i="97" s="1"/>
  <c r="N37" i="97"/>
  <c r="AE37" i="97"/>
  <c r="N71" i="95"/>
  <c r="Q71" i="95" s="1"/>
  <c r="AE29" i="97"/>
  <c r="N66" i="95"/>
  <c r="Q66" i="95" s="1"/>
  <c r="AF29" i="97"/>
  <c r="AG22" i="97" s="1"/>
  <c r="P69" i="95"/>
  <c r="P53" i="95"/>
  <c r="AF71" i="95"/>
  <c r="P20" i="97"/>
  <c r="Q20" i="97"/>
  <c r="Q42" i="97"/>
  <c r="P42" i="97"/>
  <c r="Q17" i="97"/>
  <c r="P17" i="97"/>
  <c r="Q39" i="97"/>
  <c r="P39" i="97"/>
  <c r="N21" i="97"/>
  <c r="AF21" i="97"/>
  <c r="AG14" i="97" s="1"/>
  <c r="AE21" i="97"/>
  <c r="N9" i="97"/>
  <c r="AF9" i="97"/>
  <c r="AG5" i="97" s="1"/>
  <c r="AE9" i="97"/>
  <c r="AF58" i="97"/>
  <c r="AG52" i="97" s="1"/>
  <c r="N58" i="97"/>
  <c r="AE58" i="97"/>
  <c r="Q14" i="97"/>
  <c r="P14" i="97"/>
  <c r="AF63" i="95"/>
  <c r="AE45" i="97"/>
  <c r="N65" i="97"/>
  <c r="AF65" i="97"/>
  <c r="AG59" i="97" s="1"/>
  <c r="AE65" i="97"/>
  <c r="P25" i="95"/>
  <c r="Q15" i="97"/>
  <c r="P15" i="97"/>
  <c r="Q36" i="97"/>
  <c r="P36" i="97"/>
  <c r="F8" i="102"/>
  <c r="E8" i="102"/>
  <c r="G8" i="102"/>
  <c r="K15" i="100"/>
  <c r="I8" i="100" s="1"/>
  <c r="I7" i="100"/>
  <c r="E7" i="100"/>
  <c r="F7" i="100"/>
  <c r="G7" i="100"/>
  <c r="G8" i="100"/>
  <c r="F8" i="100"/>
  <c r="Q37" i="99"/>
  <c r="R29" i="99" s="1"/>
  <c r="P37" i="99"/>
  <c r="K14" i="98"/>
  <c r="Q75" i="99"/>
  <c r="R68" i="99" s="1"/>
  <c r="P75" i="99"/>
  <c r="M14" i="98"/>
  <c r="M15" i="98" s="1"/>
  <c r="Q54" i="99"/>
  <c r="R47" i="99" s="1"/>
  <c r="P54" i="99"/>
  <c r="H14" i="98"/>
  <c r="H15" i="98" s="1"/>
  <c r="Q20" i="99"/>
  <c r="R14" i="99" s="1"/>
  <c r="P20" i="99"/>
  <c r="F14" i="98"/>
  <c r="F15" i="98" s="1"/>
  <c r="Q67" i="99"/>
  <c r="R62" i="99" s="1"/>
  <c r="P67" i="99"/>
  <c r="J14" i="98"/>
  <c r="J15" i="98" s="1"/>
  <c r="Q13" i="99"/>
  <c r="R10" i="99" s="1"/>
  <c r="P13" i="99"/>
  <c r="E14" i="98"/>
  <c r="E15" i="98" s="1"/>
  <c r="Q46" i="99"/>
  <c r="R38" i="99" s="1"/>
  <c r="P46" i="99"/>
  <c r="L14" i="98"/>
  <c r="L15" i="98" s="1"/>
  <c r="P28" i="99"/>
  <c r="G14" i="98"/>
  <c r="G15" i="98" s="1"/>
  <c r="Q28" i="99"/>
  <c r="R21" i="99" s="1"/>
  <c r="D2" i="99"/>
  <c r="Q9" i="99"/>
  <c r="R5" i="99" s="1"/>
  <c r="P9" i="99"/>
  <c r="D14" i="98"/>
  <c r="Q61" i="99"/>
  <c r="R55" i="99" s="1"/>
  <c r="P61" i="99"/>
  <c r="I14" i="98"/>
  <c r="I15" i="98" s="1"/>
  <c r="P73" i="97"/>
  <c r="M14" i="96"/>
  <c r="M15" i="96" s="1"/>
  <c r="Q73" i="97"/>
  <c r="R66" i="97" s="1"/>
  <c r="Q13" i="97"/>
  <c r="R10" i="97" s="1"/>
  <c r="P13" i="97"/>
  <c r="E14" i="96"/>
  <c r="E15" i="96" s="1"/>
  <c r="P45" i="97"/>
  <c r="L14" i="96"/>
  <c r="Q45" i="97"/>
  <c r="R38" i="97" s="1"/>
  <c r="AE7" i="95"/>
  <c r="N7" i="95"/>
  <c r="AF7" i="95"/>
  <c r="Q24" i="95"/>
  <c r="P24" i="95"/>
  <c r="AF38" i="95"/>
  <c r="AE38" i="95"/>
  <c r="M45" i="95"/>
  <c r="N38" i="95"/>
  <c r="N48" i="95"/>
  <c r="AE48" i="95"/>
  <c r="AF48" i="95"/>
  <c r="AF50" i="95"/>
  <c r="AE50" i="95"/>
  <c r="N50" i="95"/>
  <c r="AF12" i="95"/>
  <c r="AE12" i="95"/>
  <c r="N12" i="95"/>
  <c r="N17" i="95"/>
  <c r="AF17" i="95"/>
  <c r="AE17" i="95"/>
  <c r="AF60" i="95"/>
  <c r="AE60" i="95"/>
  <c r="N60" i="95"/>
  <c r="N44" i="95"/>
  <c r="AF44" i="95"/>
  <c r="AE44" i="95"/>
  <c r="P49" i="95"/>
  <c r="Q49" i="95"/>
  <c r="AF22" i="95"/>
  <c r="M29" i="95"/>
  <c r="AE22" i="95"/>
  <c r="N22" i="95"/>
  <c r="N18" i="95"/>
  <c r="AE18" i="95"/>
  <c r="AF18" i="95"/>
  <c r="AF35" i="95"/>
  <c r="AE35" i="95"/>
  <c r="N35" i="95"/>
  <c r="N61" i="95"/>
  <c r="AF61" i="95"/>
  <c r="AE61" i="95"/>
  <c r="G6" i="94"/>
  <c r="F2" i="95"/>
  <c r="I3" i="94"/>
  <c r="N20" i="95"/>
  <c r="AE20" i="95"/>
  <c r="AF20" i="95"/>
  <c r="M37" i="95"/>
  <c r="AE30" i="95"/>
  <c r="N30" i="95"/>
  <c r="AF30" i="95"/>
  <c r="N47" i="95"/>
  <c r="AF47" i="95"/>
  <c r="AE47" i="95"/>
  <c r="AF67" i="95"/>
  <c r="M73" i="95"/>
  <c r="AE67" i="95"/>
  <c r="N67" i="95"/>
  <c r="N42" i="95"/>
  <c r="AE42" i="95"/>
  <c r="AF42" i="95"/>
  <c r="AF56" i="95"/>
  <c r="AE56" i="95"/>
  <c r="N56" i="95"/>
  <c r="AE15" i="95"/>
  <c r="N15" i="95"/>
  <c r="AF15" i="95"/>
  <c r="AF33" i="95"/>
  <c r="AE33" i="95"/>
  <c r="N33" i="95"/>
  <c r="AE40" i="95"/>
  <c r="N40" i="95"/>
  <c r="AF40" i="95"/>
  <c r="AF16" i="95"/>
  <c r="AE16" i="95"/>
  <c r="N16" i="95"/>
  <c r="M58" i="95"/>
  <c r="AF59" i="95"/>
  <c r="AE59" i="95"/>
  <c r="M65" i="95"/>
  <c r="N59" i="95"/>
  <c r="P19" i="95"/>
  <c r="Q19" i="95"/>
  <c r="AF23" i="95"/>
  <c r="AE23" i="95"/>
  <c r="N23" i="95"/>
  <c r="AF41" i="95"/>
  <c r="AE41" i="95"/>
  <c r="N41" i="95"/>
  <c r="AF43" i="95"/>
  <c r="AE43" i="95"/>
  <c r="N43" i="95"/>
  <c r="M21" i="95"/>
  <c r="AE14" i="95"/>
  <c r="AF14" i="95"/>
  <c r="N14" i="95"/>
  <c r="P46" i="95"/>
  <c r="Q46" i="95"/>
  <c r="Q68" i="95"/>
  <c r="P68" i="95"/>
  <c r="N62" i="95"/>
  <c r="AE62" i="95"/>
  <c r="AF62" i="95"/>
  <c r="AF64" i="95"/>
  <c r="AE64" i="95"/>
  <c r="N64" i="95"/>
  <c r="P63" i="95"/>
  <c r="Q63" i="95"/>
  <c r="P70" i="95"/>
  <c r="Q70" i="95"/>
  <c r="M13" i="95"/>
  <c r="AF26" i="95"/>
  <c r="AE27" i="95"/>
  <c r="AF28" i="95"/>
  <c r="AF31" i="95"/>
  <c r="AE52" i="95"/>
  <c r="AF54" i="95"/>
  <c r="AF72" i="95"/>
  <c r="E6" i="94"/>
  <c r="F6" i="94"/>
  <c r="M9" i="95"/>
  <c r="AE70" i="95"/>
  <c r="AF70" i="95"/>
  <c r="AE49" i="95"/>
  <c r="AE63" i="95"/>
  <c r="AE19" i="95"/>
  <c r="N26" i="95"/>
  <c r="N28" i="95"/>
  <c r="N31" i="95"/>
  <c r="AE46" i="95"/>
  <c r="M51" i="95"/>
  <c r="N54" i="95"/>
  <c r="N72" i="95"/>
  <c r="P5" i="95"/>
  <c r="P6" i="95"/>
  <c r="P8" i="95"/>
  <c r="AF19" i="95"/>
  <c r="P27" i="95"/>
  <c r="P32" i="95"/>
  <c r="AF46" i="95"/>
  <c r="P55" i="95"/>
  <c r="AE5" i="95"/>
  <c r="AE6" i="95"/>
  <c r="AE8" i="95"/>
  <c r="AE11" i="95"/>
  <c r="AE32" i="95"/>
  <c r="AE34" i="95"/>
  <c r="AE55" i="95"/>
  <c r="AD71" i="93"/>
  <c r="Z71" i="93"/>
  <c r="M19" i="92" s="1"/>
  <c r="Y71" i="93"/>
  <c r="M18" i="92" s="1"/>
  <c r="O71" i="93"/>
  <c r="K71" i="93"/>
  <c r="V70" i="93"/>
  <c r="U70" i="93"/>
  <c r="O70" i="93"/>
  <c r="M70" i="93"/>
  <c r="AE70" i="93" s="1"/>
  <c r="K70" i="93"/>
  <c r="G70" i="93"/>
  <c r="V69" i="93"/>
  <c r="M69" i="93" s="1"/>
  <c r="U69" i="93"/>
  <c r="O69" i="93"/>
  <c r="K69" i="93"/>
  <c r="G69" i="93"/>
  <c r="X68" i="93"/>
  <c r="W68" i="93"/>
  <c r="V68" i="93"/>
  <c r="U68" i="93"/>
  <c r="O68" i="93"/>
  <c r="M68" i="93"/>
  <c r="N68" i="93" s="1"/>
  <c r="K68" i="93"/>
  <c r="G68" i="93"/>
  <c r="V67" i="93"/>
  <c r="M67" i="93" s="1"/>
  <c r="U67" i="93"/>
  <c r="O67" i="93"/>
  <c r="K67" i="93"/>
  <c r="G67" i="93"/>
  <c r="V66" i="93"/>
  <c r="M66" i="93" s="1"/>
  <c r="U66" i="93"/>
  <c r="O66" i="93"/>
  <c r="K66" i="93"/>
  <c r="G66" i="93"/>
  <c r="V65" i="93"/>
  <c r="M65" i="93" s="1"/>
  <c r="U65" i="93"/>
  <c r="O65" i="93"/>
  <c r="K65" i="93"/>
  <c r="G65" i="93"/>
  <c r="X64" i="93"/>
  <c r="W64" i="93"/>
  <c r="V64" i="93"/>
  <c r="M64" i="93" s="1"/>
  <c r="O64" i="93"/>
  <c r="K64" i="93"/>
  <c r="G64" i="93"/>
  <c r="AD63" i="93"/>
  <c r="J21" i="92" s="1"/>
  <c r="Z63" i="93"/>
  <c r="J19" i="92" s="1"/>
  <c r="Y63" i="93"/>
  <c r="O63" i="93"/>
  <c r="K63" i="93"/>
  <c r="V62" i="93"/>
  <c r="M62" i="93" s="1"/>
  <c r="U62" i="93"/>
  <c r="O62" i="93"/>
  <c r="K62" i="93"/>
  <c r="G62" i="93"/>
  <c r="AE61" i="93"/>
  <c r="V61" i="93"/>
  <c r="U61" i="93"/>
  <c r="O61" i="93"/>
  <c r="M61" i="93"/>
  <c r="N61" i="93" s="1"/>
  <c r="K61" i="93"/>
  <c r="G61" i="93"/>
  <c r="V60" i="93"/>
  <c r="M60" i="93" s="1"/>
  <c r="U60" i="93"/>
  <c r="O60" i="93"/>
  <c r="K60" i="93"/>
  <c r="G60" i="93"/>
  <c r="V59" i="93"/>
  <c r="M59" i="93" s="1"/>
  <c r="U59" i="93"/>
  <c r="O59" i="93"/>
  <c r="K59" i="93"/>
  <c r="G59" i="93"/>
  <c r="V58" i="93"/>
  <c r="M58" i="93" s="1"/>
  <c r="U58" i="93"/>
  <c r="O58" i="93"/>
  <c r="K58" i="93"/>
  <c r="G58" i="93"/>
  <c r="V57" i="93"/>
  <c r="M57" i="93" s="1"/>
  <c r="O57" i="93"/>
  <c r="K57" i="93"/>
  <c r="G57" i="93"/>
  <c r="AD56" i="93"/>
  <c r="I21" i="92" s="1"/>
  <c r="Z56" i="93"/>
  <c r="Y56" i="93"/>
  <c r="I18" i="92" s="1"/>
  <c r="O56" i="93"/>
  <c r="K56" i="93"/>
  <c r="V55" i="93"/>
  <c r="M55" i="93" s="1"/>
  <c r="U55" i="93"/>
  <c r="O55" i="93"/>
  <c r="K55" i="93"/>
  <c r="G55" i="93"/>
  <c r="V54" i="93"/>
  <c r="M54" i="93" s="1"/>
  <c r="U54" i="93"/>
  <c r="O54" i="93"/>
  <c r="K54" i="93"/>
  <c r="G54" i="93"/>
  <c r="V53" i="93"/>
  <c r="U53" i="93"/>
  <c r="O53" i="93"/>
  <c r="M53" i="93"/>
  <c r="AF53" i="93" s="1"/>
  <c r="K53" i="93"/>
  <c r="G53" i="93"/>
  <c r="V52" i="93"/>
  <c r="M52" i="93" s="1"/>
  <c r="U52" i="93"/>
  <c r="O52" i="93"/>
  <c r="K52" i="93"/>
  <c r="G52" i="93"/>
  <c r="V51" i="93"/>
  <c r="M51" i="93" s="1"/>
  <c r="U51" i="93"/>
  <c r="O51" i="93"/>
  <c r="K51" i="93"/>
  <c r="G51" i="93"/>
  <c r="V50" i="93"/>
  <c r="M50" i="93" s="1"/>
  <c r="O50" i="93"/>
  <c r="K50" i="93"/>
  <c r="G50" i="93"/>
  <c r="AD49" i="93"/>
  <c r="Z49" i="93"/>
  <c r="Y49" i="93"/>
  <c r="O49" i="93"/>
  <c r="K49" i="93"/>
  <c r="V48" i="93"/>
  <c r="M48" i="93" s="1"/>
  <c r="U48" i="93"/>
  <c r="O48" i="93"/>
  <c r="K48" i="93"/>
  <c r="G48" i="93"/>
  <c r="V47" i="93"/>
  <c r="M47" i="93" s="1"/>
  <c r="U47" i="93"/>
  <c r="O47" i="93"/>
  <c r="K47" i="93"/>
  <c r="G47" i="93"/>
  <c r="V46" i="93"/>
  <c r="M46" i="93" s="1"/>
  <c r="U46" i="93"/>
  <c r="O46" i="93"/>
  <c r="K46" i="93"/>
  <c r="G46" i="93"/>
  <c r="V45" i="93"/>
  <c r="M45" i="93" s="1"/>
  <c r="U45" i="93"/>
  <c r="O45" i="93"/>
  <c r="K45" i="93"/>
  <c r="G45" i="93"/>
  <c r="AF44" i="93"/>
  <c r="X44" i="93"/>
  <c r="W44" i="93"/>
  <c r="V44" i="93"/>
  <c r="O44" i="93"/>
  <c r="M44" i="93"/>
  <c r="N44" i="93" s="1"/>
  <c r="K44" i="93"/>
  <c r="G44" i="93"/>
  <c r="AD43" i="93"/>
  <c r="L21" i="92" s="1"/>
  <c r="Z43" i="93"/>
  <c r="Y43" i="93"/>
  <c r="L18" i="92" s="1"/>
  <c r="O43" i="93"/>
  <c r="K43" i="93"/>
  <c r="V42" i="93"/>
  <c r="M42" i="93" s="1"/>
  <c r="U42" i="93"/>
  <c r="O42" i="93"/>
  <c r="K42" i="93"/>
  <c r="G42" i="93"/>
  <c r="V41" i="93"/>
  <c r="M41" i="93" s="1"/>
  <c r="U41" i="93"/>
  <c r="O41" i="93"/>
  <c r="K41" i="93"/>
  <c r="G41" i="93"/>
  <c r="V40" i="93"/>
  <c r="M40" i="93" s="1"/>
  <c r="AF40" i="93" s="1"/>
  <c r="U40" i="93"/>
  <c r="O40" i="93"/>
  <c r="K40" i="93"/>
  <c r="G40" i="93"/>
  <c r="X39" i="93"/>
  <c r="W39" i="93"/>
  <c r="V39" i="93"/>
  <c r="M39" i="93" s="1"/>
  <c r="U39" i="93"/>
  <c r="O39" i="93"/>
  <c r="K39" i="93"/>
  <c r="G39" i="93"/>
  <c r="V38" i="93"/>
  <c r="U38" i="93"/>
  <c r="O38" i="93"/>
  <c r="M38" i="93"/>
  <c r="AF38" i="93" s="1"/>
  <c r="K38" i="93"/>
  <c r="G38" i="93"/>
  <c r="V37" i="93"/>
  <c r="M37" i="93" s="1"/>
  <c r="U37" i="93"/>
  <c r="O37" i="93"/>
  <c r="K37" i="93"/>
  <c r="G37" i="93"/>
  <c r="V36" i="93"/>
  <c r="M36" i="93" s="1"/>
  <c r="U36" i="93"/>
  <c r="O36" i="93"/>
  <c r="K36" i="93"/>
  <c r="G36" i="93"/>
  <c r="X35" i="93"/>
  <c r="W35" i="93"/>
  <c r="V35" i="93"/>
  <c r="O35" i="93"/>
  <c r="M35" i="93"/>
  <c r="AF35" i="93" s="1"/>
  <c r="K35" i="93"/>
  <c r="G35" i="93"/>
  <c r="AD34" i="93"/>
  <c r="K21" i="92" s="1"/>
  <c r="Z34" i="93"/>
  <c r="K19" i="92" s="1"/>
  <c r="Y34" i="93"/>
  <c r="K18" i="92" s="1"/>
  <c r="O34" i="93"/>
  <c r="K34" i="93"/>
  <c r="V33" i="93"/>
  <c r="M33" i="93" s="1"/>
  <c r="U33" i="93"/>
  <c r="O33" i="93"/>
  <c r="K33" i="93"/>
  <c r="G33" i="93"/>
  <c r="V32" i="93"/>
  <c r="M32" i="93" s="1"/>
  <c r="AF32" i="93" s="1"/>
  <c r="U32" i="93"/>
  <c r="O32" i="93"/>
  <c r="K32" i="93"/>
  <c r="G32" i="93"/>
  <c r="X31" i="93"/>
  <c r="W31" i="93"/>
  <c r="V31" i="93"/>
  <c r="M31" i="93" s="1"/>
  <c r="U31" i="93"/>
  <c r="O31" i="93"/>
  <c r="K31" i="93"/>
  <c r="G31" i="93"/>
  <c r="V30" i="93"/>
  <c r="M30" i="93" s="1"/>
  <c r="AF30" i="93" s="1"/>
  <c r="U30" i="93"/>
  <c r="O30" i="93"/>
  <c r="K30" i="93"/>
  <c r="G30" i="93"/>
  <c r="V29" i="93"/>
  <c r="M29" i="93" s="1"/>
  <c r="U29" i="93"/>
  <c r="O29" i="93"/>
  <c r="K29" i="93"/>
  <c r="G29" i="93"/>
  <c r="V28" i="93"/>
  <c r="U28" i="93"/>
  <c r="O28" i="93"/>
  <c r="M28" i="93"/>
  <c r="N28" i="93" s="1"/>
  <c r="K28" i="93"/>
  <c r="G28" i="93"/>
  <c r="AE27" i="93"/>
  <c r="X27" i="93"/>
  <c r="W27" i="93"/>
  <c r="V27" i="93"/>
  <c r="O27" i="93"/>
  <c r="M27" i="93"/>
  <c r="N27" i="93" s="1"/>
  <c r="K27" i="93"/>
  <c r="G27" i="93"/>
  <c r="AD26" i="93"/>
  <c r="Z26" i="93"/>
  <c r="Y26" i="93"/>
  <c r="O26" i="93"/>
  <c r="K26" i="93"/>
  <c r="V25" i="93"/>
  <c r="U25" i="93"/>
  <c r="O25" i="93"/>
  <c r="M25" i="93"/>
  <c r="N25" i="93" s="1"/>
  <c r="K25" i="93"/>
  <c r="G25" i="93"/>
  <c r="X24" i="93"/>
  <c r="W24" i="93"/>
  <c r="V24" i="93"/>
  <c r="M24" i="93" s="1"/>
  <c r="N24" i="93" s="1"/>
  <c r="U24" i="93"/>
  <c r="O24" i="93"/>
  <c r="K24" i="93"/>
  <c r="G24" i="93"/>
  <c r="V23" i="93"/>
  <c r="M23" i="93" s="1"/>
  <c r="U23" i="93"/>
  <c r="O23" i="93"/>
  <c r="K23" i="93"/>
  <c r="G23" i="93"/>
  <c r="V22" i="93"/>
  <c r="M22" i="93" s="1"/>
  <c r="U22" i="93"/>
  <c r="O22" i="93"/>
  <c r="K22" i="93"/>
  <c r="G22" i="93"/>
  <c r="V21" i="93"/>
  <c r="M21" i="93" s="1"/>
  <c r="U21" i="93"/>
  <c r="O21" i="93"/>
  <c r="K21" i="93"/>
  <c r="G21" i="93"/>
  <c r="V20" i="93"/>
  <c r="M20" i="93" s="1"/>
  <c r="U20" i="93"/>
  <c r="O20" i="93"/>
  <c r="K20" i="93"/>
  <c r="G20" i="93"/>
  <c r="V19" i="93"/>
  <c r="M19" i="93" s="1"/>
  <c r="O19" i="93"/>
  <c r="K19" i="93"/>
  <c r="G19" i="93"/>
  <c r="AD18" i="93"/>
  <c r="F21" i="92" s="1"/>
  <c r="Z18" i="93"/>
  <c r="F19" i="92" s="1"/>
  <c r="Y18" i="93"/>
  <c r="O18" i="93"/>
  <c r="K18" i="93"/>
  <c r="F13" i="92" s="1"/>
  <c r="V17" i="93"/>
  <c r="M17" i="93" s="1"/>
  <c r="U17" i="93"/>
  <c r="O17" i="93"/>
  <c r="K17" i="93"/>
  <c r="G17" i="93"/>
  <c r="X16" i="93"/>
  <c r="W16" i="93"/>
  <c r="V16" i="93"/>
  <c r="M16" i="93" s="1"/>
  <c r="U16" i="93"/>
  <c r="O16" i="93"/>
  <c r="K16" i="93"/>
  <c r="G16" i="93"/>
  <c r="V15" i="93"/>
  <c r="M15" i="93" s="1"/>
  <c r="U15" i="93"/>
  <c r="O15" i="93"/>
  <c r="K15" i="93"/>
  <c r="G15" i="93"/>
  <c r="V14" i="93"/>
  <c r="M14" i="93" s="1"/>
  <c r="U14" i="93"/>
  <c r="O14" i="93"/>
  <c r="K14" i="93"/>
  <c r="G14" i="93"/>
  <c r="V13" i="93"/>
  <c r="M13" i="93" s="1"/>
  <c r="O13" i="93"/>
  <c r="K13" i="93"/>
  <c r="G13" i="93"/>
  <c r="AD12" i="93"/>
  <c r="E21" i="92" s="1"/>
  <c r="Z12" i="93"/>
  <c r="E19" i="92" s="1"/>
  <c r="Y12" i="93"/>
  <c r="O12" i="93"/>
  <c r="K12" i="93"/>
  <c r="V11" i="93"/>
  <c r="M11" i="93" s="1"/>
  <c r="U11" i="93"/>
  <c r="O11" i="93"/>
  <c r="K11" i="93"/>
  <c r="G11" i="93"/>
  <c r="X10" i="93"/>
  <c r="W10" i="93"/>
  <c r="V10" i="93"/>
  <c r="M10" i="93" s="1"/>
  <c r="AF10" i="93" s="1"/>
  <c r="U10" i="93"/>
  <c r="O10" i="93"/>
  <c r="K10" i="93"/>
  <c r="G10" i="93"/>
  <c r="V9" i="93"/>
  <c r="O9" i="93"/>
  <c r="M9" i="93"/>
  <c r="K9" i="93"/>
  <c r="G9" i="93"/>
  <c r="AD8" i="93"/>
  <c r="D21" i="92" s="1"/>
  <c r="Z8" i="93"/>
  <c r="Z2" i="93" s="1"/>
  <c r="L6" i="92" s="1"/>
  <c r="Y8" i="93"/>
  <c r="O8" i="93"/>
  <c r="K8" i="93"/>
  <c r="V7" i="93"/>
  <c r="M7" i="93" s="1"/>
  <c r="U7" i="93"/>
  <c r="O7" i="93"/>
  <c r="K7" i="93"/>
  <c r="G7" i="93"/>
  <c r="V6" i="93"/>
  <c r="M6" i="93" s="1"/>
  <c r="AF6" i="93" s="1"/>
  <c r="U6" i="93"/>
  <c r="O6" i="93"/>
  <c r="K6" i="93"/>
  <c r="G6" i="93"/>
  <c r="V5" i="93"/>
  <c r="O5" i="93"/>
  <c r="M5" i="93"/>
  <c r="AF5" i="93" s="1"/>
  <c r="K5" i="93"/>
  <c r="G5" i="93"/>
  <c r="H2" i="93"/>
  <c r="H1" i="93"/>
  <c r="D1" i="93"/>
  <c r="M22" i="92"/>
  <c r="L22" i="92"/>
  <c r="K22" i="92"/>
  <c r="J22" i="92"/>
  <c r="I22" i="92"/>
  <c r="H22" i="92"/>
  <c r="G22" i="92"/>
  <c r="F22" i="92"/>
  <c r="E22" i="92"/>
  <c r="D22" i="92"/>
  <c r="M21" i="92"/>
  <c r="H21" i="92"/>
  <c r="G21" i="92"/>
  <c r="M20" i="92"/>
  <c r="L20" i="92"/>
  <c r="K20" i="92"/>
  <c r="J20" i="92"/>
  <c r="I20" i="92"/>
  <c r="H20" i="92"/>
  <c r="G20" i="92"/>
  <c r="F20" i="92"/>
  <c r="E20" i="92"/>
  <c r="D20" i="92"/>
  <c r="L19" i="92"/>
  <c r="I19" i="92"/>
  <c r="H19" i="92"/>
  <c r="G19" i="92"/>
  <c r="J18" i="92"/>
  <c r="H18" i="92"/>
  <c r="G18" i="92"/>
  <c r="F18" i="92"/>
  <c r="E18" i="92"/>
  <c r="M17" i="92"/>
  <c r="L17" i="92"/>
  <c r="K17" i="92"/>
  <c r="J17" i="92"/>
  <c r="I17" i="92"/>
  <c r="H17" i="92"/>
  <c r="G17" i="92"/>
  <c r="F17" i="92"/>
  <c r="E17" i="92"/>
  <c r="D17" i="92"/>
  <c r="M16" i="92"/>
  <c r="L16" i="92"/>
  <c r="K16" i="92"/>
  <c r="J16" i="92"/>
  <c r="I16" i="92"/>
  <c r="H16" i="92"/>
  <c r="G16" i="92"/>
  <c r="F16" i="92"/>
  <c r="E16" i="92"/>
  <c r="D16" i="92"/>
  <c r="M13" i="92"/>
  <c r="L13" i="92"/>
  <c r="K13" i="92"/>
  <c r="I6" i="92" s="1"/>
  <c r="J13" i="92"/>
  <c r="I13" i="92"/>
  <c r="H13" i="92"/>
  <c r="G13" i="92"/>
  <c r="E13" i="92"/>
  <c r="D13" i="92"/>
  <c r="M6" i="92"/>
  <c r="F3" i="92"/>
  <c r="C3" i="92"/>
  <c r="N19" i="93" l="1"/>
  <c r="AF19" i="93"/>
  <c r="AE19" i="93"/>
  <c r="N48" i="93"/>
  <c r="AF48" i="93"/>
  <c r="N64" i="93"/>
  <c r="AF64" i="93"/>
  <c r="N20" i="93"/>
  <c r="AF20" i="93"/>
  <c r="AE20" i="93"/>
  <c r="N65" i="93"/>
  <c r="AF65" i="93"/>
  <c r="AE29" i="93"/>
  <c r="AF29" i="93"/>
  <c r="N21" i="93"/>
  <c r="AF21" i="93"/>
  <c r="M56" i="93"/>
  <c r="AE50" i="93"/>
  <c r="N69" i="93"/>
  <c r="AE69" i="93"/>
  <c r="N62" i="93"/>
  <c r="AF62" i="93"/>
  <c r="N51" i="93"/>
  <c r="AE51" i="93"/>
  <c r="N47" i="93"/>
  <c r="AF47" i="93"/>
  <c r="AE47" i="93"/>
  <c r="N67" i="93"/>
  <c r="AE67" i="93"/>
  <c r="N23" i="93"/>
  <c r="AE23" i="93"/>
  <c r="AE52" i="93"/>
  <c r="AF52" i="93"/>
  <c r="D19" i="92"/>
  <c r="F14" i="96"/>
  <c r="F15" i="96" s="1"/>
  <c r="Q21" i="97"/>
  <c r="R14" i="97" s="1"/>
  <c r="P21" i="97"/>
  <c r="F1" i="93"/>
  <c r="I3" i="92" s="1"/>
  <c r="Q65" i="97"/>
  <c r="R59" i="97" s="1"/>
  <c r="J14" i="96"/>
  <c r="J15" i="96" s="1"/>
  <c r="P65" i="97"/>
  <c r="H14" i="96"/>
  <c r="H15" i="96" s="1"/>
  <c r="Q51" i="97"/>
  <c r="R46" i="97" s="1"/>
  <c r="P51" i="97"/>
  <c r="Q39" i="95"/>
  <c r="P39" i="95"/>
  <c r="E8" i="100"/>
  <c r="Q10" i="95"/>
  <c r="P10" i="95"/>
  <c r="AF61" i="93"/>
  <c r="Y2" i="93"/>
  <c r="K6" i="92" s="1"/>
  <c r="AE44" i="93"/>
  <c r="AF70" i="93"/>
  <c r="P58" i="97"/>
  <c r="Q58" i="97"/>
  <c r="R52" i="97" s="1"/>
  <c r="I14" i="96"/>
  <c r="I15" i="96" s="1"/>
  <c r="AD2" i="93"/>
  <c r="N6" i="92" s="1"/>
  <c r="Q11" i="95"/>
  <c r="P11" i="95"/>
  <c r="D14" i="96"/>
  <c r="D15" i="96" s="1"/>
  <c r="F8" i="96" s="1"/>
  <c r="P9" i="97"/>
  <c r="D2" i="97"/>
  <c r="Q9" i="97"/>
  <c r="R5" i="97" s="1"/>
  <c r="K14" i="96"/>
  <c r="K15" i="96" s="1"/>
  <c r="P37" i="97"/>
  <c r="Q37" i="97"/>
  <c r="R30" i="97" s="1"/>
  <c r="Q36" i="95"/>
  <c r="P36" i="95"/>
  <c r="M12" i="93"/>
  <c r="AE25" i="93"/>
  <c r="AE28" i="93"/>
  <c r="Q57" i="95"/>
  <c r="P57" i="95"/>
  <c r="D15" i="98"/>
  <c r="G7" i="98"/>
  <c r="F7" i="98"/>
  <c r="E7" i="98"/>
  <c r="K15" i="98"/>
  <c r="I8" i="98" s="1"/>
  <c r="I7" i="98"/>
  <c r="F7" i="96"/>
  <c r="L15" i="96"/>
  <c r="I7" i="96"/>
  <c r="N51" i="95"/>
  <c r="AF51" i="95"/>
  <c r="AG46" i="95" s="1"/>
  <c r="AE51" i="95"/>
  <c r="Q42" i="95"/>
  <c r="P42" i="95"/>
  <c r="Q60" i="95"/>
  <c r="P60" i="95"/>
  <c r="P28" i="95"/>
  <c r="Q28" i="95"/>
  <c r="N65" i="95"/>
  <c r="AF65" i="95"/>
  <c r="AG59" i="95" s="1"/>
  <c r="AE65" i="95"/>
  <c r="AF73" i="95"/>
  <c r="AG66" i="95" s="1"/>
  <c r="AE73" i="95"/>
  <c r="N73" i="95"/>
  <c r="Q22" i="95"/>
  <c r="P22" i="95"/>
  <c r="Q38" i="95"/>
  <c r="P38" i="95"/>
  <c r="Q43" i="95"/>
  <c r="P43" i="95"/>
  <c r="P26" i="95"/>
  <c r="Q26" i="95"/>
  <c r="N45" i="95"/>
  <c r="AE45" i="95"/>
  <c r="AF45" i="95"/>
  <c r="AG38" i="95" s="1"/>
  <c r="Q15" i="95"/>
  <c r="P15" i="95"/>
  <c r="AF29" i="95"/>
  <c r="AG22" i="95" s="1"/>
  <c r="AE29" i="95"/>
  <c r="N29" i="95"/>
  <c r="Q17" i="95"/>
  <c r="P17" i="95"/>
  <c r="Q64" i="95"/>
  <c r="P64" i="95"/>
  <c r="Q48" i="95"/>
  <c r="P48" i="95"/>
  <c r="Q62" i="95"/>
  <c r="P62" i="95"/>
  <c r="Q41" i="95"/>
  <c r="P41" i="95"/>
  <c r="AE58" i="95"/>
  <c r="AF58" i="95"/>
  <c r="AG52" i="95" s="1"/>
  <c r="N58" i="95"/>
  <c r="Q12" i="95"/>
  <c r="P12" i="95"/>
  <c r="Q67" i="95"/>
  <c r="P67" i="95"/>
  <c r="Q16" i="95"/>
  <c r="P16" i="95"/>
  <c r="Q56" i="95"/>
  <c r="P56" i="95"/>
  <c r="Q47" i="95"/>
  <c r="P47" i="95"/>
  <c r="Q20" i="95"/>
  <c r="P20" i="95"/>
  <c r="AF13" i="95"/>
  <c r="AG10" i="95" s="1"/>
  <c r="AE13" i="95"/>
  <c r="N13" i="95"/>
  <c r="Q61" i="95"/>
  <c r="P61" i="95"/>
  <c r="Q33" i="95"/>
  <c r="P33" i="95"/>
  <c r="P31" i="95"/>
  <c r="Q31" i="95"/>
  <c r="Q59" i="95"/>
  <c r="P59" i="95"/>
  <c r="Q23" i="95"/>
  <c r="P23" i="95"/>
  <c r="Q30" i="95"/>
  <c r="P30" i="95"/>
  <c r="Q35" i="95"/>
  <c r="P35" i="95"/>
  <c r="Q50" i="95"/>
  <c r="P50" i="95"/>
  <c r="Q18" i="95"/>
  <c r="P18" i="95"/>
  <c r="P72" i="95"/>
  <c r="Q72" i="95"/>
  <c r="AF9" i="95"/>
  <c r="AG5" i="95" s="1"/>
  <c r="AE9" i="95"/>
  <c r="N9" i="95"/>
  <c r="Q7" i="95"/>
  <c r="P7" i="95"/>
  <c r="AF21" i="95"/>
  <c r="AG14" i="95" s="1"/>
  <c r="AE21" i="95"/>
  <c r="N21" i="95"/>
  <c r="P54" i="95"/>
  <c r="Q54" i="95"/>
  <c r="Q14" i="95"/>
  <c r="P14" i="95"/>
  <c r="Q40" i="95"/>
  <c r="P40" i="95"/>
  <c r="AE37" i="95"/>
  <c r="AF37" i="95"/>
  <c r="AG30" i="95" s="1"/>
  <c r="N37" i="95"/>
  <c r="Q44" i="95"/>
  <c r="P44" i="95"/>
  <c r="P61" i="93"/>
  <c r="Q61" i="93"/>
  <c r="F2" i="93"/>
  <c r="AF12" i="93"/>
  <c r="AG9" i="93" s="1"/>
  <c r="AE12" i="93"/>
  <c r="N12" i="93"/>
  <c r="M18" i="93"/>
  <c r="AF13" i="93"/>
  <c r="AE13" i="93"/>
  <c r="N13" i="93"/>
  <c r="Q25" i="93"/>
  <c r="P25" i="93"/>
  <c r="Q27" i="93"/>
  <c r="P27" i="93"/>
  <c r="AF36" i="93"/>
  <c r="AE36" i="93"/>
  <c r="N36" i="93"/>
  <c r="Q51" i="93"/>
  <c r="P51" i="93"/>
  <c r="AF57" i="93"/>
  <c r="AE57" i="93"/>
  <c r="M63" i="93"/>
  <c r="N57" i="93"/>
  <c r="G6" i="92"/>
  <c r="F6" i="92"/>
  <c r="E6" i="92"/>
  <c r="P20" i="93"/>
  <c r="Q20" i="93"/>
  <c r="AF7" i="93"/>
  <c r="AE7" i="93"/>
  <c r="N7" i="93"/>
  <c r="M8" i="93"/>
  <c r="Q24" i="93"/>
  <c r="P24" i="93"/>
  <c r="AF39" i="93"/>
  <c r="AE39" i="93"/>
  <c r="N39" i="93"/>
  <c r="Q69" i="93"/>
  <c r="P69" i="93"/>
  <c r="P47" i="93"/>
  <c r="Q47" i="93"/>
  <c r="AF54" i="93"/>
  <c r="AE54" i="93"/>
  <c r="N54" i="93"/>
  <c r="N59" i="93"/>
  <c r="AF59" i="93"/>
  <c r="AE59" i="93"/>
  <c r="Q65" i="93"/>
  <c r="P65" i="93"/>
  <c r="Q67" i="93"/>
  <c r="P67" i="93"/>
  <c r="AF11" i="93"/>
  <c r="AE11" i="93"/>
  <c r="N11" i="93"/>
  <c r="N16" i="93"/>
  <c r="AF16" i="93"/>
  <c r="AE16" i="93"/>
  <c r="AF14" i="93"/>
  <c r="AE14" i="93"/>
  <c r="N14" i="93"/>
  <c r="AF37" i="93"/>
  <c r="AE37" i="93"/>
  <c r="N37" i="93"/>
  <c r="AF41" i="93"/>
  <c r="AE41" i="93"/>
  <c r="N41" i="93"/>
  <c r="N45" i="93"/>
  <c r="AF45" i="93"/>
  <c r="M49" i="93"/>
  <c r="AE45" i="93"/>
  <c r="Q62" i="93"/>
  <c r="P62" i="93"/>
  <c r="Q64" i="93"/>
  <c r="P64" i="93"/>
  <c r="Q23" i="93"/>
  <c r="P23" i="93"/>
  <c r="AF56" i="93"/>
  <c r="AG50" i="93" s="1"/>
  <c r="AE56" i="93"/>
  <c r="N56" i="93"/>
  <c r="N17" i="93"/>
  <c r="AF17" i="93"/>
  <c r="AE17" i="93"/>
  <c r="N42" i="93"/>
  <c r="AF42" i="93"/>
  <c r="AE42" i="93"/>
  <c r="N46" i="93"/>
  <c r="AF46" i="93"/>
  <c r="AE46" i="93"/>
  <c r="P19" i="93"/>
  <c r="Q19" i="93"/>
  <c r="N22" i="93"/>
  <c r="M26" i="93"/>
  <c r="AF22" i="93"/>
  <c r="AE22" i="93"/>
  <c r="AE31" i="93"/>
  <c r="N31" i="93"/>
  <c r="M34" i="93"/>
  <c r="AF31" i="93"/>
  <c r="P44" i="93"/>
  <c r="Q44" i="93"/>
  <c r="AF55" i="93"/>
  <c r="AE55" i="93"/>
  <c r="N55" i="93"/>
  <c r="N60" i="93"/>
  <c r="AF60" i="93"/>
  <c r="AE60" i="93"/>
  <c r="Q21" i="93"/>
  <c r="P21" i="93"/>
  <c r="Q48" i="93"/>
  <c r="P48" i="93"/>
  <c r="N15" i="93"/>
  <c r="AF15" i="93"/>
  <c r="AE15" i="93"/>
  <c r="N66" i="93"/>
  <c r="AF66" i="93"/>
  <c r="AE66" i="93"/>
  <c r="AF33" i="93"/>
  <c r="AE33" i="93"/>
  <c r="N33" i="93"/>
  <c r="Q28" i="93"/>
  <c r="P28" i="93"/>
  <c r="AF58" i="93"/>
  <c r="AE58" i="93"/>
  <c r="N58" i="93"/>
  <c r="Q68" i="93"/>
  <c r="P68" i="93"/>
  <c r="N9" i="93"/>
  <c r="N10" i="93"/>
  <c r="AF23" i="93"/>
  <c r="AE24" i="93"/>
  <c r="AF25" i="93"/>
  <c r="AF27" i="93"/>
  <c r="AF28" i="93"/>
  <c r="N35" i="93"/>
  <c r="N38" i="93"/>
  <c r="N40" i="93"/>
  <c r="AF50" i="93"/>
  <c r="AF51" i="93"/>
  <c r="AF67" i="93"/>
  <c r="AE68" i="93"/>
  <c r="AF69" i="93"/>
  <c r="D18" i="92"/>
  <c r="AE21" i="93"/>
  <c r="AF24" i="93"/>
  <c r="AE48" i="93"/>
  <c r="AE62" i="93"/>
  <c r="AE64" i="93"/>
  <c r="AE65" i="93"/>
  <c r="AF68" i="93"/>
  <c r="M71" i="93"/>
  <c r="N5" i="93"/>
  <c r="N6" i="93"/>
  <c r="N30" i="93"/>
  <c r="N32" i="93"/>
  <c r="N53" i="93"/>
  <c r="N29" i="93"/>
  <c r="N52" i="93"/>
  <c r="N70" i="93"/>
  <c r="N50" i="93"/>
  <c r="AE9" i="93"/>
  <c r="AE38" i="93"/>
  <c r="AE40" i="93"/>
  <c r="AF9" i="93"/>
  <c r="M43" i="93"/>
  <c r="AE10" i="93"/>
  <c r="AE35" i="93"/>
  <c r="AE5" i="93"/>
  <c r="AE6" i="93"/>
  <c r="AE30" i="93"/>
  <c r="AE32" i="93"/>
  <c r="AE53" i="93"/>
  <c r="AD62" i="91"/>
  <c r="Z62" i="91"/>
  <c r="Y62" i="91"/>
  <c r="O62" i="91"/>
  <c r="K62" i="91"/>
  <c r="V61" i="91"/>
  <c r="M61" i="91" s="1"/>
  <c r="U61" i="91"/>
  <c r="O61" i="91"/>
  <c r="K61" i="91"/>
  <c r="AF60" i="91"/>
  <c r="AE60" i="91"/>
  <c r="V60" i="91"/>
  <c r="U60" i="91"/>
  <c r="O60" i="91"/>
  <c r="N60" i="91"/>
  <c r="Q60" i="91" s="1"/>
  <c r="M60" i="91"/>
  <c r="K60" i="91"/>
  <c r="AF59" i="91"/>
  <c r="AE59" i="91"/>
  <c r="V59" i="91"/>
  <c r="U59" i="91"/>
  <c r="O59" i="91"/>
  <c r="M59" i="91"/>
  <c r="N59" i="91" s="1"/>
  <c r="K59" i="91"/>
  <c r="V58" i="91"/>
  <c r="U58" i="91"/>
  <c r="O58" i="91"/>
  <c r="M58" i="91"/>
  <c r="N58" i="91" s="1"/>
  <c r="K58" i="91"/>
  <c r="X57" i="91"/>
  <c r="W57" i="91"/>
  <c r="V57" i="91"/>
  <c r="O57" i="91"/>
  <c r="M57" i="91"/>
  <c r="N57" i="91" s="1"/>
  <c r="K57" i="91"/>
  <c r="AD56" i="91"/>
  <c r="Z56" i="91"/>
  <c r="Y56" i="91"/>
  <c r="O56" i="91"/>
  <c r="K56" i="91"/>
  <c r="V55" i="91"/>
  <c r="M55" i="91" s="1"/>
  <c r="U55" i="91"/>
  <c r="O55" i="91"/>
  <c r="K55" i="91"/>
  <c r="AE54" i="91"/>
  <c r="V54" i="91"/>
  <c r="U54" i="91"/>
  <c r="O54" i="91"/>
  <c r="M54" i="91"/>
  <c r="N54" i="91" s="1"/>
  <c r="Q54" i="91" s="1"/>
  <c r="K54" i="91"/>
  <c r="V53" i="91"/>
  <c r="M53" i="91" s="1"/>
  <c r="U53" i="91"/>
  <c r="O53" i="91"/>
  <c r="K53" i="91"/>
  <c r="V52" i="91"/>
  <c r="M52" i="91" s="1"/>
  <c r="U52" i="91"/>
  <c r="O52" i="91"/>
  <c r="K52" i="91"/>
  <c r="AF51" i="91"/>
  <c r="AE51" i="91"/>
  <c r="V51" i="91"/>
  <c r="U51" i="91"/>
  <c r="O51" i="91"/>
  <c r="M51" i="91"/>
  <c r="N51" i="91" s="1"/>
  <c r="K51" i="91"/>
  <c r="V50" i="91"/>
  <c r="M50" i="91" s="1"/>
  <c r="O50" i="91"/>
  <c r="K50" i="91"/>
  <c r="AD49" i="91"/>
  <c r="Z49" i="91"/>
  <c r="Y49" i="91"/>
  <c r="O49" i="91"/>
  <c r="K49" i="91"/>
  <c r="V48" i="91"/>
  <c r="M48" i="91" s="1"/>
  <c r="U48" i="91"/>
  <c r="O48" i="91"/>
  <c r="K48" i="91"/>
  <c r="V47" i="91"/>
  <c r="M47" i="91" s="1"/>
  <c r="U47" i="91"/>
  <c r="O47" i="91"/>
  <c r="K47" i="91"/>
  <c r="V46" i="91"/>
  <c r="M46" i="91" s="1"/>
  <c r="U46" i="91"/>
  <c r="O46" i="91"/>
  <c r="K46" i="91"/>
  <c r="V45" i="91"/>
  <c r="U45" i="91"/>
  <c r="O45" i="91"/>
  <c r="N45" i="91"/>
  <c r="Q45" i="91" s="1"/>
  <c r="M45" i="91"/>
  <c r="AF45" i="91" s="1"/>
  <c r="K45" i="91"/>
  <c r="V44" i="91"/>
  <c r="U44" i="91"/>
  <c r="O44" i="91"/>
  <c r="M44" i="91"/>
  <c r="AF44" i="91" s="1"/>
  <c r="K44" i="91"/>
  <c r="AE43" i="91"/>
  <c r="V43" i="91"/>
  <c r="O43" i="91"/>
  <c r="M43" i="91"/>
  <c r="K43" i="91"/>
  <c r="AD42" i="91"/>
  <c r="Z42" i="91"/>
  <c r="Y42" i="91"/>
  <c r="O42" i="91"/>
  <c r="K42" i="91"/>
  <c r="V41" i="91"/>
  <c r="U41" i="91"/>
  <c r="O41" i="91"/>
  <c r="M41" i="91"/>
  <c r="K41" i="91"/>
  <c r="V40" i="91"/>
  <c r="M40" i="91" s="1"/>
  <c r="U40" i="91"/>
  <c r="O40" i="91"/>
  <c r="K40" i="91"/>
  <c r="V39" i="91"/>
  <c r="M39" i="91" s="1"/>
  <c r="U39" i="91"/>
  <c r="O39" i="91"/>
  <c r="K39" i="91"/>
  <c r="V38" i="91"/>
  <c r="U38" i="91"/>
  <c r="O38" i="91"/>
  <c r="M38" i="91"/>
  <c r="N38" i="91" s="1"/>
  <c r="K38" i="91"/>
  <c r="X37" i="91"/>
  <c r="W37" i="91"/>
  <c r="V37" i="91"/>
  <c r="M37" i="91" s="1"/>
  <c r="O37" i="91"/>
  <c r="K37" i="91"/>
  <c r="AD36" i="91"/>
  <c r="Z36" i="91"/>
  <c r="L19" i="90" s="1"/>
  <c r="Y36" i="91"/>
  <c r="O36" i="91"/>
  <c r="K36" i="91"/>
  <c r="AF35" i="91"/>
  <c r="AE35" i="91"/>
  <c r="V35" i="91"/>
  <c r="U35" i="91"/>
  <c r="O35" i="91"/>
  <c r="M35" i="91"/>
  <c r="N35" i="91" s="1"/>
  <c r="K35" i="91"/>
  <c r="AF34" i="91"/>
  <c r="V34" i="91"/>
  <c r="U34" i="91"/>
  <c r="O34" i="91"/>
  <c r="M34" i="91"/>
  <c r="N34" i="91" s="1"/>
  <c r="K34" i="91"/>
  <c r="V33" i="91"/>
  <c r="M33" i="91" s="1"/>
  <c r="U33" i="91"/>
  <c r="O33" i="91"/>
  <c r="K33" i="91"/>
  <c r="AF32" i="91"/>
  <c r="V32" i="91"/>
  <c r="U32" i="91"/>
  <c r="O32" i="91"/>
  <c r="M32" i="91"/>
  <c r="AE32" i="91" s="1"/>
  <c r="K32" i="91"/>
  <c r="X31" i="91"/>
  <c r="W31" i="91"/>
  <c r="V31" i="91"/>
  <c r="O31" i="91"/>
  <c r="M31" i="91"/>
  <c r="AF31" i="91" s="1"/>
  <c r="K31" i="91"/>
  <c r="AD30" i="91"/>
  <c r="Z30" i="91"/>
  <c r="Y30" i="91"/>
  <c r="K18" i="90" s="1"/>
  <c r="O30" i="91"/>
  <c r="K30" i="91"/>
  <c r="AF29" i="91"/>
  <c r="V29" i="91"/>
  <c r="U29" i="91"/>
  <c r="O29" i="91"/>
  <c r="M29" i="91"/>
  <c r="AE29" i="91" s="1"/>
  <c r="K29" i="91"/>
  <c r="V28" i="91"/>
  <c r="M28" i="91" s="1"/>
  <c r="U28" i="91"/>
  <c r="O28" i="91"/>
  <c r="K28" i="91"/>
  <c r="V27" i="91"/>
  <c r="M27" i="91" s="1"/>
  <c r="U27" i="91"/>
  <c r="O27" i="91"/>
  <c r="K27" i="91"/>
  <c r="V26" i="91"/>
  <c r="U26" i="91"/>
  <c r="O26" i="91"/>
  <c r="M26" i="91"/>
  <c r="N26" i="91" s="1"/>
  <c r="K26" i="91"/>
  <c r="X25" i="91"/>
  <c r="W25" i="91"/>
  <c r="V25" i="91"/>
  <c r="M25" i="91" s="1"/>
  <c r="O25" i="91"/>
  <c r="K25" i="91"/>
  <c r="AD24" i="91"/>
  <c r="Z24" i="91"/>
  <c r="Y24" i="91"/>
  <c r="O24" i="91"/>
  <c r="K24" i="91"/>
  <c r="V23" i="91"/>
  <c r="U23" i="91"/>
  <c r="O23" i="91"/>
  <c r="M23" i="91"/>
  <c r="AF23" i="91" s="1"/>
  <c r="K23" i="91"/>
  <c r="AF22" i="91"/>
  <c r="AE22" i="91"/>
  <c r="V22" i="91"/>
  <c r="U22" i="91"/>
  <c r="O22" i="91"/>
  <c r="N22" i="91"/>
  <c r="Q22" i="91" s="1"/>
  <c r="M22" i="91"/>
  <c r="K22" i="91"/>
  <c r="AF21" i="91"/>
  <c r="V21" i="91"/>
  <c r="U21" i="91"/>
  <c r="O21" i="91"/>
  <c r="M21" i="91"/>
  <c r="AE21" i="91" s="1"/>
  <c r="K21" i="91"/>
  <c r="V20" i="91"/>
  <c r="M20" i="91" s="1"/>
  <c r="U20" i="91"/>
  <c r="O20" i="91"/>
  <c r="K20" i="91"/>
  <c r="V19" i="91"/>
  <c r="M19" i="91" s="1"/>
  <c r="U19" i="91"/>
  <c r="O19" i="91"/>
  <c r="K19" i="91"/>
  <c r="AE18" i="91"/>
  <c r="V18" i="91"/>
  <c r="O18" i="91"/>
  <c r="M18" i="91"/>
  <c r="K18" i="91"/>
  <c r="AD17" i="91"/>
  <c r="AD2" i="91" s="1"/>
  <c r="N6" i="90" s="1"/>
  <c r="Z17" i="91"/>
  <c r="Y17" i="91"/>
  <c r="O17" i="91"/>
  <c r="K17" i="91"/>
  <c r="V16" i="91"/>
  <c r="U16" i="91"/>
  <c r="O16" i="91"/>
  <c r="N16" i="91"/>
  <c r="P16" i="91" s="1"/>
  <c r="M16" i="91"/>
  <c r="K16" i="91"/>
  <c r="AF15" i="91"/>
  <c r="AE15" i="91"/>
  <c r="V15" i="91"/>
  <c r="U15" i="91"/>
  <c r="O15" i="91"/>
  <c r="M15" i="91"/>
  <c r="N15" i="91" s="1"/>
  <c r="Q15" i="91" s="1"/>
  <c r="K15" i="91"/>
  <c r="AF14" i="91"/>
  <c r="AE14" i="91"/>
  <c r="V14" i="91"/>
  <c r="U14" i="91"/>
  <c r="O14" i="91"/>
  <c r="N14" i="91"/>
  <c r="M14" i="91"/>
  <c r="K14" i="91"/>
  <c r="V13" i="91"/>
  <c r="M13" i="91" s="1"/>
  <c r="O13" i="91"/>
  <c r="K13" i="91"/>
  <c r="AD12" i="91"/>
  <c r="Z12" i="91"/>
  <c r="Y12" i="91"/>
  <c r="E18" i="90" s="1"/>
  <c r="O12" i="91"/>
  <c r="K12" i="91"/>
  <c r="V11" i="91"/>
  <c r="M11" i="91" s="1"/>
  <c r="U11" i="91"/>
  <c r="O11" i="91"/>
  <c r="K11" i="91"/>
  <c r="X10" i="91"/>
  <c r="W10" i="91"/>
  <c r="V10" i="91"/>
  <c r="U10" i="91"/>
  <c r="O10" i="91"/>
  <c r="M10" i="91"/>
  <c r="AF10" i="91" s="1"/>
  <c r="K10" i="91"/>
  <c r="AE9" i="91"/>
  <c r="V9" i="91"/>
  <c r="O9" i="91"/>
  <c r="M9" i="91"/>
  <c r="N9" i="91" s="1"/>
  <c r="K9" i="91"/>
  <c r="AD8" i="91"/>
  <c r="Z8" i="91"/>
  <c r="Y8" i="91"/>
  <c r="D18" i="90" s="1"/>
  <c r="O8" i="91"/>
  <c r="K8" i="91"/>
  <c r="V7" i="91"/>
  <c r="U7" i="91"/>
  <c r="O7" i="91"/>
  <c r="N7" i="91"/>
  <c r="Q7" i="91" s="1"/>
  <c r="M7" i="91"/>
  <c r="K7" i="91"/>
  <c r="V6" i="91"/>
  <c r="M6" i="91" s="1"/>
  <c r="U6" i="91"/>
  <c r="O6" i="91"/>
  <c r="K6" i="91"/>
  <c r="V5" i="91"/>
  <c r="O5" i="91"/>
  <c r="M5" i="91"/>
  <c r="AF5" i="91" s="1"/>
  <c r="K5" i="91"/>
  <c r="Z2" i="91"/>
  <c r="Y2" i="91"/>
  <c r="H2" i="91"/>
  <c r="H1" i="91"/>
  <c r="F1" i="91"/>
  <c r="F2" i="91" s="1"/>
  <c r="D1" i="91"/>
  <c r="M22" i="90"/>
  <c r="L22" i="90"/>
  <c r="K22" i="90"/>
  <c r="J22" i="90"/>
  <c r="I22" i="90"/>
  <c r="H22" i="90"/>
  <c r="G22" i="90"/>
  <c r="F22" i="90"/>
  <c r="E22" i="90"/>
  <c r="D22" i="90"/>
  <c r="M21" i="90"/>
  <c r="L21" i="90"/>
  <c r="K21" i="90"/>
  <c r="J21" i="90"/>
  <c r="I21" i="90"/>
  <c r="H21" i="90"/>
  <c r="G21" i="90"/>
  <c r="E21" i="90"/>
  <c r="D21" i="90"/>
  <c r="M20" i="90"/>
  <c r="L20" i="90"/>
  <c r="K20" i="90"/>
  <c r="J20" i="90"/>
  <c r="I20" i="90"/>
  <c r="H20" i="90"/>
  <c r="G20" i="90"/>
  <c r="F20" i="90"/>
  <c r="E20" i="90"/>
  <c r="D20" i="90"/>
  <c r="M19" i="90"/>
  <c r="K19" i="90"/>
  <c r="J19" i="90"/>
  <c r="I19" i="90"/>
  <c r="H19" i="90"/>
  <c r="G19" i="90"/>
  <c r="F19" i="90"/>
  <c r="E19" i="90"/>
  <c r="D19" i="90"/>
  <c r="M18" i="90"/>
  <c r="L18" i="90"/>
  <c r="J18" i="90"/>
  <c r="I18" i="90"/>
  <c r="H18" i="90"/>
  <c r="G18" i="90"/>
  <c r="F18" i="90"/>
  <c r="M17" i="90"/>
  <c r="L17" i="90"/>
  <c r="K17" i="90"/>
  <c r="J17" i="90"/>
  <c r="I17" i="90"/>
  <c r="H17" i="90"/>
  <c r="G17" i="90"/>
  <c r="F17" i="90"/>
  <c r="E17" i="90"/>
  <c r="D17" i="90"/>
  <c r="M16" i="90"/>
  <c r="L16" i="90"/>
  <c r="K16" i="90"/>
  <c r="J16" i="90"/>
  <c r="I16" i="90"/>
  <c r="H16" i="90"/>
  <c r="G16" i="90"/>
  <c r="F16" i="90"/>
  <c r="E16" i="90"/>
  <c r="D16" i="90"/>
  <c r="M13" i="90"/>
  <c r="L13" i="90"/>
  <c r="K13" i="90"/>
  <c r="J13" i="90"/>
  <c r="I13" i="90"/>
  <c r="H13" i="90"/>
  <c r="G13" i="90"/>
  <c r="F13" i="90"/>
  <c r="E13" i="90"/>
  <c r="D13" i="90"/>
  <c r="G6" i="90" s="1"/>
  <c r="M6" i="90"/>
  <c r="L6" i="90"/>
  <c r="K6" i="90"/>
  <c r="I6" i="90"/>
  <c r="I3" i="90"/>
  <c r="F3" i="90"/>
  <c r="C3" i="90"/>
  <c r="AF33" i="91" l="1"/>
  <c r="N33" i="91"/>
  <c r="P33" i="91" s="1"/>
  <c r="M56" i="91"/>
  <c r="AF50" i="91"/>
  <c r="AE50" i="91"/>
  <c r="M62" i="91"/>
  <c r="AF62" i="91" s="1"/>
  <c r="AG57" i="91" s="1"/>
  <c r="AF61" i="91"/>
  <c r="AE61" i="91"/>
  <c r="N61" i="91"/>
  <c r="Q61" i="91" s="1"/>
  <c r="AF11" i="91"/>
  <c r="AE11" i="91"/>
  <c r="N11" i="91"/>
  <c r="P51" i="91"/>
  <c r="Q51" i="91"/>
  <c r="AF37" i="91"/>
  <c r="AE37" i="91"/>
  <c r="N37" i="91"/>
  <c r="Q37" i="91" s="1"/>
  <c r="Q38" i="91"/>
  <c r="P38" i="91"/>
  <c r="P59" i="91"/>
  <c r="Q59" i="91"/>
  <c r="AF19" i="91"/>
  <c r="AE19" i="91"/>
  <c r="N19" i="91"/>
  <c r="AF55" i="91"/>
  <c r="N55" i="91"/>
  <c r="P55" i="91" s="1"/>
  <c r="P35" i="91"/>
  <c r="Q35" i="91"/>
  <c r="AF27" i="91"/>
  <c r="AE27" i="91"/>
  <c r="N27" i="91"/>
  <c r="N46" i="91"/>
  <c r="Q46" i="91" s="1"/>
  <c r="AF46" i="91"/>
  <c r="AE46" i="91"/>
  <c r="AF47" i="91"/>
  <c r="AE47" i="91"/>
  <c r="N47" i="91"/>
  <c r="Q47" i="91" s="1"/>
  <c r="N20" i="91"/>
  <c r="AF20" i="91"/>
  <c r="AE20" i="91"/>
  <c r="AF13" i="91"/>
  <c r="AE13" i="91"/>
  <c r="N13" i="91"/>
  <c r="Q13" i="91" s="1"/>
  <c r="AF39" i="91"/>
  <c r="AE39" i="91"/>
  <c r="N39" i="91"/>
  <c r="Q39" i="91" s="1"/>
  <c r="N28" i="91"/>
  <c r="AF28" i="91"/>
  <c r="AE28" i="91"/>
  <c r="AF52" i="91"/>
  <c r="AE52" i="91"/>
  <c r="N52" i="91"/>
  <c r="AF48" i="91"/>
  <c r="N48" i="91"/>
  <c r="P48" i="91" s="1"/>
  <c r="N40" i="91"/>
  <c r="Q40" i="91" s="1"/>
  <c r="AF40" i="91"/>
  <c r="AE40" i="91"/>
  <c r="AF53" i="91"/>
  <c r="AE53" i="91"/>
  <c r="N53" i="91"/>
  <c r="Q53" i="91" s="1"/>
  <c r="N6" i="91"/>
  <c r="Q6" i="91" s="1"/>
  <c r="AF6" i="91"/>
  <c r="AE6" i="91"/>
  <c r="N25" i="91"/>
  <c r="AE25" i="91"/>
  <c r="M30" i="91"/>
  <c r="AF30" i="91" s="1"/>
  <c r="AG25" i="91" s="1"/>
  <c r="M36" i="91"/>
  <c r="N44" i="91"/>
  <c r="M12" i="91"/>
  <c r="N10" i="91"/>
  <c r="N31" i="91"/>
  <c r="P31" i="91" s="1"/>
  <c r="AE57" i="91"/>
  <c r="F21" i="90"/>
  <c r="M24" i="91"/>
  <c r="M42" i="91"/>
  <c r="P60" i="91"/>
  <c r="N23" i="91"/>
  <c r="Q23" i="91" s="1"/>
  <c r="AE38" i="91"/>
  <c r="N41" i="91"/>
  <c r="P41" i="91" s="1"/>
  <c r="AF54" i="91"/>
  <c r="M8" i="91"/>
  <c r="AE26" i="91"/>
  <c r="AF38" i="91"/>
  <c r="AE44" i="91"/>
  <c r="AF26" i="91"/>
  <c r="AE31" i="91"/>
  <c r="N21" i="91"/>
  <c r="Q21" i="91" s="1"/>
  <c r="N29" i="91"/>
  <c r="Q29" i="91" s="1"/>
  <c r="AE34" i="91"/>
  <c r="AE58" i="91"/>
  <c r="AE10" i="91"/>
  <c r="AF58" i="91"/>
  <c r="N5" i="91"/>
  <c r="Q5" i="91" s="1"/>
  <c r="N32" i="91"/>
  <c r="Q32" i="91" s="1"/>
  <c r="P45" i="91"/>
  <c r="M17" i="91"/>
  <c r="G8" i="96"/>
  <c r="AE5" i="91"/>
  <c r="M49" i="91"/>
  <c r="E8" i="96"/>
  <c r="E6" i="90"/>
  <c r="F6" i="90"/>
  <c r="AE45" i="91"/>
  <c r="Q14" i="91"/>
  <c r="I8" i="96"/>
  <c r="G7" i="96"/>
  <c r="E7" i="96"/>
  <c r="F8" i="98"/>
  <c r="G8" i="98"/>
  <c r="E8" i="98"/>
  <c r="Q37" i="95"/>
  <c r="R30" i="95" s="1"/>
  <c r="P37" i="95"/>
  <c r="K14" i="94"/>
  <c r="P45" i="95"/>
  <c r="L14" i="94"/>
  <c r="L15" i="94" s="1"/>
  <c r="Q45" i="95"/>
  <c r="R38" i="95" s="1"/>
  <c r="Q13" i="95"/>
  <c r="R10" i="95" s="1"/>
  <c r="P13" i="95"/>
  <c r="E14" i="94"/>
  <c r="E15" i="94" s="1"/>
  <c r="Q58" i="95"/>
  <c r="R52" i="95" s="1"/>
  <c r="I14" i="94"/>
  <c r="I15" i="94" s="1"/>
  <c r="P58" i="95"/>
  <c r="Q29" i="95"/>
  <c r="R22" i="95" s="1"/>
  <c r="P29" i="95"/>
  <c r="G14" i="94"/>
  <c r="G15" i="94" s="1"/>
  <c r="Q21" i="95"/>
  <c r="R14" i="95" s="1"/>
  <c r="P21" i="95"/>
  <c r="F14" i="94"/>
  <c r="F15" i="94" s="1"/>
  <c r="Q73" i="95"/>
  <c r="R66" i="95" s="1"/>
  <c r="P73" i="95"/>
  <c r="M14" i="94"/>
  <c r="M15" i="94" s="1"/>
  <c r="Q65" i="95"/>
  <c r="R59" i="95" s="1"/>
  <c r="J14" i="94"/>
  <c r="J15" i="94" s="1"/>
  <c r="P65" i="95"/>
  <c r="P9" i="95"/>
  <c r="D2" i="95"/>
  <c r="Q9" i="95"/>
  <c r="R5" i="95" s="1"/>
  <c r="D14" i="94"/>
  <c r="Q51" i="95"/>
  <c r="R46" i="95" s="1"/>
  <c r="H14" i="94"/>
  <c r="H15" i="94" s="1"/>
  <c r="P51" i="95"/>
  <c r="Q57" i="93"/>
  <c r="P57" i="93"/>
  <c r="Q32" i="93"/>
  <c r="P32" i="93"/>
  <c r="Q13" i="93"/>
  <c r="P13" i="93"/>
  <c r="Q30" i="93"/>
  <c r="P30" i="93"/>
  <c r="Q59" i="93"/>
  <c r="P59" i="93"/>
  <c r="N43" i="93"/>
  <c r="AF43" i="93"/>
  <c r="AG35" i="93" s="1"/>
  <c r="AE43" i="93"/>
  <c r="Q10" i="93"/>
  <c r="P10" i="93"/>
  <c r="Q55" i="93"/>
  <c r="P55" i="93"/>
  <c r="Q56" i="93"/>
  <c r="R50" i="93" s="1"/>
  <c r="I14" i="92"/>
  <c r="I15" i="92" s="1"/>
  <c r="P56" i="93"/>
  <c r="AF71" i="93"/>
  <c r="AG64" i="93" s="1"/>
  <c r="AE71" i="93"/>
  <c r="N71" i="93"/>
  <c r="Q66" i="93"/>
  <c r="P66" i="93"/>
  <c r="Q41" i="93"/>
  <c r="P41" i="93"/>
  <c r="Q11" i="93"/>
  <c r="P11" i="93"/>
  <c r="Q12" i="93"/>
  <c r="R9" i="93" s="1"/>
  <c r="E14" i="92"/>
  <c r="E15" i="92" s="1"/>
  <c r="P12" i="93"/>
  <c r="Q53" i="93"/>
  <c r="P53" i="93"/>
  <c r="Q42" i="93"/>
  <c r="P42" i="93"/>
  <c r="N63" i="93"/>
  <c r="AF63" i="93"/>
  <c r="AG57" i="93" s="1"/>
  <c r="AE63" i="93"/>
  <c r="Q5" i="93"/>
  <c r="P5" i="93"/>
  <c r="Q9" i="93"/>
  <c r="P9" i="93"/>
  <c r="N18" i="93"/>
  <c r="AF18" i="93"/>
  <c r="AG13" i="93" s="1"/>
  <c r="AE18" i="93"/>
  <c r="Q36" i="93"/>
  <c r="P36" i="93"/>
  <c r="AF8" i="93"/>
  <c r="AG5" i="93" s="1"/>
  <c r="AE8" i="93"/>
  <c r="N8" i="93"/>
  <c r="Q40" i="93"/>
  <c r="P40" i="93"/>
  <c r="N49" i="93"/>
  <c r="AF49" i="93"/>
  <c r="AG44" i="93" s="1"/>
  <c r="AE49" i="93"/>
  <c r="Q17" i="93"/>
  <c r="P17" i="93"/>
  <c r="Q22" i="93"/>
  <c r="P22" i="93"/>
  <c r="Q50" i="93"/>
  <c r="P50" i="93"/>
  <c r="Q38" i="93"/>
  <c r="P38" i="93"/>
  <c r="Q15" i="93"/>
  <c r="P15" i="93"/>
  <c r="Q37" i="93"/>
  <c r="P37" i="93"/>
  <c r="Q6" i="93"/>
  <c r="P6" i="93"/>
  <c r="AE26" i="93"/>
  <c r="N26" i="93"/>
  <c r="AF26" i="93"/>
  <c r="AG19" i="93" s="1"/>
  <c r="P16" i="93"/>
  <c r="Q16" i="93"/>
  <c r="Q58" i="93"/>
  <c r="P58" i="93"/>
  <c r="Q70" i="93"/>
  <c r="P70" i="93"/>
  <c r="Q35" i="93"/>
  <c r="P35" i="93"/>
  <c r="P46" i="93"/>
  <c r="Q46" i="93"/>
  <c r="P60" i="93"/>
  <c r="Q60" i="93"/>
  <c r="Q54" i="93"/>
  <c r="P54" i="93"/>
  <c r="Q45" i="93"/>
  <c r="P45" i="93"/>
  <c r="Q52" i="93"/>
  <c r="P52" i="93"/>
  <c r="AF34" i="93"/>
  <c r="AG27" i="93" s="1"/>
  <c r="AE34" i="93"/>
  <c r="N34" i="93"/>
  <c r="Q39" i="93"/>
  <c r="P39" i="93"/>
  <c r="Q33" i="93"/>
  <c r="P33" i="93"/>
  <c r="Q7" i="93"/>
  <c r="P7" i="93"/>
  <c r="Q29" i="93"/>
  <c r="P29" i="93"/>
  <c r="Q31" i="93"/>
  <c r="P31" i="93"/>
  <c r="Q14" i="93"/>
  <c r="P14" i="93"/>
  <c r="Q9" i="91"/>
  <c r="P9" i="91"/>
  <c r="N8" i="91"/>
  <c r="AF8" i="91"/>
  <c r="AG5" i="91" s="1"/>
  <c r="AE8" i="91"/>
  <c r="Q57" i="91"/>
  <c r="P57" i="91"/>
  <c r="Q26" i="91"/>
  <c r="P26" i="91"/>
  <c r="N49" i="91"/>
  <c r="AF49" i="91"/>
  <c r="AG43" i="91" s="1"/>
  <c r="AE49" i="91"/>
  <c r="N24" i="91"/>
  <c r="AF24" i="91"/>
  <c r="AG18" i="91" s="1"/>
  <c r="AE24" i="91"/>
  <c r="N42" i="91"/>
  <c r="AF42" i="91"/>
  <c r="AG37" i="91" s="1"/>
  <c r="AE42" i="91"/>
  <c r="N17" i="91"/>
  <c r="AF17" i="91"/>
  <c r="AG13" i="91" s="1"/>
  <c r="AE17" i="91"/>
  <c r="Q34" i="91"/>
  <c r="P34" i="91"/>
  <c r="Q58" i="91"/>
  <c r="P58" i="91"/>
  <c r="N56" i="91"/>
  <c r="AF56" i="91"/>
  <c r="AG50" i="91" s="1"/>
  <c r="AE56" i="91"/>
  <c r="Q25" i="91"/>
  <c r="P25" i="91"/>
  <c r="P6" i="91"/>
  <c r="AF9" i="91"/>
  <c r="P15" i="91"/>
  <c r="AF18" i="91"/>
  <c r="P22" i="91"/>
  <c r="Q31" i="91"/>
  <c r="P32" i="91"/>
  <c r="P40" i="91"/>
  <c r="AF43" i="91"/>
  <c r="P47" i="91"/>
  <c r="P54" i="91"/>
  <c r="P23" i="91"/>
  <c r="P5" i="91"/>
  <c r="Q16" i="91"/>
  <c r="Q33" i="91"/>
  <c r="Q41" i="91"/>
  <c r="Q48" i="91"/>
  <c r="Q55" i="91"/>
  <c r="AE7" i="91"/>
  <c r="P14" i="91"/>
  <c r="AE16" i="91"/>
  <c r="P21" i="91"/>
  <c r="AE23" i="91"/>
  <c r="AF25" i="91"/>
  <c r="P29" i="91"/>
  <c r="AE33" i="91"/>
  <c r="P39" i="91"/>
  <c r="AE41" i="91"/>
  <c r="P46" i="91"/>
  <c r="AE48" i="91"/>
  <c r="P53" i="91"/>
  <c r="AE55" i="91"/>
  <c r="AF57" i="91"/>
  <c r="P61" i="91"/>
  <c r="AF7" i="91"/>
  <c r="P13" i="91"/>
  <c r="AF16" i="91"/>
  <c r="P37" i="91"/>
  <c r="AF41" i="91"/>
  <c r="N18" i="91"/>
  <c r="AE30" i="91"/>
  <c r="N43" i="91"/>
  <c r="N50" i="91"/>
  <c r="AE62" i="91"/>
  <c r="P7" i="91"/>
  <c r="N30" i="91"/>
  <c r="N62" i="91"/>
  <c r="AD61" i="89"/>
  <c r="Z61" i="89"/>
  <c r="Y61" i="89"/>
  <c r="O61" i="89"/>
  <c r="K61" i="89"/>
  <c r="V60" i="89"/>
  <c r="M60" i="89" s="1"/>
  <c r="U60" i="89"/>
  <c r="O60" i="89"/>
  <c r="K60" i="89"/>
  <c r="G60" i="89"/>
  <c r="V59" i="89"/>
  <c r="U59" i="89"/>
  <c r="O59" i="89"/>
  <c r="M59" i="89"/>
  <c r="N59" i="89" s="1"/>
  <c r="K59" i="89"/>
  <c r="G59" i="89"/>
  <c r="V58" i="89"/>
  <c r="M58" i="89" s="1"/>
  <c r="U58" i="89"/>
  <c r="O58" i="89"/>
  <c r="K58" i="89"/>
  <c r="G58" i="89"/>
  <c r="V57" i="89"/>
  <c r="M57" i="89" s="1"/>
  <c r="U57" i="89"/>
  <c r="O57" i="89"/>
  <c r="K57" i="89"/>
  <c r="G57" i="89"/>
  <c r="X56" i="89"/>
  <c r="W56" i="89"/>
  <c r="V56" i="89"/>
  <c r="M56" i="89" s="1"/>
  <c r="O56" i="89"/>
  <c r="K56" i="89"/>
  <c r="G56" i="89"/>
  <c r="AD55" i="89"/>
  <c r="J21" i="88" s="1"/>
  <c r="Z55" i="89"/>
  <c r="J19" i="88" s="1"/>
  <c r="Y55" i="89"/>
  <c r="O55" i="89"/>
  <c r="K55" i="89"/>
  <c r="V54" i="89"/>
  <c r="M54" i="89" s="1"/>
  <c r="U54" i="89"/>
  <c r="O54" i="89"/>
  <c r="K54" i="89"/>
  <c r="G54" i="89"/>
  <c r="V53" i="89"/>
  <c r="M53" i="89" s="1"/>
  <c r="U53" i="89"/>
  <c r="O53" i="89"/>
  <c r="K53" i="89"/>
  <c r="G53" i="89"/>
  <c r="V52" i="89"/>
  <c r="M52" i="89" s="1"/>
  <c r="U52" i="89"/>
  <c r="O52" i="89"/>
  <c r="K52" i="89"/>
  <c r="G52" i="89"/>
  <c r="V51" i="89"/>
  <c r="M51" i="89" s="1"/>
  <c r="U51" i="89"/>
  <c r="O51" i="89"/>
  <c r="K51" i="89"/>
  <c r="G51" i="89"/>
  <c r="V50" i="89"/>
  <c r="M50" i="89" s="1"/>
  <c r="U50" i="89"/>
  <c r="O50" i="89"/>
  <c r="K50" i="89"/>
  <c r="G50" i="89"/>
  <c r="V49" i="89"/>
  <c r="M49" i="89" s="1"/>
  <c r="O49" i="89"/>
  <c r="K49" i="89"/>
  <c r="G49" i="89"/>
  <c r="AD48" i="89"/>
  <c r="Z48" i="89"/>
  <c r="I19" i="88" s="1"/>
  <c r="Y48" i="89"/>
  <c r="O48" i="89"/>
  <c r="K48" i="89"/>
  <c r="V47" i="89"/>
  <c r="U47" i="89"/>
  <c r="O47" i="89"/>
  <c r="M47" i="89"/>
  <c r="AF47" i="89" s="1"/>
  <c r="K47" i="89"/>
  <c r="G47" i="89"/>
  <c r="V46" i="89"/>
  <c r="M46" i="89" s="1"/>
  <c r="AF46" i="89" s="1"/>
  <c r="U46" i="89"/>
  <c r="O46" i="89"/>
  <c r="K46" i="89"/>
  <c r="G46" i="89"/>
  <c r="V45" i="89"/>
  <c r="U45" i="89"/>
  <c r="O45" i="89"/>
  <c r="M45" i="89"/>
  <c r="AE45" i="89" s="1"/>
  <c r="K45" i="89"/>
  <c r="G45" i="89"/>
  <c r="V44" i="89"/>
  <c r="U44" i="89"/>
  <c r="O44" i="89"/>
  <c r="M44" i="89"/>
  <c r="AF44" i="89" s="1"/>
  <c r="K44" i="89"/>
  <c r="G44" i="89"/>
  <c r="V43" i="89"/>
  <c r="M43" i="89" s="1"/>
  <c r="U43" i="89"/>
  <c r="O43" i="89"/>
  <c r="K43" i="89"/>
  <c r="G43" i="89"/>
  <c r="AF42" i="89"/>
  <c r="V42" i="89"/>
  <c r="O42" i="89"/>
  <c r="M42" i="89"/>
  <c r="K42" i="89"/>
  <c r="G42" i="89"/>
  <c r="AD41" i="89"/>
  <c r="Z41" i="89"/>
  <c r="H19" i="88" s="1"/>
  <c r="Y41" i="89"/>
  <c r="O41" i="89"/>
  <c r="K41" i="89"/>
  <c r="V40" i="89"/>
  <c r="M40" i="89" s="1"/>
  <c r="U40" i="89"/>
  <c r="O40" i="89"/>
  <c r="K40" i="89"/>
  <c r="G40" i="89"/>
  <c r="V39" i="89"/>
  <c r="M39" i="89" s="1"/>
  <c r="U39" i="89"/>
  <c r="O39" i="89"/>
  <c r="K39" i="89"/>
  <c r="G39" i="89"/>
  <c r="V38" i="89"/>
  <c r="M38" i="89" s="1"/>
  <c r="U38" i="89"/>
  <c r="O38" i="89"/>
  <c r="K38" i="89"/>
  <c r="G38" i="89"/>
  <c r="V37" i="89"/>
  <c r="M37" i="89" s="1"/>
  <c r="U37" i="89"/>
  <c r="O37" i="89"/>
  <c r="K37" i="89"/>
  <c r="G37" i="89"/>
  <c r="X36" i="89"/>
  <c r="W36" i="89"/>
  <c r="V36" i="89"/>
  <c r="M36" i="89" s="1"/>
  <c r="O36" i="89"/>
  <c r="K36" i="89"/>
  <c r="G36" i="89"/>
  <c r="AD35" i="89"/>
  <c r="L21" i="88" s="1"/>
  <c r="Z35" i="89"/>
  <c r="L19" i="88" s="1"/>
  <c r="Y35" i="89"/>
  <c r="L18" i="88" s="1"/>
  <c r="O35" i="89"/>
  <c r="K35" i="89"/>
  <c r="V34" i="89"/>
  <c r="M34" i="89" s="1"/>
  <c r="U34" i="89"/>
  <c r="O34" i="89"/>
  <c r="K34" i="89"/>
  <c r="G34" i="89"/>
  <c r="V33" i="89"/>
  <c r="M33" i="89" s="1"/>
  <c r="U33" i="89"/>
  <c r="O33" i="89"/>
  <c r="K33" i="89"/>
  <c r="G33" i="89"/>
  <c r="V32" i="89"/>
  <c r="U32" i="89"/>
  <c r="O32" i="89"/>
  <c r="M32" i="89"/>
  <c r="AF32" i="89" s="1"/>
  <c r="K32" i="89"/>
  <c r="G32" i="89"/>
  <c r="V31" i="89"/>
  <c r="M31" i="89" s="1"/>
  <c r="AF31" i="89" s="1"/>
  <c r="U31" i="89"/>
  <c r="O31" i="89"/>
  <c r="K31" i="89"/>
  <c r="G31" i="89"/>
  <c r="X30" i="89"/>
  <c r="W30" i="89"/>
  <c r="V30" i="89"/>
  <c r="M30" i="89" s="1"/>
  <c r="O30" i="89"/>
  <c r="K30" i="89"/>
  <c r="G30" i="89"/>
  <c r="AD29" i="89"/>
  <c r="Z29" i="89"/>
  <c r="K19" i="88" s="1"/>
  <c r="Y29" i="89"/>
  <c r="K18" i="88" s="1"/>
  <c r="O29" i="89"/>
  <c r="K29" i="89"/>
  <c r="V28" i="89"/>
  <c r="U28" i="89"/>
  <c r="O28" i="89"/>
  <c r="M28" i="89"/>
  <c r="AF28" i="89" s="1"/>
  <c r="K28" i="89"/>
  <c r="G28" i="89"/>
  <c r="V27" i="89"/>
  <c r="M27" i="89" s="1"/>
  <c r="AF27" i="89" s="1"/>
  <c r="U27" i="89"/>
  <c r="O27" i="89"/>
  <c r="K27" i="89"/>
  <c r="G27" i="89"/>
  <c r="AF26" i="89"/>
  <c r="V26" i="89"/>
  <c r="U26" i="89"/>
  <c r="O26" i="89"/>
  <c r="M26" i="89"/>
  <c r="AE26" i="89" s="1"/>
  <c r="K26" i="89"/>
  <c r="G26" i="89"/>
  <c r="V25" i="89"/>
  <c r="M25" i="89" s="1"/>
  <c r="U25" i="89"/>
  <c r="O25" i="89"/>
  <c r="K25" i="89"/>
  <c r="G25" i="89"/>
  <c r="X24" i="89"/>
  <c r="W24" i="89"/>
  <c r="V24" i="89"/>
  <c r="M24" i="89" s="1"/>
  <c r="O24" i="89"/>
  <c r="K24" i="89"/>
  <c r="G24" i="89"/>
  <c r="AD23" i="89"/>
  <c r="Z23" i="89"/>
  <c r="G19" i="88" s="1"/>
  <c r="Y23" i="89"/>
  <c r="G18" i="88" s="1"/>
  <c r="O23" i="89"/>
  <c r="K23" i="89"/>
  <c r="G13" i="88" s="1"/>
  <c r="V22" i="89"/>
  <c r="M22" i="89" s="1"/>
  <c r="U22" i="89"/>
  <c r="O22" i="89"/>
  <c r="K22" i="89"/>
  <c r="G22" i="89"/>
  <c r="V21" i="89"/>
  <c r="U21" i="89"/>
  <c r="O21" i="89"/>
  <c r="M21" i="89"/>
  <c r="N21" i="89" s="1"/>
  <c r="K21" i="89"/>
  <c r="G21" i="89"/>
  <c r="V20" i="89"/>
  <c r="M20" i="89" s="1"/>
  <c r="U20" i="89"/>
  <c r="O20" i="89"/>
  <c r="K20" i="89"/>
  <c r="G20" i="89"/>
  <c r="V19" i="89"/>
  <c r="M19" i="89" s="1"/>
  <c r="U19" i="89"/>
  <c r="O19" i="89"/>
  <c r="K19" i="89"/>
  <c r="G19" i="89"/>
  <c r="V18" i="89"/>
  <c r="M18" i="89" s="1"/>
  <c r="U18" i="89"/>
  <c r="O18" i="89"/>
  <c r="K18" i="89"/>
  <c r="G18" i="89"/>
  <c r="V17" i="89"/>
  <c r="M17" i="89" s="1"/>
  <c r="O17" i="89"/>
  <c r="K17" i="89"/>
  <c r="G17" i="89"/>
  <c r="AD16" i="89"/>
  <c r="Z16" i="89"/>
  <c r="F19" i="88" s="1"/>
  <c r="Y16" i="89"/>
  <c r="F18" i="88" s="1"/>
  <c r="O16" i="89"/>
  <c r="K16" i="89"/>
  <c r="F13" i="88" s="1"/>
  <c r="V15" i="89"/>
  <c r="M15" i="89" s="1"/>
  <c r="U15" i="89"/>
  <c r="O15" i="89"/>
  <c r="K15" i="89"/>
  <c r="G15" i="89"/>
  <c r="V14" i="89"/>
  <c r="M14" i="89" s="1"/>
  <c r="U14" i="89"/>
  <c r="O14" i="89"/>
  <c r="K14" i="89"/>
  <c r="G14" i="89"/>
  <c r="V13" i="89"/>
  <c r="M13" i="89" s="1"/>
  <c r="U13" i="89"/>
  <c r="O13" i="89"/>
  <c r="K13" i="89"/>
  <c r="G13" i="89"/>
  <c r="V12" i="89"/>
  <c r="M12" i="89" s="1"/>
  <c r="N12" i="89" s="1"/>
  <c r="Q12" i="89" s="1"/>
  <c r="O12" i="89"/>
  <c r="K12" i="89"/>
  <c r="G12" i="89"/>
  <c r="AD11" i="89"/>
  <c r="Z11" i="89"/>
  <c r="Y11" i="89"/>
  <c r="E18" i="88" s="1"/>
  <c r="O11" i="89"/>
  <c r="K11" i="89"/>
  <c r="V10" i="89"/>
  <c r="M10" i="89" s="1"/>
  <c r="AF10" i="89" s="1"/>
  <c r="U10" i="89"/>
  <c r="O10" i="89"/>
  <c r="K10" i="89"/>
  <c r="G10" i="89"/>
  <c r="V9" i="89"/>
  <c r="M9" i="89" s="1"/>
  <c r="O9" i="89"/>
  <c r="K9" i="89"/>
  <c r="G9" i="89"/>
  <c r="AD8" i="89"/>
  <c r="Z8" i="89"/>
  <c r="Y8" i="89"/>
  <c r="D18" i="88" s="1"/>
  <c r="O8" i="89"/>
  <c r="K8" i="89"/>
  <c r="D13" i="88" s="1"/>
  <c r="V7" i="89"/>
  <c r="M7" i="89" s="1"/>
  <c r="U7" i="89"/>
  <c r="O7" i="89"/>
  <c r="K7" i="89"/>
  <c r="G7" i="89"/>
  <c r="V6" i="89"/>
  <c r="M6" i="89" s="1"/>
  <c r="U6" i="89"/>
  <c r="O6" i="89"/>
  <c r="K6" i="89"/>
  <c r="G6" i="89"/>
  <c r="V5" i="89"/>
  <c r="M5" i="89" s="1"/>
  <c r="O5" i="89"/>
  <c r="K5" i="89"/>
  <c r="G5" i="89"/>
  <c r="Z2" i="89"/>
  <c r="L6" i="88" s="1"/>
  <c r="H2" i="89"/>
  <c r="H1" i="89"/>
  <c r="D1" i="89"/>
  <c r="M22" i="88"/>
  <c r="L22" i="88"/>
  <c r="K22" i="88"/>
  <c r="J22" i="88"/>
  <c r="I22" i="88"/>
  <c r="H22" i="88"/>
  <c r="G22" i="88"/>
  <c r="F22" i="88"/>
  <c r="E22" i="88"/>
  <c r="D22" i="88"/>
  <c r="M21" i="88"/>
  <c r="K21" i="88"/>
  <c r="I21" i="88"/>
  <c r="G21" i="88"/>
  <c r="F21" i="88"/>
  <c r="E21" i="88"/>
  <c r="D21" i="88"/>
  <c r="M20" i="88"/>
  <c r="L20" i="88"/>
  <c r="K20" i="88"/>
  <c r="J20" i="88"/>
  <c r="I20" i="88"/>
  <c r="H20" i="88"/>
  <c r="G20" i="88"/>
  <c r="F20" i="88"/>
  <c r="E20" i="88"/>
  <c r="D20" i="88"/>
  <c r="M19" i="88"/>
  <c r="E19" i="88"/>
  <c r="D19" i="88"/>
  <c r="M18" i="88"/>
  <c r="J18" i="88"/>
  <c r="I18" i="88"/>
  <c r="H18" i="88"/>
  <c r="M17" i="88"/>
  <c r="L17" i="88"/>
  <c r="K17" i="88"/>
  <c r="J17" i="88"/>
  <c r="I17" i="88"/>
  <c r="H17" i="88"/>
  <c r="G17" i="88"/>
  <c r="F17" i="88"/>
  <c r="E17" i="88"/>
  <c r="D17" i="88"/>
  <c r="M16" i="88"/>
  <c r="L16" i="88"/>
  <c r="K16" i="88"/>
  <c r="J16" i="88"/>
  <c r="I16" i="88"/>
  <c r="H16" i="88"/>
  <c r="G16" i="88"/>
  <c r="F16" i="88"/>
  <c r="E16" i="88"/>
  <c r="D16" i="88"/>
  <c r="M13" i="88"/>
  <c r="L13" i="88"/>
  <c r="K13" i="88"/>
  <c r="I6" i="88" s="1"/>
  <c r="J13" i="88"/>
  <c r="I13" i="88"/>
  <c r="H13" i="88"/>
  <c r="E13" i="88"/>
  <c r="M6" i="88"/>
  <c r="F3" i="88"/>
  <c r="C3" i="88"/>
  <c r="N43" i="89" l="1"/>
  <c r="AF43" i="89"/>
  <c r="AE43" i="89"/>
  <c r="M29" i="89"/>
  <c r="AF24" i="89"/>
  <c r="AF13" i="89"/>
  <c r="N13" i="89"/>
  <c r="Q13" i="89" s="1"/>
  <c r="AF9" i="89"/>
  <c r="M11" i="89"/>
  <c r="AF25" i="89"/>
  <c r="AE25" i="89"/>
  <c r="N25" i="89"/>
  <c r="Q25" i="89" s="1"/>
  <c r="N5" i="89"/>
  <c r="AF5" i="89"/>
  <c r="M8" i="89"/>
  <c r="AF8" i="89" s="1"/>
  <c r="AG5" i="89" s="1"/>
  <c r="AE5" i="89"/>
  <c r="N56" i="89"/>
  <c r="AE56" i="89"/>
  <c r="AF22" i="89"/>
  <c r="AE22" i="89"/>
  <c r="N22" i="89"/>
  <c r="Q22" i="89" s="1"/>
  <c r="N60" i="89"/>
  <c r="Q60" i="89" s="1"/>
  <c r="AF60" i="89"/>
  <c r="AE60" i="89"/>
  <c r="N6" i="89"/>
  <c r="AF6" i="89"/>
  <c r="AE6" i="89"/>
  <c r="AF7" i="89"/>
  <c r="AE7" i="89"/>
  <c r="N7" i="89"/>
  <c r="Q7" i="89" s="1"/>
  <c r="F1" i="89"/>
  <c r="Q20" i="91"/>
  <c r="P20" i="91"/>
  <c r="AE21" i="89"/>
  <c r="N44" i="89"/>
  <c r="Q44" i="89" s="1"/>
  <c r="AF21" i="89"/>
  <c r="AD2" i="89"/>
  <c r="N6" i="88" s="1"/>
  <c r="Q52" i="91"/>
  <c r="P52" i="91"/>
  <c r="P11" i="91"/>
  <c r="Q11" i="91"/>
  <c r="P27" i="91"/>
  <c r="Q27" i="91"/>
  <c r="M48" i="89"/>
  <c r="AE44" i="89"/>
  <c r="P10" i="91"/>
  <c r="Q10" i="91"/>
  <c r="N12" i="91"/>
  <c r="AF12" i="91"/>
  <c r="AG9" i="91" s="1"/>
  <c r="AE12" i="91"/>
  <c r="P44" i="91"/>
  <c r="Q44" i="91"/>
  <c r="AE42" i="89"/>
  <c r="N36" i="91"/>
  <c r="AF36" i="91"/>
  <c r="AG31" i="91" s="1"/>
  <c r="AE36" i="91"/>
  <c r="Q28" i="91"/>
  <c r="P28" i="91"/>
  <c r="AE59" i="89"/>
  <c r="AF59" i="89"/>
  <c r="P19" i="91"/>
  <c r="Q19" i="91"/>
  <c r="N32" i="89"/>
  <c r="Q32" i="89" s="1"/>
  <c r="AF45" i="89"/>
  <c r="E7" i="94"/>
  <c r="D15" i="94"/>
  <c r="G7" i="94"/>
  <c r="F7" i="94"/>
  <c r="K15" i="94"/>
  <c r="I8" i="94" s="1"/>
  <c r="I7" i="94"/>
  <c r="Q26" i="93"/>
  <c r="R19" i="93" s="1"/>
  <c r="P26" i="93"/>
  <c r="G14" i="92"/>
  <c r="G15" i="92" s="1"/>
  <c r="P43" i="93"/>
  <c r="Q43" i="93"/>
  <c r="R35" i="93" s="1"/>
  <c r="L14" i="92"/>
  <c r="L15" i="92" s="1"/>
  <c r="Q49" i="93"/>
  <c r="R44" i="93" s="1"/>
  <c r="P49" i="93"/>
  <c r="H14" i="92"/>
  <c r="H15" i="92" s="1"/>
  <c r="Q34" i="93"/>
  <c r="R27" i="93" s="1"/>
  <c r="P34" i="93"/>
  <c r="K14" i="92"/>
  <c r="P18" i="93"/>
  <c r="Q18" i="93"/>
  <c r="R13" i="93" s="1"/>
  <c r="F14" i="92"/>
  <c r="F15" i="92" s="1"/>
  <c r="Q71" i="93"/>
  <c r="R64" i="93" s="1"/>
  <c r="P71" i="93"/>
  <c r="M14" i="92"/>
  <c r="M15" i="92" s="1"/>
  <c r="D2" i="93"/>
  <c r="Q8" i="93"/>
  <c r="R5" i="93" s="1"/>
  <c r="P8" i="93"/>
  <c r="D14" i="92"/>
  <c r="Q63" i="93"/>
  <c r="R57" i="93" s="1"/>
  <c r="P63" i="93"/>
  <c r="J14" i="92"/>
  <c r="J15" i="92" s="1"/>
  <c r="K14" i="90"/>
  <c r="Q30" i="91"/>
  <c r="R25" i="91" s="1"/>
  <c r="P30" i="91"/>
  <c r="G14" i="90"/>
  <c r="G15" i="90" s="1"/>
  <c r="Q24" i="91"/>
  <c r="R18" i="91" s="1"/>
  <c r="P24" i="91"/>
  <c r="D14" i="90"/>
  <c r="Q8" i="91"/>
  <c r="R5" i="91" s="1"/>
  <c r="P8" i="91"/>
  <c r="D2" i="91"/>
  <c r="Q18" i="91"/>
  <c r="P18" i="91"/>
  <c r="Q49" i="91"/>
  <c r="R43" i="91" s="1"/>
  <c r="P49" i="91"/>
  <c r="I14" i="90"/>
  <c r="I15" i="90" s="1"/>
  <c r="M14" i="90"/>
  <c r="M15" i="90" s="1"/>
  <c r="Q62" i="91"/>
  <c r="R57" i="91" s="1"/>
  <c r="P62" i="91"/>
  <c r="Q56" i="91"/>
  <c r="R50" i="91" s="1"/>
  <c r="P56" i="91"/>
  <c r="J14" i="90"/>
  <c r="J15" i="90" s="1"/>
  <c r="Q50" i="91"/>
  <c r="P50" i="91"/>
  <c r="H14" i="90"/>
  <c r="H15" i="90" s="1"/>
  <c r="Q42" i="91"/>
  <c r="R37" i="91" s="1"/>
  <c r="P42" i="91"/>
  <c r="Q43" i="91"/>
  <c r="P43" i="91"/>
  <c r="P17" i="91"/>
  <c r="Q17" i="91"/>
  <c r="R13" i="91" s="1"/>
  <c r="F14" i="90"/>
  <c r="F15" i="90" s="1"/>
  <c r="N39" i="89"/>
  <c r="AF39" i="89"/>
  <c r="AE39" i="89"/>
  <c r="N51" i="89"/>
  <c r="AF51" i="89"/>
  <c r="AE51" i="89"/>
  <c r="Q6" i="89"/>
  <c r="P6" i="89"/>
  <c r="AF48" i="89"/>
  <c r="AG42" i="89" s="1"/>
  <c r="AE48" i="89"/>
  <c r="N48" i="89"/>
  <c r="AF29" i="89"/>
  <c r="AG24" i="89" s="1"/>
  <c r="AE29" i="89"/>
  <c r="N29" i="89"/>
  <c r="N54" i="89"/>
  <c r="AE54" i="89"/>
  <c r="AF54" i="89"/>
  <c r="G6" i="88"/>
  <c r="F6" i="88"/>
  <c r="E6" i="88"/>
  <c r="N18" i="89"/>
  <c r="AF18" i="89"/>
  <c r="AE18" i="89"/>
  <c r="Q21" i="89"/>
  <c r="P21" i="89"/>
  <c r="AF33" i="89"/>
  <c r="AE33" i="89"/>
  <c r="N33" i="89"/>
  <c r="N40" i="89"/>
  <c r="AE40" i="89"/>
  <c r="AF40" i="89"/>
  <c r="N52" i="89"/>
  <c r="AF52" i="89"/>
  <c r="AE52" i="89"/>
  <c r="Q59" i="89"/>
  <c r="P59" i="89"/>
  <c r="N37" i="89"/>
  <c r="AF37" i="89"/>
  <c r="AE37" i="89"/>
  <c r="AF49" i="89"/>
  <c r="AE49" i="89"/>
  <c r="M55" i="89"/>
  <c r="N49" i="89"/>
  <c r="Q5" i="89"/>
  <c r="P5" i="89"/>
  <c r="M16" i="89"/>
  <c r="N15" i="89"/>
  <c r="AF15" i="89"/>
  <c r="AE15" i="89"/>
  <c r="N20" i="89"/>
  <c r="AF20" i="89"/>
  <c r="AE20" i="89"/>
  <c r="N58" i="89"/>
  <c r="AF58" i="89"/>
  <c r="AE58" i="89"/>
  <c r="F2" i="89"/>
  <c r="I3" i="88"/>
  <c r="AF50" i="89"/>
  <c r="AE50" i="89"/>
  <c r="N50" i="89"/>
  <c r="Q43" i="89"/>
  <c r="P43" i="89"/>
  <c r="AF14" i="89"/>
  <c r="AE14" i="89"/>
  <c r="N14" i="89"/>
  <c r="N19" i="89"/>
  <c r="AE19" i="89"/>
  <c r="AF19" i="89"/>
  <c r="AF30" i="89"/>
  <c r="M35" i="89"/>
  <c r="AE30" i="89"/>
  <c r="N30" i="89"/>
  <c r="N36" i="89"/>
  <c r="AF36" i="89"/>
  <c r="M41" i="89"/>
  <c r="AE36" i="89"/>
  <c r="N38" i="89"/>
  <c r="AF38" i="89"/>
  <c r="AE38" i="89"/>
  <c r="N57" i="89"/>
  <c r="M61" i="89"/>
  <c r="AE57" i="89"/>
  <c r="AF57" i="89"/>
  <c r="N34" i="89"/>
  <c r="AF34" i="89"/>
  <c r="AE34" i="89"/>
  <c r="N53" i="89"/>
  <c r="AF53" i="89"/>
  <c r="AE53" i="89"/>
  <c r="N17" i="89"/>
  <c r="M23" i="89"/>
  <c r="AF17" i="89"/>
  <c r="AE17" i="89"/>
  <c r="Q56" i="89"/>
  <c r="P56" i="89"/>
  <c r="Y2" i="89"/>
  <c r="K6" i="88" s="1"/>
  <c r="N8" i="89"/>
  <c r="N9" i="89"/>
  <c r="N10" i="89"/>
  <c r="P12" i="89"/>
  <c r="P13" i="89"/>
  <c r="N24" i="89"/>
  <c r="N27" i="89"/>
  <c r="P32" i="89"/>
  <c r="N46" i="89"/>
  <c r="AF56" i="89"/>
  <c r="N26" i="89"/>
  <c r="N45" i="89"/>
  <c r="H21" i="88"/>
  <c r="N28" i="89"/>
  <c r="N31" i="89"/>
  <c r="N47" i="89"/>
  <c r="N42" i="89"/>
  <c r="P7" i="89"/>
  <c r="AE12" i="89"/>
  <c r="AE13" i="89"/>
  <c r="P22" i="89"/>
  <c r="P25" i="89"/>
  <c r="AE32" i="89"/>
  <c r="P44" i="89"/>
  <c r="P60" i="89"/>
  <c r="AE11" i="89"/>
  <c r="AF12" i="89"/>
  <c r="AE28" i="89"/>
  <c r="AE31" i="89"/>
  <c r="AE47" i="89"/>
  <c r="AE9" i="89"/>
  <c r="AE10" i="89"/>
  <c r="AE27" i="89"/>
  <c r="AE46" i="89"/>
  <c r="AE8" i="89"/>
  <c r="AE24" i="89"/>
  <c r="AD62" i="87"/>
  <c r="AC62" i="87"/>
  <c r="Z62" i="87"/>
  <c r="Y62" i="87"/>
  <c r="O62" i="87"/>
  <c r="K62" i="87"/>
  <c r="V61" i="87"/>
  <c r="M61" i="87" s="1"/>
  <c r="AF61" i="87" s="1"/>
  <c r="U61" i="87"/>
  <c r="O61" i="87"/>
  <c r="K61" i="87"/>
  <c r="G61" i="87"/>
  <c r="V60" i="87"/>
  <c r="M60" i="87" s="1"/>
  <c r="U60" i="87"/>
  <c r="O60" i="87"/>
  <c r="K60" i="87"/>
  <c r="G60" i="87"/>
  <c r="V59" i="87"/>
  <c r="M59" i="87" s="1"/>
  <c r="U59" i="87"/>
  <c r="O59" i="87"/>
  <c r="K59" i="87"/>
  <c r="G59" i="87"/>
  <c r="V58" i="87"/>
  <c r="M58" i="87" s="1"/>
  <c r="U58" i="87"/>
  <c r="O58" i="87"/>
  <c r="K58" i="87"/>
  <c r="G58" i="87"/>
  <c r="X57" i="87"/>
  <c r="W57" i="87"/>
  <c r="V57" i="87"/>
  <c r="M57" i="87" s="1"/>
  <c r="O57" i="87"/>
  <c r="K57" i="87"/>
  <c r="G57" i="87"/>
  <c r="AD56" i="87"/>
  <c r="AC56" i="87"/>
  <c r="Z56" i="87"/>
  <c r="Y56" i="87"/>
  <c r="O56" i="87"/>
  <c r="K56" i="87"/>
  <c r="V55" i="87"/>
  <c r="U55" i="87"/>
  <c r="O55" i="87"/>
  <c r="M55" i="87"/>
  <c r="N55" i="87" s="1"/>
  <c r="K55" i="87"/>
  <c r="G55" i="87"/>
  <c r="V54" i="87"/>
  <c r="M54" i="87" s="1"/>
  <c r="U54" i="87"/>
  <c r="O54" i="87"/>
  <c r="K54" i="87"/>
  <c r="G54" i="87"/>
  <c r="V53" i="87"/>
  <c r="M53" i="87" s="1"/>
  <c r="U53" i="87"/>
  <c r="O53" i="87"/>
  <c r="K53" i="87"/>
  <c r="G53" i="87"/>
  <c r="V52" i="87"/>
  <c r="M52" i="87" s="1"/>
  <c r="U52" i="87"/>
  <c r="O52" i="87"/>
  <c r="K52" i="87"/>
  <c r="G52" i="87"/>
  <c r="V51" i="87"/>
  <c r="M51" i="87" s="1"/>
  <c r="U51" i="87"/>
  <c r="O51" i="87"/>
  <c r="K51" i="87"/>
  <c r="G51" i="87"/>
  <c r="V50" i="87"/>
  <c r="M50" i="87" s="1"/>
  <c r="O50" i="87"/>
  <c r="K50" i="87"/>
  <c r="G50" i="87"/>
  <c r="AD49" i="87"/>
  <c r="AC49" i="87"/>
  <c r="Z49" i="87"/>
  <c r="Y49" i="87"/>
  <c r="O49" i="87"/>
  <c r="K49" i="87"/>
  <c r="V48" i="87"/>
  <c r="M48" i="87" s="1"/>
  <c r="U48" i="87"/>
  <c r="O48" i="87"/>
  <c r="K48" i="87"/>
  <c r="G48" i="87"/>
  <c r="V47" i="87"/>
  <c r="M47" i="87" s="1"/>
  <c r="U47" i="87"/>
  <c r="O47" i="87"/>
  <c r="K47" i="87"/>
  <c r="G47" i="87"/>
  <c r="V46" i="87"/>
  <c r="U46" i="87"/>
  <c r="O46" i="87"/>
  <c r="N46" i="87"/>
  <c r="M46" i="87"/>
  <c r="AF46" i="87" s="1"/>
  <c r="K46" i="87"/>
  <c r="G46" i="87"/>
  <c r="V45" i="87"/>
  <c r="U45" i="87"/>
  <c r="O45" i="87"/>
  <c r="M45" i="87"/>
  <c r="AF45" i="87" s="1"/>
  <c r="K45" i="87"/>
  <c r="G45" i="87"/>
  <c r="V44" i="87"/>
  <c r="U44" i="87"/>
  <c r="O44" i="87"/>
  <c r="M44" i="87"/>
  <c r="AF44" i="87" s="1"/>
  <c r="K44" i="87"/>
  <c r="G44" i="87"/>
  <c r="V43" i="87"/>
  <c r="O43" i="87"/>
  <c r="M43" i="87"/>
  <c r="AF43" i="87" s="1"/>
  <c r="K43" i="87"/>
  <c r="G43" i="87"/>
  <c r="AD42" i="87"/>
  <c r="AC42" i="87"/>
  <c r="Z42" i="87"/>
  <c r="Y42" i="87"/>
  <c r="H18" i="86" s="1"/>
  <c r="O42" i="87"/>
  <c r="K42" i="87"/>
  <c r="V41" i="87"/>
  <c r="M41" i="87" s="1"/>
  <c r="AF41" i="87" s="1"/>
  <c r="U41" i="87"/>
  <c r="O41" i="87"/>
  <c r="K41" i="87"/>
  <c r="G41" i="87"/>
  <c r="V40" i="87"/>
  <c r="U40" i="87"/>
  <c r="O40" i="87"/>
  <c r="M40" i="87"/>
  <c r="AE40" i="87" s="1"/>
  <c r="K40" i="87"/>
  <c r="G40" i="87"/>
  <c r="V39" i="87"/>
  <c r="M39" i="87" s="1"/>
  <c r="N39" i="87" s="1"/>
  <c r="U39" i="87"/>
  <c r="O39" i="87"/>
  <c r="K39" i="87"/>
  <c r="G39" i="87"/>
  <c r="AE38" i="87"/>
  <c r="V38" i="87"/>
  <c r="U38" i="87"/>
  <c r="O38" i="87"/>
  <c r="M38" i="87"/>
  <c r="N38" i="87" s="1"/>
  <c r="K38" i="87"/>
  <c r="G38" i="87"/>
  <c r="X37" i="87"/>
  <c r="W37" i="87"/>
  <c r="V37" i="87"/>
  <c r="M37" i="87" s="1"/>
  <c r="O37" i="87"/>
  <c r="K37" i="87"/>
  <c r="G37" i="87"/>
  <c r="AD36" i="87"/>
  <c r="L21" i="86" s="1"/>
  <c r="AC36" i="87"/>
  <c r="Z36" i="87"/>
  <c r="Y36" i="87"/>
  <c r="L18" i="86" s="1"/>
  <c r="O36" i="87"/>
  <c r="K36" i="87"/>
  <c r="V35" i="87"/>
  <c r="U35" i="87"/>
  <c r="O35" i="87"/>
  <c r="M35" i="87"/>
  <c r="N35" i="87" s="1"/>
  <c r="K35" i="87"/>
  <c r="G35" i="87"/>
  <c r="AE34" i="87"/>
  <c r="X34" i="87"/>
  <c r="W34" i="87"/>
  <c r="V34" i="87"/>
  <c r="U34" i="87"/>
  <c r="O34" i="87"/>
  <c r="M34" i="87"/>
  <c r="N34" i="87" s="1"/>
  <c r="Q34" i="87" s="1"/>
  <c r="K34" i="87"/>
  <c r="G34" i="87"/>
  <c r="V33" i="87"/>
  <c r="M33" i="87" s="1"/>
  <c r="N33" i="87" s="1"/>
  <c r="U33" i="87"/>
  <c r="O33" i="87"/>
  <c r="K33" i="87"/>
  <c r="G33" i="87"/>
  <c r="AE32" i="87"/>
  <c r="V32" i="87"/>
  <c r="U32" i="87"/>
  <c r="O32" i="87"/>
  <c r="M32" i="87"/>
  <c r="N32" i="87" s="1"/>
  <c r="K32" i="87"/>
  <c r="G32" i="87"/>
  <c r="V31" i="87"/>
  <c r="M31" i="87" s="1"/>
  <c r="U31" i="87"/>
  <c r="O31" i="87"/>
  <c r="K31" i="87"/>
  <c r="G31" i="87"/>
  <c r="X30" i="87"/>
  <c r="W30" i="87"/>
  <c r="V30" i="87"/>
  <c r="O30" i="87"/>
  <c r="M30" i="87"/>
  <c r="N30" i="87" s="1"/>
  <c r="K30" i="87"/>
  <c r="G30" i="87"/>
  <c r="AD29" i="87"/>
  <c r="AC29" i="87"/>
  <c r="Z29" i="87"/>
  <c r="Y29" i="87"/>
  <c r="K18" i="86" s="1"/>
  <c r="O29" i="87"/>
  <c r="K29" i="87"/>
  <c r="V28" i="87"/>
  <c r="M28" i="87" s="1"/>
  <c r="U28" i="87"/>
  <c r="O28" i="87"/>
  <c r="K28" i="87"/>
  <c r="G28" i="87"/>
  <c r="V27" i="87"/>
  <c r="M27" i="87" s="1"/>
  <c r="U27" i="87"/>
  <c r="O27" i="87"/>
  <c r="K27" i="87"/>
  <c r="G27" i="87"/>
  <c r="V26" i="87"/>
  <c r="M26" i="87" s="1"/>
  <c r="U26" i="87"/>
  <c r="O26" i="87"/>
  <c r="K26" i="87"/>
  <c r="G26" i="87"/>
  <c r="V25" i="87"/>
  <c r="M25" i="87" s="1"/>
  <c r="U25" i="87"/>
  <c r="O25" i="87"/>
  <c r="K25" i="87"/>
  <c r="G25" i="87"/>
  <c r="X24" i="87"/>
  <c r="W24" i="87"/>
  <c r="V24" i="87"/>
  <c r="M24" i="87" s="1"/>
  <c r="O24" i="87"/>
  <c r="K24" i="87"/>
  <c r="G24" i="87"/>
  <c r="AD23" i="87"/>
  <c r="AC23" i="87"/>
  <c r="Z23" i="87"/>
  <c r="Y23" i="87"/>
  <c r="G18" i="86" s="1"/>
  <c r="O23" i="87"/>
  <c r="K23" i="87"/>
  <c r="V22" i="87"/>
  <c r="M22" i="87" s="1"/>
  <c r="N22" i="87" s="1"/>
  <c r="U22" i="87"/>
  <c r="O22" i="87"/>
  <c r="K22" i="87"/>
  <c r="G22" i="87"/>
  <c r="V21" i="87"/>
  <c r="M21" i="87" s="1"/>
  <c r="U21" i="87"/>
  <c r="O21" i="87"/>
  <c r="K21" i="87"/>
  <c r="G21" i="87"/>
  <c r="V20" i="87"/>
  <c r="M20" i="87" s="1"/>
  <c r="U20" i="87"/>
  <c r="O20" i="87"/>
  <c r="K20" i="87"/>
  <c r="G20" i="87"/>
  <c r="V19" i="87"/>
  <c r="M19" i="87" s="1"/>
  <c r="U19" i="87"/>
  <c r="O19" i="87"/>
  <c r="K19" i="87"/>
  <c r="G19" i="87"/>
  <c r="V18" i="87"/>
  <c r="M18" i="87" s="1"/>
  <c r="U18" i="87"/>
  <c r="O18" i="87"/>
  <c r="K18" i="87"/>
  <c r="G18" i="87"/>
  <c r="V17" i="87"/>
  <c r="M17" i="87" s="1"/>
  <c r="O17" i="87"/>
  <c r="K17" i="87"/>
  <c r="G17" i="87"/>
  <c r="AD16" i="87"/>
  <c r="AC16" i="87"/>
  <c r="Z16" i="87"/>
  <c r="Y16" i="87"/>
  <c r="O16" i="87"/>
  <c r="K16" i="87"/>
  <c r="V15" i="87"/>
  <c r="M15" i="87" s="1"/>
  <c r="U15" i="87"/>
  <c r="O15" i="87"/>
  <c r="K15" i="87"/>
  <c r="G15" i="87"/>
  <c r="V14" i="87"/>
  <c r="M14" i="87" s="1"/>
  <c r="U14" i="87"/>
  <c r="O14" i="87"/>
  <c r="K14" i="87"/>
  <c r="G14" i="87"/>
  <c r="V13" i="87"/>
  <c r="U13" i="87"/>
  <c r="O13" i="87"/>
  <c r="M13" i="87"/>
  <c r="AF13" i="87" s="1"/>
  <c r="K13" i="87"/>
  <c r="G13" i="87"/>
  <c r="V12" i="87"/>
  <c r="O12" i="87"/>
  <c r="M12" i="87"/>
  <c r="K12" i="87"/>
  <c r="G12" i="87"/>
  <c r="AD11" i="87"/>
  <c r="AC11" i="87"/>
  <c r="E20" i="86" s="1"/>
  <c r="Z11" i="87"/>
  <c r="E19" i="86" s="1"/>
  <c r="Y11" i="87"/>
  <c r="O11" i="87"/>
  <c r="K11" i="87"/>
  <c r="V10" i="87"/>
  <c r="U10" i="87"/>
  <c r="O10" i="87"/>
  <c r="M10" i="87"/>
  <c r="AE10" i="87" s="1"/>
  <c r="K10" i="87"/>
  <c r="G10" i="87"/>
  <c r="V9" i="87"/>
  <c r="O9" i="87"/>
  <c r="N9" i="87"/>
  <c r="P9" i="87" s="1"/>
  <c r="M9" i="87"/>
  <c r="AE9" i="87" s="1"/>
  <c r="K9" i="87"/>
  <c r="G9" i="87"/>
  <c r="AD8" i="87"/>
  <c r="D21" i="86" s="1"/>
  <c r="AC8" i="87"/>
  <c r="Z8" i="87"/>
  <c r="Y8" i="87"/>
  <c r="D18" i="86" s="1"/>
  <c r="O8" i="87"/>
  <c r="K8" i="87"/>
  <c r="V7" i="87"/>
  <c r="M7" i="87" s="1"/>
  <c r="U7" i="87"/>
  <c r="O7" i="87"/>
  <c r="K7" i="87"/>
  <c r="G7" i="87"/>
  <c r="V6" i="87"/>
  <c r="M6" i="87" s="1"/>
  <c r="U6" i="87"/>
  <c r="O6" i="87"/>
  <c r="K6" i="87"/>
  <c r="G6" i="87"/>
  <c r="AE5" i="87"/>
  <c r="V5" i="87"/>
  <c r="O5" i="87"/>
  <c r="M5" i="87"/>
  <c r="N5" i="87" s="1"/>
  <c r="K5" i="87"/>
  <c r="G5" i="87"/>
  <c r="F1" i="87" s="1"/>
  <c r="AC2" i="87"/>
  <c r="H2" i="87"/>
  <c r="H1" i="87"/>
  <c r="D1" i="87"/>
  <c r="M22" i="86"/>
  <c r="L22" i="86"/>
  <c r="K22" i="86"/>
  <c r="J22" i="86"/>
  <c r="I22" i="86"/>
  <c r="H22" i="86"/>
  <c r="G22" i="86"/>
  <c r="F22" i="86"/>
  <c r="E22" i="86"/>
  <c r="D22" i="86"/>
  <c r="M21" i="86"/>
  <c r="K21" i="86"/>
  <c r="J21" i="86"/>
  <c r="I21" i="86"/>
  <c r="H21" i="86"/>
  <c r="G21" i="86"/>
  <c r="F21" i="86"/>
  <c r="E21" i="86"/>
  <c r="M20" i="86"/>
  <c r="L20" i="86"/>
  <c r="K20" i="86"/>
  <c r="J20" i="86"/>
  <c r="I20" i="86"/>
  <c r="H20" i="86"/>
  <c r="G20" i="86"/>
  <c r="F20" i="86"/>
  <c r="D20" i="86"/>
  <c r="M19" i="86"/>
  <c r="L19" i="86"/>
  <c r="K19" i="86"/>
  <c r="J19" i="86"/>
  <c r="I19" i="86"/>
  <c r="H19" i="86"/>
  <c r="G19" i="86"/>
  <c r="F19" i="86"/>
  <c r="D19" i="86"/>
  <c r="M18" i="86"/>
  <c r="J18" i="86"/>
  <c r="I18" i="86"/>
  <c r="F18" i="86"/>
  <c r="E18" i="86"/>
  <c r="M17" i="86"/>
  <c r="L17" i="86"/>
  <c r="K17" i="86"/>
  <c r="J17" i="86"/>
  <c r="I17" i="86"/>
  <c r="H17" i="86"/>
  <c r="G17" i="86"/>
  <c r="F17" i="86"/>
  <c r="E17" i="86"/>
  <c r="D17" i="86"/>
  <c r="M16" i="86"/>
  <c r="L16" i="86"/>
  <c r="K16" i="86"/>
  <c r="J16" i="86"/>
  <c r="I16" i="86"/>
  <c r="H16" i="86"/>
  <c r="G16" i="86"/>
  <c r="F16" i="86"/>
  <c r="E16" i="86"/>
  <c r="D16" i="86"/>
  <c r="M13" i="86"/>
  <c r="L13" i="86"/>
  <c r="K13" i="86"/>
  <c r="I6" i="86" s="1"/>
  <c r="J13" i="86"/>
  <c r="I13" i="86"/>
  <c r="H13" i="86"/>
  <c r="F6" i="86" s="1"/>
  <c r="G13" i="86"/>
  <c r="F13" i="86"/>
  <c r="E13" i="86"/>
  <c r="D13" i="86"/>
  <c r="M6" i="86"/>
  <c r="F3" i="86"/>
  <c r="C3" i="86"/>
  <c r="AF15" i="87" l="1"/>
  <c r="AE15" i="87"/>
  <c r="N15" i="87"/>
  <c r="Q15" i="87" s="1"/>
  <c r="N37" i="87"/>
  <c r="Q37" i="87" s="1"/>
  <c r="AF37" i="87"/>
  <c r="AE37" i="87"/>
  <c r="N59" i="87"/>
  <c r="AE59" i="87"/>
  <c r="AF59" i="87"/>
  <c r="N28" i="87"/>
  <c r="AF28" i="87"/>
  <c r="AE28" i="87"/>
  <c r="AE60" i="87"/>
  <c r="AF60" i="87"/>
  <c r="N60" i="87"/>
  <c r="Q60" i="87" s="1"/>
  <c r="N6" i="87"/>
  <c r="AF6" i="87"/>
  <c r="AE6" i="87"/>
  <c r="AF57" i="87"/>
  <c r="AE57" i="87"/>
  <c r="N57" i="87"/>
  <c r="Q57" i="87" s="1"/>
  <c r="N7" i="87"/>
  <c r="AF7" i="87"/>
  <c r="AF5" i="87"/>
  <c r="Q46" i="87"/>
  <c r="AF34" i="87"/>
  <c r="N40" i="87"/>
  <c r="Q40" i="87" s="1"/>
  <c r="AF32" i="87"/>
  <c r="L14" i="90"/>
  <c r="L15" i="90" s="1"/>
  <c r="Q36" i="91"/>
  <c r="R31" i="91" s="1"/>
  <c r="P36" i="91"/>
  <c r="M16" i="87"/>
  <c r="Q9" i="87"/>
  <c r="AD2" i="87"/>
  <c r="N6" i="86" s="1"/>
  <c r="AE55" i="87"/>
  <c r="AF55" i="87"/>
  <c r="AF11" i="89"/>
  <c r="AG9" i="89" s="1"/>
  <c r="N11" i="89"/>
  <c r="Q12" i="91"/>
  <c r="R9" i="91" s="1"/>
  <c r="P12" i="91"/>
  <c r="E14" i="90"/>
  <c r="E15" i="90" s="1"/>
  <c r="N10" i="87"/>
  <c r="AE30" i="87"/>
  <c r="AF38" i="87"/>
  <c r="N45" i="87"/>
  <c r="Q45" i="87" s="1"/>
  <c r="M8" i="87"/>
  <c r="N8" i="87" s="1"/>
  <c r="M11" i="87"/>
  <c r="AE11" i="87" s="1"/>
  <c r="G8" i="94"/>
  <c r="F8" i="94"/>
  <c r="E8" i="94"/>
  <c r="K15" i="92"/>
  <c r="I8" i="92" s="1"/>
  <c r="I7" i="92"/>
  <c r="D15" i="92"/>
  <c r="G7" i="92"/>
  <c r="F7" i="92"/>
  <c r="E7" i="92"/>
  <c r="D15" i="90"/>
  <c r="G7" i="90"/>
  <c r="F7" i="90"/>
  <c r="E7" i="90"/>
  <c r="I7" i="90"/>
  <c r="K15" i="90"/>
  <c r="I8" i="90" s="1"/>
  <c r="I14" i="88"/>
  <c r="I15" i="88" s="1"/>
  <c r="P48" i="89"/>
  <c r="Q48" i="89"/>
  <c r="R42" i="89" s="1"/>
  <c r="Q15" i="89"/>
  <c r="P15" i="89"/>
  <c r="Q46" i="89"/>
  <c r="P46" i="89"/>
  <c r="N35" i="89"/>
  <c r="AF35" i="89"/>
  <c r="AG30" i="89" s="1"/>
  <c r="AE35" i="89"/>
  <c r="N16" i="89"/>
  <c r="AF16" i="89"/>
  <c r="AG12" i="89" s="1"/>
  <c r="AE16" i="89"/>
  <c r="Q34" i="89"/>
  <c r="P34" i="89"/>
  <c r="AF61" i="89"/>
  <c r="AG56" i="89" s="1"/>
  <c r="AE61" i="89"/>
  <c r="N61" i="89"/>
  <c r="P18" i="89"/>
  <c r="Q18" i="89"/>
  <c r="Q27" i="89"/>
  <c r="P27" i="89"/>
  <c r="Q57" i="89"/>
  <c r="P57" i="89"/>
  <c r="Q52" i="89"/>
  <c r="P52" i="89"/>
  <c r="P36" i="89"/>
  <c r="Q36" i="89"/>
  <c r="P39" i="89"/>
  <c r="Q39" i="89"/>
  <c r="Q26" i="89"/>
  <c r="P26" i="89"/>
  <c r="Q24" i="89"/>
  <c r="P24" i="89"/>
  <c r="AF23" i="89"/>
  <c r="AG17" i="89" s="1"/>
  <c r="AE23" i="89"/>
  <c r="N23" i="89"/>
  <c r="P49" i="89"/>
  <c r="Q49" i="89"/>
  <c r="Q45" i="89"/>
  <c r="P45" i="89"/>
  <c r="P30" i="89"/>
  <c r="Q30" i="89"/>
  <c r="Q47" i="89"/>
  <c r="P47" i="89"/>
  <c r="Q38" i="89"/>
  <c r="P38" i="89"/>
  <c r="P14" i="89"/>
  <c r="Q14" i="89"/>
  <c r="Q58" i="89"/>
  <c r="P58" i="89"/>
  <c r="Q40" i="89"/>
  <c r="P40" i="89"/>
  <c r="P50" i="89"/>
  <c r="Q50" i="89"/>
  <c r="Q31" i="89"/>
  <c r="P31" i="89"/>
  <c r="P33" i="89"/>
  <c r="Q33" i="89"/>
  <c r="Q51" i="89"/>
  <c r="P51" i="89"/>
  <c r="Q8" i="89"/>
  <c r="R5" i="89" s="1"/>
  <c r="P8" i="89"/>
  <c r="D14" i="88"/>
  <c r="Q37" i="89"/>
  <c r="P37" i="89"/>
  <c r="Q42" i="89"/>
  <c r="P42" i="89"/>
  <c r="P17" i="89"/>
  <c r="Q17" i="89"/>
  <c r="Q19" i="89"/>
  <c r="P19" i="89"/>
  <c r="N55" i="89"/>
  <c r="AF55" i="89"/>
  <c r="AG49" i="89" s="1"/>
  <c r="AE55" i="89"/>
  <c r="Q28" i="89"/>
  <c r="P28" i="89"/>
  <c r="Q10" i="89"/>
  <c r="P10" i="89"/>
  <c r="P53" i="89"/>
  <c r="Q53" i="89"/>
  <c r="N41" i="89"/>
  <c r="AF41" i="89"/>
  <c r="AG36" i="89" s="1"/>
  <c r="AE41" i="89"/>
  <c r="Q54" i="89"/>
  <c r="P54" i="89"/>
  <c r="Q9" i="89"/>
  <c r="P9" i="89"/>
  <c r="Q20" i="89"/>
  <c r="P20" i="89"/>
  <c r="P29" i="89"/>
  <c r="Q29" i="89"/>
  <c r="R24" i="89" s="1"/>
  <c r="K14" i="88"/>
  <c r="AF16" i="87"/>
  <c r="AG12" i="87" s="1"/>
  <c r="AE16" i="87"/>
  <c r="N16" i="87"/>
  <c r="N25" i="87"/>
  <c r="AF25" i="87"/>
  <c r="AE25" i="87"/>
  <c r="Q33" i="87"/>
  <c r="P33" i="87"/>
  <c r="N31" i="87"/>
  <c r="AF31" i="87"/>
  <c r="AE31" i="87"/>
  <c r="AF19" i="87"/>
  <c r="AE19" i="87"/>
  <c r="N19" i="87"/>
  <c r="Q30" i="87"/>
  <c r="P30" i="87"/>
  <c r="Q38" i="87"/>
  <c r="P38" i="87"/>
  <c r="AF47" i="87"/>
  <c r="AE47" i="87"/>
  <c r="N47" i="87"/>
  <c r="Q6" i="87"/>
  <c r="P6" i="87"/>
  <c r="Q8" i="87"/>
  <c r="R5" i="87" s="1"/>
  <c r="P8" i="87"/>
  <c r="D14" i="86"/>
  <c r="P22" i="87"/>
  <c r="Q22" i="87"/>
  <c r="Q32" i="87"/>
  <c r="P32" i="87"/>
  <c r="N52" i="87"/>
  <c r="AF52" i="87"/>
  <c r="AE52" i="87"/>
  <c r="Q28" i="87"/>
  <c r="P28" i="87"/>
  <c r="N54" i="87"/>
  <c r="AF54" i="87"/>
  <c r="AE54" i="87"/>
  <c r="AE17" i="87"/>
  <c r="M23" i="87"/>
  <c r="AF17" i="87"/>
  <c r="N17" i="87"/>
  <c r="N26" i="87"/>
  <c r="AF26" i="87"/>
  <c r="AE26" i="87"/>
  <c r="Q35" i="87"/>
  <c r="P35" i="87"/>
  <c r="Q55" i="87"/>
  <c r="P55" i="87"/>
  <c r="N50" i="87"/>
  <c r="AF50" i="87"/>
  <c r="AE50" i="87"/>
  <c r="M56" i="87"/>
  <c r="N58" i="87"/>
  <c r="AF58" i="87"/>
  <c r="M62" i="87"/>
  <c r="AE58" i="87"/>
  <c r="F2" i="87"/>
  <c r="I3" i="86"/>
  <c r="N24" i="87"/>
  <c r="AF24" i="87"/>
  <c r="M29" i="87"/>
  <c r="AE24" i="87"/>
  <c r="N20" i="87"/>
  <c r="AF20" i="87"/>
  <c r="AE20" i="87"/>
  <c r="N48" i="87"/>
  <c r="AF48" i="87"/>
  <c r="AE48" i="87"/>
  <c r="Q5" i="87"/>
  <c r="P5" i="87"/>
  <c r="N53" i="87"/>
  <c r="AF53" i="87"/>
  <c r="AE53" i="87"/>
  <c r="Q59" i="87"/>
  <c r="P59" i="87"/>
  <c r="N21" i="87"/>
  <c r="AF21" i="87"/>
  <c r="AE21" i="87"/>
  <c r="Q7" i="87"/>
  <c r="P7" i="87"/>
  <c r="AE18" i="87"/>
  <c r="AF18" i="87"/>
  <c r="N18" i="87"/>
  <c r="N27" i="87"/>
  <c r="AF27" i="87"/>
  <c r="AE27" i="87"/>
  <c r="AF14" i="87"/>
  <c r="AE14" i="87"/>
  <c r="N14" i="87"/>
  <c r="Q39" i="87"/>
  <c r="P39" i="87"/>
  <c r="N51" i="87"/>
  <c r="AF51" i="87"/>
  <c r="AE51" i="87"/>
  <c r="Y2" i="87"/>
  <c r="K6" i="86" s="1"/>
  <c r="AE7" i="87"/>
  <c r="AE8" i="87"/>
  <c r="AF9" i="87"/>
  <c r="AF10" i="87"/>
  <c r="AF11" i="87"/>
  <c r="AG9" i="87" s="1"/>
  <c r="AE33" i="87"/>
  <c r="AE35" i="87"/>
  <c r="AE39" i="87"/>
  <c r="AF40" i="87"/>
  <c r="Z2" i="87"/>
  <c r="L6" i="86" s="1"/>
  <c r="AF8" i="87"/>
  <c r="AG5" i="87" s="1"/>
  <c r="AF33" i="87"/>
  <c r="AF35" i="87"/>
  <c r="AF39" i="87"/>
  <c r="M42" i="87"/>
  <c r="N11" i="87"/>
  <c r="AE22" i="87"/>
  <c r="AF30" i="87"/>
  <c r="M36" i="87"/>
  <c r="N43" i="87"/>
  <c r="N44" i="87"/>
  <c r="P46" i="87"/>
  <c r="E6" i="86"/>
  <c r="G6" i="86"/>
  <c r="N12" i="87"/>
  <c r="N13" i="87"/>
  <c r="P15" i="87"/>
  <c r="AF22" i="87"/>
  <c r="N41" i="87"/>
  <c r="P45" i="87"/>
  <c r="N61" i="87"/>
  <c r="P34" i="87"/>
  <c r="P37" i="87"/>
  <c r="P40" i="87"/>
  <c r="AE46" i="87"/>
  <c r="P57" i="87"/>
  <c r="P60" i="87"/>
  <c r="AE45" i="87"/>
  <c r="M49" i="87"/>
  <c r="AE43" i="87"/>
  <c r="AE44" i="87"/>
  <c r="AE12" i="87"/>
  <c r="AE13" i="87"/>
  <c r="AE41" i="87"/>
  <c r="AE61" i="87"/>
  <c r="AF12" i="87"/>
  <c r="AD68" i="85"/>
  <c r="AC68" i="85"/>
  <c r="Z68" i="85"/>
  <c r="Y68" i="85"/>
  <c r="O68" i="85"/>
  <c r="K68" i="85"/>
  <c r="V67" i="85"/>
  <c r="M67" i="85" s="1"/>
  <c r="AF67" i="85" s="1"/>
  <c r="U67" i="85"/>
  <c r="O67" i="85"/>
  <c r="K67" i="85"/>
  <c r="G67" i="85"/>
  <c r="X66" i="85"/>
  <c r="W66" i="85"/>
  <c r="V66" i="85"/>
  <c r="M66" i="85" s="1"/>
  <c r="U66" i="85"/>
  <c r="O66" i="85"/>
  <c r="K66" i="85"/>
  <c r="G66" i="85"/>
  <c r="V65" i="85"/>
  <c r="M65" i="85" s="1"/>
  <c r="AF65" i="85" s="1"/>
  <c r="U65" i="85"/>
  <c r="O65" i="85"/>
  <c r="K65" i="85"/>
  <c r="G65" i="85"/>
  <c r="V64" i="85"/>
  <c r="U64" i="85"/>
  <c r="O64" i="85"/>
  <c r="M64" i="85"/>
  <c r="AE64" i="85" s="1"/>
  <c r="K64" i="85"/>
  <c r="G64" i="85"/>
  <c r="V63" i="85"/>
  <c r="U63" i="85"/>
  <c r="O63" i="85"/>
  <c r="M63" i="85"/>
  <c r="N63" i="85" s="1"/>
  <c r="K63" i="85"/>
  <c r="G63" i="85"/>
  <c r="X62" i="85"/>
  <c r="W62" i="85"/>
  <c r="V62" i="85"/>
  <c r="M62" i="85" s="1"/>
  <c r="O62" i="85"/>
  <c r="K62" i="85"/>
  <c r="G62" i="85"/>
  <c r="AD61" i="85"/>
  <c r="AC61" i="85"/>
  <c r="Z61" i="85"/>
  <c r="Y61" i="85"/>
  <c r="O61" i="85"/>
  <c r="K61" i="85"/>
  <c r="J13" i="84" s="1"/>
  <c r="V60" i="85"/>
  <c r="U60" i="85"/>
  <c r="O60" i="85"/>
  <c r="M60" i="85"/>
  <c r="AE60" i="85" s="1"/>
  <c r="K60" i="85"/>
  <c r="G60" i="85"/>
  <c r="V59" i="85"/>
  <c r="M59" i="85" s="1"/>
  <c r="U59" i="85"/>
  <c r="O59" i="85"/>
  <c r="K59" i="85"/>
  <c r="G59" i="85"/>
  <c r="V58" i="85"/>
  <c r="M58" i="85" s="1"/>
  <c r="U58" i="85"/>
  <c r="O58" i="85"/>
  <c r="K58" i="85"/>
  <c r="G58" i="85"/>
  <c r="V57" i="85"/>
  <c r="M57" i="85" s="1"/>
  <c r="U57" i="85"/>
  <c r="O57" i="85"/>
  <c r="K57" i="85"/>
  <c r="G57" i="85"/>
  <c r="V56" i="85"/>
  <c r="M56" i="85" s="1"/>
  <c r="U56" i="85"/>
  <c r="O56" i="85"/>
  <c r="K56" i="85"/>
  <c r="G56" i="85"/>
  <c r="V55" i="85"/>
  <c r="M55" i="85" s="1"/>
  <c r="O55" i="85"/>
  <c r="K55" i="85"/>
  <c r="G55" i="85"/>
  <c r="AD54" i="85"/>
  <c r="AC54" i="85"/>
  <c r="Z54" i="85"/>
  <c r="I19" i="84" s="1"/>
  <c r="Y54" i="85"/>
  <c r="O54" i="85"/>
  <c r="K54" i="85"/>
  <c r="V53" i="85"/>
  <c r="M53" i="85" s="1"/>
  <c r="U53" i="85"/>
  <c r="O53" i="85"/>
  <c r="K53" i="85"/>
  <c r="G53" i="85"/>
  <c r="V52" i="85"/>
  <c r="M52" i="85" s="1"/>
  <c r="U52" i="85"/>
  <c r="O52" i="85"/>
  <c r="K52" i="85"/>
  <c r="G52" i="85"/>
  <c r="V51" i="85"/>
  <c r="M51" i="85" s="1"/>
  <c r="U51" i="85"/>
  <c r="O51" i="85"/>
  <c r="K51" i="85"/>
  <c r="G51" i="85"/>
  <c r="V50" i="85"/>
  <c r="U50" i="85"/>
  <c r="O50" i="85"/>
  <c r="M50" i="85"/>
  <c r="AF50" i="85" s="1"/>
  <c r="K50" i="85"/>
  <c r="G50" i="85"/>
  <c r="V49" i="85"/>
  <c r="M49" i="85" s="1"/>
  <c r="AF49" i="85" s="1"/>
  <c r="U49" i="85"/>
  <c r="O49" i="85"/>
  <c r="K49" i="85"/>
  <c r="G49" i="85"/>
  <c r="V48" i="85"/>
  <c r="O48" i="85"/>
  <c r="M48" i="85"/>
  <c r="AF48" i="85" s="1"/>
  <c r="K48" i="85"/>
  <c r="G48" i="85"/>
  <c r="AD47" i="85"/>
  <c r="H21" i="84" s="1"/>
  <c r="AC47" i="85"/>
  <c r="H20" i="84" s="1"/>
  <c r="Z47" i="85"/>
  <c r="Y47" i="85"/>
  <c r="O47" i="85"/>
  <c r="K47" i="85"/>
  <c r="V46" i="85"/>
  <c r="U46" i="85"/>
  <c r="O46" i="85"/>
  <c r="M46" i="85"/>
  <c r="AF46" i="85" s="1"/>
  <c r="K46" i="85"/>
  <c r="G46" i="85"/>
  <c r="V45" i="85"/>
  <c r="U45" i="85"/>
  <c r="O45" i="85"/>
  <c r="M45" i="85"/>
  <c r="AF45" i="85" s="1"/>
  <c r="K45" i="85"/>
  <c r="G45" i="85"/>
  <c r="V44" i="85"/>
  <c r="M44" i="85" s="1"/>
  <c r="AE44" i="85" s="1"/>
  <c r="U44" i="85"/>
  <c r="O44" i="85"/>
  <c r="K44" i="85"/>
  <c r="G44" i="85"/>
  <c r="V43" i="85"/>
  <c r="U43" i="85"/>
  <c r="O43" i="85"/>
  <c r="M43" i="85"/>
  <c r="N43" i="85" s="1"/>
  <c r="K43" i="85"/>
  <c r="G43" i="85"/>
  <c r="X42" i="85"/>
  <c r="W42" i="85"/>
  <c r="V42" i="85"/>
  <c r="O42" i="85"/>
  <c r="M42" i="85"/>
  <c r="N42" i="85" s="1"/>
  <c r="K42" i="85"/>
  <c r="G42" i="85"/>
  <c r="AD41" i="85"/>
  <c r="AC41" i="85"/>
  <c r="L20" i="84" s="1"/>
  <c r="Z41" i="85"/>
  <c r="Y41" i="85"/>
  <c r="O41" i="85"/>
  <c r="K41" i="85"/>
  <c r="L13" i="84" s="1"/>
  <c r="V40" i="85"/>
  <c r="U40" i="85"/>
  <c r="O40" i="85"/>
  <c r="M40" i="85"/>
  <c r="AE40" i="85" s="1"/>
  <c r="K40" i="85"/>
  <c r="G40" i="85"/>
  <c r="V39" i="85"/>
  <c r="U39" i="85"/>
  <c r="O39" i="85"/>
  <c r="M39" i="85"/>
  <c r="N39" i="85" s="1"/>
  <c r="K39" i="85"/>
  <c r="G39" i="85"/>
  <c r="X38" i="85"/>
  <c r="W38" i="85"/>
  <c r="V38" i="85"/>
  <c r="M38" i="85" s="1"/>
  <c r="U38" i="85"/>
  <c r="O38" i="85"/>
  <c r="K38" i="85"/>
  <c r="G38" i="85"/>
  <c r="AE37" i="85"/>
  <c r="V37" i="85"/>
  <c r="U37" i="85"/>
  <c r="O37" i="85"/>
  <c r="M37" i="85"/>
  <c r="N37" i="85" s="1"/>
  <c r="K37" i="85"/>
  <c r="G37" i="85"/>
  <c r="V36" i="85"/>
  <c r="M36" i="85" s="1"/>
  <c r="U36" i="85"/>
  <c r="O36" i="85"/>
  <c r="K36" i="85"/>
  <c r="G36" i="85"/>
  <c r="V35" i="85"/>
  <c r="M35" i="85" s="1"/>
  <c r="U35" i="85"/>
  <c r="O35" i="85"/>
  <c r="K35" i="85"/>
  <c r="G35" i="85"/>
  <c r="X34" i="85"/>
  <c r="W34" i="85"/>
  <c r="V34" i="85"/>
  <c r="O34" i="85"/>
  <c r="M34" i="85"/>
  <c r="N34" i="85" s="1"/>
  <c r="K34" i="85"/>
  <c r="G34" i="85"/>
  <c r="AD33" i="85"/>
  <c r="AC33" i="85"/>
  <c r="K20" i="84" s="1"/>
  <c r="Z33" i="85"/>
  <c r="Y33" i="85"/>
  <c r="K18" i="84" s="1"/>
  <c r="O33" i="85"/>
  <c r="K33" i="85"/>
  <c r="V32" i="85"/>
  <c r="M32" i="85" s="1"/>
  <c r="U32" i="85"/>
  <c r="O32" i="85"/>
  <c r="K32" i="85"/>
  <c r="G32" i="85"/>
  <c r="AF31" i="85"/>
  <c r="AE31" i="85"/>
  <c r="X31" i="85"/>
  <c r="W31" i="85"/>
  <c r="V31" i="85"/>
  <c r="U31" i="85"/>
  <c r="O31" i="85"/>
  <c r="M31" i="85"/>
  <c r="N31" i="85" s="1"/>
  <c r="K31" i="85"/>
  <c r="G31" i="85"/>
  <c r="V30" i="85"/>
  <c r="M30" i="85" s="1"/>
  <c r="U30" i="85"/>
  <c r="O30" i="85"/>
  <c r="K30" i="85"/>
  <c r="G30" i="85"/>
  <c r="V29" i="85"/>
  <c r="M29" i="85" s="1"/>
  <c r="U29" i="85"/>
  <c r="O29" i="85"/>
  <c r="K29" i="85"/>
  <c r="G29" i="85"/>
  <c r="V28" i="85"/>
  <c r="M28" i="85" s="1"/>
  <c r="U28" i="85"/>
  <c r="O28" i="85"/>
  <c r="K28" i="85"/>
  <c r="G28" i="85"/>
  <c r="X27" i="85"/>
  <c r="W27" i="85"/>
  <c r="V27" i="85"/>
  <c r="M27" i="85" s="1"/>
  <c r="O27" i="85"/>
  <c r="K27" i="85"/>
  <c r="G27" i="85"/>
  <c r="AD26" i="85"/>
  <c r="AC26" i="85"/>
  <c r="G20" i="84" s="1"/>
  <c r="Z26" i="85"/>
  <c r="G19" i="84" s="1"/>
  <c r="Y26" i="85"/>
  <c r="O26" i="85"/>
  <c r="K26" i="85"/>
  <c r="V25" i="85"/>
  <c r="M25" i="85" s="1"/>
  <c r="U25" i="85"/>
  <c r="O25" i="85"/>
  <c r="K25" i="85"/>
  <c r="G25" i="85"/>
  <c r="X24" i="85"/>
  <c r="W24" i="85"/>
  <c r="V24" i="85"/>
  <c r="M24" i="85" s="1"/>
  <c r="U24" i="85"/>
  <c r="O24" i="85"/>
  <c r="K24" i="85"/>
  <c r="G24" i="85"/>
  <c r="V23" i="85"/>
  <c r="M23" i="85" s="1"/>
  <c r="U23" i="85"/>
  <c r="O23" i="85"/>
  <c r="K23" i="85"/>
  <c r="G23" i="85"/>
  <c r="V22" i="85"/>
  <c r="M22" i="85" s="1"/>
  <c r="U22" i="85"/>
  <c r="O22" i="85"/>
  <c r="K22" i="85"/>
  <c r="G22" i="85"/>
  <c r="V21" i="85"/>
  <c r="M21" i="85" s="1"/>
  <c r="U21" i="85"/>
  <c r="O21" i="85"/>
  <c r="K21" i="85"/>
  <c r="G21" i="85"/>
  <c r="V20" i="85"/>
  <c r="M20" i="85" s="1"/>
  <c r="U20" i="85"/>
  <c r="O20" i="85"/>
  <c r="K20" i="85"/>
  <c r="G20" i="85"/>
  <c r="V19" i="85"/>
  <c r="M19" i="85" s="1"/>
  <c r="O19" i="85"/>
  <c r="K19" i="85"/>
  <c r="G19" i="85"/>
  <c r="AD18" i="85"/>
  <c r="AC18" i="85"/>
  <c r="Z18" i="85"/>
  <c r="Y18" i="85"/>
  <c r="O18" i="85"/>
  <c r="K18" i="85"/>
  <c r="V17" i="85"/>
  <c r="M17" i="85" s="1"/>
  <c r="U17" i="85"/>
  <c r="O17" i="85"/>
  <c r="K17" i="85"/>
  <c r="G17" i="85"/>
  <c r="X16" i="85"/>
  <c r="W16" i="85"/>
  <c r="V16" i="85"/>
  <c r="M16" i="85" s="1"/>
  <c r="U16" i="85"/>
  <c r="O16" i="85"/>
  <c r="K16" i="85"/>
  <c r="G16" i="85"/>
  <c r="V15" i="85"/>
  <c r="M15" i="85" s="1"/>
  <c r="U15" i="85"/>
  <c r="O15" i="85"/>
  <c r="K15" i="85"/>
  <c r="G15" i="85"/>
  <c r="V14" i="85"/>
  <c r="U14" i="85"/>
  <c r="O14" i="85"/>
  <c r="M14" i="85"/>
  <c r="AF14" i="85" s="1"/>
  <c r="K14" i="85"/>
  <c r="G14" i="85"/>
  <c r="V13" i="85"/>
  <c r="O13" i="85"/>
  <c r="M13" i="85"/>
  <c r="M18" i="85" s="1"/>
  <c r="K13" i="85"/>
  <c r="G13" i="85"/>
  <c r="AD12" i="85"/>
  <c r="AC12" i="85"/>
  <c r="Z12" i="85"/>
  <c r="Y12" i="85"/>
  <c r="O12" i="85"/>
  <c r="K12" i="85"/>
  <c r="V11" i="85"/>
  <c r="M11" i="85" s="1"/>
  <c r="AF11" i="85" s="1"/>
  <c r="U11" i="85"/>
  <c r="O11" i="85"/>
  <c r="K11" i="85"/>
  <c r="G11" i="85"/>
  <c r="X10" i="85"/>
  <c r="W10" i="85"/>
  <c r="V10" i="85"/>
  <c r="M10" i="85" s="1"/>
  <c r="U10" i="85"/>
  <c r="O10" i="85"/>
  <c r="K10" i="85"/>
  <c r="G10" i="85"/>
  <c r="V9" i="85"/>
  <c r="M9" i="85" s="1"/>
  <c r="O9" i="85"/>
  <c r="K9" i="85"/>
  <c r="G9" i="85"/>
  <c r="AD8" i="85"/>
  <c r="D21" i="84" s="1"/>
  <c r="AC8" i="85"/>
  <c r="AC2" i="85" s="1"/>
  <c r="M6" i="84" s="1"/>
  <c r="Z8" i="85"/>
  <c r="Y8" i="85"/>
  <c r="O8" i="85"/>
  <c r="K8" i="85"/>
  <c r="V7" i="85"/>
  <c r="M7" i="85" s="1"/>
  <c r="AF7" i="85" s="1"/>
  <c r="U7" i="85"/>
  <c r="O7" i="85"/>
  <c r="K7" i="85"/>
  <c r="G7" i="85"/>
  <c r="V6" i="85"/>
  <c r="U6" i="85"/>
  <c r="O6" i="85"/>
  <c r="M6" i="85"/>
  <c r="AF6" i="85" s="1"/>
  <c r="K6" i="85"/>
  <c r="G6" i="85"/>
  <c r="V5" i="85"/>
  <c r="M5" i="85" s="1"/>
  <c r="O5" i="85"/>
  <c r="K5" i="85"/>
  <c r="G5" i="85"/>
  <c r="H2" i="85"/>
  <c r="H1" i="85"/>
  <c r="D1" i="85"/>
  <c r="M22" i="84"/>
  <c r="L22" i="84"/>
  <c r="K22" i="84"/>
  <c r="J22" i="84"/>
  <c r="I22" i="84"/>
  <c r="H22" i="84"/>
  <c r="G22" i="84"/>
  <c r="F22" i="84"/>
  <c r="E22" i="84"/>
  <c r="D22" i="84"/>
  <c r="M21" i="84"/>
  <c r="L21" i="84"/>
  <c r="K21" i="84"/>
  <c r="J21" i="84"/>
  <c r="I21" i="84"/>
  <c r="F21" i="84"/>
  <c r="E21" i="84"/>
  <c r="M20" i="84"/>
  <c r="J20" i="84"/>
  <c r="I20" i="84"/>
  <c r="F20" i="84"/>
  <c r="E20" i="84"/>
  <c r="M19" i="84"/>
  <c r="L19" i="84"/>
  <c r="K19" i="84"/>
  <c r="J19" i="84"/>
  <c r="H19" i="84"/>
  <c r="F19" i="84"/>
  <c r="E19" i="84"/>
  <c r="D19" i="84"/>
  <c r="M18" i="84"/>
  <c r="L18" i="84"/>
  <c r="J18" i="84"/>
  <c r="I18" i="84"/>
  <c r="H18" i="84"/>
  <c r="G18" i="84"/>
  <c r="F18" i="84"/>
  <c r="E18" i="84"/>
  <c r="D18" i="84"/>
  <c r="M17" i="84"/>
  <c r="L17" i="84"/>
  <c r="K17" i="84"/>
  <c r="J17" i="84"/>
  <c r="I17" i="84"/>
  <c r="H17" i="84"/>
  <c r="G17" i="84"/>
  <c r="F17" i="84"/>
  <c r="E17" i="84"/>
  <c r="D17" i="84"/>
  <c r="M16" i="84"/>
  <c r="L16" i="84"/>
  <c r="K16" i="84"/>
  <c r="J16" i="84"/>
  <c r="I16" i="84"/>
  <c r="H16" i="84"/>
  <c r="G16" i="84"/>
  <c r="F16" i="84"/>
  <c r="E16" i="84"/>
  <c r="D16" i="84"/>
  <c r="M13" i="84"/>
  <c r="K13" i="84"/>
  <c r="I13" i="84"/>
  <c r="H13" i="84"/>
  <c r="G13" i="84"/>
  <c r="F13" i="84"/>
  <c r="E13" i="84"/>
  <c r="D13" i="84"/>
  <c r="F3" i="84"/>
  <c r="C3" i="84"/>
  <c r="N62" i="85" l="1"/>
  <c r="AF62" i="85"/>
  <c r="M68" i="85"/>
  <c r="AF68" i="85" s="1"/>
  <c r="AG62" i="85" s="1"/>
  <c r="M8" i="85"/>
  <c r="N5" i="85"/>
  <c r="Q5" i="85" s="1"/>
  <c r="AE66" i="85"/>
  <c r="N66" i="85"/>
  <c r="Q66" i="85" s="1"/>
  <c r="N38" i="85"/>
  <c r="AE38" i="85"/>
  <c r="N59" i="85"/>
  <c r="AF59" i="85"/>
  <c r="AE59" i="85"/>
  <c r="AF10" i="85"/>
  <c r="N10" i="85"/>
  <c r="Q10" i="85" s="1"/>
  <c r="M12" i="85"/>
  <c r="N9" i="85"/>
  <c r="Q9" i="85" s="1"/>
  <c r="AF37" i="85"/>
  <c r="Q11" i="89"/>
  <c r="R9" i="89" s="1"/>
  <c r="E14" i="88"/>
  <c r="E15" i="88" s="1"/>
  <c r="P11" i="89"/>
  <c r="AE34" i="85"/>
  <c r="N46" i="85"/>
  <c r="Q46" i="85" s="1"/>
  <c r="AF34" i="85"/>
  <c r="Y2" i="85"/>
  <c r="K6" i="84" s="1"/>
  <c r="N14" i="85"/>
  <c r="Q14" i="85" s="1"/>
  <c r="AF60" i="85"/>
  <c r="Z2" i="85"/>
  <c r="L6" i="84" s="1"/>
  <c r="AE43" i="85"/>
  <c r="AE63" i="85"/>
  <c r="AF43" i="85"/>
  <c r="N50" i="85"/>
  <c r="Q50" i="85" s="1"/>
  <c r="AF63" i="85"/>
  <c r="D20" i="84"/>
  <c r="F1" i="85"/>
  <c r="F2" i="85" s="1"/>
  <c r="N6" i="85"/>
  <c r="Q6" i="85" s="1"/>
  <c r="AD2" i="85"/>
  <c r="N6" i="84" s="1"/>
  <c r="AF64" i="85"/>
  <c r="AE39" i="85"/>
  <c r="P10" i="87"/>
  <c r="Q10" i="87"/>
  <c r="N13" i="85"/>
  <c r="Q13" i="85" s="1"/>
  <c r="AF39" i="85"/>
  <c r="AF42" i="85"/>
  <c r="G8" i="92"/>
  <c r="F8" i="92"/>
  <c r="E8" i="92"/>
  <c r="G8" i="90"/>
  <c r="F8" i="90"/>
  <c r="E8" i="90"/>
  <c r="K15" i="88"/>
  <c r="P35" i="89"/>
  <c r="L14" i="88"/>
  <c r="L15" i="88" s="1"/>
  <c r="Q35" i="89"/>
  <c r="R30" i="89" s="1"/>
  <c r="Q61" i="89"/>
  <c r="R56" i="89" s="1"/>
  <c r="P61" i="89"/>
  <c r="M14" i="88"/>
  <c r="M15" i="88" s="1"/>
  <c r="P16" i="89"/>
  <c r="F14" i="88"/>
  <c r="F15" i="88" s="1"/>
  <c r="Q16" i="89"/>
  <c r="R12" i="89" s="1"/>
  <c r="Q41" i="89"/>
  <c r="R36" i="89" s="1"/>
  <c r="P41" i="89"/>
  <c r="H14" i="88"/>
  <c r="H15" i="88" s="1"/>
  <c r="D15" i="88"/>
  <c r="Q55" i="89"/>
  <c r="R49" i="89" s="1"/>
  <c r="P55" i="89"/>
  <c r="J14" i="88"/>
  <c r="J15" i="88" s="1"/>
  <c r="D2" i="89"/>
  <c r="Q23" i="89"/>
  <c r="R17" i="89" s="1"/>
  <c r="P23" i="89"/>
  <c r="G14" i="88"/>
  <c r="G15" i="88" s="1"/>
  <c r="Q44" i="87"/>
  <c r="P44" i="87"/>
  <c r="Q51" i="87"/>
  <c r="P51" i="87"/>
  <c r="Q43" i="87"/>
  <c r="P43" i="87"/>
  <c r="AF62" i="87"/>
  <c r="AG57" i="87" s="1"/>
  <c r="AE62" i="87"/>
  <c r="N62" i="87"/>
  <c r="Q47" i="87"/>
  <c r="P47" i="87"/>
  <c r="Q31" i="87"/>
  <c r="P31" i="87"/>
  <c r="Q61" i="87"/>
  <c r="P61" i="87"/>
  <c r="N36" i="87"/>
  <c r="AF36" i="87"/>
  <c r="AG30" i="87" s="1"/>
  <c r="AE36" i="87"/>
  <c r="Q48" i="87"/>
  <c r="P48" i="87"/>
  <c r="P26" i="87"/>
  <c r="Q26" i="87"/>
  <c r="P52" i="87"/>
  <c r="Q52" i="87"/>
  <c r="Q14" i="87"/>
  <c r="P14" i="87"/>
  <c r="Q58" i="87"/>
  <c r="P58" i="87"/>
  <c r="Q17" i="87"/>
  <c r="P17" i="87"/>
  <c r="Q41" i="87"/>
  <c r="P41" i="87"/>
  <c r="Q21" i="87"/>
  <c r="P21" i="87"/>
  <c r="N56" i="87"/>
  <c r="AF56" i="87"/>
  <c r="AG50" i="87" s="1"/>
  <c r="AE56" i="87"/>
  <c r="Q11" i="87"/>
  <c r="R9" i="87" s="1"/>
  <c r="P11" i="87"/>
  <c r="E14" i="86"/>
  <c r="E15" i="86" s="1"/>
  <c r="Q20" i="87"/>
  <c r="P20" i="87"/>
  <c r="N23" i="87"/>
  <c r="AF23" i="87"/>
  <c r="AG17" i="87" s="1"/>
  <c r="AE23" i="87"/>
  <c r="N49" i="87"/>
  <c r="AF49" i="87"/>
  <c r="AG43" i="87" s="1"/>
  <c r="AE49" i="87"/>
  <c r="AF42" i="87"/>
  <c r="AG37" i="87" s="1"/>
  <c r="AE42" i="87"/>
  <c r="N42" i="87"/>
  <c r="Q25" i="87"/>
  <c r="P25" i="87"/>
  <c r="D15" i="86"/>
  <c r="F14" i="86"/>
  <c r="F15" i="86" s="1"/>
  <c r="Q16" i="87"/>
  <c r="R12" i="87" s="1"/>
  <c r="P16" i="87"/>
  <c r="Q13" i="87"/>
  <c r="P13" i="87"/>
  <c r="N29" i="87"/>
  <c r="AF29" i="87"/>
  <c r="AG24" i="87" s="1"/>
  <c r="AE29" i="87"/>
  <c r="Q50" i="87"/>
  <c r="P50" i="87"/>
  <c r="Q12" i="87"/>
  <c r="P12" i="87"/>
  <c r="Q27" i="87"/>
  <c r="P27" i="87"/>
  <c r="Q19" i="87"/>
  <c r="P19" i="87"/>
  <c r="Q18" i="87"/>
  <c r="P18" i="87"/>
  <c r="Q53" i="87"/>
  <c r="P53" i="87"/>
  <c r="Q24" i="87"/>
  <c r="P24" i="87"/>
  <c r="Q54" i="87"/>
  <c r="P54" i="87"/>
  <c r="N20" i="85"/>
  <c r="AF20" i="85"/>
  <c r="AE20" i="85"/>
  <c r="N27" i="85"/>
  <c r="M33" i="85"/>
  <c r="AF27" i="85"/>
  <c r="AE27" i="85"/>
  <c r="AF8" i="85"/>
  <c r="AG5" i="85" s="1"/>
  <c r="AE8" i="85"/>
  <c r="N8" i="85"/>
  <c r="N16" i="85"/>
  <c r="AF16" i="85"/>
  <c r="AE16" i="85"/>
  <c r="AF12" i="85"/>
  <c r="AG9" i="85" s="1"/>
  <c r="AE12" i="85"/>
  <c r="N12" i="85"/>
  <c r="N23" i="85"/>
  <c r="AF23" i="85"/>
  <c r="AE23" i="85"/>
  <c r="N25" i="85"/>
  <c r="AF25" i="85"/>
  <c r="AE25" i="85"/>
  <c r="AF51" i="85"/>
  <c r="AE51" i="85"/>
  <c r="N51" i="85"/>
  <c r="N56" i="85"/>
  <c r="AF56" i="85"/>
  <c r="AE56" i="85"/>
  <c r="Q59" i="85"/>
  <c r="P59" i="85"/>
  <c r="N19" i="85"/>
  <c r="AF19" i="85"/>
  <c r="M26" i="85"/>
  <c r="AE19" i="85"/>
  <c r="N18" i="85"/>
  <c r="AF18" i="85"/>
  <c r="AG13" i="85" s="1"/>
  <c r="AE18" i="85"/>
  <c r="N30" i="85"/>
  <c r="AF30" i="85"/>
  <c r="AE30" i="85"/>
  <c r="Q34" i="85"/>
  <c r="P34" i="85"/>
  <c r="N24" i="85"/>
  <c r="AF24" i="85"/>
  <c r="AE24" i="85"/>
  <c r="N28" i="85"/>
  <c r="AF28" i="85"/>
  <c r="AE28" i="85"/>
  <c r="N52" i="85"/>
  <c r="AF52" i="85"/>
  <c r="AE52" i="85"/>
  <c r="AF15" i="85"/>
  <c r="AE15" i="85"/>
  <c r="N15" i="85"/>
  <c r="AF17" i="85"/>
  <c r="AE17" i="85"/>
  <c r="N17" i="85"/>
  <c r="Q31" i="85"/>
  <c r="P31" i="85"/>
  <c r="N32" i="85"/>
  <c r="AF32" i="85"/>
  <c r="AE32" i="85"/>
  <c r="Q38" i="85"/>
  <c r="P38" i="85"/>
  <c r="N57" i="85"/>
  <c r="AF57" i="85"/>
  <c r="AE57" i="85"/>
  <c r="N21" i="85"/>
  <c r="AF21" i="85"/>
  <c r="AE21" i="85"/>
  <c r="N35" i="85"/>
  <c r="AF35" i="85"/>
  <c r="M41" i="85"/>
  <c r="AE35" i="85"/>
  <c r="Q39" i="85"/>
  <c r="P39" i="85"/>
  <c r="Q63" i="85"/>
  <c r="P63" i="85"/>
  <c r="G6" i="84"/>
  <c r="N22" i="85"/>
  <c r="AF22" i="85"/>
  <c r="AE22" i="85"/>
  <c r="N36" i="85"/>
  <c r="AF36" i="85"/>
  <c r="AE36" i="85"/>
  <c r="Q43" i="85"/>
  <c r="P43" i="85"/>
  <c r="I6" i="84"/>
  <c r="N55" i="85"/>
  <c r="AF55" i="85"/>
  <c r="AE55" i="85"/>
  <c r="M61" i="85"/>
  <c r="I3" i="84"/>
  <c r="N29" i="85"/>
  <c r="AF29" i="85"/>
  <c r="AE29" i="85"/>
  <c r="Q37" i="85"/>
  <c r="P37" i="85"/>
  <c r="N53" i="85"/>
  <c r="AF53" i="85"/>
  <c r="AE53" i="85"/>
  <c r="Q42" i="85"/>
  <c r="P42" i="85"/>
  <c r="N58" i="85"/>
  <c r="AF58" i="85"/>
  <c r="AE58" i="85"/>
  <c r="Q62" i="85"/>
  <c r="P62" i="85"/>
  <c r="E6" i="84"/>
  <c r="F6" i="84"/>
  <c r="AF40" i="85"/>
  <c r="AE42" i="85"/>
  <c r="AF44" i="85"/>
  <c r="M47" i="85"/>
  <c r="AE62" i="85"/>
  <c r="AF66" i="85"/>
  <c r="N7" i="85"/>
  <c r="N11" i="85"/>
  <c r="AF38" i="85"/>
  <c r="N48" i="85"/>
  <c r="N49" i="85"/>
  <c r="N68" i="85"/>
  <c r="P9" i="85"/>
  <c r="P10" i="85"/>
  <c r="P13" i="85"/>
  <c r="P14" i="85"/>
  <c r="P50" i="85"/>
  <c r="N45" i="85"/>
  <c r="N65" i="85"/>
  <c r="N67" i="85"/>
  <c r="P5" i="85"/>
  <c r="P6" i="85"/>
  <c r="N40" i="85"/>
  <c r="N44" i="85"/>
  <c r="P46" i="85"/>
  <c r="N60" i="85"/>
  <c r="N64" i="85"/>
  <c r="P66" i="85"/>
  <c r="AE9" i="85"/>
  <c r="AE13" i="85"/>
  <c r="AE14" i="85"/>
  <c r="AE50" i="85"/>
  <c r="M54" i="85"/>
  <c r="AE7" i="85"/>
  <c r="AF9" i="85"/>
  <c r="AE11" i="85"/>
  <c r="AF13" i="85"/>
  <c r="AE48" i="85"/>
  <c r="AE49" i="85"/>
  <c r="G21" i="84"/>
  <c r="AE5" i="85"/>
  <c r="AE6" i="85"/>
  <c r="AE10" i="85"/>
  <c r="AE46" i="85"/>
  <c r="AF5" i="85"/>
  <c r="AE45" i="85"/>
  <c r="AE65" i="85"/>
  <c r="AE67" i="85"/>
  <c r="AE68" i="85"/>
  <c r="AD70" i="83"/>
  <c r="AC70" i="83"/>
  <c r="Z70" i="83"/>
  <c r="Y70" i="83"/>
  <c r="O70" i="83"/>
  <c r="K70" i="83"/>
  <c r="V69" i="83"/>
  <c r="U69" i="83"/>
  <c r="O69" i="83"/>
  <c r="M69" i="83"/>
  <c r="AF69" i="83" s="1"/>
  <c r="K69" i="83"/>
  <c r="G69" i="83"/>
  <c r="X68" i="83"/>
  <c r="W68" i="83"/>
  <c r="V68" i="83"/>
  <c r="M68" i="83" s="1"/>
  <c r="AE68" i="83" s="1"/>
  <c r="U68" i="83"/>
  <c r="O68" i="83"/>
  <c r="K68" i="83"/>
  <c r="G68" i="83"/>
  <c r="V67" i="83"/>
  <c r="M67" i="83" s="1"/>
  <c r="AF67" i="83" s="1"/>
  <c r="U67" i="83"/>
  <c r="O67" i="83"/>
  <c r="K67" i="83"/>
  <c r="G67" i="83"/>
  <c r="V66" i="83"/>
  <c r="U66" i="83"/>
  <c r="O66" i="83"/>
  <c r="M66" i="83"/>
  <c r="AE66" i="83" s="1"/>
  <c r="K66" i="83"/>
  <c r="G66" i="83"/>
  <c r="V65" i="83"/>
  <c r="M65" i="83" s="1"/>
  <c r="U65" i="83"/>
  <c r="O65" i="83"/>
  <c r="K65" i="83"/>
  <c r="G65" i="83"/>
  <c r="AF64" i="83"/>
  <c r="X64" i="83"/>
  <c r="W64" i="83"/>
  <c r="V64" i="83"/>
  <c r="O64" i="83"/>
  <c r="M64" i="83"/>
  <c r="N64" i="83" s="1"/>
  <c r="K64" i="83"/>
  <c r="G64" i="83"/>
  <c r="AD63" i="83"/>
  <c r="AC63" i="83"/>
  <c r="Z63" i="83"/>
  <c r="Y63" i="83"/>
  <c r="O63" i="83"/>
  <c r="K63" i="83"/>
  <c r="J13" i="82" s="1"/>
  <c r="V62" i="83"/>
  <c r="M62" i="83" s="1"/>
  <c r="AE62" i="83" s="1"/>
  <c r="U62" i="83"/>
  <c r="O62" i="83"/>
  <c r="K62" i="83"/>
  <c r="G62" i="83"/>
  <c r="V61" i="83"/>
  <c r="U61" i="83"/>
  <c r="O61" i="83"/>
  <c r="M61" i="83"/>
  <c r="N61" i="83" s="1"/>
  <c r="K61" i="83"/>
  <c r="G61" i="83"/>
  <c r="V60" i="83"/>
  <c r="M60" i="83" s="1"/>
  <c r="U60" i="83"/>
  <c r="O60" i="83"/>
  <c r="K60" i="83"/>
  <c r="G60" i="83"/>
  <c r="V59" i="83"/>
  <c r="M59" i="83" s="1"/>
  <c r="U59" i="83"/>
  <c r="O59" i="83"/>
  <c r="K59" i="83"/>
  <c r="G59" i="83"/>
  <c r="V58" i="83"/>
  <c r="M58" i="83" s="1"/>
  <c r="U58" i="83"/>
  <c r="O58" i="83"/>
  <c r="K58" i="83"/>
  <c r="G58" i="83"/>
  <c r="V57" i="83"/>
  <c r="M57" i="83" s="1"/>
  <c r="O57" i="83"/>
  <c r="K57" i="83"/>
  <c r="G57" i="83"/>
  <c r="AD56" i="83"/>
  <c r="I21" i="82" s="1"/>
  <c r="AC56" i="83"/>
  <c r="Z56" i="83"/>
  <c r="I19" i="82" s="1"/>
  <c r="Y56" i="83"/>
  <c r="I18" i="82" s="1"/>
  <c r="O56" i="83"/>
  <c r="K56" i="83"/>
  <c r="V55" i="83"/>
  <c r="M55" i="83" s="1"/>
  <c r="U55" i="83"/>
  <c r="O55" i="83"/>
  <c r="K55" i="83"/>
  <c r="G55" i="83"/>
  <c r="V54" i="83"/>
  <c r="M54" i="83" s="1"/>
  <c r="U54" i="83"/>
  <c r="O54" i="83"/>
  <c r="K54" i="83"/>
  <c r="G54" i="83"/>
  <c r="V53" i="83"/>
  <c r="M53" i="83" s="1"/>
  <c r="U53" i="83"/>
  <c r="O53" i="83"/>
  <c r="K53" i="83"/>
  <c r="G53" i="83"/>
  <c r="V52" i="83"/>
  <c r="U52" i="83"/>
  <c r="O52" i="83"/>
  <c r="M52" i="83"/>
  <c r="AF52" i="83" s="1"/>
  <c r="K52" i="83"/>
  <c r="G52" i="83"/>
  <c r="V51" i="83"/>
  <c r="U51" i="83"/>
  <c r="O51" i="83"/>
  <c r="M51" i="83"/>
  <c r="AF51" i="83" s="1"/>
  <c r="K51" i="83"/>
  <c r="G51" i="83"/>
  <c r="V50" i="83"/>
  <c r="O50" i="83"/>
  <c r="M50" i="83"/>
  <c r="AF50" i="83" s="1"/>
  <c r="K50" i="83"/>
  <c r="G50" i="83"/>
  <c r="AD49" i="83"/>
  <c r="AC49" i="83"/>
  <c r="Z49" i="83"/>
  <c r="Y49" i="83"/>
  <c r="O49" i="83"/>
  <c r="K49" i="83"/>
  <c r="V48" i="83"/>
  <c r="U48" i="83"/>
  <c r="O48" i="83"/>
  <c r="M48" i="83"/>
  <c r="AF48" i="83" s="1"/>
  <c r="K48" i="83"/>
  <c r="G48" i="83"/>
  <c r="X47" i="83"/>
  <c r="W47" i="83"/>
  <c r="V47" i="83"/>
  <c r="M47" i="83" s="1"/>
  <c r="AF47" i="83" s="1"/>
  <c r="U47" i="83"/>
  <c r="O47" i="83"/>
  <c r="K47" i="83"/>
  <c r="G47" i="83"/>
  <c r="V46" i="83"/>
  <c r="U46" i="83"/>
  <c r="O46" i="83"/>
  <c r="M46" i="83"/>
  <c r="AF46" i="83" s="1"/>
  <c r="K46" i="83"/>
  <c r="G46" i="83"/>
  <c r="V45" i="83"/>
  <c r="U45" i="83"/>
  <c r="O45" i="83"/>
  <c r="M45" i="83"/>
  <c r="AF45" i="83" s="1"/>
  <c r="K45" i="83"/>
  <c r="G45" i="83"/>
  <c r="V44" i="83"/>
  <c r="U44" i="83"/>
  <c r="O44" i="83"/>
  <c r="M44" i="83"/>
  <c r="AE44" i="83" s="1"/>
  <c r="K44" i="83"/>
  <c r="G44" i="83"/>
  <c r="X43" i="83"/>
  <c r="W43" i="83"/>
  <c r="V43" i="83"/>
  <c r="M43" i="83" s="1"/>
  <c r="AE43" i="83" s="1"/>
  <c r="O43" i="83"/>
  <c r="K43" i="83"/>
  <c r="G43" i="83"/>
  <c r="AD42" i="83"/>
  <c r="AC42" i="83"/>
  <c r="Z42" i="83"/>
  <c r="Y42" i="83"/>
  <c r="O42" i="83"/>
  <c r="K42" i="83"/>
  <c r="V41" i="83"/>
  <c r="U41" i="83"/>
  <c r="O41" i="83"/>
  <c r="M41" i="83"/>
  <c r="AF41" i="83" s="1"/>
  <c r="K41" i="83"/>
  <c r="G41" i="83"/>
  <c r="V40" i="83"/>
  <c r="U40" i="83"/>
  <c r="O40" i="83"/>
  <c r="M40" i="83"/>
  <c r="AE40" i="83" s="1"/>
  <c r="K40" i="83"/>
  <c r="G40" i="83"/>
  <c r="AF39" i="83"/>
  <c r="X39" i="83"/>
  <c r="W39" i="83"/>
  <c r="V39" i="83"/>
  <c r="U39" i="83"/>
  <c r="O39" i="83"/>
  <c r="M39" i="83"/>
  <c r="N39" i="83" s="1"/>
  <c r="K39" i="83"/>
  <c r="G39" i="83"/>
  <c r="V38" i="83"/>
  <c r="U38" i="83"/>
  <c r="O38" i="83"/>
  <c r="M38" i="83"/>
  <c r="AE38" i="83" s="1"/>
  <c r="K38" i="83"/>
  <c r="G38" i="83"/>
  <c r="AF37" i="83"/>
  <c r="V37" i="83"/>
  <c r="U37" i="83"/>
  <c r="O37" i="83"/>
  <c r="M37" i="83"/>
  <c r="N37" i="83" s="1"/>
  <c r="K37" i="83"/>
  <c r="G37" i="83"/>
  <c r="V36" i="83"/>
  <c r="M36" i="83" s="1"/>
  <c r="U36" i="83"/>
  <c r="O36" i="83"/>
  <c r="K36" i="83"/>
  <c r="G36" i="83"/>
  <c r="X35" i="83"/>
  <c r="W35" i="83"/>
  <c r="V35" i="83"/>
  <c r="M35" i="83" s="1"/>
  <c r="O35" i="83"/>
  <c r="K35" i="83"/>
  <c r="G35" i="83"/>
  <c r="AD34" i="83"/>
  <c r="AC34" i="83"/>
  <c r="Z34" i="83"/>
  <c r="Y34" i="83"/>
  <c r="O34" i="83"/>
  <c r="K34" i="83"/>
  <c r="AF33" i="83"/>
  <c r="AE33" i="83"/>
  <c r="V33" i="83"/>
  <c r="U33" i="83"/>
  <c r="O33" i="83"/>
  <c r="M33" i="83"/>
  <c r="N33" i="83" s="1"/>
  <c r="K33" i="83"/>
  <c r="G33" i="83"/>
  <c r="X32" i="83"/>
  <c r="W32" i="83"/>
  <c r="V32" i="83"/>
  <c r="M32" i="83" s="1"/>
  <c r="U32" i="83"/>
  <c r="O32" i="83"/>
  <c r="K32" i="83"/>
  <c r="G32" i="83"/>
  <c r="AF31" i="83"/>
  <c r="AE31" i="83"/>
  <c r="V31" i="83"/>
  <c r="U31" i="83"/>
  <c r="O31" i="83"/>
  <c r="M31" i="83"/>
  <c r="N31" i="83" s="1"/>
  <c r="K31" i="83"/>
  <c r="G31" i="83"/>
  <c r="V30" i="83"/>
  <c r="M30" i="83" s="1"/>
  <c r="U30" i="83"/>
  <c r="O30" i="83"/>
  <c r="K30" i="83"/>
  <c r="G30" i="83"/>
  <c r="V29" i="83"/>
  <c r="M29" i="83" s="1"/>
  <c r="U29" i="83"/>
  <c r="O29" i="83"/>
  <c r="K29" i="83"/>
  <c r="G29" i="83"/>
  <c r="X28" i="83"/>
  <c r="W28" i="83"/>
  <c r="V28" i="83"/>
  <c r="M28" i="83" s="1"/>
  <c r="O28" i="83"/>
  <c r="K28" i="83"/>
  <c r="G28" i="83"/>
  <c r="AD27" i="83"/>
  <c r="G21" i="82" s="1"/>
  <c r="AC27" i="83"/>
  <c r="Z27" i="83"/>
  <c r="Y27" i="83"/>
  <c r="O27" i="83"/>
  <c r="K27" i="83"/>
  <c r="V26" i="83"/>
  <c r="M26" i="83" s="1"/>
  <c r="U26" i="83"/>
  <c r="O26" i="83"/>
  <c r="K26" i="83"/>
  <c r="G26" i="83"/>
  <c r="AE25" i="83"/>
  <c r="X25" i="83"/>
  <c r="W25" i="83"/>
  <c r="V25" i="83"/>
  <c r="U25" i="83"/>
  <c r="O25" i="83"/>
  <c r="M25" i="83"/>
  <c r="N25" i="83" s="1"/>
  <c r="K25" i="83"/>
  <c r="G25" i="83"/>
  <c r="V24" i="83"/>
  <c r="M24" i="83" s="1"/>
  <c r="U24" i="83"/>
  <c r="O24" i="83"/>
  <c r="K24" i="83"/>
  <c r="G24" i="83"/>
  <c r="V23" i="83"/>
  <c r="M23" i="83" s="1"/>
  <c r="U23" i="83"/>
  <c r="O23" i="83"/>
  <c r="K23" i="83"/>
  <c r="G23" i="83"/>
  <c r="V22" i="83"/>
  <c r="M22" i="83" s="1"/>
  <c r="U22" i="83"/>
  <c r="O22" i="83"/>
  <c r="K22" i="83"/>
  <c r="G22" i="83"/>
  <c r="V21" i="83"/>
  <c r="M21" i="83" s="1"/>
  <c r="U21" i="83"/>
  <c r="O21" i="83"/>
  <c r="K21" i="83"/>
  <c r="G21" i="83"/>
  <c r="V20" i="83"/>
  <c r="M20" i="83" s="1"/>
  <c r="O20" i="83"/>
  <c r="K20" i="83"/>
  <c r="G20" i="83"/>
  <c r="AD19" i="83"/>
  <c r="F21" i="82" s="1"/>
  <c r="AC19" i="83"/>
  <c r="F20" i="82" s="1"/>
  <c r="Z19" i="83"/>
  <c r="F19" i="82" s="1"/>
  <c r="Y19" i="83"/>
  <c r="F18" i="82" s="1"/>
  <c r="O19" i="83"/>
  <c r="K19" i="83"/>
  <c r="V18" i="83"/>
  <c r="M18" i="83" s="1"/>
  <c r="U18" i="83"/>
  <c r="O18" i="83"/>
  <c r="K18" i="83"/>
  <c r="G18" i="83"/>
  <c r="X17" i="83"/>
  <c r="W17" i="83"/>
  <c r="V17" i="83"/>
  <c r="M17" i="83" s="1"/>
  <c r="U17" i="83"/>
  <c r="O17" i="83"/>
  <c r="K17" i="83"/>
  <c r="G17" i="83"/>
  <c r="V16" i="83"/>
  <c r="M16" i="83" s="1"/>
  <c r="U16" i="83"/>
  <c r="O16" i="83"/>
  <c r="K16" i="83"/>
  <c r="G16" i="83"/>
  <c r="V15" i="83"/>
  <c r="M15" i="83" s="1"/>
  <c r="U15" i="83"/>
  <c r="O15" i="83"/>
  <c r="K15" i="83"/>
  <c r="G15" i="83"/>
  <c r="V14" i="83"/>
  <c r="M14" i="83" s="1"/>
  <c r="O14" i="83"/>
  <c r="K14" i="83"/>
  <c r="G14" i="83"/>
  <c r="AD13" i="83"/>
  <c r="AC13" i="83"/>
  <c r="E20" i="82" s="1"/>
  <c r="Z13" i="83"/>
  <c r="E19" i="82" s="1"/>
  <c r="Y13" i="83"/>
  <c r="E18" i="82" s="1"/>
  <c r="O13" i="83"/>
  <c r="K13" i="83"/>
  <c r="V12" i="83"/>
  <c r="U12" i="83"/>
  <c r="O12" i="83"/>
  <c r="M12" i="83"/>
  <c r="AF12" i="83" s="1"/>
  <c r="K12" i="83"/>
  <c r="G12" i="83"/>
  <c r="X11" i="83"/>
  <c r="W11" i="83"/>
  <c r="V11" i="83"/>
  <c r="M11" i="83" s="1"/>
  <c r="U11" i="83"/>
  <c r="O11" i="83"/>
  <c r="K11" i="83"/>
  <c r="G11" i="83"/>
  <c r="V10" i="83"/>
  <c r="M10" i="83" s="1"/>
  <c r="O10" i="83"/>
  <c r="K10" i="83"/>
  <c r="G10" i="83"/>
  <c r="AD9" i="83"/>
  <c r="AD2" i="83" s="1"/>
  <c r="N6" i="82" s="1"/>
  <c r="AC9" i="83"/>
  <c r="Z9" i="83"/>
  <c r="D19" i="82" s="1"/>
  <c r="Y9" i="83"/>
  <c r="O9" i="83"/>
  <c r="K9" i="83"/>
  <c r="V8" i="83"/>
  <c r="M8" i="83" s="1"/>
  <c r="U8" i="83"/>
  <c r="O8" i="83"/>
  <c r="K8" i="83"/>
  <c r="G8" i="83"/>
  <c r="V7" i="83"/>
  <c r="U7" i="83"/>
  <c r="O7" i="83"/>
  <c r="M7" i="83"/>
  <c r="AF7" i="83" s="1"/>
  <c r="K7" i="83"/>
  <c r="G7" i="83"/>
  <c r="V6" i="83"/>
  <c r="M6" i="83" s="1"/>
  <c r="AF6" i="83" s="1"/>
  <c r="U6" i="83"/>
  <c r="O6" i="83"/>
  <c r="K6" i="83"/>
  <c r="G6" i="83"/>
  <c r="V5" i="83"/>
  <c r="O5" i="83"/>
  <c r="M5" i="83"/>
  <c r="K5" i="83"/>
  <c r="G5" i="83"/>
  <c r="H2" i="83"/>
  <c r="H1" i="83"/>
  <c r="D1" i="83"/>
  <c r="M22" i="82"/>
  <c r="L22" i="82"/>
  <c r="K22" i="82"/>
  <c r="J22" i="82"/>
  <c r="I22" i="82"/>
  <c r="H22" i="82"/>
  <c r="G22" i="82"/>
  <c r="F22" i="82"/>
  <c r="E22" i="82"/>
  <c r="D22" i="82"/>
  <c r="M21" i="82"/>
  <c r="L21" i="82"/>
  <c r="K21" i="82"/>
  <c r="J21" i="82"/>
  <c r="H21" i="82"/>
  <c r="E21" i="82"/>
  <c r="D21" i="82"/>
  <c r="M20" i="82"/>
  <c r="L20" i="82"/>
  <c r="K20" i="82"/>
  <c r="J20" i="82"/>
  <c r="I20" i="82"/>
  <c r="H20" i="82"/>
  <c r="G20" i="82"/>
  <c r="M19" i="82"/>
  <c r="L19" i="82"/>
  <c r="K19" i="82"/>
  <c r="J19" i="82"/>
  <c r="H19" i="82"/>
  <c r="G19" i="82"/>
  <c r="M18" i="82"/>
  <c r="L18" i="82"/>
  <c r="K18" i="82"/>
  <c r="J18" i="82"/>
  <c r="H18" i="82"/>
  <c r="G18" i="82"/>
  <c r="M17" i="82"/>
  <c r="L17" i="82"/>
  <c r="K17" i="82"/>
  <c r="J17" i="82"/>
  <c r="I17" i="82"/>
  <c r="H17" i="82"/>
  <c r="G17" i="82"/>
  <c r="F17" i="82"/>
  <c r="E17" i="82"/>
  <c r="D17" i="82"/>
  <c r="M16" i="82"/>
  <c r="L16" i="82"/>
  <c r="K16" i="82"/>
  <c r="J16" i="82"/>
  <c r="I16" i="82"/>
  <c r="H16" i="82"/>
  <c r="G16" i="82"/>
  <c r="F16" i="82"/>
  <c r="E16" i="82"/>
  <c r="D16" i="82"/>
  <c r="M13" i="82"/>
  <c r="L13" i="82"/>
  <c r="K13" i="82"/>
  <c r="I6" i="82" s="1"/>
  <c r="I13" i="82"/>
  <c r="H13" i="82"/>
  <c r="G13" i="82"/>
  <c r="F13" i="82"/>
  <c r="E13" i="82"/>
  <c r="D13" i="82"/>
  <c r="F3" i="82"/>
  <c r="C3" i="82"/>
  <c r="N28" i="83" l="1"/>
  <c r="AF28" i="83"/>
  <c r="AE28" i="83"/>
  <c r="N65" i="83"/>
  <c r="AF65" i="83"/>
  <c r="AE65" i="83"/>
  <c r="AF8" i="83"/>
  <c r="N8" i="83"/>
  <c r="Q8" i="83" s="1"/>
  <c r="N32" i="83"/>
  <c r="AF32" i="83"/>
  <c r="AE32" i="83"/>
  <c r="N35" i="83"/>
  <c r="AF35" i="83"/>
  <c r="AE35" i="83"/>
  <c r="F1" i="83"/>
  <c r="AF25" i="83"/>
  <c r="M9" i="83"/>
  <c r="AE37" i="83"/>
  <c r="M70" i="83"/>
  <c r="AF70" i="83" s="1"/>
  <c r="AG64" i="83" s="1"/>
  <c r="N12" i="83"/>
  <c r="Q12" i="83" s="1"/>
  <c r="Y2" i="83"/>
  <c r="K6" i="82" s="1"/>
  <c r="AE61" i="83"/>
  <c r="AF61" i="83"/>
  <c r="AC2" i="83"/>
  <c r="M6" i="82" s="1"/>
  <c r="N52" i="83"/>
  <c r="Q52" i="83" s="1"/>
  <c r="E7" i="88"/>
  <c r="F7" i="88"/>
  <c r="G7" i="88"/>
  <c r="G8" i="88"/>
  <c r="F8" i="88"/>
  <c r="E8" i="88"/>
  <c r="I7" i="88"/>
  <c r="I8" i="88"/>
  <c r="Q56" i="87"/>
  <c r="R50" i="87" s="1"/>
  <c r="P56" i="87"/>
  <c r="J14" i="86"/>
  <c r="J15" i="86" s="1"/>
  <c r="P49" i="87"/>
  <c r="I14" i="86"/>
  <c r="I15" i="86" s="1"/>
  <c r="Q49" i="87"/>
  <c r="R43" i="87" s="1"/>
  <c r="Q23" i="87"/>
  <c r="R17" i="87" s="1"/>
  <c r="P23" i="87"/>
  <c r="G14" i="86"/>
  <c r="G15" i="86" s="1"/>
  <c r="Q62" i="87"/>
  <c r="R57" i="87" s="1"/>
  <c r="P62" i="87"/>
  <c r="M14" i="86"/>
  <c r="M15" i="86" s="1"/>
  <c r="Q36" i="87"/>
  <c r="R30" i="87" s="1"/>
  <c r="P36" i="87"/>
  <c r="L14" i="86"/>
  <c r="L15" i="86" s="1"/>
  <c r="Q29" i="87"/>
  <c r="R24" i="87" s="1"/>
  <c r="P29" i="87"/>
  <c r="K14" i="86"/>
  <c r="Q42" i="87"/>
  <c r="R37" i="87" s="1"/>
  <c r="P42" i="87"/>
  <c r="H14" i="86"/>
  <c r="H15" i="86" s="1"/>
  <c r="D2" i="87"/>
  <c r="Q44" i="85"/>
  <c r="P44" i="85"/>
  <c r="N54" i="85"/>
  <c r="AF54" i="85"/>
  <c r="AG48" i="85" s="1"/>
  <c r="AE54" i="85"/>
  <c r="Q32" i="85"/>
  <c r="P32" i="85"/>
  <c r="Q67" i="85"/>
  <c r="P67" i="85"/>
  <c r="Q11" i="85"/>
  <c r="P11" i="85"/>
  <c r="Q29" i="85"/>
  <c r="P29" i="85"/>
  <c r="Q36" i="85"/>
  <c r="P36" i="85"/>
  <c r="Q35" i="85"/>
  <c r="P35" i="85"/>
  <c r="P18" i="85"/>
  <c r="F14" i="84"/>
  <c r="F15" i="84" s="1"/>
  <c r="Q18" i="85"/>
  <c r="R13" i="85" s="1"/>
  <c r="Q16" i="85"/>
  <c r="P16" i="85"/>
  <c r="Q68" i="85"/>
  <c r="R62" i="85" s="1"/>
  <c r="P68" i="85"/>
  <c r="M14" i="84"/>
  <c r="M15" i="84" s="1"/>
  <c r="Q65" i="85"/>
  <c r="P65" i="85"/>
  <c r="Q7" i="85"/>
  <c r="P7" i="85"/>
  <c r="P28" i="85"/>
  <c r="Q28" i="85"/>
  <c r="Q8" i="85"/>
  <c r="R5" i="85" s="1"/>
  <c r="P8" i="85"/>
  <c r="D14" i="84"/>
  <c r="Q45" i="85"/>
  <c r="P45" i="85"/>
  <c r="Q58" i="85"/>
  <c r="P58" i="85"/>
  <c r="Q17" i="85"/>
  <c r="P17" i="85"/>
  <c r="AE61" i="85"/>
  <c r="N61" i="85"/>
  <c r="AF61" i="85"/>
  <c r="AG55" i="85" s="1"/>
  <c r="P22" i="85"/>
  <c r="Q22" i="85"/>
  <c r="P21" i="85"/>
  <c r="Q21" i="85"/>
  <c r="Q25" i="85"/>
  <c r="P25" i="85"/>
  <c r="AF47" i="85"/>
  <c r="AG42" i="85" s="1"/>
  <c r="AE47" i="85"/>
  <c r="N47" i="85"/>
  <c r="Q24" i="85"/>
  <c r="P24" i="85"/>
  <c r="Q19" i="85"/>
  <c r="P19" i="85"/>
  <c r="Q64" i="85"/>
  <c r="P64" i="85"/>
  <c r="Q15" i="85"/>
  <c r="P15" i="85"/>
  <c r="Q60" i="85"/>
  <c r="P60" i="85"/>
  <c r="P55" i="85"/>
  <c r="Q55" i="85"/>
  <c r="Q57" i="85"/>
  <c r="P57" i="85"/>
  <c r="Q23" i="85"/>
  <c r="P23" i="85"/>
  <c r="N33" i="85"/>
  <c r="AF33" i="85"/>
  <c r="AG27" i="85" s="1"/>
  <c r="AE33" i="85"/>
  <c r="N26" i="85"/>
  <c r="AF26" i="85"/>
  <c r="AG19" i="85" s="1"/>
  <c r="AE26" i="85"/>
  <c r="P53" i="85"/>
  <c r="Q53" i="85"/>
  <c r="Q12" i="85"/>
  <c r="R9" i="85" s="1"/>
  <c r="P12" i="85"/>
  <c r="E14" i="84"/>
  <c r="E15" i="84" s="1"/>
  <c r="Q27" i="85"/>
  <c r="P27" i="85"/>
  <c r="Q40" i="85"/>
  <c r="P40" i="85"/>
  <c r="Q49" i="85"/>
  <c r="P49" i="85"/>
  <c r="Q30" i="85"/>
  <c r="P30" i="85"/>
  <c r="P56" i="85"/>
  <c r="Q56" i="85"/>
  <c r="Q48" i="85"/>
  <c r="P48" i="85"/>
  <c r="AE41" i="85"/>
  <c r="N41" i="85"/>
  <c r="AF41" i="85"/>
  <c r="AG34" i="85" s="1"/>
  <c r="Q52" i="85"/>
  <c r="P52" i="85"/>
  <c r="Q51" i="85"/>
  <c r="P51" i="85"/>
  <c r="Q20" i="85"/>
  <c r="P20" i="85"/>
  <c r="N24" i="83"/>
  <c r="AF24" i="83"/>
  <c r="AE24" i="83"/>
  <c r="Q28" i="83"/>
  <c r="P28" i="83"/>
  <c r="N9" i="83"/>
  <c r="AF9" i="83"/>
  <c r="AG5" i="83" s="1"/>
  <c r="AE9" i="83"/>
  <c r="AF11" i="83"/>
  <c r="AE11" i="83"/>
  <c r="N11" i="83"/>
  <c r="AF15" i="83"/>
  <c r="AE15" i="83"/>
  <c r="N15" i="83"/>
  <c r="F2" i="83"/>
  <c r="I3" i="82"/>
  <c r="Q33" i="83"/>
  <c r="P33" i="83"/>
  <c r="N55" i="83"/>
  <c r="AF55" i="83"/>
  <c r="AE55" i="83"/>
  <c r="Q64" i="83"/>
  <c r="P64" i="83"/>
  <c r="N22" i="83"/>
  <c r="AF22" i="83"/>
  <c r="AE22" i="83"/>
  <c r="N36" i="83"/>
  <c r="AF36" i="83"/>
  <c r="M42" i="83"/>
  <c r="AE36" i="83"/>
  <c r="N60" i="83"/>
  <c r="AF60" i="83"/>
  <c r="AE60" i="83"/>
  <c r="Q25" i="83"/>
  <c r="P25" i="83"/>
  <c r="N26" i="83"/>
  <c r="AF26" i="83"/>
  <c r="AE26" i="83"/>
  <c r="Q32" i="83"/>
  <c r="P32" i="83"/>
  <c r="Q35" i="83"/>
  <c r="P35" i="83"/>
  <c r="AF53" i="83"/>
  <c r="AE53" i="83"/>
  <c r="N53" i="83"/>
  <c r="N20" i="83"/>
  <c r="AF20" i="83"/>
  <c r="M27" i="83"/>
  <c r="AE20" i="83"/>
  <c r="N30" i="83"/>
  <c r="AF30" i="83"/>
  <c r="AE30" i="83"/>
  <c r="Q61" i="83"/>
  <c r="P61" i="83"/>
  <c r="N16" i="83"/>
  <c r="AF16" i="83"/>
  <c r="AE16" i="83"/>
  <c r="N18" i="83"/>
  <c r="AF18" i="83"/>
  <c r="AE18" i="83"/>
  <c r="N58" i="83"/>
  <c r="AF58" i="83"/>
  <c r="AE58" i="83"/>
  <c r="G6" i="82"/>
  <c r="Q37" i="83"/>
  <c r="P37" i="83"/>
  <c r="N23" i="83"/>
  <c r="AF23" i="83"/>
  <c r="AE23" i="83"/>
  <c r="Q31" i="83"/>
  <c r="P31" i="83"/>
  <c r="Q39" i="83"/>
  <c r="P39" i="83"/>
  <c r="M13" i="83"/>
  <c r="AF10" i="83"/>
  <c r="AE10" i="83"/>
  <c r="N10" i="83"/>
  <c r="M19" i="83"/>
  <c r="AF14" i="83"/>
  <c r="AE14" i="83"/>
  <c r="N14" i="83"/>
  <c r="N54" i="83"/>
  <c r="AF54" i="83"/>
  <c r="AE54" i="83"/>
  <c r="N59" i="83"/>
  <c r="AF59" i="83"/>
  <c r="AE59" i="83"/>
  <c r="Q65" i="83"/>
  <c r="P65" i="83"/>
  <c r="N21" i="83"/>
  <c r="AF21" i="83"/>
  <c r="AE21" i="83"/>
  <c r="N17" i="83"/>
  <c r="AF17" i="83"/>
  <c r="AE17" i="83"/>
  <c r="N29" i="83"/>
  <c r="M34" i="83"/>
  <c r="AF29" i="83"/>
  <c r="AE29" i="83"/>
  <c r="N57" i="83"/>
  <c r="AF57" i="83"/>
  <c r="AE57" i="83"/>
  <c r="M63" i="83"/>
  <c r="E6" i="82"/>
  <c r="F6" i="82"/>
  <c r="D18" i="82"/>
  <c r="AF38" i="83"/>
  <c r="AE39" i="83"/>
  <c r="AF40" i="83"/>
  <c r="AF43" i="83"/>
  <c r="AF44" i="83"/>
  <c r="M49" i="83"/>
  <c r="AF62" i="83"/>
  <c r="AE64" i="83"/>
  <c r="AF66" i="83"/>
  <c r="AF68" i="83"/>
  <c r="N7" i="83"/>
  <c r="N47" i="83"/>
  <c r="N50" i="83"/>
  <c r="N51" i="83"/>
  <c r="N70" i="83"/>
  <c r="N5" i="83"/>
  <c r="N6" i="83"/>
  <c r="P8" i="83"/>
  <c r="P12" i="83"/>
  <c r="N43" i="83"/>
  <c r="N46" i="83"/>
  <c r="N48" i="83"/>
  <c r="P52" i="83"/>
  <c r="N68" i="83"/>
  <c r="N41" i="83"/>
  <c r="N45" i="83"/>
  <c r="N67" i="83"/>
  <c r="N69" i="83"/>
  <c r="N38" i="83"/>
  <c r="N40" i="83"/>
  <c r="N44" i="83"/>
  <c r="N62" i="83"/>
  <c r="N66" i="83"/>
  <c r="AE8" i="83"/>
  <c r="AE12" i="83"/>
  <c r="AE52" i="83"/>
  <c r="M56" i="83"/>
  <c r="D20" i="82"/>
  <c r="AE7" i="83"/>
  <c r="AE50" i="83"/>
  <c r="AE51" i="83"/>
  <c r="Z2" i="83"/>
  <c r="L6" i="82" s="1"/>
  <c r="AE5" i="83"/>
  <c r="AE6" i="83"/>
  <c r="AE46" i="83"/>
  <c r="AE48" i="83"/>
  <c r="AF5" i="83"/>
  <c r="AE41" i="83"/>
  <c r="AE45" i="83"/>
  <c r="AE47" i="83"/>
  <c r="AE67" i="83"/>
  <c r="AE69" i="83"/>
  <c r="AE70" i="83"/>
  <c r="D2" i="85" l="1"/>
  <c r="F8" i="86"/>
  <c r="K15" i="86"/>
  <c r="I8" i="86" s="1"/>
  <c r="I7" i="86"/>
  <c r="G7" i="86"/>
  <c r="E7" i="86"/>
  <c r="F7" i="86"/>
  <c r="E8" i="86"/>
  <c r="G8" i="86"/>
  <c r="Q26" i="85"/>
  <c r="R19" i="85" s="1"/>
  <c r="P26" i="85"/>
  <c r="G14" i="84"/>
  <c r="G15" i="84" s="1"/>
  <c r="Q41" i="85"/>
  <c r="R34" i="85" s="1"/>
  <c r="P41" i="85"/>
  <c r="L14" i="84"/>
  <c r="L15" i="84" s="1"/>
  <c r="Q33" i="85"/>
  <c r="R27" i="85" s="1"/>
  <c r="P33" i="85"/>
  <c r="K14" i="84"/>
  <c r="D15" i="84"/>
  <c r="Q47" i="85"/>
  <c r="R42" i="85" s="1"/>
  <c r="P47" i="85"/>
  <c r="H14" i="84"/>
  <c r="H15" i="84" s="1"/>
  <c r="Q61" i="85"/>
  <c r="R55" i="85" s="1"/>
  <c r="P61" i="85"/>
  <c r="J14" i="84"/>
  <c r="J15" i="84" s="1"/>
  <c r="Q54" i="85"/>
  <c r="R48" i="85" s="1"/>
  <c r="P54" i="85"/>
  <c r="I14" i="84"/>
  <c r="I15" i="84" s="1"/>
  <c r="Q51" i="83"/>
  <c r="P51" i="83"/>
  <c r="P22" i="83"/>
  <c r="Q22" i="83"/>
  <c r="N56" i="83"/>
  <c r="AF56" i="83"/>
  <c r="AG50" i="83" s="1"/>
  <c r="AE56" i="83"/>
  <c r="Q41" i="83"/>
  <c r="P41" i="83"/>
  <c r="Q50" i="83"/>
  <c r="P50" i="83"/>
  <c r="Q11" i="83"/>
  <c r="P11" i="83"/>
  <c r="P20" i="83"/>
  <c r="Q20" i="83"/>
  <c r="Q68" i="83"/>
  <c r="P68" i="83"/>
  <c r="Q18" i="83"/>
  <c r="P18" i="83"/>
  <c r="P17" i="83"/>
  <c r="Q17" i="83"/>
  <c r="Q16" i="83"/>
  <c r="P16" i="83"/>
  <c r="N19" i="83"/>
  <c r="AF19" i="83"/>
  <c r="AG14" i="83" s="1"/>
  <c r="AE19" i="83"/>
  <c r="Q9" i="83"/>
  <c r="R5" i="83" s="1"/>
  <c r="D14" i="82"/>
  <c r="P9" i="83"/>
  <c r="Q26" i="83"/>
  <c r="P26" i="83"/>
  <c r="Q53" i="83"/>
  <c r="P53" i="83"/>
  <c r="Q48" i="83"/>
  <c r="P48" i="83"/>
  <c r="Q62" i="83"/>
  <c r="P62" i="83"/>
  <c r="Q10" i="83"/>
  <c r="P10" i="83"/>
  <c r="AF42" i="83"/>
  <c r="AG35" i="83" s="1"/>
  <c r="AE42" i="83"/>
  <c r="N42" i="83"/>
  <c r="AE63" i="83"/>
  <c r="N63" i="83"/>
  <c r="AF63" i="83"/>
  <c r="AG57" i="83" s="1"/>
  <c r="Q23" i="83"/>
  <c r="P23" i="83"/>
  <c r="P55" i="83"/>
  <c r="Q55" i="83"/>
  <c r="Q43" i="83"/>
  <c r="P43" i="83"/>
  <c r="Q44" i="83"/>
  <c r="P44" i="83"/>
  <c r="P57" i="83"/>
  <c r="Q57" i="83"/>
  <c r="N27" i="83"/>
  <c r="AF27" i="83"/>
  <c r="AG20" i="83" s="1"/>
  <c r="AE27" i="83"/>
  <c r="Q46" i="83"/>
  <c r="P46" i="83"/>
  <c r="P21" i="83"/>
  <c r="Q21" i="83"/>
  <c r="AF49" i="83"/>
  <c r="AG43" i="83" s="1"/>
  <c r="AE49" i="83"/>
  <c r="N49" i="83"/>
  <c r="Q38" i="83"/>
  <c r="P38" i="83"/>
  <c r="Q6" i="83"/>
  <c r="P6" i="83"/>
  <c r="Q36" i="83"/>
  <c r="P36" i="83"/>
  <c r="Q29" i="83"/>
  <c r="P29" i="83"/>
  <c r="Q47" i="83"/>
  <c r="P47" i="83"/>
  <c r="Q66" i="83"/>
  <c r="P66" i="83"/>
  <c r="Q60" i="83"/>
  <c r="P60" i="83"/>
  <c r="Q40" i="83"/>
  <c r="P40" i="83"/>
  <c r="Q69" i="83"/>
  <c r="P69" i="83"/>
  <c r="Q5" i="83"/>
  <c r="P5" i="83"/>
  <c r="N13" i="83"/>
  <c r="AF13" i="83"/>
  <c r="AG10" i="83" s="1"/>
  <c r="AE13" i="83"/>
  <c r="Q30" i="83"/>
  <c r="P30" i="83"/>
  <c r="Q15" i="83"/>
  <c r="P15" i="83"/>
  <c r="Q45" i="83"/>
  <c r="P45" i="83"/>
  <c r="Q54" i="83"/>
  <c r="P54" i="83"/>
  <c r="Q7" i="83"/>
  <c r="P7" i="83"/>
  <c r="Q14" i="83"/>
  <c r="P14" i="83"/>
  <c r="Q67" i="83"/>
  <c r="P67" i="83"/>
  <c r="Q70" i="83"/>
  <c r="R64" i="83" s="1"/>
  <c r="P70" i="83"/>
  <c r="M14" i="82"/>
  <c r="M15" i="82" s="1"/>
  <c r="N34" i="83"/>
  <c r="AE34" i="83"/>
  <c r="AF34" i="83"/>
  <c r="AG28" i="83" s="1"/>
  <c r="Q59" i="83"/>
  <c r="P59" i="83"/>
  <c r="P58" i="83"/>
  <c r="Q58" i="83"/>
  <c r="Q24" i="83"/>
  <c r="P24" i="83"/>
  <c r="D2" i="83" l="1"/>
  <c r="F7" i="84"/>
  <c r="G8" i="84"/>
  <c r="F8" i="84"/>
  <c r="I7" i="84"/>
  <c r="K15" i="84"/>
  <c r="I8" i="84" s="1"/>
  <c r="G7" i="84"/>
  <c r="E7" i="84"/>
  <c r="D15" i="82"/>
  <c r="Q56" i="83"/>
  <c r="R50" i="83" s="1"/>
  <c r="P56" i="83"/>
  <c r="I14" i="82"/>
  <c r="I15" i="82" s="1"/>
  <c r="P19" i="83"/>
  <c r="Q19" i="83"/>
  <c r="R14" i="83" s="1"/>
  <c r="F14" i="82"/>
  <c r="F15" i="82" s="1"/>
  <c r="Q27" i="83"/>
  <c r="R20" i="83" s="1"/>
  <c r="P27" i="83"/>
  <c r="G14" i="82"/>
  <c r="G15" i="82" s="1"/>
  <c r="Q42" i="83"/>
  <c r="R35" i="83" s="1"/>
  <c r="P42" i="83"/>
  <c r="L14" i="82"/>
  <c r="L15" i="82" s="1"/>
  <c r="Q34" i="83"/>
  <c r="R28" i="83" s="1"/>
  <c r="P34" i="83"/>
  <c r="K14" i="82"/>
  <c r="Q63" i="83"/>
  <c r="R57" i="83" s="1"/>
  <c r="P63" i="83"/>
  <c r="J14" i="82"/>
  <c r="J15" i="82" s="1"/>
  <c r="Q49" i="83"/>
  <c r="R43" i="83" s="1"/>
  <c r="P49" i="83"/>
  <c r="H14" i="82"/>
  <c r="H15" i="82" s="1"/>
  <c r="Q13" i="83"/>
  <c r="R10" i="83" s="1"/>
  <c r="E14" i="82"/>
  <c r="E15" i="82" s="1"/>
  <c r="P13" i="83"/>
  <c r="E8" i="84" l="1"/>
  <c r="I7" i="82"/>
  <c r="K15" i="82"/>
  <c r="I8" i="82" s="1"/>
  <c r="E7" i="82"/>
  <c r="F7" i="82"/>
  <c r="G7" i="82"/>
  <c r="G8" i="82"/>
  <c r="F8" i="82"/>
  <c r="E8" i="82"/>
  <c r="AD68" i="81" l="1"/>
  <c r="Z68" i="81"/>
  <c r="Y68" i="81"/>
  <c r="O68" i="81"/>
  <c r="K68" i="81"/>
  <c r="M13" i="80" s="1"/>
  <c r="V67" i="81"/>
  <c r="M67" i="81" s="1"/>
  <c r="U67" i="81"/>
  <c r="O67" i="81"/>
  <c r="K67" i="81"/>
  <c r="G67" i="81"/>
  <c r="AF66" i="81"/>
  <c r="X66" i="81"/>
  <c r="W66" i="81"/>
  <c r="V66" i="81"/>
  <c r="U66" i="81"/>
  <c r="O66" i="81"/>
  <c r="M66" i="81"/>
  <c r="N66" i="81" s="1"/>
  <c r="K66" i="81"/>
  <c r="G66" i="81"/>
  <c r="V65" i="81"/>
  <c r="M65" i="81" s="1"/>
  <c r="U65" i="81"/>
  <c r="O65" i="81"/>
  <c r="K65" i="81"/>
  <c r="G65" i="81"/>
  <c r="V64" i="81"/>
  <c r="M64" i="81" s="1"/>
  <c r="U64" i="81"/>
  <c r="O64" i="81"/>
  <c r="K64" i="81"/>
  <c r="G64" i="81"/>
  <c r="V63" i="81"/>
  <c r="M63" i="81" s="1"/>
  <c r="U63" i="81"/>
  <c r="O63" i="81"/>
  <c r="K63" i="81"/>
  <c r="G63" i="81"/>
  <c r="X62" i="81"/>
  <c r="W62" i="81"/>
  <c r="V62" i="81"/>
  <c r="M62" i="81" s="1"/>
  <c r="O62" i="81"/>
  <c r="K62" i="81"/>
  <c r="G62" i="81"/>
  <c r="AD61" i="81"/>
  <c r="Z61" i="81"/>
  <c r="Y61" i="81"/>
  <c r="O61" i="81"/>
  <c r="K61" i="81"/>
  <c r="V60" i="81"/>
  <c r="M60" i="81" s="1"/>
  <c r="U60" i="81"/>
  <c r="O60" i="81"/>
  <c r="K60" i="81"/>
  <c r="G60" i="81"/>
  <c r="V59" i="81"/>
  <c r="M59" i="81" s="1"/>
  <c r="U59" i="81"/>
  <c r="O59" i="81"/>
  <c r="K59" i="81"/>
  <c r="G59" i="81"/>
  <c r="V58" i="81"/>
  <c r="M58" i="81" s="1"/>
  <c r="U58" i="81"/>
  <c r="O58" i="81"/>
  <c r="K58" i="81"/>
  <c r="G58" i="81"/>
  <c r="V57" i="81"/>
  <c r="M57" i="81" s="1"/>
  <c r="U57" i="81"/>
  <c r="O57" i="81"/>
  <c r="K57" i="81"/>
  <c r="G57" i="81"/>
  <c r="V56" i="81"/>
  <c r="M56" i="81" s="1"/>
  <c r="U56" i="81"/>
  <c r="O56" i="81"/>
  <c r="K56" i="81"/>
  <c r="G56" i="81"/>
  <c r="V55" i="81"/>
  <c r="M55" i="81" s="1"/>
  <c r="O55" i="81"/>
  <c r="K55" i="81"/>
  <c r="G55" i="81"/>
  <c r="AD54" i="81"/>
  <c r="I21" i="80" s="1"/>
  <c r="Z54" i="81"/>
  <c r="Y54" i="81"/>
  <c r="I18" i="80" s="1"/>
  <c r="O54" i="81"/>
  <c r="K54" i="81"/>
  <c r="V53" i="81"/>
  <c r="U53" i="81"/>
  <c r="O53" i="81"/>
  <c r="M53" i="81"/>
  <c r="AF53" i="81" s="1"/>
  <c r="K53" i="81"/>
  <c r="G53" i="81"/>
  <c r="V52" i="81"/>
  <c r="U52" i="81"/>
  <c r="O52" i="81"/>
  <c r="M52" i="81"/>
  <c r="AF52" i="81" s="1"/>
  <c r="K52" i="81"/>
  <c r="G52" i="81"/>
  <c r="V51" i="81"/>
  <c r="U51" i="81"/>
  <c r="O51" i="81"/>
  <c r="M51" i="81"/>
  <c r="AF51" i="81" s="1"/>
  <c r="K51" i="81"/>
  <c r="G51" i="81"/>
  <c r="V50" i="81"/>
  <c r="U50" i="81"/>
  <c r="O50" i="81"/>
  <c r="M50" i="81"/>
  <c r="AF50" i="81" s="1"/>
  <c r="K50" i="81"/>
  <c r="G50" i="81"/>
  <c r="V49" i="81"/>
  <c r="U49" i="81"/>
  <c r="O49" i="81"/>
  <c r="M49" i="81"/>
  <c r="AE49" i="81" s="1"/>
  <c r="K49" i="81"/>
  <c r="G49" i="81"/>
  <c r="V48" i="81"/>
  <c r="M48" i="81" s="1"/>
  <c r="O48" i="81"/>
  <c r="K48" i="81"/>
  <c r="G48" i="81"/>
  <c r="AD47" i="81"/>
  <c r="H21" i="80" s="1"/>
  <c r="Z47" i="81"/>
  <c r="H19" i="80" s="1"/>
  <c r="Y47" i="81"/>
  <c r="O47" i="81"/>
  <c r="K47" i="81"/>
  <c r="V46" i="81"/>
  <c r="M46" i="81" s="1"/>
  <c r="U46" i="81"/>
  <c r="O46" i="81"/>
  <c r="K46" i="81"/>
  <c r="G46" i="81"/>
  <c r="V45" i="81"/>
  <c r="M45" i="81" s="1"/>
  <c r="U45" i="81"/>
  <c r="O45" i="81"/>
  <c r="K45" i="81"/>
  <c r="G45" i="81"/>
  <c r="V44" i="81"/>
  <c r="M44" i="81" s="1"/>
  <c r="U44" i="81"/>
  <c r="O44" i="81"/>
  <c r="K44" i="81"/>
  <c r="G44" i="81"/>
  <c r="X43" i="81"/>
  <c r="W43" i="81"/>
  <c r="V43" i="81"/>
  <c r="M43" i="81" s="1"/>
  <c r="O43" i="81"/>
  <c r="K43" i="81"/>
  <c r="G43" i="81"/>
  <c r="AD42" i="81"/>
  <c r="Z42" i="81"/>
  <c r="Y42" i="81"/>
  <c r="O42" i="81"/>
  <c r="K42" i="81"/>
  <c r="V41" i="81"/>
  <c r="M41" i="81" s="1"/>
  <c r="U41" i="81"/>
  <c r="O41" i="81"/>
  <c r="K41" i="81"/>
  <c r="G41" i="81"/>
  <c r="V40" i="81"/>
  <c r="M40" i="81" s="1"/>
  <c r="U40" i="81"/>
  <c r="O40" i="81"/>
  <c r="K40" i="81"/>
  <c r="G40" i="81"/>
  <c r="X39" i="81"/>
  <c r="W39" i="81"/>
  <c r="V39" i="81"/>
  <c r="M39" i="81" s="1"/>
  <c r="U39" i="81"/>
  <c r="O39" i="81"/>
  <c r="K39" i="81"/>
  <c r="G39" i="81"/>
  <c r="V38" i="81"/>
  <c r="M38" i="81" s="1"/>
  <c r="U38" i="81"/>
  <c r="O38" i="81"/>
  <c r="K38" i="81"/>
  <c r="G38" i="81"/>
  <c r="V37" i="81"/>
  <c r="M37" i="81" s="1"/>
  <c r="U37" i="81"/>
  <c r="O37" i="81"/>
  <c r="K37" i="81"/>
  <c r="G37" i="81"/>
  <c r="V36" i="81"/>
  <c r="M36" i="81" s="1"/>
  <c r="U36" i="81"/>
  <c r="O36" i="81"/>
  <c r="K36" i="81"/>
  <c r="G36" i="81"/>
  <c r="X35" i="81"/>
  <c r="W35" i="81"/>
  <c r="V35" i="81"/>
  <c r="M35" i="81" s="1"/>
  <c r="O35" i="81"/>
  <c r="K35" i="81"/>
  <c r="G35" i="81"/>
  <c r="AD34" i="81"/>
  <c r="Z34" i="81"/>
  <c r="K19" i="80" s="1"/>
  <c r="Y34" i="81"/>
  <c r="K18" i="80" s="1"/>
  <c r="O34" i="81"/>
  <c r="K34" i="81"/>
  <c r="V33" i="81"/>
  <c r="M33" i="81" s="1"/>
  <c r="U33" i="81"/>
  <c r="O33" i="81"/>
  <c r="K33" i="81"/>
  <c r="G33" i="81"/>
  <c r="X32" i="81"/>
  <c r="W32" i="81"/>
  <c r="V32" i="81"/>
  <c r="M32" i="81" s="1"/>
  <c r="U32" i="81"/>
  <c r="O32" i="81"/>
  <c r="K32" i="81"/>
  <c r="G32" i="81"/>
  <c r="V31" i="81"/>
  <c r="M31" i="81" s="1"/>
  <c r="U31" i="81"/>
  <c r="O31" i="81"/>
  <c r="K31" i="81"/>
  <c r="G31" i="81"/>
  <c r="V30" i="81"/>
  <c r="U30" i="81"/>
  <c r="O30" i="81"/>
  <c r="N30" i="81"/>
  <c r="Q30" i="81" s="1"/>
  <c r="M30" i="81"/>
  <c r="AF30" i="81" s="1"/>
  <c r="K30" i="81"/>
  <c r="G30" i="81"/>
  <c r="V29" i="81"/>
  <c r="U29" i="81"/>
  <c r="O29" i="81"/>
  <c r="M29" i="81"/>
  <c r="AF29" i="81" s="1"/>
  <c r="K29" i="81"/>
  <c r="G29" i="81"/>
  <c r="X28" i="81"/>
  <c r="W28" i="81"/>
  <c r="V28" i="81"/>
  <c r="M28" i="81" s="1"/>
  <c r="O28" i="81"/>
  <c r="K28" i="81"/>
  <c r="G28" i="81"/>
  <c r="AD27" i="81"/>
  <c r="G21" i="80" s="1"/>
  <c r="Z27" i="81"/>
  <c r="G19" i="80" s="1"/>
  <c r="Y27" i="81"/>
  <c r="O27" i="81"/>
  <c r="K27" i="81"/>
  <c r="V26" i="81"/>
  <c r="U26" i="81"/>
  <c r="O26" i="81"/>
  <c r="M26" i="81"/>
  <c r="AF26" i="81" s="1"/>
  <c r="K26" i="81"/>
  <c r="G26" i="81"/>
  <c r="X25" i="81"/>
  <c r="W25" i="81"/>
  <c r="V25" i="81"/>
  <c r="U25" i="81"/>
  <c r="O25" i="81"/>
  <c r="M25" i="81"/>
  <c r="AF25" i="81" s="1"/>
  <c r="K25" i="81"/>
  <c r="G25" i="81"/>
  <c r="V24" i="81"/>
  <c r="U24" i="81"/>
  <c r="O24" i="81"/>
  <c r="M24" i="81"/>
  <c r="AF24" i="81" s="1"/>
  <c r="K24" i="81"/>
  <c r="G24" i="81"/>
  <c r="V23" i="81"/>
  <c r="M23" i="81" s="1"/>
  <c r="AF23" i="81" s="1"/>
  <c r="U23" i="81"/>
  <c r="O23" i="81"/>
  <c r="K23" i="81"/>
  <c r="G23" i="81"/>
  <c r="V22" i="81"/>
  <c r="M22" i="81" s="1"/>
  <c r="AF22" i="81" s="1"/>
  <c r="U22" i="81"/>
  <c r="O22" i="81"/>
  <c r="K22" i="81"/>
  <c r="G22" i="81"/>
  <c r="AF21" i="81"/>
  <c r="V21" i="81"/>
  <c r="U21" i="81"/>
  <c r="O21" i="81"/>
  <c r="M21" i="81"/>
  <c r="AE21" i="81" s="1"/>
  <c r="K21" i="81"/>
  <c r="G21" i="81"/>
  <c r="V20" i="81"/>
  <c r="M20" i="81" s="1"/>
  <c r="O20" i="81"/>
  <c r="K20" i="81"/>
  <c r="G20" i="81"/>
  <c r="AD19" i="81"/>
  <c r="Z19" i="81"/>
  <c r="Y19" i="81"/>
  <c r="F18" i="80" s="1"/>
  <c r="O19" i="81"/>
  <c r="K19" i="81"/>
  <c r="F13" i="80" s="1"/>
  <c r="V18" i="81"/>
  <c r="M18" i="81" s="1"/>
  <c r="U18" i="81"/>
  <c r="O18" i="81"/>
  <c r="K18" i="81"/>
  <c r="G18" i="81"/>
  <c r="X17" i="81"/>
  <c r="W17" i="81"/>
  <c r="V17" i="81"/>
  <c r="M17" i="81" s="1"/>
  <c r="U17" i="81"/>
  <c r="O17" i="81"/>
  <c r="K17" i="81"/>
  <c r="G17" i="81"/>
  <c r="V16" i="81"/>
  <c r="M16" i="81" s="1"/>
  <c r="U16" i="81"/>
  <c r="O16" i="81"/>
  <c r="K16" i="81"/>
  <c r="G16" i="81"/>
  <c r="V15" i="81"/>
  <c r="M15" i="81" s="1"/>
  <c r="U15" i="81"/>
  <c r="O15" i="81"/>
  <c r="K15" i="81"/>
  <c r="G15" i="81"/>
  <c r="V14" i="81"/>
  <c r="M14" i="81" s="1"/>
  <c r="O14" i="81"/>
  <c r="K14" i="81"/>
  <c r="G14" i="81"/>
  <c r="AD13" i="81"/>
  <c r="E21" i="80" s="1"/>
  <c r="Z13" i="81"/>
  <c r="E19" i="80" s="1"/>
  <c r="Y13" i="81"/>
  <c r="O13" i="81"/>
  <c r="K13" i="81"/>
  <c r="E13" i="80" s="1"/>
  <c r="V12" i="81"/>
  <c r="M12" i="81" s="1"/>
  <c r="U12" i="81"/>
  <c r="O12" i="81"/>
  <c r="K12" i="81"/>
  <c r="G12" i="81"/>
  <c r="X11" i="81"/>
  <c r="W11" i="81"/>
  <c r="V11" i="81"/>
  <c r="M11" i="81" s="1"/>
  <c r="U11" i="81"/>
  <c r="O11" i="81"/>
  <c r="K11" i="81"/>
  <c r="G11" i="81"/>
  <c r="V10" i="81"/>
  <c r="M10" i="81" s="1"/>
  <c r="O10" i="81"/>
  <c r="K10" i="81"/>
  <c r="G10" i="81"/>
  <c r="AD9" i="81"/>
  <c r="AD2" i="81" s="1"/>
  <c r="N6" i="80" s="1"/>
  <c r="Z9" i="81"/>
  <c r="D19" i="80" s="1"/>
  <c r="Y9" i="81"/>
  <c r="D18" i="80" s="1"/>
  <c r="O9" i="81"/>
  <c r="K9" i="81"/>
  <c r="V8" i="81"/>
  <c r="M8" i="81" s="1"/>
  <c r="U8" i="81"/>
  <c r="O8" i="81"/>
  <c r="K8" i="81"/>
  <c r="G8" i="81"/>
  <c r="V7" i="81"/>
  <c r="M7" i="81" s="1"/>
  <c r="U7" i="81"/>
  <c r="O7" i="81"/>
  <c r="K7" i="81"/>
  <c r="G7" i="81"/>
  <c r="V6" i="81"/>
  <c r="U6" i="81"/>
  <c r="O6" i="81"/>
  <c r="M6" i="81"/>
  <c r="AF6" i="81" s="1"/>
  <c r="K6" i="81"/>
  <c r="G6" i="81"/>
  <c r="V5" i="81"/>
  <c r="O5" i="81"/>
  <c r="N5" i="81"/>
  <c r="Q5" i="81" s="1"/>
  <c r="M5" i="81"/>
  <c r="K5" i="81"/>
  <c r="G5" i="81"/>
  <c r="H2" i="81"/>
  <c r="H1" i="81"/>
  <c r="D1" i="81"/>
  <c r="F3" i="80" s="1"/>
  <c r="M22" i="80"/>
  <c r="L22" i="80"/>
  <c r="K22" i="80"/>
  <c r="J22" i="80"/>
  <c r="I22" i="80"/>
  <c r="H22" i="80"/>
  <c r="G22" i="80"/>
  <c r="F22" i="80"/>
  <c r="E22" i="80"/>
  <c r="D22" i="80"/>
  <c r="M21" i="80"/>
  <c r="L21" i="80"/>
  <c r="K21" i="80"/>
  <c r="J21" i="80"/>
  <c r="F21" i="80"/>
  <c r="M20" i="80"/>
  <c r="L20" i="80"/>
  <c r="K20" i="80"/>
  <c r="J20" i="80"/>
  <c r="I20" i="80"/>
  <c r="H20" i="80"/>
  <c r="G20" i="80"/>
  <c r="F20" i="80"/>
  <c r="E20" i="80"/>
  <c r="D20" i="80"/>
  <c r="M19" i="80"/>
  <c r="L19" i="80"/>
  <c r="J19" i="80"/>
  <c r="I19" i="80"/>
  <c r="F19" i="80"/>
  <c r="M18" i="80"/>
  <c r="L18" i="80"/>
  <c r="J18" i="80"/>
  <c r="H18" i="80"/>
  <c r="G18" i="80"/>
  <c r="E18" i="80"/>
  <c r="M17" i="80"/>
  <c r="L17" i="80"/>
  <c r="K17" i="80"/>
  <c r="J17" i="80"/>
  <c r="I17" i="80"/>
  <c r="H17" i="80"/>
  <c r="G17" i="80"/>
  <c r="F17" i="80"/>
  <c r="E17" i="80"/>
  <c r="D17" i="80"/>
  <c r="M16" i="80"/>
  <c r="L16" i="80"/>
  <c r="K16" i="80"/>
  <c r="J16" i="80"/>
  <c r="I16" i="80"/>
  <c r="H16" i="80"/>
  <c r="G16" i="80"/>
  <c r="F16" i="80"/>
  <c r="E16" i="80"/>
  <c r="D16" i="80"/>
  <c r="L13" i="80"/>
  <c r="K13" i="80"/>
  <c r="J13" i="80"/>
  <c r="I13" i="80"/>
  <c r="H13" i="80"/>
  <c r="G13" i="80"/>
  <c r="D13" i="80"/>
  <c r="M6" i="80"/>
  <c r="C3" i="80"/>
  <c r="AE65" i="81" l="1"/>
  <c r="AF65" i="81"/>
  <c r="N65" i="81"/>
  <c r="Q65" i="81" s="1"/>
  <c r="AF62" i="81"/>
  <c r="AE62" i="81"/>
  <c r="N62" i="81"/>
  <c r="Q62" i="81" s="1"/>
  <c r="AE48" i="81"/>
  <c r="AF48" i="81"/>
  <c r="N48" i="81"/>
  <c r="Q48" i="81" s="1"/>
  <c r="AE67" i="81"/>
  <c r="AF67" i="81"/>
  <c r="N67" i="81"/>
  <c r="Q67" i="81" s="1"/>
  <c r="N64" i="81"/>
  <c r="Q64" i="81" s="1"/>
  <c r="AF64" i="81"/>
  <c r="M27" i="81"/>
  <c r="AF27" i="81" s="1"/>
  <c r="AG20" i="81" s="1"/>
  <c r="AF20" i="81"/>
  <c r="N20" i="81"/>
  <c r="Q20" i="81" s="1"/>
  <c r="N17" i="81"/>
  <c r="AE17" i="81"/>
  <c r="F1" i="81"/>
  <c r="I3" i="80" s="1"/>
  <c r="N25" i="81"/>
  <c r="Q25" i="81" s="1"/>
  <c r="AF49" i="81"/>
  <c r="D21" i="80"/>
  <c r="N53" i="81"/>
  <c r="Q53" i="81" s="1"/>
  <c r="N6" i="81"/>
  <c r="Q6" i="81" s="1"/>
  <c r="N21" i="81"/>
  <c r="Q21" i="81" s="1"/>
  <c r="N49" i="81"/>
  <c r="Q49" i="81" s="1"/>
  <c r="AE31" i="81"/>
  <c r="AF31" i="81"/>
  <c r="N31" i="81"/>
  <c r="N14" i="81"/>
  <c r="AE14" i="81"/>
  <c r="M19" i="81"/>
  <c r="AF14" i="81"/>
  <c r="N18" i="81"/>
  <c r="AF18" i="81"/>
  <c r="AE18" i="81"/>
  <c r="N38" i="81"/>
  <c r="AE38" i="81"/>
  <c r="AF38" i="81"/>
  <c r="N40" i="81"/>
  <c r="AE40" i="81"/>
  <c r="AF40" i="81"/>
  <c r="M42" i="81"/>
  <c r="AE35" i="81"/>
  <c r="N35" i="81"/>
  <c r="AF35" i="81"/>
  <c r="N55" i="81"/>
  <c r="AF55" i="81"/>
  <c r="M61" i="81"/>
  <c r="AE55" i="81"/>
  <c r="P64" i="81"/>
  <c r="AE36" i="81"/>
  <c r="AF36" i="81"/>
  <c r="N36" i="81"/>
  <c r="N43" i="81"/>
  <c r="M47" i="81"/>
  <c r="AF43" i="81"/>
  <c r="AE43" i="81"/>
  <c r="N45" i="81"/>
  <c r="AE45" i="81"/>
  <c r="AF45" i="81"/>
  <c r="N60" i="81"/>
  <c r="AF60" i="81"/>
  <c r="AE60" i="81"/>
  <c r="AE7" i="81"/>
  <c r="AF7" i="81"/>
  <c r="N7" i="81"/>
  <c r="Q17" i="81"/>
  <c r="P17" i="81"/>
  <c r="I6" i="80"/>
  <c r="N10" i="81"/>
  <c r="M13" i="81"/>
  <c r="AF10" i="81"/>
  <c r="AE10" i="81"/>
  <c r="N12" i="81"/>
  <c r="AE12" i="81"/>
  <c r="AF12" i="81"/>
  <c r="N32" i="81"/>
  <c r="AF32" i="81"/>
  <c r="AE32" i="81"/>
  <c r="G6" i="80"/>
  <c r="E6" i="80"/>
  <c r="F6" i="80"/>
  <c r="N58" i="81"/>
  <c r="AF58" i="81"/>
  <c r="AE58" i="81"/>
  <c r="P66" i="81"/>
  <c r="Q66" i="81"/>
  <c r="N15" i="81"/>
  <c r="AE15" i="81"/>
  <c r="AF15" i="81"/>
  <c r="AF39" i="81"/>
  <c r="N39" i="81"/>
  <c r="AE39" i="81"/>
  <c r="N41" i="81"/>
  <c r="AF41" i="81"/>
  <c r="AE41" i="81"/>
  <c r="M34" i="81"/>
  <c r="AF28" i="81"/>
  <c r="AE28" i="81"/>
  <c r="N28" i="81"/>
  <c r="N8" i="81"/>
  <c r="AF8" i="81"/>
  <c r="AE8" i="81"/>
  <c r="N56" i="81"/>
  <c r="AF56" i="81"/>
  <c r="AE56" i="81"/>
  <c r="N46" i="81"/>
  <c r="AF46" i="81"/>
  <c r="AE46" i="81"/>
  <c r="AF11" i="81"/>
  <c r="N11" i="81"/>
  <c r="AE11" i="81"/>
  <c r="N59" i="81"/>
  <c r="AE59" i="81"/>
  <c r="AF59" i="81"/>
  <c r="N44" i="81"/>
  <c r="AF44" i="81"/>
  <c r="AE44" i="81"/>
  <c r="M9" i="81"/>
  <c r="N37" i="81"/>
  <c r="AF37" i="81"/>
  <c r="AE37" i="81"/>
  <c r="N16" i="81"/>
  <c r="AF16" i="81"/>
  <c r="AE16" i="81"/>
  <c r="AE33" i="81"/>
  <c r="AF33" i="81"/>
  <c r="N33" i="81"/>
  <c r="N63" i="81"/>
  <c r="M68" i="81"/>
  <c r="AF63" i="81"/>
  <c r="AE63" i="81"/>
  <c r="N57" i="81"/>
  <c r="AE57" i="81"/>
  <c r="AF57" i="81"/>
  <c r="AE64" i="81"/>
  <c r="AE66" i="81"/>
  <c r="P5" i="81"/>
  <c r="P6" i="81"/>
  <c r="AF17" i="81"/>
  <c r="N23" i="81"/>
  <c r="P25" i="81"/>
  <c r="P30" i="81"/>
  <c r="N51" i="81"/>
  <c r="P53" i="81"/>
  <c r="N22" i="81"/>
  <c r="N50" i="81"/>
  <c r="N24" i="81"/>
  <c r="N26" i="81"/>
  <c r="N29" i="81"/>
  <c r="N52" i="81"/>
  <c r="Y2" i="81"/>
  <c r="K6" i="80" s="1"/>
  <c r="AE5" i="81"/>
  <c r="AE6" i="81"/>
  <c r="P20" i="81"/>
  <c r="P21" i="81"/>
  <c r="AE30" i="81"/>
  <c r="P48" i="81"/>
  <c r="P49" i="81"/>
  <c r="AE53" i="81"/>
  <c r="P62" i="81"/>
  <c r="P65" i="81"/>
  <c r="P67" i="81"/>
  <c r="Z2" i="81"/>
  <c r="L6" i="80" s="1"/>
  <c r="AF5" i="81"/>
  <c r="AE24" i="81"/>
  <c r="AE26" i="81"/>
  <c r="AE29" i="81"/>
  <c r="AE52" i="81"/>
  <c r="AE23" i="81"/>
  <c r="AE25" i="81"/>
  <c r="AE51" i="81"/>
  <c r="AE22" i="81"/>
  <c r="AE50" i="81"/>
  <c r="M54" i="81"/>
  <c r="AE20" i="81"/>
  <c r="AD61" i="77"/>
  <c r="Z61" i="77"/>
  <c r="Y61" i="77"/>
  <c r="O61" i="77"/>
  <c r="K61" i="77"/>
  <c r="V60" i="77"/>
  <c r="M60" i="77" s="1"/>
  <c r="U60" i="77"/>
  <c r="O60" i="77"/>
  <c r="K60" i="77"/>
  <c r="G60" i="77"/>
  <c r="V59" i="77"/>
  <c r="U59" i="77"/>
  <c r="O59" i="77"/>
  <c r="M59" i="77"/>
  <c r="AF59" i="77" s="1"/>
  <c r="K59" i="77"/>
  <c r="G59" i="77"/>
  <c r="AF58" i="77"/>
  <c r="AE58" i="77"/>
  <c r="V58" i="77"/>
  <c r="U58" i="77"/>
  <c r="O58" i="77"/>
  <c r="N58" i="77"/>
  <c r="Q58" i="77" s="1"/>
  <c r="M58" i="77"/>
  <c r="K58" i="77"/>
  <c r="G58" i="77"/>
  <c r="V57" i="77"/>
  <c r="U57" i="77"/>
  <c r="O57" i="77"/>
  <c r="M57" i="77"/>
  <c r="N57" i="77" s="1"/>
  <c r="K57" i="77"/>
  <c r="G57" i="77"/>
  <c r="X56" i="77"/>
  <c r="W56" i="77"/>
  <c r="V56" i="77"/>
  <c r="M56" i="77" s="1"/>
  <c r="O56" i="77"/>
  <c r="K56" i="77"/>
  <c r="G56" i="77"/>
  <c r="AD55" i="77"/>
  <c r="Z55" i="77"/>
  <c r="Y55" i="77"/>
  <c r="O55" i="77"/>
  <c r="K55" i="77"/>
  <c r="V54" i="77"/>
  <c r="U54" i="77"/>
  <c r="O54" i="77"/>
  <c r="M54" i="77"/>
  <c r="N54" i="77" s="1"/>
  <c r="K54" i="77"/>
  <c r="G54" i="77"/>
  <c r="V53" i="77"/>
  <c r="U53" i="77"/>
  <c r="O53" i="77"/>
  <c r="N53" i="77"/>
  <c r="M53" i="77"/>
  <c r="AF53" i="77" s="1"/>
  <c r="K53" i="77"/>
  <c r="G53" i="77"/>
  <c r="V52" i="77"/>
  <c r="U52" i="77"/>
  <c r="O52" i="77"/>
  <c r="M52" i="77"/>
  <c r="N52" i="77" s="1"/>
  <c r="K52" i="77"/>
  <c r="G52" i="77"/>
  <c r="V51" i="77"/>
  <c r="M51" i="77" s="1"/>
  <c r="U51" i="77"/>
  <c r="O51" i="77"/>
  <c r="K51" i="77"/>
  <c r="G51" i="77"/>
  <c r="V50" i="77"/>
  <c r="O50" i="77"/>
  <c r="M50" i="77"/>
  <c r="N50" i="77" s="1"/>
  <c r="K50" i="77"/>
  <c r="G50" i="77"/>
  <c r="AD49" i="77"/>
  <c r="Z49" i="77"/>
  <c r="Y49" i="77"/>
  <c r="O49" i="77"/>
  <c r="K49" i="77"/>
  <c r="V48" i="77"/>
  <c r="M48" i="77" s="1"/>
  <c r="U48" i="77"/>
  <c r="O48" i="77"/>
  <c r="K48" i="77"/>
  <c r="G48" i="77"/>
  <c r="V47" i="77"/>
  <c r="M47" i="77" s="1"/>
  <c r="U47" i="77"/>
  <c r="O47" i="77"/>
  <c r="K47" i="77"/>
  <c r="G47" i="77"/>
  <c r="V46" i="77"/>
  <c r="M46" i="77" s="1"/>
  <c r="U46" i="77"/>
  <c r="O46" i="77"/>
  <c r="K46" i="77"/>
  <c r="G46" i="77"/>
  <c r="V45" i="77"/>
  <c r="U45" i="77"/>
  <c r="O45" i="77"/>
  <c r="M45" i="77"/>
  <c r="AF45" i="77" s="1"/>
  <c r="K45" i="77"/>
  <c r="G45" i="77"/>
  <c r="V44" i="77"/>
  <c r="U44" i="77"/>
  <c r="O44" i="77"/>
  <c r="M44" i="77"/>
  <c r="N44" i="77" s="1"/>
  <c r="K44" i="77"/>
  <c r="G44" i="77"/>
  <c r="V43" i="77"/>
  <c r="O43" i="77"/>
  <c r="M43" i="77"/>
  <c r="AF43" i="77" s="1"/>
  <c r="K43" i="77"/>
  <c r="G43" i="77"/>
  <c r="AD42" i="77"/>
  <c r="Z42" i="77"/>
  <c r="Y42" i="77"/>
  <c r="O42" i="77"/>
  <c r="K42" i="77"/>
  <c r="V41" i="77"/>
  <c r="M41" i="77" s="1"/>
  <c r="U41" i="77"/>
  <c r="O41" i="77"/>
  <c r="K41" i="77"/>
  <c r="G41" i="77"/>
  <c r="V40" i="77"/>
  <c r="U40" i="77"/>
  <c r="O40" i="77"/>
  <c r="M40" i="77"/>
  <c r="N40" i="77" s="1"/>
  <c r="K40" i="77"/>
  <c r="G40" i="77"/>
  <c r="V39" i="77"/>
  <c r="M39" i="77" s="1"/>
  <c r="U39" i="77"/>
  <c r="O39" i="77"/>
  <c r="K39" i="77"/>
  <c r="G39" i="77"/>
  <c r="V38" i="77"/>
  <c r="U38" i="77"/>
  <c r="O38" i="77"/>
  <c r="M38" i="77"/>
  <c r="AF38" i="77" s="1"/>
  <c r="K38" i="77"/>
  <c r="G38" i="77"/>
  <c r="X37" i="77"/>
  <c r="W37" i="77"/>
  <c r="V37" i="77"/>
  <c r="O37" i="77"/>
  <c r="M37" i="77"/>
  <c r="N37" i="77" s="1"/>
  <c r="K37" i="77"/>
  <c r="G37" i="77"/>
  <c r="AD36" i="77"/>
  <c r="Z36" i="77"/>
  <c r="L19" i="76" s="1"/>
  <c r="Y36" i="77"/>
  <c r="O36" i="77"/>
  <c r="K36" i="77"/>
  <c r="V35" i="77"/>
  <c r="M35" i="77" s="1"/>
  <c r="U35" i="77"/>
  <c r="O35" i="77"/>
  <c r="K35" i="77"/>
  <c r="G35" i="77"/>
  <c r="V34" i="77"/>
  <c r="U34" i="77"/>
  <c r="O34" i="77"/>
  <c r="M34" i="77"/>
  <c r="N34" i="77" s="1"/>
  <c r="K34" i="77"/>
  <c r="G34" i="77"/>
  <c r="V33" i="77"/>
  <c r="M33" i="77" s="1"/>
  <c r="U33" i="77"/>
  <c r="O33" i="77"/>
  <c r="K33" i="77"/>
  <c r="G33" i="77"/>
  <c r="V32" i="77"/>
  <c r="U32" i="77"/>
  <c r="O32" i="77"/>
  <c r="M32" i="77"/>
  <c r="AF32" i="77" s="1"/>
  <c r="K32" i="77"/>
  <c r="G32" i="77"/>
  <c r="X31" i="77"/>
  <c r="W31" i="77"/>
  <c r="V31" i="77"/>
  <c r="O31" i="77"/>
  <c r="M31" i="77"/>
  <c r="N31" i="77" s="1"/>
  <c r="K31" i="77"/>
  <c r="G31" i="77"/>
  <c r="AD30" i="77"/>
  <c r="Z30" i="77"/>
  <c r="Y30" i="77"/>
  <c r="O30" i="77"/>
  <c r="K30" i="77"/>
  <c r="V29" i="77"/>
  <c r="M29" i="77" s="1"/>
  <c r="U29" i="77"/>
  <c r="O29" i="77"/>
  <c r="K29" i="77"/>
  <c r="G29" i="77"/>
  <c r="V28" i="77"/>
  <c r="U28" i="77"/>
  <c r="O28" i="77"/>
  <c r="M28" i="77"/>
  <c r="AF28" i="77" s="1"/>
  <c r="K28" i="77"/>
  <c r="G28" i="77"/>
  <c r="V27" i="77"/>
  <c r="U27" i="77"/>
  <c r="O27" i="77"/>
  <c r="M27" i="77"/>
  <c r="K27" i="77"/>
  <c r="G27" i="77"/>
  <c r="AF26" i="77"/>
  <c r="V26" i="77"/>
  <c r="U26" i="77"/>
  <c r="O26" i="77"/>
  <c r="M26" i="77"/>
  <c r="AE26" i="77" s="1"/>
  <c r="K26" i="77"/>
  <c r="G26" i="77"/>
  <c r="AE25" i="77"/>
  <c r="X25" i="77"/>
  <c r="W25" i="77"/>
  <c r="V25" i="77"/>
  <c r="O25" i="77"/>
  <c r="M25" i="77"/>
  <c r="AF25" i="77" s="1"/>
  <c r="K25" i="77"/>
  <c r="G25" i="77"/>
  <c r="AD24" i="77"/>
  <c r="AD2" i="77" s="1"/>
  <c r="N6" i="76" s="1"/>
  <c r="Z24" i="77"/>
  <c r="Y24" i="77"/>
  <c r="O24" i="77"/>
  <c r="K24" i="77"/>
  <c r="V23" i="77"/>
  <c r="U23" i="77"/>
  <c r="O23" i="77"/>
  <c r="M23" i="77"/>
  <c r="AF23" i="77" s="1"/>
  <c r="K23" i="77"/>
  <c r="G23" i="77"/>
  <c r="V22" i="77"/>
  <c r="U22" i="77"/>
  <c r="O22" i="77"/>
  <c r="M22" i="77"/>
  <c r="N22" i="77" s="1"/>
  <c r="K22" i="77"/>
  <c r="G22" i="77"/>
  <c r="V21" i="77"/>
  <c r="M21" i="77" s="1"/>
  <c r="U21" i="77"/>
  <c r="O21" i="77"/>
  <c r="K21" i="77"/>
  <c r="G21" i="77"/>
  <c r="V20" i="77"/>
  <c r="M20" i="77" s="1"/>
  <c r="U20" i="77"/>
  <c r="O20" i="77"/>
  <c r="K20" i="77"/>
  <c r="G20" i="77"/>
  <c r="V19" i="77"/>
  <c r="U19" i="77"/>
  <c r="O19" i="77"/>
  <c r="M19" i="77"/>
  <c r="N19" i="77" s="1"/>
  <c r="K19" i="77"/>
  <c r="G19" i="77"/>
  <c r="V18" i="77"/>
  <c r="O18" i="77"/>
  <c r="M18" i="77"/>
  <c r="N18" i="77" s="1"/>
  <c r="K18" i="77"/>
  <c r="G18" i="77"/>
  <c r="AD17" i="77"/>
  <c r="Z17" i="77"/>
  <c r="F19" i="76" s="1"/>
  <c r="Y17" i="77"/>
  <c r="F18" i="76" s="1"/>
  <c r="O17" i="77"/>
  <c r="K17" i="77"/>
  <c r="V16" i="77"/>
  <c r="U16" i="77"/>
  <c r="O16" i="77"/>
  <c r="M16" i="77"/>
  <c r="AF16" i="77" s="1"/>
  <c r="K16" i="77"/>
  <c r="G16" i="77"/>
  <c r="V15" i="77"/>
  <c r="M15" i="77" s="1"/>
  <c r="N15" i="77" s="1"/>
  <c r="U15" i="77"/>
  <c r="O15" i="77"/>
  <c r="K15" i="77"/>
  <c r="G15" i="77"/>
  <c r="AF14" i="77"/>
  <c r="AE14" i="77"/>
  <c r="V14" i="77"/>
  <c r="U14" i="77"/>
  <c r="O14" i="77"/>
  <c r="N14" i="77"/>
  <c r="Q14" i="77" s="1"/>
  <c r="M14" i="77"/>
  <c r="K14" i="77"/>
  <c r="G14" i="77"/>
  <c r="V13" i="77"/>
  <c r="M13" i="77" s="1"/>
  <c r="O13" i="77"/>
  <c r="K13" i="77"/>
  <c r="G13" i="77"/>
  <c r="AD12" i="77"/>
  <c r="Z12" i="77"/>
  <c r="Z2" i="77" s="1"/>
  <c r="L6" i="76" s="1"/>
  <c r="Y12" i="77"/>
  <c r="Y2" i="77" s="1"/>
  <c r="K6" i="76" s="1"/>
  <c r="O12" i="77"/>
  <c r="K12" i="77"/>
  <c r="V11" i="77"/>
  <c r="M11" i="77" s="1"/>
  <c r="U11" i="77"/>
  <c r="O11" i="77"/>
  <c r="K11" i="77"/>
  <c r="G11" i="77"/>
  <c r="V10" i="77"/>
  <c r="O10" i="77"/>
  <c r="M10" i="77"/>
  <c r="K10" i="77"/>
  <c r="G10" i="77"/>
  <c r="AD9" i="77"/>
  <c r="Z9" i="77"/>
  <c r="Y9" i="77"/>
  <c r="O9" i="77"/>
  <c r="K9" i="77"/>
  <c r="AE8" i="77"/>
  <c r="V8" i="77"/>
  <c r="U8" i="77"/>
  <c r="O8" i="77"/>
  <c r="M8" i="77"/>
  <c r="AF8" i="77" s="1"/>
  <c r="K8" i="77"/>
  <c r="G8" i="77"/>
  <c r="V7" i="77"/>
  <c r="U7" i="77"/>
  <c r="O7" i="77"/>
  <c r="M7" i="77"/>
  <c r="AF7" i="77" s="1"/>
  <c r="K7" i="77"/>
  <c r="G7" i="77"/>
  <c r="V6" i="77"/>
  <c r="U6" i="77"/>
  <c r="O6" i="77"/>
  <c r="M6" i="77"/>
  <c r="AF6" i="77" s="1"/>
  <c r="K6" i="77"/>
  <c r="G6" i="77"/>
  <c r="V5" i="77"/>
  <c r="O5" i="77"/>
  <c r="M5" i="77"/>
  <c r="AF5" i="77" s="1"/>
  <c r="K5" i="77"/>
  <c r="G5" i="77"/>
  <c r="H2" i="77"/>
  <c r="H1" i="77"/>
  <c r="F1" i="77"/>
  <c r="F2" i="77" s="1"/>
  <c r="D1" i="77"/>
  <c r="M22" i="76"/>
  <c r="L22" i="76"/>
  <c r="K22" i="76"/>
  <c r="J22" i="76"/>
  <c r="I22" i="76"/>
  <c r="H22" i="76"/>
  <c r="G22" i="76"/>
  <c r="F22" i="76"/>
  <c r="E22" i="76"/>
  <c r="D22" i="76"/>
  <c r="M21" i="76"/>
  <c r="L21" i="76"/>
  <c r="K21" i="76"/>
  <c r="J21" i="76"/>
  <c r="I21" i="76"/>
  <c r="H21" i="76"/>
  <c r="G21" i="76"/>
  <c r="F21" i="76"/>
  <c r="E21" i="76"/>
  <c r="D21" i="76"/>
  <c r="M20" i="76"/>
  <c r="L20" i="76"/>
  <c r="K20" i="76"/>
  <c r="J20" i="76"/>
  <c r="I20" i="76"/>
  <c r="H20" i="76"/>
  <c r="G20" i="76"/>
  <c r="F20" i="76"/>
  <c r="E20" i="76"/>
  <c r="D20" i="76"/>
  <c r="M19" i="76"/>
  <c r="K19" i="76"/>
  <c r="J19" i="76"/>
  <c r="I19" i="76"/>
  <c r="H19" i="76"/>
  <c r="G19" i="76"/>
  <c r="E19" i="76"/>
  <c r="D19" i="76"/>
  <c r="M18" i="76"/>
  <c r="L18" i="76"/>
  <c r="K18" i="76"/>
  <c r="J18" i="76"/>
  <c r="I18" i="76"/>
  <c r="H18" i="76"/>
  <c r="G18" i="76"/>
  <c r="E18" i="76"/>
  <c r="D18" i="76"/>
  <c r="M17" i="76"/>
  <c r="L17" i="76"/>
  <c r="K17" i="76"/>
  <c r="J17" i="76"/>
  <c r="I17" i="76"/>
  <c r="H17" i="76"/>
  <c r="G17" i="76"/>
  <c r="F17" i="76"/>
  <c r="E17" i="76"/>
  <c r="D17" i="76"/>
  <c r="M16" i="76"/>
  <c r="L16" i="76"/>
  <c r="K16" i="76"/>
  <c r="J16" i="76"/>
  <c r="I16" i="76"/>
  <c r="H16" i="76"/>
  <c r="G16" i="76"/>
  <c r="F16" i="76"/>
  <c r="E16" i="76"/>
  <c r="D16" i="76"/>
  <c r="M13" i="76"/>
  <c r="L13" i="76"/>
  <c r="K13" i="76"/>
  <c r="I6" i="76" s="1"/>
  <c r="J13" i="76"/>
  <c r="I13" i="76"/>
  <c r="H13" i="76"/>
  <c r="G13" i="76"/>
  <c r="F13" i="76"/>
  <c r="E13" i="76"/>
  <c r="D13" i="76"/>
  <c r="F6" i="76" s="1"/>
  <c r="M6" i="76"/>
  <c r="F3" i="76"/>
  <c r="C3" i="76"/>
  <c r="N51" i="77" l="1"/>
  <c r="AF51" i="77"/>
  <c r="Q44" i="77"/>
  <c r="P44" i="77"/>
  <c r="AF33" i="77"/>
  <c r="AE33" i="77"/>
  <c r="N33" i="77"/>
  <c r="P33" i="77" s="1"/>
  <c r="AF47" i="77"/>
  <c r="AE47" i="77"/>
  <c r="N47" i="77"/>
  <c r="Q47" i="77" s="1"/>
  <c r="N29" i="77"/>
  <c r="Q29" i="77" s="1"/>
  <c r="AF29" i="77"/>
  <c r="AE29" i="77"/>
  <c r="M17" i="77"/>
  <c r="N17" i="77" s="1"/>
  <c r="AF13" i="77"/>
  <c r="AE13" i="77"/>
  <c r="N13" i="77"/>
  <c r="Q13" i="77" s="1"/>
  <c r="AF48" i="77"/>
  <c r="AE48" i="77"/>
  <c r="N48" i="77"/>
  <c r="Q48" i="77" s="1"/>
  <c r="N20" i="77"/>
  <c r="Q20" i="77" s="1"/>
  <c r="M24" i="77"/>
  <c r="AF24" i="77" s="1"/>
  <c r="AG18" i="77" s="1"/>
  <c r="AF20" i="77"/>
  <c r="AE20" i="77"/>
  <c r="AF41" i="77"/>
  <c r="AE41" i="77"/>
  <c r="N41" i="77"/>
  <c r="Q41" i="77" s="1"/>
  <c r="AF56" i="77"/>
  <c r="AE56" i="77"/>
  <c r="N56" i="77"/>
  <c r="Q56" i="77" s="1"/>
  <c r="M12" i="77"/>
  <c r="AF21" i="77"/>
  <c r="AE21" i="77"/>
  <c r="N21" i="77"/>
  <c r="AF35" i="77"/>
  <c r="AE35" i="77"/>
  <c r="N35" i="77"/>
  <c r="M49" i="77"/>
  <c r="AF60" i="77"/>
  <c r="AE60" i="77"/>
  <c r="N60" i="77"/>
  <c r="P22" i="77"/>
  <c r="Q22" i="77"/>
  <c r="AF11" i="77"/>
  <c r="AE11" i="77"/>
  <c r="N11" i="77"/>
  <c r="Q11" i="77" s="1"/>
  <c r="N39" i="77"/>
  <c r="AF39" i="77"/>
  <c r="AE39" i="77"/>
  <c r="N27" i="81"/>
  <c r="N6" i="77"/>
  <c r="N10" i="77"/>
  <c r="Q10" i="77" s="1"/>
  <c r="N32" i="77"/>
  <c r="P32" i="77" s="1"/>
  <c r="AE27" i="81"/>
  <c r="N8" i="77"/>
  <c r="AE22" i="77"/>
  <c r="M30" i="77"/>
  <c r="AE10" i="77"/>
  <c r="AF22" i="77"/>
  <c r="N25" i="77"/>
  <c r="Q25" i="77" s="1"/>
  <c r="AE44" i="77"/>
  <c r="AE52" i="77"/>
  <c r="AF10" i="77"/>
  <c r="AE32" i="77"/>
  <c r="AF44" i="77"/>
  <c r="AE6" i="77"/>
  <c r="N23" i="77"/>
  <c r="N38" i="77"/>
  <c r="N43" i="77"/>
  <c r="P53" i="77"/>
  <c r="N45" i="77"/>
  <c r="M9" i="77"/>
  <c r="N28" i="77"/>
  <c r="Q28" i="77" s="1"/>
  <c r="AF50" i="77"/>
  <c r="Q53" i="77"/>
  <c r="N5" i="77"/>
  <c r="N7" i="77"/>
  <c r="N16" i="77"/>
  <c r="F2" i="81"/>
  <c r="AE23" i="77"/>
  <c r="M36" i="77"/>
  <c r="N36" i="77" s="1"/>
  <c r="AE43" i="77"/>
  <c r="AE53" i="77"/>
  <c r="N26" i="77"/>
  <c r="AE28" i="77"/>
  <c r="AE38" i="77"/>
  <c r="AE45" i="77"/>
  <c r="N59" i="77"/>
  <c r="Q59" i="77" s="1"/>
  <c r="AE5" i="77"/>
  <c r="AE7" i="77"/>
  <c r="AE16" i="77"/>
  <c r="AE31" i="77"/>
  <c r="AE59" i="77"/>
  <c r="N54" i="81"/>
  <c r="AE54" i="81"/>
  <c r="AF54" i="81"/>
  <c r="AG48" i="81" s="1"/>
  <c r="P52" i="81"/>
  <c r="Q52" i="81"/>
  <c r="P41" i="81"/>
  <c r="Q41" i="81"/>
  <c r="P10" i="81"/>
  <c r="Q10" i="81"/>
  <c r="P29" i="81"/>
  <c r="Q29" i="81"/>
  <c r="AF61" i="81"/>
  <c r="AG55" i="81" s="1"/>
  <c r="AE61" i="81"/>
  <c r="N61" i="81"/>
  <c r="Q38" i="81"/>
  <c r="P38" i="81"/>
  <c r="P26" i="81"/>
  <c r="Q26" i="81"/>
  <c r="Q59" i="81"/>
  <c r="P59" i="81"/>
  <c r="Q56" i="81"/>
  <c r="P56" i="81"/>
  <c r="P39" i="81"/>
  <c r="Q39" i="81"/>
  <c r="Q45" i="81"/>
  <c r="P45" i="81"/>
  <c r="P24" i="81"/>
  <c r="Q24" i="81"/>
  <c r="G14" i="80"/>
  <c r="G15" i="80" s="1"/>
  <c r="P27" i="81"/>
  <c r="Q27" i="81"/>
  <c r="R20" i="81" s="1"/>
  <c r="Q55" i="81"/>
  <c r="P55" i="81"/>
  <c r="P50" i="81"/>
  <c r="Q50" i="81"/>
  <c r="P7" i="81"/>
  <c r="Q7" i="81"/>
  <c r="Q18" i="81"/>
  <c r="P18" i="81"/>
  <c r="P22" i="81"/>
  <c r="Q22" i="81"/>
  <c r="Q8" i="81"/>
  <c r="P8" i="81"/>
  <c r="Q32" i="81"/>
  <c r="P32" i="81"/>
  <c r="AF47" i="81"/>
  <c r="AG43" i="81" s="1"/>
  <c r="AE47" i="81"/>
  <c r="N47" i="81"/>
  <c r="Q35" i="81"/>
  <c r="P35" i="81"/>
  <c r="Q16" i="81"/>
  <c r="P16" i="81"/>
  <c r="P28" i="81"/>
  <c r="Q28" i="81"/>
  <c r="Q15" i="81"/>
  <c r="P15" i="81"/>
  <c r="Q51" i="81"/>
  <c r="P51" i="81"/>
  <c r="Q37" i="81"/>
  <c r="P37" i="81"/>
  <c r="P11" i="81"/>
  <c r="Q11" i="81"/>
  <c r="P36" i="81"/>
  <c r="Q36" i="81"/>
  <c r="N42" i="81"/>
  <c r="AE42" i="81"/>
  <c r="AF42" i="81"/>
  <c r="AG35" i="81" s="1"/>
  <c r="Q57" i="81"/>
  <c r="P57" i="81"/>
  <c r="N9" i="81"/>
  <c r="AE9" i="81"/>
  <c r="AF9" i="81"/>
  <c r="AG5" i="81" s="1"/>
  <c r="Q12" i="81"/>
  <c r="P12" i="81"/>
  <c r="Q14" i="81"/>
  <c r="P14" i="81"/>
  <c r="Q43" i="81"/>
  <c r="P43" i="81"/>
  <c r="AF68" i="81"/>
  <c r="AG62" i="81" s="1"/>
  <c r="AE68" i="81"/>
  <c r="N68" i="81"/>
  <c r="AF34" i="81"/>
  <c r="AG28" i="81" s="1"/>
  <c r="N34" i="81"/>
  <c r="AE34" i="81"/>
  <c r="P31" i="81"/>
  <c r="Q31" i="81"/>
  <c r="AF19" i="81"/>
  <c r="AG14" i="81" s="1"/>
  <c r="AE19" i="81"/>
  <c r="N19" i="81"/>
  <c r="Q23" i="81"/>
  <c r="P23" i="81"/>
  <c r="Q63" i="81"/>
  <c r="P63" i="81"/>
  <c r="Q40" i="81"/>
  <c r="P40" i="81"/>
  <c r="P33" i="81"/>
  <c r="Q33" i="81"/>
  <c r="P44" i="81"/>
  <c r="Q44" i="81"/>
  <c r="Q46" i="81"/>
  <c r="P46" i="81"/>
  <c r="P58" i="81"/>
  <c r="Q58" i="81"/>
  <c r="N13" i="81"/>
  <c r="AF13" i="81"/>
  <c r="AG10" i="81" s="1"/>
  <c r="AE13" i="81"/>
  <c r="Q60" i="81"/>
  <c r="P60" i="81"/>
  <c r="Q54" i="77"/>
  <c r="P54" i="77"/>
  <c r="P15" i="77"/>
  <c r="Q15" i="77"/>
  <c r="Q36" i="77"/>
  <c r="R31" i="77" s="1"/>
  <c r="P36" i="77"/>
  <c r="L14" i="76"/>
  <c r="L15" i="76" s="1"/>
  <c r="P51" i="77"/>
  <c r="Q51" i="77"/>
  <c r="N49" i="77"/>
  <c r="AF49" i="77"/>
  <c r="AG43" i="77" s="1"/>
  <c r="AE49" i="77"/>
  <c r="Q17" i="77"/>
  <c r="R13" i="77" s="1"/>
  <c r="P17" i="77"/>
  <c r="F14" i="76"/>
  <c r="F15" i="76" s="1"/>
  <c r="Q19" i="77"/>
  <c r="P19" i="77"/>
  <c r="N30" i="77"/>
  <c r="AF30" i="77"/>
  <c r="AG25" i="77" s="1"/>
  <c r="AE30" i="77"/>
  <c r="P50" i="77"/>
  <c r="Q50" i="77"/>
  <c r="P31" i="77"/>
  <c r="Q31" i="77"/>
  <c r="Q37" i="77"/>
  <c r="P37" i="77"/>
  <c r="Q52" i="77"/>
  <c r="P52" i="77"/>
  <c r="Q18" i="77"/>
  <c r="P18" i="77"/>
  <c r="P34" i="77"/>
  <c r="Q34" i="77"/>
  <c r="Q57" i="77"/>
  <c r="P57" i="77"/>
  <c r="Q40" i="77"/>
  <c r="P40" i="77"/>
  <c r="M61" i="77"/>
  <c r="AF18" i="77"/>
  <c r="N27" i="77"/>
  <c r="Q33" i="77"/>
  <c r="AE36" i="77"/>
  <c r="AF40" i="77"/>
  <c r="N46" i="77"/>
  <c r="P48" i="77"/>
  <c r="AF54" i="77"/>
  <c r="AF57" i="77"/>
  <c r="P29" i="77"/>
  <c r="P10" i="77"/>
  <c r="P11" i="77"/>
  <c r="AF17" i="77"/>
  <c r="AG13" i="77" s="1"/>
  <c r="P25" i="77"/>
  <c r="P28" i="77"/>
  <c r="Q32" i="77"/>
  <c r="AF36" i="77"/>
  <c r="AG31" i="77" s="1"/>
  <c r="AE37" i="77"/>
  <c r="M42" i="77"/>
  <c r="P47" i="77"/>
  <c r="AE15" i="77"/>
  <c r="AE34" i="77"/>
  <c r="AF37" i="77"/>
  <c r="AE50" i="77"/>
  <c r="AE51" i="77"/>
  <c r="AF52" i="77"/>
  <c r="M55" i="77"/>
  <c r="P13" i="77"/>
  <c r="P14" i="77"/>
  <c r="AE18" i="77"/>
  <c r="AE19" i="77"/>
  <c r="N24" i="77"/>
  <c r="AE40" i="77"/>
  <c r="AE54" i="77"/>
  <c r="AE57" i="77"/>
  <c r="AE17" i="77"/>
  <c r="AF19" i="77"/>
  <c r="AF15" i="77"/>
  <c r="AF34" i="77"/>
  <c r="AF31" i="77"/>
  <c r="P56" i="77"/>
  <c r="P59" i="77"/>
  <c r="G6" i="76"/>
  <c r="P20" i="77"/>
  <c r="AE24" i="77"/>
  <c r="AE27" i="77"/>
  <c r="P41" i="77"/>
  <c r="AE46" i="77"/>
  <c r="P58" i="77"/>
  <c r="I3" i="76"/>
  <c r="AF27" i="77"/>
  <c r="AF46" i="77"/>
  <c r="E6" i="76"/>
  <c r="AD61" i="75"/>
  <c r="M21" i="74" s="1"/>
  <c r="Z61" i="75"/>
  <c r="Y61" i="75"/>
  <c r="O61" i="75"/>
  <c r="K61" i="75"/>
  <c r="V60" i="75"/>
  <c r="U60" i="75"/>
  <c r="O60" i="75"/>
  <c r="M60" i="75"/>
  <c r="AE60" i="75" s="1"/>
  <c r="K60" i="75"/>
  <c r="G60" i="75"/>
  <c r="AE59" i="75"/>
  <c r="V59" i="75"/>
  <c r="U59" i="75"/>
  <c r="O59" i="75"/>
  <c r="M59" i="75"/>
  <c r="N59" i="75" s="1"/>
  <c r="K59" i="75"/>
  <c r="G59" i="75"/>
  <c r="V58" i="75"/>
  <c r="M58" i="75" s="1"/>
  <c r="U58" i="75"/>
  <c r="O58" i="75"/>
  <c r="K58" i="75"/>
  <c r="G58" i="75"/>
  <c r="V57" i="75"/>
  <c r="M57" i="75" s="1"/>
  <c r="U57" i="75"/>
  <c r="O57" i="75"/>
  <c r="K57" i="75"/>
  <c r="G57" i="75"/>
  <c r="X56" i="75"/>
  <c r="W56" i="75"/>
  <c r="V56" i="75"/>
  <c r="M56" i="75" s="1"/>
  <c r="O56" i="75"/>
  <c r="K56" i="75"/>
  <c r="G56" i="75"/>
  <c r="AD55" i="75"/>
  <c r="J21" i="74" s="1"/>
  <c r="Z55" i="75"/>
  <c r="Y55" i="75"/>
  <c r="O55" i="75"/>
  <c r="K55" i="75"/>
  <c r="V54" i="75"/>
  <c r="M54" i="75" s="1"/>
  <c r="U54" i="75"/>
  <c r="O54" i="75"/>
  <c r="K54" i="75"/>
  <c r="G54" i="75"/>
  <c r="V53" i="75"/>
  <c r="M53" i="75" s="1"/>
  <c r="U53" i="75"/>
  <c r="O53" i="75"/>
  <c r="K53" i="75"/>
  <c r="G53" i="75"/>
  <c r="V52" i="75"/>
  <c r="M52" i="75" s="1"/>
  <c r="U52" i="75"/>
  <c r="O52" i="75"/>
  <c r="K52" i="75"/>
  <c r="G52" i="75"/>
  <c r="V51" i="75"/>
  <c r="M51" i="75" s="1"/>
  <c r="U51" i="75"/>
  <c r="O51" i="75"/>
  <c r="K51" i="75"/>
  <c r="G51" i="75"/>
  <c r="V50" i="75"/>
  <c r="M50" i="75" s="1"/>
  <c r="O50" i="75"/>
  <c r="K50" i="75"/>
  <c r="G50" i="75"/>
  <c r="AD49" i="75"/>
  <c r="Z49" i="75"/>
  <c r="Y49" i="75"/>
  <c r="O49" i="75"/>
  <c r="K49" i="75"/>
  <c r="V48" i="75"/>
  <c r="U48" i="75"/>
  <c r="O48" i="75"/>
  <c r="M48" i="75"/>
  <c r="AF48" i="75" s="1"/>
  <c r="K48" i="75"/>
  <c r="G48" i="75"/>
  <c r="V47" i="75"/>
  <c r="U47" i="75"/>
  <c r="O47" i="75"/>
  <c r="M47" i="75"/>
  <c r="AF47" i="75" s="1"/>
  <c r="K47" i="75"/>
  <c r="G47" i="75"/>
  <c r="V46" i="75"/>
  <c r="M46" i="75" s="1"/>
  <c r="AF46" i="75" s="1"/>
  <c r="U46" i="75"/>
  <c r="O46" i="75"/>
  <c r="K46" i="75"/>
  <c r="G46" i="75"/>
  <c r="V45" i="75"/>
  <c r="U45" i="75"/>
  <c r="O45" i="75"/>
  <c r="M45" i="75"/>
  <c r="AF45" i="75" s="1"/>
  <c r="K45" i="75"/>
  <c r="G45" i="75"/>
  <c r="V44" i="75"/>
  <c r="U44" i="75"/>
  <c r="O44" i="75"/>
  <c r="M44" i="75"/>
  <c r="AE44" i="75" s="1"/>
  <c r="K44" i="75"/>
  <c r="G44" i="75"/>
  <c r="V43" i="75"/>
  <c r="M43" i="75" s="1"/>
  <c r="U43" i="75"/>
  <c r="O43" i="75"/>
  <c r="K43" i="75"/>
  <c r="G43" i="75"/>
  <c r="V42" i="75"/>
  <c r="M42" i="75" s="1"/>
  <c r="O42" i="75"/>
  <c r="K42" i="75"/>
  <c r="G42" i="75"/>
  <c r="AD41" i="75"/>
  <c r="Z41" i="75"/>
  <c r="H19" i="74" s="1"/>
  <c r="Y41" i="75"/>
  <c r="O41" i="75"/>
  <c r="K41" i="75"/>
  <c r="V40" i="75"/>
  <c r="M40" i="75" s="1"/>
  <c r="U40" i="75"/>
  <c r="O40" i="75"/>
  <c r="K40" i="75"/>
  <c r="G40" i="75"/>
  <c r="V39" i="75"/>
  <c r="M39" i="75" s="1"/>
  <c r="U39" i="75"/>
  <c r="O39" i="75"/>
  <c r="K39" i="75"/>
  <c r="G39" i="75"/>
  <c r="V38" i="75"/>
  <c r="M38" i="75" s="1"/>
  <c r="U38" i="75"/>
  <c r="O38" i="75"/>
  <c r="K38" i="75"/>
  <c r="G38" i="75"/>
  <c r="V37" i="75"/>
  <c r="M37" i="75" s="1"/>
  <c r="U37" i="75"/>
  <c r="O37" i="75"/>
  <c r="K37" i="75"/>
  <c r="G37" i="75"/>
  <c r="X36" i="75"/>
  <c r="W36" i="75"/>
  <c r="V36" i="75"/>
  <c r="M36" i="75" s="1"/>
  <c r="O36" i="75"/>
  <c r="K36" i="75"/>
  <c r="G36" i="75"/>
  <c r="AD35" i="75"/>
  <c r="L21" i="74" s="1"/>
  <c r="Z35" i="75"/>
  <c r="L19" i="74" s="1"/>
  <c r="Y35" i="75"/>
  <c r="L18" i="74" s="1"/>
  <c r="O35" i="75"/>
  <c r="K35" i="75"/>
  <c r="V34" i="75"/>
  <c r="M34" i="75" s="1"/>
  <c r="U34" i="75"/>
  <c r="O34" i="75"/>
  <c r="K34" i="75"/>
  <c r="G34" i="75"/>
  <c r="V33" i="75"/>
  <c r="M33" i="75" s="1"/>
  <c r="U33" i="75"/>
  <c r="O33" i="75"/>
  <c r="K33" i="75"/>
  <c r="G33" i="75"/>
  <c r="V32" i="75"/>
  <c r="U32" i="75"/>
  <c r="O32" i="75"/>
  <c r="M32" i="75"/>
  <c r="AF32" i="75" s="1"/>
  <c r="K32" i="75"/>
  <c r="G32" i="75"/>
  <c r="V31" i="75"/>
  <c r="U31" i="75"/>
  <c r="O31" i="75"/>
  <c r="M31" i="75"/>
  <c r="AF31" i="75" s="1"/>
  <c r="K31" i="75"/>
  <c r="G31" i="75"/>
  <c r="X30" i="75"/>
  <c r="W30" i="75"/>
  <c r="V30" i="75"/>
  <c r="M30" i="75" s="1"/>
  <c r="O30" i="75"/>
  <c r="K30" i="75"/>
  <c r="G30" i="75"/>
  <c r="AD29" i="75"/>
  <c r="Z29" i="75"/>
  <c r="Y29" i="75"/>
  <c r="O29" i="75"/>
  <c r="K29" i="75"/>
  <c r="V28" i="75"/>
  <c r="U28" i="75"/>
  <c r="O28" i="75"/>
  <c r="M28" i="75"/>
  <c r="AF28" i="75" s="1"/>
  <c r="K28" i="75"/>
  <c r="G28" i="75"/>
  <c r="V27" i="75"/>
  <c r="M27" i="75" s="1"/>
  <c r="AF27" i="75" s="1"/>
  <c r="U27" i="75"/>
  <c r="O27" i="75"/>
  <c r="K27" i="75"/>
  <c r="G27" i="75"/>
  <c r="V26" i="75"/>
  <c r="M26" i="75" s="1"/>
  <c r="AF26" i="75" s="1"/>
  <c r="U26" i="75"/>
  <c r="O26" i="75"/>
  <c r="K26" i="75"/>
  <c r="G26" i="75"/>
  <c r="V25" i="75"/>
  <c r="M25" i="75" s="1"/>
  <c r="U25" i="75"/>
  <c r="O25" i="75"/>
  <c r="K25" i="75"/>
  <c r="G25" i="75"/>
  <c r="X24" i="75"/>
  <c r="W24" i="75"/>
  <c r="V24" i="75"/>
  <c r="O24" i="75"/>
  <c r="M24" i="75"/>
  <c r="K24" i="75"/>
  <c r="G24" i="75"/>
  <c r="AD23" i="75"/>
  <c r="Z23" i="75"/>
  <c r="Y23" i="75"/>
  <c r="O23" i="75"/>
  <c r="K23" i="75"/>
  <c r="V22" i="75"/>
  <c r="M22" i="75" s="1"/>
  <c r="U22" i="75"/>
  <c r="O22" i="75"/>
  <c r="K22" i="75"/>
  <c r="G22" i="75"/>
  <c r="AE21" i="75"/>
  <c r="V21" i="75"/>
  <c r="U21" i="75"/>
  <c r="O21" i="75"/>
  <c r="M21" i="75"/>
  <c r="N21" i="75" s="1"/>
  <c r="K21" i="75"/>
  <c r="G21" i="75"/>
  <c r="V20" i="75"/>
  <c r="M20" i="75" s="1"/>
  <c r="U20" i="75"/>
  <c r="O20" i="75"/>
  <c r="K20" i="75"/>
  <c r="G20" i="75"/>
  <c r="V19" i="75"/>
  <c r="M19" i="75" s="1"/>
  <c r="U19" i="75"/>
  <c r="O19" i="75"/>
  <c r="K19" i="75"/>
  <c r="G19" i="75"/>
  <c r="V18" i="75"/>
  <c r="M18" i="75" s="1"/>
  <c r="U18" i="75"/>
  <c r="O18" i="75"/>
  <c r="K18" i="75"/>
  <c r="G18" i="75"/>
  <c r="V17" i="75"/>
  <c r="M17" i="75" s="1"/>
  <c r="O17" i="75"/>
  <c r="K17" i="75"/>
  <c r="G17" i="75"/>
  <c r="AD16" i="75"/>
  <c r="Z16" i="75"/>
  <c r="F19" i="74" s="1"/>
  <c r="Y16" i="75"/>
  <c r="F18" i="74" s="1"/>
  <c r="O16" i="75"/>
  <c r="K16" i="75"/>
  <c r="V15" i="75"/>
  <c r="M15" i="75" s="1"/>
  <c r="U15" i="75"/>
  <c r="O15" i="75"/>
  <c r="K15" i="75"/>
  <c r="G15" i="75"/>
  <c r="V14" i="75"/>
  <c r="M14" i="75" s="1"/>
  <c r="U14" i="75"/>
  <c r="O14" i="75"/>
  <c r="K14" i="75"/>
  <c r="G14" i="75"/>
  <c r="V13" i="75"/>
  <c r="M13" i="75" s="1"/>
  <c r="O13" i="75"/>
  <c r="K13" i="75"/>
  <c r="G13" i="75"/>
  <c r="AD12" i="75"/>
  <c r="E21" i="74" s="1"/>
  <c r="Z12" i="75"/>
  <c r="Y12" i="75"/>
  <c r="O12" i="75"/>
  <c r="K12" i="75"/>
  <c r="V11" i="75"/>
  <c r="U11" i="75"/>
  <c r="O11" i="75"/>
  <c r="M11" i="75"/>
  <c r="AF11" i="75" s="1"/>
  <c r="K11" i="75"/>
  <c r="G11" i="75"/>
  <c r="V10" i="75"/>
  <c r="O10" i="75"/>
  <c r="M10" i="75"/>
  <c r="M12" i="75" s="1"/>
  <c r="K10" i="75"/>
  <c r="G10" i="75"/>
  <c r="AD9" i="75"/>
  <c r="Z9" i="75"/>
  <c r="Z2" i="75" s="1"/>
  <c r="L6" i="74" s="1"/>
  <c r="Y9" i="75"/>
  <c r="Y2" i="75" s="1"/>
  <c r="K6" i="74" s="1"/>
  <c r="O9" i="75"/>
  <c r="K9" i="75"/>
  <c r="D13" i="74" s="1"/>
  <c r="V8" i="75"/>
  <c r="M8" i="75" s="1"/>
  <c r="AF8" i="75" s="1"/>
  <c r="U8" i="75"/>
  <c r="O8" i="75"/>
  <c r="K8" i="75"/>
  <c r="G8" i="75"/>
  <c r="V7" i="75"/>
  <c r="U7" i="75"/>
  <c r="O7" i="75"/>
  <c r="M7" i="75"/>
  <c r="AE7" i="75" s="1"/>
  <c r="K7" i="75"/>
  <c r="G7" i="75"/>
  <c r="V6" i="75"/>
  <c r="U6" i="75"/>
  <c r="O6" i="75"/>
  <c r="M6" i="75"/>
  <c r="N6" i="75" s="1"/>
  <c r="K6" i="75"/>
  <c r="G6" i="75"/>
  <c r="AF5" i="75"/>
  <c r="V5" i="75"/>
  <c r="O5" i="75"/>
  <c r="M5" i="75"/>
  <c r="N5" i="75" s="1"/>
  <c r="K5" i="75"/>
  <c r="G5" i="75"/>
  <c r="H2" i="75"/>
  <c r="H1" i="75"/>
  <c r="D1" i="75"/>
  <c r="M22" i="74"/>
  <c r="L22" i="74"/>
  <c r="K22" i="74"/>
  <c r="J22" i="74"/>
  <c r="I22" i="74"/>
  <c r="H22" i="74"/>
  <c r="G22" i="74"/>
  <c r="F22" i="74"/>
  <c r="E22" i="74"/>
  <c r="D22" i="74"/>
  <c r="K21" i="74"/>
  <c r="I21" i="74"/>
  <c r="G21" i="74"/>
  <c r="F21" i="74"/>
  <c r="D21" i="74"/>
  <c r="M20" i="74"/>
  <c r="L20" i="74"/>
  <c r="K20" i="74"/>
  <c r="J20" i="74"/>
  <c r="I20" i="74"/>
  <c r="H20" i="74"/>
  <c r="G20" i="74"/>
  <c r="F20" i="74"/>
  <c r="E20" i="74"/>
  <c r="D20" i="74"/>
  <c r="M19" i="74"/>
  <c r="K19" i="74"/>
  <c r="J19" i="74"/>
  <c r="I19" i="74"/>
  <c r="G19" i="74"/>
  <c r="E19" i="74"/>
  <c r="D19" i="74"/>
  <c r="M18" i="74"/>
  <c r="K18" i="74"/>
  <c r="J18" i="74"/>
  <c r="I18" i="74"/>
  <c r="H18" i="74"/>
  <c r="G18" i="74"/>
  <c r="E18" i="74"/>
  <c r="D18" i="74"/>
  <c r="M17" i="74"/>
  <c r="L17" i="74"/>
  <c r="K17" i="74"/>
  <c r="J17" i="74"/>
  <c r="I17" i="74"/>
  <c r="H17" i="74"/>
  <c r="G17" i="74"/>
  <c r="F17" i="74"/>
  <c r="E17" i="74"/>
  <c r="D17" i="74"/>
  <c r="M16" i="74"/>
  <c r="L16" i="74"/>
  <c r="K16" i="74"/>
  <c r="J16" i="74"/>
  <c r="I16" i="74"/>
  <c r="H16" i="74"/>
  <c r="G16" i="74"/>
  <c r="F16" i="74"/>
  <c r="E16" i="74"/>
  <c r="D16" i="74"/>
  <c r="M13" i="74"/>
  <c r="L13" i="74"/>
  <c r="K13" i="74"/>
  <c r="I6" i="74" s="1"/>
  <c r="J13" i="74"/>
  <c r="I13" i="74"/>
  <c r="H13" i="74"/>
  <c r="G13" i="74"/>
  <c r="F13" i="74"/>
  <c r="E13" i="74"/>
  <c r="M6" i="74"/>
  <c r="F3" i="74"/>
  <c r="C3" i="74"/>
  <c r="AE22" i="75" l="1"/>
  <c r="AF22" i="75"/>
  <c r="N43" i="75"/>
  <c r="AF43" i="75"/>
  <c r="AE43" i="75"/>
  <c r="M49" i="75"/>
  <c r="AF42" i="75"/>
  <c r="AE42" i="75"/>
  <c r="AE25" i="75"/>
  <c r="AF25" i="75"/>
  <c r="N56" i="75"/>
  <c r="AF56" i="75"/>
  <c r="AE56" i="75"/>
  <c r="AF60" i="75"/>
  <c r="AE5" i="75"/>
  <c r="Q16" i="77"/>
  <c r="P16" i="77"/>
  <c r="Q7" i="77"/>
  <c r="P7" i="77"/>
  <c r="Q35" i="77"/>
  <c r="P35" i="77"/>
  <c r="Q5" i="77"/>
  <c r="P5" i="77"/>
  <c r="P8" i="77"/>
  <c r="Q8" i="77"/>
  <c r="M9" i="75"/>
  <c r="AF9" i="75" s="1"/>
  <c r="AG5" i="75" s="1"/>
  <c r="AD2" i="75"/>
  <c r="N6" i="74" s="1"/>
  <c r="Q21" i="77"/>
  <c r="P21" i="77"/>
  <c r="M29" i="75"/>
  <c r="AF44" i="75"/>
  <c r="AF9" i="77"/>
  <c r="AG5" i="77" s="1"/>
  <c r="AE9" i="77"/>
  <c r="N9" i="77"/>
  <c r="P45" i="77"/>
  <c r="Q45" i="77"/>
  <c r="Q6" i="77"/>
  <c r="P6" i="77"/>
  <c r="N12" i="77"/>
  <c r="AF12" i="77"/>
  <c r="AG10" i="77" s="1"/>
  <c r="AE12" i="77"/>
  <c r="AE6" i="75"/>
  <c r="AF6" i="75"/>
  <c r="Q43" i="77"/>
  <c r="P43" i="77"/>
  <c r="AF21" i="75"/>
  <c r="AF24" i="75"/>
  <c r="Q38" i="77"/>
  <c r="P38" i="77"/>
  <c r="AF59" i="75"/>
  <c r="P23" i="77"/>
  <c r="Q23" i="77"/>
  <c r="P39" i="77"/>
  <c r="Q39" i="77"/>
  <c r="P26" i="77"/>
  <c r="Q26" i="77"/>
  <c r="F1" i="75"/>
  <c r="AF7" i="75"/>
  <c r="Q60" i="77"/>
  <c r="P60" i="77"/>
  <c r="H14" i="80"/>
  <c r="H15" i="80" s="1"/>
  <c r="Q47" i="81"/>
  <c r="R43" i="81" s="1"/>
  <c r="P47" i="81"/>
  <c r="K14" i="80"/>
  <c r="Q34" i="81"/>
  <c r="R28" i="81" s="1"/>
  <c r="P34" i="81"/>
  <c r="Q68" i="81"/>
  <c r="R62" i="81" s="1"/>
  <c r="M14" i="80"/>
  <c r="M15" i="80" s="1"/>
  <c r="P68" i="81"/>
  <c r="P9" i="81"/>
  <c r="D14" i="80"/>
  <c r="D2" i="81"/>
  <c r="Q9" i="81"/>
  <c r="R5" i="81" s="1"/>
  <c r="Q13" i="81"/>
  <c r="R10" i="81" s="1"/>
  <c r="E14" i="80"/>
  <c r="E15" i="80" s="1"/>
  <c r="P13" i="81"/>
  <c r="F14" i="80"/>
  <c r="F15" i="80" s="1"/>
  <c r="Q19" i="81"/>
  <c r="R14" i="81" s="1"/>
  <c r="P19" i="81"/>
  <c r="Q42" i="81"/>
  <c r="R35" i="81" s="1"/>
  <c r="P42" i="81"/>
  <c r="L14" i="80"/>
  <c r="L15" i="80" s="1"/>
  <c r="Q61" i="81"/>
  <c r="R55" i="81" s="1"/>
  <c r="P61" i="81"/>
  <c r="J14" i="80"/>
  <c r="J15" i="80" s="1"/>
  <c r="Q54" i="81"/>
  <c r="R48" i="81" s="1"/>
  <c r="P54" i="81"/>
  <c r="I14" i="80"/>
  <c r="I15" i="80" s="1"/>
  <c r="AF42" i="77"/>
  <c r="AG37" i="77" s="1"/>
  <c r="N42" i="77"/>
  <c r="AE42" i="77"/>
  <c r="Q46" i="77"/>
  <c r="P46" i="77"/>
  <c r="AE55" i="77"/>
  <c r="N55" i="77"/>
  <c r="AF55" i="77"/>
  <c r="AG50" i="77" s="1"/>
  <c r="P49" i="77"/>
  <c r="Q49" i="77"/>
  <c r="R43" i="77" s="1"/>
  <c r="I14" i="76"/>
  <c r="I15" i="76" s="1"/>
  <c r="Q27" i="77"/>
  <c r="P27" i="77"/>
  <c r="P30" i="77"/>
  <c r="K14" i="76"/>
  <c r="Q30" i="77"/>
  <c r="R25" i="77" s="1"/>
  <c r="AF61" i="77"/>
  <c r="AG56" i="77" s="1"/>
  <c r="AE61" i="77"/>
  <c r="N61" i="77"/>
  <c r="Q24" i="77"/>
  <c r="R18" i="77" s="1"/>
  <c r="P24" i="77"/>
  <c r="G14" i="76"/>
  <c r="G15" i="76" s="1"/>
  <c r="N20" i="75"/>
  <c r="AF20" i="75"/>
  <c r="AE20" i="75"/>
  <c r="Q43" i="75"/>
  <c r="P43" i="75"/>
  <c r="G6" i="74"/>
  <c r="E6" i="74"/>
  <c r="F6" i="74"/>
  <c r="Q56" i="75"/>
  <c r="P56" i="75"/>
  <c r="M16" i="75"/>
  <c r="AF13" i="75"/>
  <c r="AE13" i="75"/>
  <c r="N13" i="75"/>
  <c r="N18" i="75"/>
  <c r="AF18" i="75"/>
  <c r="AE18" i="75"/>
  <c r="AF30" i="75"/>
  <c r="M35" i="75"/>
  <c r="AE30" i="75"/>
  <c r="N30" i="75"/>
  <c r="N34" i="75"/>
  <c r="AF34" i="75"/>
  <c r="AE34" i="75"/>
  <c r="N51" i="75"/>
  <c r="AF51" i="75"/>
  <c r="AE51" i="75"/>
  <c r="N53" i="75"/>
  <c r="AF53" i="75"/>
  <c r="AE53" i="75"/>
  <c r="Q21" i="75"/>
  <c r="P21" i="75"/>
  <c r="N15" i="75"/>
  <c r="AF15" i="75"/>
  <c r="AE15" i="75"/>
  <c r="N39" i="75"/>
  <c r="AF39" i="75"/>
  <c r="AE39" i="75"/>
  <c r="N58" i="75"/>
  <c r="AF58" i="75"/>
  <c r="AE58" i="75"/>
  <c r="N37" i="75"/>
  <c r="AF37" i="75"/>
  <c r="AE37" i="75"/>
  <c r="N49" i="75"/>
  <c r="AF49" i="75"/>
  <c r="AG42" i="75" s="1"/>
  <c r="AE49" i="75"/>
  <c r="Q6" i="75"/>
  <c r="P6" i="75"/>
  <c r="AF14" i="75"/>
  <c r="AE14" i="75"/>
  <c r="N14" i="75"/>
  <c r="N19" i="75"/>
  <c r="AF19" i="75"/>
  <c r="AE19" i="75"/>
  <c r="N52" i="75"/>
  <c r="AF52" i="75"/>
  <c r="AE52" i="75"/>
  <c r="Q59" i="75"/>
  <c r="P59" i="75"/>
  <c r="N50" i="75"/>
  <c r="AF50" i="75"/>
  <c r="M55" i="75"/>
  <c r="AE50" i="75"/>
  <c r="N54" i="75"/>
  <c r="AF54" i="75"/>
  <c r="AE54" i="75"/>
  <c r="F2" i="75"/>
  <c r="I3" i="74"/>
  <c r="AF12" i="75"/>
  <c r="AG10" i="75" s="1"/>
  <c r="AE12" i="75"/>
  <c r="N12" i="75"/>
  <c r="N17" i="75"/>
  <c r="AF17" i="75"/>
  <c r="AE17" i="75"/>
  <c r="M23" i="75"/>
  <c r="AF33" i="75"/>
  <c r="AE33" i="75"/>
  <c r="N33" i="75"/>
  <c r="N40" i="75"/>
  <c r="AF40" i="75"/>
  <c r="AE40" i="75"/>
  <c r="Q5" i="75"/>
  <c r="P5" i="75"/>
  <c r="AF29" i="75"/>
  <c r="AG24" i="75" s="1"/>
  <c r="AE29" i="75"/>
  <c r="N29" i="75"/>
  <c r="N36" i="75"/>
  <c r="AF36" i="75"/>
  <c r="M41" i="75"/>
  <c r="AE36" i="75"/>
  <c r="N38" i="75"/>
  <c r="AF38" i="75"/>
  <c r="AE38" i="75"/>
  <c r="N57" i="75"/>
  <c r="AF57" i="75"/>
  <c r="M61" i="75"/>
  <c r="AE57" i="75"/>
  <c r="N32" i="75"/>
  <c r="N48" i="75"/>
  <c r="H21" i="74"/>
  <c r="N9" i="75"/>
  <c r="N10" i="75"/>
  <c r="N11" i="75"/>
  <c r="N28" i="75"/>
  <c r="N31" i="75"/>
  <c r="N47" i="75"/>
  <c r="N24" i="75"/>
  <c r="N27" i="75"/>
  <c r="N46" i="75"/>
  <c r="N8" i="75"/>
  <c r="N26" i="75"/>
  <c r="N45" i="75"/>
  <c r="N7" i="75"/>
  <c r="N22" i="75"/>
  <c r="N25" i="75"/>
  <c r="N44" i="75"/>
  <c r="N60" i="75"/>
  <c r="N42" i="75"/>
  <c r="AE32" i="75"/>
  <c r="AE48" i="75"/>
  <c r="AE10" i="75"/>
  <c r="AE11" i="75"/>
  <c r="AE28" i="75"/>
  <c r="AE31" i="75"/>
  <c r="AE47" i="75"/>
  <c r="AE9" i="75"/>
  <c r="AF10" i="75"/>
  <c r="AE27" i="75"/>
  <c r="AE46" i="75"/>
  <c r="AE8" i="75"/>
  <c r="AE26" i="75"/>
  <c r="AE45" i="75"/>
  <c r="AE24" i="75"/>
  <c r="AD61" i="73"/>
  <c r="Z61" i="73"/>
  <c r="Y61" i="73"/>
  <c r="O61" i="73"/>
  <c r="K61" i="73"/>
  <c r="M13" i="72" s="1"/>
  <c r="V60" i="73"/>
  <c r="M60" i="73" s="1"/>
  <c r="U60" i="73"/>
  <c r="O60" i="73"/>
  <c r="K60" i="73"/>
  <c r="G60" i="73"/>
  <c r="V59" i="73"/>
  <c r="M59" i="73" s="1"/>
  <c r="AE59" i="73" s="1"/>
  <c r="U59" i="73"/>
  <c r="O59" i="73"/>
  <c r="K59" i="73"/>
  <c r="G59" i="73"/>
  <c r="V58" i="73"/>
  <c r="M58" i="73" s="1"/>
  <c r="U58" i="73"/>
  <c r="O58" i="73"/>
  <c r="K58" i="73"/>
  <c r="G58" i="73"/>
  <c r="V57" i="73"/>
  <c r="M57" i="73" s="1"/>
  <c r="U57" i="73"/>
  <c r="O57" i="73"/>
  <c r="K57" i="73"/>
  <c r="G57" i="73"/>
  <c r="X56" i="73"/>
  <c r="W56" i="73"/>
  <c r="V56" i="73"/>
  <c r="M56" i="73" s="1"/>
  <c r="O56" i="73"/>
  <c r="K56" i="73"/>
  <c r="G56" i="73"/>
  <c r="AD55" i="73"/>
  <c r="J21" i="72" s="1"/>
  <c r="Z55" i="73"/>
  <c r="J19" i="72" s="1"/>
  <c r="Y55" i="73"/>
  <c r="O55" i="73"/>
  <c r="K55" i="73"/>
  <c r="J13" i="72" s="1"/>
  <c r="V54" i="73"/>
  <c r="M54" i="73" s="1"/>
  <c r="U54" i="73"/>
  <c r="O54" i="73"/>
  <c r="K54" i="73"/>
  <c r="G54" i="73"/>
  <c r="V53" i="73"/>
  <c r="M53" i="73" s="1"/>
  <c r="AF53" i="73" s="1"/>
  <c r="U53" i="73"/>
  <c r="O53" i="73"/>
  <c r="K53" i="73"/>
  <c r="G53" i="73"/>
  <c r="V52" i="73"/>
  <c r="M52" i="73" s="1"/>
  <c r="AE52" i="73" s="1"/>
  <c r="U52" i="73"/>
  <c r="O52" i="73"/>
  <c r="K52" i="73"/>
  <c r="G52" i="73"/>
  <c r="V51" i="73"/>
  <c r="M51" i="73" s="1"/>
  <c r="U51" i="73"/>
  <c r="O51" i="73"/>
  <c r="K51" i="73"/>
  <c r="G51" i="73"/>
  <c r="V50" i="73"/>
  <c r="M50" i="73" s="1"/>
  <c r="O50" i="73"/>
  <c r="K50" i="73"/>
  <c r="G50" i="73"/>
  <c r="AD49" i="73"/>
  <c r="I21" i="72" s="1"/>
  <c r="Z49" i="73"/>
  <c r="I19" i="72" s="1"/>
  <c r="Y49" i="73"/>
  <c r="O49" i="73"/>
  <c r="K49" i="73"/>
  <c r="V48" i="73"/>
  <c r="U48" i="73"/>
  <c r="O48" i="73"/>
  <c r="M48" i="73"/>
  <c r="AF48" i="73" s="1"/>
  <c r="K48" i="73"/>
  <c r="G48" i="73"/>
  <c r="AF47" i="73"/>
  <c r="V47" i="73"/>
  <c r="U47" i="73"/>
  <c r="O47" i="73"/>
  <c r="M47" i="73"/>
  <c r="N47" i="73" s="1"/>
  <c r="K47" i="73"/>
  <c r="G47" i="73"/>
  <c r="V46" i="73"/>
  <c r="M46" i="73" s="1"/>
  <c r="AE46" i="73" s="1"/>
  <c r="U46" i="73"/>
  <c r="O46" i="73"/>
  <c r="K46" i="73"/>
  <c r="G46" i="73"/>
  <c r="V45" i="73"/>
  <c r="M45" i="73" s="1"/>
  <c r="U45" i="73"/>
  <c r="O45" i="73"/>
  <c r="K45" i="73"/>
  <c r="G45" i="73"/>
  <c r="V44" i="73"/>
  <c r="M44" i="73" s="1"/>
  <c r="AF44" i="73" s="1"/>
  <c r="U44" i="73"/>
  <c r="O44" i="73"/>
  <c r="K44" i="73"/>
  <c r="G44" i="73"/>
  <c r="V43" i="73"/>
  <c r="U43" i="73"/>
  <c r="O43" i="73"/>
  <c r="M43" i="73"/>
  <c r="AF43" i="73" s="1"/>
  <c r="K43" i="73"/>
  <c r="G43" i="73"/>
  <c r="V42" i="73"/>
  <c r="M42" i="73" s="1"/>
  <c r="O42" i="73"/>
  <c r="K42" i="73"/>
  <c r="G42" i="73"/>
  <c r="AD41" i="73"/>
  <c r="H21" i="72" s="1"/>
  <c r="Z41" i="73"/>
  <c r="Y41" i="73"/>
  <c r="O41" i="73"/>
  <c r="K41" i="73"/>
  <c r="H13" i="72" s="1"/>
  <c r="V40" i="73"/>
  <c r="M40" i="73" s="1"/>
  <c r="U40" i="73"/>
  <c r="O40" i="73"/>
  <c r="K40" i="73"/>
  <c r="G40" i="73"/>
  <c r="V39" i="73"/>
  <c r="U39" i="73"/>
  <c r="O39" i="73"/>
  <c r="M39" i="73"/>
  <c r="AF39" i="73" s="1"/>
  <c r="K39" i="73"/>
  <c r="G39" i="73"/>
  <c r="V38" i="73"/>
  <c r="U38" i="73"/>
  <c r="O38" i="73"/>
  <c r="M38" i="73"/>
  <c r="N38" i="73" s="1"/>
  <c r="K38" i="73"/>
  <c r="G38" i="73"/>
  <c r="V37" i="73"/>
  <c r="M37" i="73" s="1"/>
  <c r="AE37" i="73" s="1"/>
  <c r="U37" i="73"/>
  <c r="O37" i="73"/>
  <c r="K37" i="73"/>
  <c r="G37" i="73"/>
  <c r="X36" i="73"/>
  <c r="W36" i="73"/>
  <c r="V36" i="73"/>
  <c r="O36" i="73"/>
  <c r="M36" i="73"/>
  <c r="AF36" i="73" s="1"/>
  <c r="K36" i="73"/>
  <c r="G36" i="73"/>
  <c r="AD35" i="73"/>
  <c r="L21" i="72" s="1"/>
  <c r="Z35" i="73"/>
  <c r="L19" i="72" s="1"/>
  <c r="Y35" i="73"/>
  <c r="L18" i="72" s="1"/>
  <c r="O35" i="73"/>
  <c r="K35" i="73"/>
  <c r="V34" i="73"/>
  <c r="M34" i="73" s="1"/>
  <c r="U34" i="73"/>
  <c r="O34" i="73"/>
  <c r="K34" i="73"/>
  <c r="G34" i="73"/>
  <c r="V33" i="73"/>
  <c r="M33" i="73" s="1"/>
  <c r="U33" i="73"/>
  <c r="O33" i="73"/>
  <c r="K33" i="73"/>
  <c r="G33" i="73"/>
  <c r="V32" i="73"/>
  <c r="M32" i="73" s="1"/>
  <c r="AF32" i="73" s="1"/>
  <c r="U32" i="73"/>
  <c r="O32" i="73"/>
  <c r="K32" i="73"/>
  <c r="G32" i="73"/>
  <c r="AF31" i="73"/>
  <c r="V31" i="73"/>
  <c r="U31" i="73"/>
  <c r="O31" i="73"/>
  <c r="M31" i="73"/>
  <c r="N31" i="73" s="1"/>
  <c r="K31" i="73"/>
  <c r="G31" i="73"/>
  <c r="X30" i="73"/>
  <c r="W30" i="73"/>
  <c r="V30" i="73"/>
  <c r="M30" i="73" s="1"/>
  <c r="O30" i="73"/>
  <c r="K30" i="73"/>
  <c r="G30" i="73"/>
  <c r="AD29" i="73"/>
  <c r="K21" i="72" s="1"/>
  <c r="Z29" i="73"/>
  <c r="Y29" i="73"/>
  <c r="O29" i="73"/>
  <c r="K29" i="73"/>
  <c r="K13" i="72" s="1"/>
  <c r="V28" i="73"/>
  <c r="M28" i="73" s="1"/>
  <c r="U28" i="73"/>
  <c r="O28" i="73"/>
  <c r="K28" i="73"/>
  <c r="G28" i="73"/>
  <c r="V27" i="73"/>
  <c r="U27" i="73"/>
  <c r="O27" i="73"/>
  <c r="M27" i="73"/>
  <c r="AE27" i="73" s="1"/>
  <c r="K27" i="73"/>
  <c r="G27" i="73"/>
  <c r="V26" i="73"/>
  <c r="M26" i="73" s="1"/>
  <c r="U26" i="73"/>
  <c r="O26" i="73"/>
  <c r="K26" i="73"/>
  <c r="G26" i="73"/>
  <c r="V25" i="73"/>
  <c r="U25" i="73"/>
  <c r="O25" i="73"/>
  <c r="M25" i="73"/>
  <c r="AF25" i="73" s="1"/>
  <c r="K25" i="73"/>
  <c r="G25" i="73"/>
  <c r="X24" i="73"/>
  <c r="W24" i="73"/>
  <c r="V24" i="73"/>
  <c r="M24" i="73" s="1"/>
  <c r="O24" i="73"/>
  <c r="K24" i="73"/>
  <c r="G24" i="73"/>
  <c r="AD23" i="73"/>
  <c r="G21" i="72" s="1"/>
  <c r="Z23" i="73"/>
  <c r="G19" i="72" s="1"/>
  <c r="Y23" i="73"/>
  <c r="G18" i="72" s="1"/>
  <c r="O23" i="73"/>
  <c r="K23" i="73"/>
  <c r="V22" i="73"/>
  <c r="U22" i="73"/>
  <c r="O22" i="73"/>
  <c r="M22" i="73"/>
  <c r="AF22" i="73" s="1"/>
  <c r="K22" i="73"/>
  <c r="G22" i="73"/>
  <c r="V21" i="73"/>
  <c r="M21" i="73" s="1"/>
  <c r="U21" i="73"/>
  <c r="O21" i="73"/>
  <c r="K21" i="73"/>
  <c r="G21" i="73"/>
  <c r="V20" i="73"/>
  <c r="U20" i="73"/>
  <c r="O20" i="73"/>
  <c r="M20" i="73"/>
  <c r="AF20" i="73" s="1"/>
  <c r="K20" i="73"/>
  <c r="G20" i="73"/>
  <c r="V19" i="73"/>
  <c r="M19" i="73" s="1"/>
  <c r="U19" i="73"/>
  <c r="O19" i="73"/>
  <c r="K19" i="73"/>
  <c r="G19" i="73"/>
  <c r="V18" i="73"/>
  <c r="M18" i="73" s="1"/>
  <c r="AF18" i="73" s="1"/>
  <c r="U18" i="73"/>
  <c r="O18" i="73"/>
  <c r="K18" i="73"/>
  <c r="G18" i="73"/>
  <c r="V17" i="73"/>
  <c r="O17" i="73"/>
  <c r="M17" i="73"/>
  <c r="AE17" i="73" s="1"/>
  <c r="K17" i="73"/>
  <c r="G17" i="73"/>
  <c r="AD16" i="73"/>
  <c r="Z16" i="73"/>
  <c r="Y16" i="73"/>
  <c r="F18" i="72" s="1"/>
  <c r="O16" i="73"/>
  <c r="K16" i="73"/>
  <c r="V15" i="73"/>
  <c r="U15" i="73"/>
  <c r="O15" i="73"/>
  <c r="M15" i="73"/>
  <c r="AF15" i="73" s="1"/>
  <c r="K15" i="73"/>
  <c r="G15" i="73"/>
  <c r="V14" i="73"/>
  <c r="M14" i="73" s="1"/>
  <c r="U14" i="73"/>
  <c r="O14" i="73"/>
  <c r="K14" i="73"/>
  <c r="G14" i="73"/>
  <c r="V13" i="73"/>
  <c r="O13" i="73"/>
  <c r="M13" i="73"/>
  <c r="AF13" i="73" s="1"/>
  <c r="K13" i="73"/>
  <c r="G13" i="73"/>
  <c r="AD12" i="73"/>
  <c r="E21" i="72" s="1"/>
  <c r="Z12" i="73"/>
  <c r="E19" i="72" s="1"/>
  <c r="Y12" i="73"/>
  <c r="E18" i="72" s="1"/>
  <c r="O12" i="73"/>
  <c r="K12" i="73"/>
  <c r="V11" i="73"/>
  <c r="U11" i="73"/>
  <c r="O11" i="73"/>
  <c r="M11" i="73"/>
  <c r="AF11" i="73" s="1"/>
  <c r="K11" i="73"/>
  <c r="G11" i="73"/>
  <c r="V10" i="73"/>
  <c r="O10" i="73"/>
  <c r="M10" i="73"/>
  <c r="K10" i="73"/>
  <c r="G10" i="73"/>
  <c r="AD9" i="73"/>
  <c r="Z9" i="73"/>
  <c r="Z2" i="73" s="1"/>
  <c r="L6" i="72" s="1"/>
  <c r="Y9" i="73"/>
  <c r="D18" i="72" s="1"/>
  <c r="O9" i="73"/>
  <c r="K9" i="73"/>
  <c r="D13" i="72" s="1"/>
  <c r="V8" i="73"/>
  <c r="M8" i="73" s="1"/>
  <c r="U8" i="73"/>
  <c r="O8" i="73"/>
  <c r="K8" i="73"/>
  <c r="G8" i="73"/>
  <c r="V7" i="73"/>
  <c r="M7" i="73" s="1"/>
  <c r="AF7" i="73" s="1"/>
  <c r="U7" i="73"/>
  <c r="O7" i="73"/>
  <c r="K7" i="73"/>
  <c r="G7" i="73"/>
  <c r="V6" i="73"/>
  <c r="M6" i="73" s="1"/>
  <c r="AF6" i="73" s="1"/>
  <c r="U6" i="73"/>
  <c r="O6" i="73"/>
  <c r="K6" i="73"/>
  <c r="G6" i="73"/>
  <c r="V5" i="73"/>
  <c r="M5" i="73" s="1"/>
  <c r="O5" i="73"/>
  <c r="K5" i="73"/>
  <c r="G5" i="73"/>
  <c r="H2" i="73"/>
  <c r="H1" i="73"/>
  <c r="D1" i="73"/>
  <c r="M22" i="72"/>
  <c r="L22" i="72"/>
  <c r="K22" i="72"/>
  <c r="J22" i="72"/>
  <c r="I22" i="72"/>
  <c r="H22" i="72"/>
  <c r="G22" i="72"/>
  <c r="F22" i="72"/>
  <c r="E22" i="72"/>
  <c r="D22" i="72"/>
  <c r="M21" i="72"/>
  <c r="F21" i="72"/>
  <c r="D21" i="72"/>
  <c r="M20" i="72"/>
  <c r="L20" i="72"/>
  <c r="K20" i="72"/>
  <c r="J20" i="72"/>
  <c r="I20" i="72"/>
  <c r="H20" i="72"/>
  <c r="G20" i="72"/>
  <c r="F20" i="72"/>
  <c r="E20" i="72"/>
  <c r="D20" i="72"/>
  <c r="M19" i="72"/>
  <c r="K19" i="72"/>
  <c r="H19" i="72"/>
  <c r="F19" i="72"/>
  <c r="M18" i="72"/>
  <c r="K18" i="72"/>
  <c r="J18" i="72"/>
  <c r="I18" i="72"/>
  <c r="H18" i="72"/>
  <c r="M17" i="72"/>
  <c r="L17" i="72"/>
  <c r="K17" i="72"/>
  <c r="J17" i="72"/>
  <c r="I17" i="72"/>
  <c r="H17" i="72"/>
  <c r="G17" i="72"/>
  <c r="F17" i="72"/>
  <c r="E17" i="72"/>
  <c r="D17" i="72"/>
  <c r="M16" i="72"/>
  <c r="L16" i="72"/>
  <c r="K16" i="72"/>
  <c r="J16" i="72"/>
  <c r="I16" i="72"/>
  <c r="H16" i="72"/>
  <c r="G16" i="72"/>
  <c r="F16" i="72"/>
  <c r="E16" i="72"/>
  <c r="D16" i="72"/>
  <c r="L13" i="72"/>
  <c r="I13" i="72"/>
  <c r="G13" i="72"/>
  <c r="F13" i="72"/>
  <c r="E13" i="72"/>
  <c r="M6" i="72"/>
  <c r="F3" i="72"/>
  <c r="C3" i="72"/>
  <c r="N56" i="73" l="1"/>
  <c r="AF56" i="73"/>
  <c r="AE56" i="73"/>
  <c r="AF60" i="73"/>
  <c r="N60" i="73"/>
  <c r="AF34" i="73"/>
  <c r="N34" i="73"/>
  <c r="P34" i="73" s="1"/>
  <c r="AF57" i="73"/>
  <c r="N57" i="73"/>
  <c r="Q57" i="73" s="1"/>
  <c r="AE24" i="73"/>
  <c r="AF24" i="73"/>
  <c r="AE50" i="73"/>
  <c r="N50" i="73"/>
  <c r="P50" i="73" s="1"/>
  <c r="AF38" i="73"/>
  <c r="P12" i="77"/>
  <c r="E14" i="76"/>
  <c r="E15" i="76" s="1"/>
  <c r="Q12" i="77"/>
  <c r="R10" i="77" s="1"/>
  <c r="AD2" i="73"/>
  <c r="N6" i="72" s="1"/>
  <c r="D14" i="76"/>
  <c r="D15" i="76" s="1"/>
  <c r="Q9" i="77"/>
  <c r="R5" i="77" s="1"/>
  <c r="P9" i="77"/>
  <c r="D19" i="72"/>
  <c r="N20" i="73"/>
  <c r="P20" i="73" s="1"/>
  <c r="M12" i="73"/>
  <c r="N27" i="73"/>
  <c r="P27" i="73" s="1"/>
  <c r="AE47" i="73"/>
  <c r="AE10" i="73"/>
  <c r="AF17" i="73"/>
  <c r="AF10" i="73"/>
  <c r="F1" i="73"/>
  <c r="P11" i="73"/>
  <c r="AE31" i="73"/>
  <c r="N11" i="73"/>
  <c r="Q11" i="73" s="1"/>
  <c r="I6" i="72"/>
  <c r="AE38" i="73"/>
  <c r="D15" i="80"/>
  <c r="G7" i="80"/>
  <c r="F7" i="80"/>
  <c r="E7" i="80"/>
  <c r="I7" i="80"/>
  <c r="K15" i="80"/>
  <c r="I8" i="80" s="1"/>
  <c r="M14" i="76"/>
  <c r="M15" i="76" s="1"/>
  <c r="Q61" i="77"/>
  <c r="R56" i="77" s="1"/>
  <c r="P61" i="77"/>
  <c r="Q55" i="77"/>
  <c r="R50" i="77" s="1"/>
  <c r="P55" i="77"/>
  <c r="J14" i="76"/>
  <c r="J15" i="76" s="1"/>
  <c r="F8" i="76" s="1"/>
  <c r="Q42" i="77"/>
  <c r="R37" i="77" s="1"/>
  <c r="P42" i="77"/>
  <c r="H14" i="76"/>
  <c r="H15" i="76" s="1"/>
  <c r="D2" i="77"/>
  <c r="K15" i="76"/>
  <c r="Q24" i="75"/>
  <c r="P24" i="75"/>
  <c r="Q12" i="75"/>
  <c r="R10" i="75" s="1"/>
  <c r="P12" i="75"/>
  <c r="E14" i="74"/>
  <c r="E15" i="74" s="1"/>
  <c r="P39" i="75"/>
  <c r="Q39" i="75"/>
  <c r="Q42" i="75"/>
  <c r="P42" i="75"/>
  <c r="Q57" i="75"/>
  <c r="P57" i="75"/>
  <c r="Q60" i="75"/>
  <c r="P60" i="75"/>
  <c r="Q31" i="75"/>
  <c r="P31" i="75"/>
  <c r="Q34" i="75"/>
  <c r="P34" i="75"/>
  <c r="I14" i="74"/>
  <c r="I15" i="74" s="1"/>
  <c r="Q49" i="75"/>
  <c r="R42" i="75" s="1"/>
  <c r="P49" i="75"/>
  <c r="Q15" i="75"/>
  <c r="P15" i="75"/>
  <c r="Q30" i="75"/>
  <c r="P30" i="75"/>
  <c r="Q25" i="75"/>
  <c r="P25" i="75"/>
  <c r="Q11" i="75"/>
  <c r="P11" i="75"/>
  <c r="P38" i="75"/>
  <c r="Q38" i="75"/>
  <c r="Q40" i="75"/>
  <c r="P40" i="75"/>
  <c r="P52" i="75"/>
  <c r="Q52" i="75"/>
  <c r="Q22" i="75"/>
  <c r="P22" i="75"/>
  <c r="Q10" i="75"/>
  <c r="P10" i="75"/>
  <c r="Q33" i="75"/>
  <c r="P33" i="75"/>
  <c r="N35" i="75"/>
  <c r="AF35" i="75"/>
  <c r="AG30" i="75" s="1"/>
  <c r="AE35" i="75"/>
  <c r="Q47" i="75"/>
  <c r="P47" i="75"/>
  <c r="Q7" i="75"/>
  <c r="P7" i="75"/>
  <c r="Q9" i="75"/>
  <c r="R5" i="75" s="1"/>
  <c r="P9" i="75"/>
  <c r="D14" i="74"/>
  <c r="N41" i="75"/>
  <c r="AF41" i="75"/>
  <c r="AG36" i="75" s="1"/>
  <c r="AE41" i="75"/>
  <c r="Q37" i="75"/>
  <c r="P37" i="75"/>
  <c r="Q54" i="75"/>
  <c r="P54" i="75"/>
  <c r="Q19" i="75"/>
  <c r="P19" i="75"/>
  <c r="Q45" i="75"/>
  <c r="P45" i="75"/>
  <c r="Q26" i="75"/>
  <c r="P26" i="75"/>
  <c r="Q48" i="75"/>
  <c r="P48" i="75"/>
  <c r="P36" i="75"/>
  <c r="Q36" i="75"/>
  <c r="AF23" i="75"/>
  <c r="AG17" i="75" s="1"/>
  <c r="AE23" i="75"/>
  <c r="N23" i="75"/>
  <c r="Q14" i="75"/>
  <c r="P14" i="75"/>
  <c r="P53" i="75"/>
  <c r="Q53" i="75"/>
  <c r="N16" i="75"/>
  <c r="AF16" i="75"/>
  <c r="AG13" i="75" s="1"/>
  <c r="AE16" i="75"/>
  <c r="Q44" i="75"/>
  <c r="P44" i="75"/>
  <c r="Q8" i="75"/>
  <c r="P8" i="75"/>
  <c r="Q32" i="75"/>
  <c r="P32" i="75"/>
  <c r="Q29" i="75"/>
  <c r="R24" i="75" s="1"/>
  <c r="P29" i="75"/>
  <c r="K14" i="74"/>
  <c r="N55" i="75"/>
  <c r="AF55" i="75"/>
  <c r="AG50" i="75" s="1"/>
  <c r="AE55" i="75"/>
  <c r="Q58" i="75"/>
  <c r="P58" i="75"/>
  <c r="P18" i="75"/>
  <c r="Q18" i="75"/>
  <c r="Q28" i="75"/>
  <c r="P28" i="75"/>
  <c r="Q46" i="75"/>
  <c r="P46" i="75"/>
  <c r="Q13" i="75"/>
  <c r="P13" i="75"/>
  <c r="Q27" i="75"/>
  <c r="P27" i="75"/>
  <c r="AF61" i="75"/>
  <c r="AG56" i="75" s="1"/>
  <c r="AE61" i="75"/>
  <c r="N61" i="75"/>
  <c r="P17" i="75"/>
  <c r="Q17" i="75"/>
  <c r="Q50" i="75"/>
  <c r="P50" i="75"/>
  <c r="Q51" i="75"/>
  <c r="P51" i="75"/>
  <c r="Q20" i="75"/>
  <c r="P20" i="75"/>
  <c r="AF45" i="73"/>
  <c r="AE45" i="73"/>
  <c r="N45" i="73"/>
  <c r="P56" i="73"/>
  <c r="Q56" i="73"/>
  <c r="N21" i="73"/>
  <c r="AF21" i="73"/>
  <c r="AE21" i="73"/>
  <c r="AF8" i="73"/>
  <c r="AE8" i="73"/>
  <c r="N8" i="73"/>
  <c r="N58" i="73"/>
  <c r="AF58" i="73"/>
  <c r="AE58" i="73"/>
  <c r="G6" i="72"/>
  <c r="F6" i="72"/>
  <c r="E6" i="72"/>
  <c r="M35" i="73"/>
  <c r="AF30" i="73"/>
  <c r="AE30" i="73"/>
  <c r="N30" i="73"/>
  <c r="P47" i="73"/>
  <c r="Q47" i="73"/>
  <c r="N33" i="73"/>
  <c r="AF33" i="73"/>
  <c r="AE33" i="73"/>
  <c r="N12" i="73"/>
  <c r="AF12" i="73"/>
  <c r="AG10" i="73" s="1"/>
  <c r="AE12" i="73"/>
  <c r="AF54" i="73"/>
  <c r="AE54" i="73"/>
  <c r="N54" i="73"/>
  <c r="P38" i="73"/>
  <c r="Q38" i="73"/>
  <c r="N5" i="73"/>
  <c r="AF5" i="73"/>
  <c r="AE5" i="73"/>
  <c r="M9" i="73"/>
  <c r="Q31" i="73"/>
  <c r="P31" i="73"/>
  <c r="N40" i="73"/>
  <c r="AF40" i="73"/>
  <c r="AE40" i="73"/>
  <c r="N28" i="73"/>
  <c r="AF28" i="73"/>
  <c r="AE28" i="73"/>
  <c r="N42" i="73"/>
  <c r="M49" i="73"/>
  <c r="AF42" i="73"/>
  <c r="AE42" i="73"/>
  <c r="N26" i="73"/>
  <c r="AF26" i="73"/>
  <c r="AE26" i="73"/>
  <c r="F2" i="73"/>
  <c r="I3" i="72"/>
  <c r="N51" i="73"/>
  <c r="AF51" i="73"/>
  <c r="AE51" i="73"/>
  <c r="M55" i="73"/>
  <c r="N19" i="73"/>
  <c r="AF19" i="73"/>
  <c r="AE19" i="73"/>
  <c r="AF14" i="73"/>
  <c r="AE14" i="73"/>
  <c r="M16" i="73"/>
  <c r="N14" i="73"/>
  <c r="N44" i="73"/>
  <c r="N53" i="73"/>
  <c r="N7" i="73"/>
  <c r="N37" i="73"/>
  <c r="N46" i="73"/>
  <c r="N18" i="73"/>
  <c r="N25" i="73"/>
  <c r="N32" i="73"/>
  <c r="N39" i="73"/>
  <c r="M41" i="73"/>
  <c r="N48" i="73"/>
  <c r="AE7" i="73"/>
  <c r="M29" i="73"/>
  <c r="AE44" i="73"/>
  <c r="AE53" i="73"/>
  <c r="AE60" i="73"/>
  <c r="N13" i="73"/>
  <c r="N6" i="73"/>
  <c r="Q20" i="73"/>
  <c r="Q27" i="73"/>
  <c r="Q34" i="73"/>
  <c r="AF37" i="73"/>
  <c r="N43" i="73"/>
  <c r="AF46" i="73"/>
  <c r="Q50" i="73"/>
  <c r="N52" i="73"/>
  <c r="P57" i="73"/>
  <c r="N59" i="73"/>
  <c r="M61" i="73"/>
  <c r="N15" i="73"/>
  <c r="AE18" i="73"/>
  <c r="N24" i="73"/>
  <c r="AE25" i="73"/>
  <c r="AE32" i="73"/>
  <c r="AE39" i="73"/>
  <c r="AE48" i="73"/>
  <c r="N22" i="73"/>
  <c r="N36" i="73"/>
  <c r="Y2" i="73"/>
  <c r="K6" i="72" s="1"/>
  <c r="AE11" i="73"/>
  <c r="AE20" i="73"/>
  <c r="AE34" i="73"/>
  <c r="N10" i="73"/>
  <c r="AE13" i="73"/>
  <c r="AF27" i="73"/>
  <c r="AF50" i="73"/>
  <c r="AE57" i="73"/>
  <c r="AE22" i="73"/>
  <c r="AE6" i="73"/>
  <c r="AE43" i="73"/>
  <c r="AE15" i="73"/>
  <c r="AE36" i="73"/>
  <c r="AF52" i="73"/>
  <c r="AF59" i="73"/>
  <c r="N17" i="73"/>
  <c r="M23" i="73"/>
  <c r="AD61" i="71"/>
  <c r="M21" i="70" s="1"/>
  <c r="Z61" i="71"/>
  <c r="M19" i="70" s="1"/>
  <c r="Y61" i="71"/>
  <c r="O61" i="71"/>
  <c r="K61" i="71"/>
  <c r="M13" i="70" s="1"/>
  <c r="V60" i="71"/>
  <c r="M60" i="71" s="1"/>
  <c r="U60" i="71"/>
  <c r="O60" i="71"/>
  <c r="K60" i="71"/>
  <c r="G60" i="71"/>
  <c r="V59" i="71"/>
  <c r="M59" i="71" s="1"/>
  <c r="U59" i="71"/>
  <c r="O59" i="71"/>
  <c r="K59" i="71"/>
  <c r="G59" i="71"/>
  <c r="V58" i="71"/>
  <c r="M58" i="71" s="1"/>
  <c r="N58" i="71" s="1"/>
  <c r="Q58" i="71" s="1"/>
  <c r="U58" i="71"/>
  <c r="O58" i="71"/>
  <c r="K58" i="71"/>
  <c r="G58" i="71"/>
  <c r="V57" i="71"/>
  <c r="M57" i="71" s="1"/>
  <c r="U57" i="71"/>
  <c r="O57" i="71"/>
  <c r="K57" i="71"/>
  <c r="G57" i="71"/>
  <c r="X56" i="71"/>
  <c r="W56" i="71"/>
  <c r="V56" i="71"/>
  <c r="M56" i="71" s="1"/>
  <c r="O56" i="71"/>
  <c r="K56" i="71"/>
  <c r="G56" i="71"/>
  <c r="AD55" i="71"/>
  <c r="Z55" i="71"/>
  <c r="Y55" i="71"/>
  <c r="O55" i="71"/>
  <c r="K55" i="71"/>
  <c r="V54" i="71"/>
  <c r="U54" i="71"/>
  <c r="O54" i="71"/>
  <c r="M54" i="71"/>
  <c r="K54" i="71"/>
  <c r="G54" i="71"/>
  <c r="V53" i="71"/>
  <c r="U53" i="71"/>
  <c r="O53" i="71"/>
  <c r="M53" i="71"/>
  <c r="AE53" i="71" s="1"/>
  <c r="K53" i="71"/>
  <c r="G53" i="71"/>
  <c r="V52" i="71"/>
  <c r="U52" i="71"/>
  <c r="O52" i="71"/>
  <c r="M52" i="71"/>
  <c r="K52" i="71"/>
  <c r="G52" i="71"/>
  <c r="V51" i="71"/>
  <c r="M51" i="71" s="1"/>
  <c r="N51" i="71" s="1"/>
  <c r="Q51" i="71" s="1"/>
  <c r="U51" i="71"/>
  <c r="O51" i="71"/>
  <c r="K51" i="71"/>
  <c r="G51" i="71"/>
  <c r="V50" i="71"/>
  <c r="O50" i="71"/>
  <c r="M50" i="71"/>
  <c r="N50" i="71" s="1"/>
  <c r="K50" i="71"/>
  <c r="G50" i="71"/>
  <c r="AD49" i="71"/>
  <c r="I21" i="70" s="1"/>
  <c r="Z49" i="71"/>
  <c r="Y49" i="71"/>
  <c r="O49" i="71"/>
  <c r="K49" i="71"/>
  <c r="V48" i="71"/>
  <c r="M48" i="71" s="1"/>
  <c r="AF48" i="71" s="1"/>
  <c r="U48" i="71"/>
  <c r="O48" i="71"/>
  <c r="K48" i="71"/>
  <c r="G48" i="71"/>
  <c r="V47" i="71"/>
  <c r="U47" i="71"/>
  <c r="O47" i="71"/>
  <c r="M47" i="71"/>
  <c r="N47" i="71" s="1"/>
  <c r="K47" i="71"/>
  <c r="G47" i="71"/>
  <c r="V46" i="71"/>
  <c r="U46" i="71"/>
  <c r="O46" i="71"/>
  <c r="N46" i="71"/>
  <c r="P46" i="71" s="1"/>
  <c r="M46" i="71"/>
  <c r="AF46" i="71" s="1"/>
  <c r="K46" i="71"/>
  <c r="G46" i="71"/>
  <c r="V45" i="71"/>
  <c r="M45" i="71" s="1"/>
  <c r="U45" i="71"/>
  <c r="O45" i="71"/>
  <c r="K45" i="71"/>
  <c r="G45" i="71"/>
  <c r="V44" i="71"/>
  <c r="U44" i="71"/>
  <c r="O44" i="71"/>
  <c r="M44" i="71"/>
  <c r="AE44" i="71" s="1"/>
  <c r="K44" i="71"/>
  <c r="G44" i="71"/>
  <c r="V43" i="71"/>
  <c r="U43" i="71"/>
  <c r="O43" i="71"/>
  <c r="N43" i="71"/>
  <c r="M43" i="71"/>
  <c r="K43" i="71"/>
  <c r="G43" i="71"/>
  <c r="AF42" i="71"/>
  <c r="AE42" i="71"/>
  <c r="V42" i="71"/>
  <c r="M42" i="71" s="1"/>
  <c r="O42" i="71"/>
  <c r="K42" i="71"/>
  <c r="G42" i="71"/>
  <c r="AD41" i="71"/>
  <c r="Z41" i="71"/>
  <c r="Y41" i="71"/>
  <c r="H18" i="70" s="1"/>
  <c r="O41" i="71"/>
  <c r="K41" i="71"/>
  <c r="V40" i="71"/>
  <c r="M40" i="71" s="1"/>
  <c r="N40" i="71" s="1"/>
  <c r="U40" i="71"/>
  <c r="O40" i="71"/>
  <c r="K40" i="71"/>
  <c r="G40" i="71"/>
  <c r="V39" i="71"/>
  <c r="U39" i="71"/>
  <c r="O39" i="71"/>
  <c r="M39" i="71"/>
  <c r="AF39" i="71" s="1"/>
  <c r="K39" i="71"/>
  <c r="G39" i="71"/>
  <c r="V38" i="71"/>
  <c r="U38" i="71"/>
  <c r="O38" i="71"/>
  <c r="M38" i="71"/>
  <c r="N38" i="71" s="1"/>
  <c r="K38" i="71"/>
  <c r="G38" i="71"/>
  <c r="V37" i="71"/>
  <c r="U37" i="71"/>
  <c r="O37" i="71"/>
  <c r="M37" i="71"/>
  <c r="AE37" i="71" s="1"/>
  <c r="K37" i="71"/>
  <c r="G37" i="71"/>
  <c r="X36" i="71"/>
  <c r="W36" i="71"/>
  <c r="V36" i="71"/>
  <c r="O36" i="71"/>
  <c r="M36" i="71"/>
  <c r="M41" i="71" s="1"/>
  <c r="K36" i="71"/>
  <c r="G36" i="71"/>
  <c r="AD35" i="71"/>
  <c r="L21" i="70" s="1"/>
  <c r="Z35" i="71"/>
  <c r="L19" i="70" s="1"/>
  <c r="Y35" i="71"/>
  <c r="O35" i="71"/>
  <c r="K35" i="71"/>
  <c r="V34" i="71"/>
  <c r="M34" i="71" s="1"/>
  <c r="N34" i="71" s="1"/>
  <c r="U34" i="71"/>
  <c r="O34" i="71"/>
  <c r="K34" i="71"/>
  <c r="G34" i="71"/>
  <c r="AF33" i="71"/>
  <c r="AE33" i="71"/>
  <c r="V33" i="71"/>
  <c r="M33" i="71" s="1"/>
  <c r="N33" i="71" s="1"/>
  <c r="U33" i="71"/>
  <c r="O33" i="71"/>
  <c r="K33" i="71"/>
  <c r="G33" i="71"/>
  <c r="V32" i="71"/>
  <c r="M32" i="71" s="1"/>
  <c r="U32" i="71"/>
  <c r="O32" i="71"/>
  <c r="K32" i="71"/>
  <c r="G32" i="71"/>
  <c r="AE31" i="71"/>
  <c r="V31" i="71"/>
  <c r="U31" i="71"/>
  <c r="O31" i="71"/>
  <c r="M31" i="71"/>
  <c r="N31" i="71" s="1"/>
  <c r="K31" i="71"/>
  <c r="G31" i="71"/>
  <c r="X30" i="71"/>
  <c r="W30" i="71"/>
  <c r="V30" i="71"/>
  <c r="M30" i="71" s="1"/>
  <c r="O30" i="71"/>
  <c r="K30" i="71"/>
  <c r="G30" i="71"/>
  <c r="AD29" i="71"/>
  <c r="K21" i="70" s="1"/>
  <c r="Z29" i="71"/>
  <c r="Y29" i="71"/>
  <c r="O29" i="71"/>
  <c r="K29" i="71"/>
  <c r="K13" i="70" s="1"/>
  <c r="V28" i="71"/>
  <c r="M28" i="71" s="1"/>
  <c r="N28" i="71" s="1"/>
  <c r="U28" i="71"/>
  <c r="Q28" i="71"/>
  <c r="O28" i="71"/>
  <c r="K28" i="71"/>
  <c r="G28" i="71"/>
  <c r="V27" i="71"/>
  <c r="U27" i="71"/>
  <c r="O27" i="71"/>
  <c r="N27" i="71"/>
  <c r="Q27" i="71" s="1"/>
  <c r="M27" i="71"/>
  <c r="K27" i="71"/>
  <c r="G27" i="71"/>
  <c r="V26" i="71"/>
  <c r="M26" i="71" s="1"/>
  <c r="N26" i="71" s="1"/>
  <c r="U26" i="71"/>
  <c r="O26" i="71"/>
  <c r="K26" i="71"/>
  <c r="G26" i="71"/>
  <c r="V25" i="71"/>
  <c r="M25" i="71" s="1"/>
  <c r="U25" i="71"/>
  <c r="O25" i="71"/>
  <c r="K25" i="71"/>
  <c r="G25" i="71"/>
  <c r="X24" i="71"/>
  <c r="W24" i="71"/>
  <c r="V24" i="71"/>
  <c r="O24" i="71"/>
  <c r="M24" i="71"/>
  <c r="AE24" i="71" s="1"/>
  <c r="K24" i="71"/>
  <c r="G24" i="71"/>
  <c r="AD23" i="71"/>
  <c r="Z23" i="71"/>
  <c r="G19" i="70" s="1"/>
  <c r="Y23" i="71"/>
  <c r="G18" i="70" s="1"/>
  <c r="O23" i="71"/>
  <c r="K23" i="71"/>
  <c r="V22" i="71"/>
  <c r="M22" i="71" s="1"/>
  <c r="U22" i="71"/>
  <c r="O22" i="71"/>
  <c r="K22" i="71"/>
  <c r="G22" i="71"/>
  <c r="V21" i="71"/>
  <c r="M21" i="71" s="1"/>
  <c r="N21" i="71" s="1"/>
  <c r="U21" i="71"/>
  <c r="O21" i="71"/>
  <c r="K21" i="71"/>
  <c r="Q21" i="71" s="1"/>
  <c r="G21" i="71"/>
  <c r="V20" i="71"/>
  <c r="M20" i="71" s="1"/>
  <c r="N20" i="71" s="1"/>
  <c r="U20" i="71"/>
  <c r="O20" i="71"/>
  <c r="K20" i="71"/>
  <c r="G20" i="71"/>
  <c r="V19" i="71"/>
  <c r="M19" i="71" s="1"/>
  <c r="N19" i="71" s="1"/>
  <c r="U19" i="71"/>
  <c r="O19" i="71"/>
  <c r="K19" i="71"/>
  <c r="G19" i="71"/>
  <c r="V18" i="71"/>
  <c r="U18" i="71"/>
  <c r="O18" i="71"/>
  <c r="M18" i="71"/>
  <c r="AF18" i="71" s="1"/>
  <c r="K18" i="71"/>
  <c r="G18" i="71"/>
  <c r="V17" i="71"/>
  <c r="M17" i="71" s="1"/>
  <c r="O17" i="71"/>
  <c r="K17" i="71"/>
  <c r="G17" i="71"/>
  <c r="AD16" i="71"/>
  <c r="F21" i="70" s="1"/>
  <c r="Z16" i="71"/>
  <c r="Y16" i="71"/>
  <c r="F18" i="70" s="1"/>
  <c r="O16" i="71"/>
  <c r="K16" i="71"/>
  <c r="V15" i="71"/>
  <c r="M15" i="71" s="1"/>
  <c r="U15" i="71"/>
  <c r="O15" i="71"/>
  <c r="K15" i="71"/>
  <c r="G15" i="71"/>
  <c r="V14" i="71"/>
  <c r="M14" i="71" s="1"/>
  <c r="U14" i="71"/>
  <c r="O14" i="71"/>
  <c r="K14" i="71"/>
  <c r="G14" i="71"/>
  <c r="V13" i="71"/>
  <c r="O13" i="71"/>
  <c r="M13" i="71"/>
  <c r="K13" i="71"/>
  <c r="G13" i="71"/>
  <c r="AD12" i="71"/>
  <c r="E21" i="70" s="1"/>
  <c r="Z12" i="71"/>
  <c r="E19" i="70" s="1"/>
  <c r="Y12" i="71"/>
  <c r="E18" i="70" s="1"/>
  <c r="O12" i="71"/>
  <c r="K12" i="71"/>
  <c r="V11" i="71"/>
  <c r="M11" i="71" s="1"/>
  <c r="U11" i="71"/>
  <c r="O11" i="71"/>
  <c r="K11" i="71"/>
  <c r="G11" i="71"/>
  <c r="AF10" i="71"/>
  <c r="V10" i="71"/>
  <c r="O10" i="71"/>
  <c r="M10" i="71"/>
  <c r="N10" i="71" s="1"/>
  <c r="K10" i="71"/>
  <c r="G10" i="71"/>
  <c r="AD9" i="71"/>
  <c r="Z9" i="71"/>
  <c r="Y9" i="71"/>
  <c r="O9" i="71"/>
  <c r="K9" i="71"/>
  <c r="D13" i="70" s="1"/>
  <c r="V8" i="71"/>
  <c r="M8" i="71" s="1"/>
  <c r="U8" i="71"/>
  <c r="O8" i="71"/>
  <c r="K8" i="71"/>
  <c r="G8" i="71"/>
  <c r="V7" i="71"/>
  <c r="M7" i="71" s="1"/>
  <c r="U7" i="71"/>
  <c r="O7" i="71"/>
  <c r="K7" i="71"/>
  <c r="G7" i="71"/>
  <c r="V6" i="71"/>
  <c r="U6" i="71"/>
  <c r="O6" i="71"/>
  <c r="M6" i="71"/>
  <c r="K6" i="71"/>
  <c r="G6" i="71"/>
  <c r="V5" i="71"/>
  <c r="M5" i="71" s="1"/>
  <c r="N5" i="71" s="1"/>
  <c r="O5" i="71"/>
  <c r="K5" i="71"/>
  <c r="Q5" i="71" s="1"/>
  <c r="G5" i="71"/>
  <c r="H2" i="71"/>
  <c r="H1" i="71"/>
  <c r="D1" i="71"/>
  <c r="F3" i="70" s="1"/>
  <c r="M22" i="70"/>
  <c r="L22" i="70"/>
  <c r="K22" i="70"/>
  <c r="J22" i="70"/>
  <c r="I22" i="70"/>
  <c r="H22" i="70"/>
  <c r="G22" i="70"/>
  <c r="F22" i="70"/>
  <c r="E22" i="70"/>
  <c r="D22" i="70"/>
  <c r="J21" i="70"/>
  <c r="H21" i="70"/>
  <c r="G21" i="70"/>
  <c r="M20" i="70"/>
  <c r="L20" i="70"/>
  <c r="K20" i="70"/>
  <c r="J20" i="70"/>
  <c r="I20" i="70"/>
  <c r="H20" i="70"/>
  <c r="G20" i="70"/>
  <c r="F20" i="70"/>
  <c r="E20" i="70"/>
  <c r="D20" i="70"/>
  <c r="K19" i="70"/>
  <c r="J19" i="70"/>
  <c r="I19" i="70"/>
  <c r="H19" i="70"/>
  <c r="F19" i="70"/>
  <c r="D19" i="70"/>
  <c r="M18" i="70"/>
  <c r="L18" i="70"/>
  <c r="K18" i="70"/>
  <c r="J18" i="70"/>
  <c r="I18" i="70"/>
  <c r="M17" i="70"/>
  <c r="L17" i="70"/>
  <c r="K17" i="70"/>
  <c r="J17" i="70"/>
  <c r="I17" i="70"/>
  <c r="H17" i="70"/>
  <c r="G17" i="70"/>
  <c r="F17" i="70"/>
  <c r="E17" i="70"/>
  <c r="D17" i="70"/>
  <c r="M16" i="70"/>
  <c r="L16" i="70"/>
  <c r="K16" i="70"/>
  <c r="J16" i="70"/>
  <c r="I16" i="70"/>
  <c r="H16" i="70"/>
  <c r="G16" i="70"/>
  <c r="F16" i="70"/>
  <c r="E16" i="70"/>
  <c r="D16" i="70"/>
  <c r="L13" i="70"/>
  <c r="J13" i="70"/>
  <c r="I13" i="70"/>
  <c r="H13" i="70"/>
  <c r="G13" i="70"/>
  <c r="F13" i="70"/>
  <c r="E13" i="70"/>
  <c r="M6" i="70"/>
  <c r="C3" i="70"/>
  <c r="N56" i="71" l="1"/>
  <c r="AF56" i="71"/>
  <c r="AE56" i="71"/>
  <c r="N60" i="71"/>
  <c r="AF60" i="71"/>
  <c r="AE17" i="71"/>
  <c r="AF17" i="71"/>
  <c r="P50" i="71"/>
  <c r="Q50" i="71"/>
  <c r="M16" i="71"/>
  <c r="P21" i="71"/>
  <c r="AF31" i="71"/>
  <c r="P28" i="71"/>
  <c r="AF44" i="71"/>
  <c r="AE47" i="71"/>
  <c r="AF47" i="71"/>
  <c r="AE38" i="71"/>
  <c r="AF38" i="71"/>
  <c r="P51" i="71"/>
  <c r="N39" i="71"/>
  <c r="P39" i="71" s="1"/>
  <c r="I7" i="76"/>
  <c r="AF51" i="71"/>
  <c r="P5" i="71"/>
  <c r="E8" i="76"/>
  <c r="AD2" i="71"/>
  <c r="N6" i="70" s="1"/>
  <c r="F1" i="71"/>
  <c r="P60" i="73"/>
  <c r="Q60" i="73"/>
  <c r="D2" i="75"/>
  <c r="AE10" i="71"/>
  <c r="G8" i="80"/>
  <c r="E8" i="80"/>
  <c r="F8" i="80"/>
  <c r="E7" i="76"/>
  <c r="G8" i="76"/>
  <c r="F7" i="76"/>
  <c r="G7" i="76"/>
  <c r="I8" i="76"/>
  <c r="Q23" i="75"/>
  <c r="R17" i="75" s="1"/>
  <c r="P23" i="75"/>
  <c r="G14" i="74"/>
  <c r="G15" i="74" s="1"/>
  <c r="Q61" i="75"/>
  <c r="R56" i="75" s="1"/>
  <c r="P61" i="75"/>
  <c r="M14" i="74"/>
  <c r="M15" i="74" s="1"/>
  <c r="P35" i="75"/>
  <c r="Q35" i="75"/>
  <c r="R30" i="75" s="1"/>
  <c r="L14" i="74"/>
  <c r="L15" i="74" s="1"/>
  <c r="Q55" i="75"/>
  <c r="R50" i="75" s="1"/>
  <c r="P55" i="75"/>
  <c r="J14" i="74"/>
  <c r="J15" i="74" s="1"/>
  <c r="P16" i="75"/>
  <c r="Q16" i="75"/>
  <c r="R13" i="75" s="1"/>
  <c r="F14" i="74"/>
  <c r="F15" i="74" s="1"/>
  <c r="Q41" i="75"/>
  <c r="R36" i="75" s="1"/>
  <c r="P41" i="75"/>
  <c r="H14" i="74"/>
  <c r="H15" i="74" s="1"/>
  <c r="D15" i="74"/>
  <c r="K15" i="74"/>
  <c r="AE55" i="73"/>
  <c r="AF55" i="73"/>
  <c r="AG50" i="73" s="1"/>
  <c r="N55" i="73"/>
  <c r="P15" i="73"/>
  <c r="Q15" i="73"/>
  <c r="Q39" i="73"/>
  <c r="P39" i="73"/>
  <c r="Q59" i="73"/>
  <c r="P59" i="73"/>
  <c r="Q25" i="73"/>
  <c r="P25" i="73"/>
  <c r="Q18" i="73"/>
  <c r="P18" i="73"/>
  <c r="Q58" i="73"/>
  <c r="P58" i="73"/>
  <c r="Q46" i="73"/>
  <c r="P46" i="73"/>
  <c r="Q26" i="73"/>
  <c r="P26" i="73"/>
  <c r="Q8" i="73"/>
  <c r="P8" i="73"/>
  <c r="Q19" i="73"/>
  <c r="P19" i="73"/>
  <c r="P24" i="73"/>
  <c r="Q24" i="73"/>
  <c r="Q51" i="73"/>
  <c r="P51" i="73"/>
  <c r="Q52" i="73"/>
  <c r="P52" i="73"/>
  <c r="Q54" i="73"/>
  <c r="P54" i="73"/>
  <c r="Q37" i="73"/>
  <c r="P37" i="73"/>
  <c r="N35" i="73"/>
  <c r="AF35" i="73"/>
  <c r="AG30" i="73" s="1"/>
  <c r="AE35" i="73"/>
  <c r="P5" i="73"/>
  <c r="Q5" i="73"/>
  <c r="Q7" i="73"/>
  <c r="P7" i="73"/>
  <c r="Q44" i="73"/>
  <c r="P44" i="73"/>
  <c r="Q42" i="73"/>
  <c r="P42" i="73"/>
  <c r="Q12" i="73"/>
  <c r="R10" i="73" s="1"/>
  <c r="E14" i="72"/>
  <c r="E15" i="72" s="1"/>
  <c r="P12" i="73"/>
  <c r="Q48" i="73"/>
  <c r="P48" i="73"/>
  <c r="Q14" i="73"/>
  <c r="P14" i="73"/>
  <c r="P21" i="73"/>
  <c r="Q21" i="73"/>
  <c r="AF29" i="73"/>
  <c r="AG24" i="73" s="1"/>
  <c r="AE29" i="73"/>
  <c r="N29" i="73"/>
  <c r="AF16" i="73"/>
  <c r="AG13" i="73" s="1"/>
  <c r="AE16" i="73"/>
  <c r="N16" i="73"/>
  <c r="P10" i="73"/>
  <c r="Q10" i="73"/>
  <c r="Q6" i="73"/>
  <c r="P6" i="73"/>
  <c r="Q33" i="73"/>
  <c r="P33" i="73"/>
  <c r="AF61" i="73"/>
  <c r="AG56" i="73" s="1"/>
  <c r="AE61" i="73"/>
  <c r="N61" i="73"/>
  <c r="Q32" i="73"/>
  <c r="P32" i="73"/>
  <c r="Q43" i="73"/>
  <c r="P43" i="73"/>
  <c r="N49" i="73"/>
  <c r="AF49" i="73"/>
  <c r="AG42" i="73" s="1"/>
  <c r="AE49" i="73"/>
  <c r="P28" i="73"/>
  <c r="Q28" i="73"/>
  <c r="Q22" i="73"/>
  <c r="P22" i="73"/>
  <c r="Q13" i="73"/>
  <c r="P13" i="73"/>
  <c r="Q45" i="73"/>
  <c r="P45" i="73"/>
  <c r="AE9" i="73"/>
  <c r="AF9" i="73"/>
  <c r="AG5" i="73" s="1"/>
  <c r="N9" i="73"/>
  <c r="AE41" i="73"/>
  <c r="AF41" i="73"/>
  <c r="AG36" i="73" s="1"/>
  <c r="N41" i="73"/>
  <c r="Q53" i="73"/>
  <c r="P53" i="73"/>
  <c r="Q36" i="73"/>
  <c r="P36" i="73"/>
  <c r="N23" i="73"/>
  <c r="AF23" i="73"/>
  <c r="AG17" i="73" s="1"/>
  <c r="AE23" i="73"/>
  <c r="Q17" i="73"/>
  <c r="P17" i="73"/>
  <c r="Q40" i="73"/>
  <c r="P40" i="73"/>
  <c r="Q30" i="73"/>
  <c r="P30" i="73"/>
  <c r="P34" i="71"/>
  <c r="Q34" i="71"/>
  <c r="N16" i="71"/>
  <c r="AF16" i="71"/>
  <c r="AG13" i="71" s="1"/>
  <c r="AE16" i="71"/>
  <c r="N7" i="71"/>
  <c r="M9" i="71"/>
  <c r="AE7" i="71"/>
  <c r="AF7" i="71"/>
  <c r="AF25" i="71"/>
  <c r="N25" i="71"/>
  <c r="AE25" i="71"/>
  <c r="AF32" i="71"/>
  <c r="AE32" i="71"/>
  <c r="N32" i="71"/>
  <c r="AE41" i="71"/>
  <c r="AF41" i="71"/>
  <c r="AG36" i="71" s="1"/>
  <c r="N41" i="71"/>
  <c r="E6" i="70"/>
  <c r="G6" i="70"/>
  <c r="F6" i="70"/>
  <c r="Q20" i="71"/>
  <c r="P20" i="71"/>
  <c r="I3" i="70"/>
  <c r="F2" i="71"/>
  <c r="AE57" i="71"/>
  <c r="AF57" i="71"/>
  <c r="N48" i="71"/>
  <c r="N57" i="71"/>
  <c r="AE5" i="71"/>
  <c r="Q10" i="71"/>
  <c r="P10" i="71"/>
  <c r="AE19" i="71"/>
  <c r="N24" i="71"/>
  <c r="AE28" i="71"/>
  <c r="Q39" i="71"/>
  <c r="N44" i="71"/>
  <c r="Q46" i="71"/>
  <c r="AF14" i="71"/>
  <c r="Q19" i="71"/>
  <c r="P19" i="71"/>
  <c r="AF21" i="71"/>
  <c r="AF15" i="71"/>
  <c r="AE15" i="71"/>
  <c r="AF22" i="71"/>
  <c r="AE22" i="71"/>
  <c r="AE26" i="71"/>
  <c r="AE48" i="71"/>
  <c r="AF8" i="71"/>
  <c r="N8" i="71"/>
  <c r="AE8" i="71"/>
  <c r="N15" i="71"/>
  <c r="N22" i="71"/>
  <c r="AF26" i="71"/>
  <c r="M29" i="71"/>
  <c r="AE13" i="71"/>
  <c r="AF13" i="71"/>
  <c r="AF6" i="71"/>
  <c r="AE6" i="71"/>
  <c r="N13" i="71"/>
  <c r="AF24" i="71"/>
  <c r="AF37" i="71"/>
  <c r="AF53" i="71"/>
  <c r="Q56" i="71"/>
  <c r="P56" i="71"/>
  <c r="P58" i="71"/>
  <c r="AE14" i="71"/>
  <c r="AE21" i="71"/>
  <c r="M35" i="71"/>
  <c r="N37" i="71"/>
  <c r="N53" i="71"/>
  <c r="AF5" i="71"/>
  <c r="AF19" i="71"/>
  <c r="Q26" i="71"/>
  <c r="P26" i="71"/>
  <c r="AF28" i="71"/>
  <c r="AE30" i="71"/>
  <c r="I6" i="70"/>
  <c r="AF30" i="71"/>
  <c r="AE39" i="71"/>
  <c r="AE46" i="71"/>
  <c r="AE20" i="71"/>
  <c r="AF20" i="71"/>
  <c r="N6" i="71"/>
  <c r="AE27" i="71"/>
  <c r="AF27" i="71"/>
  <c r="Q31" i="71"/>
  <c r="P31" i="71"/>
  <c r="Q33" i="71"/>
  <c r="P33" i="71"/>
  <c r="M49" i="71"/>
  <c r="N42" i="71"/>
  <c r="AE51" i="71"/>
  <c r="AE60" i="71"/>
  <c r="AF11" i="71"/>
  <c r="AE11" i="71"/>
  <c r="N18" i="71"/>
  <c r="Q40" i="71"/>
  <c r="P40" i="71"/>
  <c r="D21" i="70"/>
  <c r="N11" i="71"/>
  <c r="P27" i="71"/>
  <c r="N36" i="71"/>
  <c r="AE40" i="71"/>
  <c r="AE58" i="71"/>
  <c r="M61" i="71"/>
  <c r="AF40" i="71"/>
  <c r="AF45" i="71"/>
  <c r="N45" i="71"/>
  <c r="AE45" i="71"/>
  <c r="AF52" i="71"/>
  <c r="AE52" i="71"/>
  <c r="AF58" i="71"/>
  <c r="N14" i="71"/>
  <c r="AF43" i="71"/>
  <c r="AE43" i="71"/>
  <c r="AF50" i="71"/>
  <c r="AE50" i="71"/>
  <c r="Q47" i="71"/>
  <c r="P47" i="71"/>
  <c r="N30" i="71"/>
  <c r="Q43" i="71"/>
  <c r="P43" i="71"/>
  <c r="M55" i="71"/>
  <c r="AF59" i="71"/>
  <c r="AE59" i="71"/>
  <c r="AE36" i="71"/>
  <c r="AF36" i="71"/>
  <c r="P38" i="71"/>
  <c r="Q38" i="71"/>
  <c r="AF54" i="71"/>
  <c r="N54" i="71"/>
  <c r="AE54" i="71"/>
  <c r="AE34" i="71"/>
  <c r="AF34" i="71"/>
  <c r="N52" i="71"/>
  <c r="D18" i="70"/>
  <c r="Y2" i="71"/>
  <c r="K6" i="70" s="1"/>
  <c r="Z2" i="71"/>
  <c r="L6" i="70" s="1"/>
  <c r="AE18" i="71"/>
  <c r="N59" i="71"/>
  <c r="M12" i="71"/>
  <c r="M23" i="71"/>
  <c r="N17" i="71"/>
  <c r="AD65" i="69"/>
  <c r="AC65" i="69"/>
  <c r="Z65" i="69"/>
  <c r="Y65" i="69"/>
  <c r="O65" i="69"/>
  <c r="K65" i="69"/>
  <c r="V64" i="69"/>
  <c r="U64" i="69"/>
  <c r="O64" i="69"/>
  <c r="M64" i="69"/>
  <c r="AF64" i="69" s="1"/>
  <c r="K64" i="69"/>
  <c r="G64" i="69"/>
  <c r="X63" i="69"/>
  <c r="W63" i="69"/>
  <c r="V63" i="69"/>
  <c r="U63" i="69"/>
  <c r="O63" i="69"/>
  <c r="M63" i="69"/>
  <c r="AE63" i="69" s="1"/>
  <c r="K63" i="69"/>
  <c r="G63" i="69"/>
  <c r="V62" i="69"/>
  <c r="M62" i="69" s="1"/>
  <c r="AF62" i="69" s="1"/>
  <c r="U62" i="69"/>
  <c r="O62" i="69"/>
  <c r="K62" i="69"/>
  <c r="G62" i="69"/>
  <c r="V61" i="69"/>
  <c r="U61" i="69"/>
  <c r="O61" i="69"/>
  <c r="M61" i="69"/>
  <c r="AE61" i="69" s="1"/>
  <c r="K61" i="69"/>
  <c r="G61" i="69"/>
  <c r="AF60" i="69"/>
  <c r="AE60" i="69"/>
  <c r="V60" i="69"/>
  <c r="U60" i="69"/>
  <c r="O60" i="69"/>
  <c r="M60" i="69"/>
  <c r="N60" i="69" s="1"/>
  <c r="K60" i="69"/>
  <c r="G60" i="69"/>
  <c r="X59" i="69"/>
  <c r="W59" i="69"/>
  <c r="V59" i="69"/>
  <c r="M59" i="69" s="1"/>
  <c r="O59" i="69"/>
  <c r="K59" i="69"/>
  <c r="G59" i="69"/>
  <c r="AD58" i="69"/>
  <c r="AC58" i="69"/>
  <c r="Z58" i="69"/>
  <c r="Y58" i="69"/>
  <c r="O58" i="69"/>
  <c r="K58" i="69"/>
  <c r="V57" i="69"/>
  <c r="U57" i="69"/>
  <c r="O57" i="69"/>
  <c r="M57" i="69"/>
  <c r="AE57" i="69" s="1"/>
  <c r="K57" i="69"/>
  <c r="G57" i="69"/>
  <c r="AF56" i="69"/>
  <c r="V56" i="69"/>
  <c r="U56" i="69"/>
  <c r="O56" i="69"/>
  <c r="M56" i="69"/>
  <c r="N56" i="69" s="1"/>
  <c r="K56" i="69"/>
  <c r="G56" i="69"/>
  <c r="V55" i="69"/>
  <c r="M55" i="69" s="1"/>
  <c r="U55" i="69"/>
  <c r="O55" i="69"/>
  <c r="K55" i="69"/>
  <c r="G55" i="69"/>
  <c r="V54" i="69"/>
  <c r="M54" i="69" s="1"/>
  <c r="U54" i="69"/>
  <c r="O54" i="69"/>
  <c r="K54" i="69"/>
  <c r="G54" i="69"/>
  <c r="V53" i="69"/>
  <c r="M53" i="69" s="1"/>
  <c r="O53" i="69"/>
  <c r="K53" i="69"/>
  <c r="G53" i="69"/>
  <c r="AD52" i="69"/>
  <c r="AC52" i="69"/>
  <c r="I20" i="68" s="1"/>
  <c r="Z52" i="69"/>
  <c r="Y52" i="69"/>
  <c r="O52" i="69"/>
  <c r="K52" i="69"/>
  <c r="V51" i="69"/>
  <c r="M51" i="69" s="1"/>
  <c r="U51" i="69"/>
  <c r="O51" i="69"/>
  <c r="K51" i="69"/>
  <c r="G51" i="69"/>
  <c r="V50" i="69"/>
  <c r="M50" i="69" s="1"/>
  <c r="U50" i="69"/>
  <c r="O50" i="69"/>
  <c r="K50" i="69"/>
  <c r="G50" i="69"/>
  <c r="V49" i="69"/>
  <c r="M49" i="69" s="1"/>
  <c r="U49" i="69"/>
  <c r="O49" i="69"/>
  <c r="K49" i="69"/>
  <c r="G49" i="69"/>
  <c r="V48" i="69"/>
  <c r="M48" i="69" s="1"/>
  <c r="U48" i="69"/>
  <c r="O48" i="69"/>
  <c r="K48" i="69"/>
  <c r="G48" i="69"/>
  <c r="V47" i="69"/>
  <c r="M47" i="69" s="1"/>
  <c r="U47" i="69"/>
  <c r="O47" i="69"/>
  <c r="K47" i="69"/>
  <c r="G47" i="69"/>
  <c r="V46" i="69"/>
  <c r="U46" i="69"/>
  <c r="O46" i="69"/>
  <c r="M46" i="69"/>
  <c r="AF46" i="69" s="1"/>
  <c r="K46" i="69"/>
  <c r="G46" i="69"/>
  <c r="V45" i="69"/>
  <c r="O45" i="69"/>
  <c r="M45" i="69"/>
  <c r="AF45" i="69" s="1"/>
  <c r="K45" i="69"/>
  <c r="G45" i="69"/>
  <c r="AD44" i="69"/>
  <c r="AC44" i="69"/>
  <c r="Z44" i="69"/>
  <c r="Y44" i="69"/>
  <c r="H18" i="68" s="1"/>
  <c r="O44" i="69"/>
  <c r="K44" i="69"/>
  <c r="V43" i="69"/>
  <c r="U43" i="69"/>
  <c r="O43" i="69"/>
  <c r="M43" i="69"/>
  <c r="AF43" i="69" s="1"/>
  <c r="K43" i="69"/>
  <c r="G43" i="69"/>
  <c r="V42" i="69"/>
  <c r="U42" i="69"/>
  <c r="O42" i="69"/>
  <c r="M42" i="69"/>
  <c r="AF42" i="69" s="1"/>
  <c r="K42" i="69"/>
  <c r="G42" i="69"/>
  <c r="V41" i="69"/>
  <c r="U41" i="69"/>
  <c r="O41" i="69"/>
  <c r="M41" i="69"/>
  <c r="AE41" i="69" s="1"/>
  <c r="K41" i="69"/>
  <c r="G41" i="69"/>
  <c r="V40" i="69"/>
  <c r="U40" i="69"/>
  <c r="O40" i="69"/>
  <c r="M40" i="69"/>
  <c r="AE40" i="69" s="1"/>
  <c r="K40" i="69"/>
  <c r="G40" i="69"/>
  <c r="X39" i="69"/>
  <c r="W39" i="69"/>
  <c r="V39" i="69"/>
  <c r="M39" i="69" s="1"/>
  <c r="O39" i="69"/>
  <c r="K39" i="69"/>
  <c r="G39" i="69"/>
  <c r="AD38" i="69"/>
  <c r="AC38" i="69"/>
  <c r="Z38" i="69"/>
  <c r="Y38" i="69"/>
  <c r="O38" i="69"/>
  <c r="K38" i="69"/>
  <c r="V37" i="69"/>
  <c r="M37" i="69" s="1"/>
  <c r="AE37" i="69" s="1"/>
  <c r="U37" i="69"/>
  <c r="O37" i="69"/>
  <c r="K37" i="69"/>
  <c r="G37" i="69"/>
  <c r="X36" i="69"/>
  <c r="W36" i="69"/>
  <c r="V36" i="69"/>
  <c r="M36" i="69" s="1"/>
  <c r="U36" i="69"/>
  <c r="O36" i="69"/>
  <c r="K36" i="69"/>
  <c r="G36" i="69"/>
  <c r="V35" i="69"/>
  <c r="U35" i="69"/>
  <c r="O35" i="69"/>
  <c r="M35" i="69"/>
  <c r="AE35" i="69" s="1"/>
  <c r="K35" i="69"/>
  <c r="G35" i="69"/>
  <c r="V34" i="69"/>
  <c r="M34" i="69" s="1"/>
  <c r="U34" i="69"/>
  <c r="O34" i="69"/>
  <c r="K34" i="69"/>
  <c r="G34" i="69"/>
  <c r="AF33" i="69"/>
  <c r="V33" i="69"/>
  <c r="U33" i="69"/>
  <c r="O33" i="69"/>
  <c r="M33" i="69"/>
  <c r="N33" i="69" s="1"/>
  <c r="K33" i="69"/>
  <c r="G33" i="69"/>
  <c r="X32" i="69"/>
  <c r="W32" i="69"/>
  <c r="V32" i="69"/>
  <c r="M32" i="69" s="1"/>
  <c r="O32" i="69"/>
  <c r="K32" i="69"/>
  <c r="G32" i="69"/>
  <c r="AD31" i="69"/>
  <c r="AC31" i="69"/>
  <c r="Z31" i="69"/>
  <c r="Y31" i="69"/>
  <c r="K18" i="68" s="1"/>
  <c r="O31" i="69"/>
  <c r="K31" i="69"/>
  <c r="V30" i="69"/>
  <c r="M30" i="69" s="1"/>
  <c r="U30" i="69"/>
  <c r="O30" i="69"/>
  <c r="K30" i="69"/>
  <c r="G30" i="69"/>
  <c r="X29" i="69"/>
  <c r="W29" i="69"/>
  <c r="V29" i="69"/>
  <c r="M29" i="69" s="1"/>
  <c r="U29" i="69"/>
  <c r="O29" i="69"/>
  <c r="K29" i="69"/>
  <c r="G29" i="69"/>
  <c r="AF28" i="69"/>
  <c r="V28" i="69"/>
  <c r="U28" i="69"/>
  <c r="O28" i="69"/>
  <c r="M28" i="69"/>
  <c r="N28" i="69" s="1"/>
  <c r="K28" i="69"/>
  <c r="G28" i="69"/>
  <c r="V27" i="69"/>
  <c r="U27" i="69"/>
  <c r="O27" i="69"/>
  <c r="M27" i="69"/>
  <c r="N27" i="69" s="1"/>
  <c r="K27" i="69"/>
  <c r="G27" i="69"/>
  <c r="V26" i="69"/>
  <c r="M26" i="69" s="1"/>
  <c r="U26" i="69"/>
  <c r="O26" i="69"/>
  <c r="K26" i="69"/>
  <c r="G26" i="69"/>
  <c r="AF25" i="69"/>
  <c r="X25" i="69"/>
  <c r="W25" i="69"/>
  <c r="V25" i="69"/>
  <c r="O25" i="69"/>
  <c r="M25" i="69"/>
  <c r="N25" i="69" s="1"/>
  <c r="K25" i="69"/>
  <c r="G25" i="69"/>
  <c r="AD24" i="69"/>
  <c r="AC24" i="69"/>
  <c r="G20" i="68" s="1"/>
  <c r="Z24" i="69"/>
  <c r="Y24" i="69"/>
  <c r="G18" i="68" s="1"/>
  <c r="O24" i="69"/>
  <c r="K24" i="69"/>
  <c r="V23" i="69"/>
  <c r="U23" i="69"/>
  <c r="O23" i="69"/>
  <c r="M23" i="69"/>
  <c r="N23" i="69" s="1"/>
  <c r="K23" i="69"/>
  <c r="G23" i="69"/>
  <c r="V22" i="69"/>
  <c r="M22" i="69" s="1"/>
  <c r="U22" i="69"/>
  <c r="O22" i="69"/>
  <c r="K22" i="69"/>
  <c r="G22" i="69"/>
  <c r="V21" i="69"/>
  <c r="M21" i="69" s="1"/>
  <c r="U21" i="69"/>
  <c r="O21" i="69"/>
  <c r="K21" i="69"/>
  <c r="G21" i="69"/>
  <c r="V20" i="69"/>
  <c r="M20" i="69" s="1"/>
  <c r="U20" i="69"/>
  <c r="O20" i="69"/>
  <c r="K20" i="69"/>
  <c r="G20" i="69"/>
  <c r="V19" i="69"/>
  <c r="M19" i="69" s="1"/>
  <c r="U19" i="69"/>
  <c r="O19" i="69"/>
  <c r="K19" i="69"/>
  <c r="G19" i="69"/>
  <c r="V18" i="69"/>
  <c r="M18" i="69" s="1"/>
  <c r="O18" i="69"/>
  <c r="K18" i="69"/>
  <c r="G18" i="69"/>
  <c r="AD17" i="69"/>
  <c r="AC17" i="69"/>
  <c r="Z17" i="69"/>
  <c r="F19" i="68" s="1"/>
  <c r="Y17" i="69"/>
  <c r="F18" i="68" s="1"/>
  <c r="O17" i="69"/>
  <c r="K17" i="69"/>
  <c r="V16" i="69"/>
  <c r="M16" i="69" s="1"/>
  <c r="U16" i="69"/>
  <c r="O16" i="69"/>
  <c r="K16" i="69"/>
  <c r="G16" i="69"/>
  <c r="V15" i="69"/>
  <c r="M15" i="69" s="1"/>
  <c r="U15" i="69"/>
  <c r="O15" i="69"/>
  <c r="K15" i="69"/>
  <c r="G15" i="69"/>
  <c r="V14" i="69"/>
  <c r="M14" i="69" s="1"/>
  <c r="O14" i="69"/>
  <c r="K14" i="69"/>
  <c r="G14" i="69"/>
  <c r="AD13" i="69"/>
  <c r="AC13" i="69"/>
  <c r="Z13" i="69"/>
  <c r="E19" i="68" s="1"/>
  <c r="Y13" i="69"/>
  <c r="O13" i="69"/>
  <c r="K13" i="69"/>
  <c r="V12" i="69"/>
  <c r="M12" i="69" s="1"/>
  <c r="AF12" i="69" s="1"/>
  <c r="U12" i="69"/>
  <c r="O12" i="69"/>
  <c r="K12" i="69"/>
  <c r="G12" i="69"/>
  <c r="X11" i="69"/>
  <c r="W11" i="69"/>
  <c r="V11" i="69"/>
  <c r="M11" i="69" s="1"/>
  <c r="U11" i="69"/>
  <c r="O11" i="69"/>
  <c r="K11" i="69"/>
  <c r="G11" i="69"/>
  <c r="V10" i="69"/>
  <c r="M10" i="69" s="1"/>
  <c r="O10" i="69"/>
  <c r="K10" i="69"/>
  <c r="G10" i="69"/>
  <c r="AD9" i="69"/>
  <c r="D21" i="68" s="1"/>
  <c r="AC9" i="69"/>
  <c r="Z9" i="69"/>
  <c r="D19" i="68" s="1"/>
  <c r="Y9" i="69"/>
  <c r="O9" i="69"/>
  <c r="K9" i="69"/>
  <c r="V8" i="69"/>
  <c r="U8" i="69"/>
  <c r="O8" i="69"/>
  <c r="M8" i="69"/>
  <c r="AF8" i="69" s="1"/>
  <c r="K8" i="69"/>
  <c r="G8" i="69"/>
  <c r="V7" i="69"/>
  <c r="U7" i="69"/>
  <c r="O7" i="69"/>
  <c r="M7" i="69"/>
  <c r="AF7" i="69" s="1"/>
  <c r="K7" i="69"/>
  <c r="G7" i="69"/>
  <c r="V6" i="69"/>
  <c r="U6" i="69"/>
  <c r="O6" i="69"/>
  <c r="M6" i="69"/>
  <c r="AF6" i="69" s="1"/>
  <c r="K6" i="69"/>
  <c r="G6" i="69"/>
  <c r="V5" i="69"/>
  <c r="M5" i="69" s="1"/>
  <c r="O5" i="69"/>
  <c r="K5" i="69"/>
  <c r="G5" i="69"/>
  <c r="H2" i="69"/>
  <c r="H1" i="69"/>
  <c r="D1" i="69"/>
  <c r="M22" i="68"/>
  <c r="L22" i="68"/>
  <c r="K22" i="68"/>
  <c r="J22" i="68"/>
  <c r="I22" i="68"/>
  <c r="H22" i="68"/>
  <c r="G22" i="68"/>
  <c r="F22" i="68"/>
  <c r="E22" i="68"/>
  <c r="D22" i="68"/>
  <c r="M21" i="68"/>
  <c r="L21" i="68"/>
  <c r="K21" i="68"/>
  <c r="J21" i="68"/>
  <c r="H21" i="68"/>
  <c r="G21" i="68"/>
  <c r="F21" i="68"/>
  <c r="E21" i="68"/>
  <c r="M20" i="68"/>
  <c r="L20" i="68"/>
  <c r="K20" i="68"/>
  <c r="J20" i="68"/>
  <c r="H20" i="68"/>
  <c r="F20" i="68"/>
  <c r="E20" i="68"/>
  <c r="D20" i="68"/>
  <c r="M19" i="68"/>
  <c r="L19" i="68"/>
  <c r="K19" i="68"/>
  <c r="J19" i="68"/>
  <c r="I19" i="68"/>
  <c r="H19" i="68"/>
  <c r="G19" i="68"/>
  <c r="M18" i="68"/>
  <c r="L18" i="68"/>
  <c r="J18" i="68"/>
  <c r="I18" i="68"/>
  <c r="E18" i="68"/>
  <c r="D18" i="68"/>
  <c r="M17" i="68"/>
  <c r="L17" i="68"/>
  <c r="K17" i="68"/>
  <c r="J17" i="68"/>
  <c r="I17" i="68"/>
  <c r="H17" i="68"/>
  <c r="G17" i="68"/>
  <c r="F17" i="68"/>
  <c r="E17" i="68"/>
  <c r="D17" i="68"/>
  <c r="M16" i="68"/>
  <c r="L16" i="68"/>
  <c r="K16" i="68"/>
  <c r="J16" i="68"/>
  <c r="I16" i="68"/>
  <c r="H16" i="68"/>
  <c r="G16" i="68"/>
  <c r="F16" i="68"/>
  <c r="E16" i="68"/>
  <c r="D16" i="68"/>
  <c r="M13" i="68"/>
  <c r="L13" i="68"/>
  <c r="K13" i="68"/>
  <c r="I6" i="68" s="1"/>
  <c r="J13" i="68"/>
  <c r="I13" i="68"/>
  <c r="H13" i="68"/>
  <c r="G6" i="68" s="1"/>
  <c r="G13" i="68"/>
  <c r="F13" i="68"/>
  <c r="E13" i="68"/>
  <c r="D13" i="68"/>
  <c r="F3" i="68"/>
  <c r="C3" i="68"/>
  <c r="M9" i="69" l="1"/>
  <c r="N5" i="69"/>
  <c r="Q5" i="69" s="1"/>
  <c r="M44" i="69"/>
  <c r="AF39" i="69"/>
  <c r="N39" i="69"/>
  <c r="Q39" i="69" s="1"/>
  <c r="N29" i="69"/>
  <c r="AE29" i="69"/>
  <c r="AF29" i="69"/>
  <c r="N30" i="69"/>
  <c r="AF30" i="69"/>
  <c r="N32" i="69"/>
  <c r="AF32" i="69"/>
  <c r="M38" i="69"/>
  <c r="AE38" i="69" s="1"/>
  <c r="AE32" i="69"/>
  <c r="AE36" i="69"/>
  <c r="AF36" i="69"/>
  <c r="N36" i="69"/>
  <c r="Q36" i="69" s="1"/>
  <c r="AF47" i="69"/>
  <c r="N47" i="69"/>
  <c r="Q47" i="69" s="1"/>
  <c r="N59" i="69"/>
  <c r="AF59" i="69"/>
  <c r="M65" i="69"/>
  <c r="AF65" i="69" s="1"/>
  <c r="AG59" i="69" s="1"/>
  <c r="N34" i="69"/>
  <c r="AF34" i="69"/>
  <c r="AE27" i="69"/>
  <c r="AF27" i="69"/>
  <c r="AF40" i="69"/>
  <c r="AE25" i="69"/>
  <c r="AE33" i="69"/>
  <c r="F1" i="69"/>
  <c r="AD2" i="69"/>
  <c r="N6" i="68" s="1"/>
  <c r="N42" i="69"/>
  <c r="Q42" i="69" s="1"/>
  <c r="AE56" i="69"/>
  <c r="AE23" i="69"/>
  <c r="AF23" i="69"/>
  <c r="Q60" i="71"/>
  <c r="P60" i="71"/>
  <c r="Y2" i="69"/>
  <c r="K6" i="68" s="1"/>
  <c r="Z2" i="69"/>
  <c r="L6" i="68" s="1"/>
  <c r="N6" i="69"/>
  <c r="Q6" i="69" s="1"/>
  <c r="AC2" i="69"/>
  <c r="M6" i="68" s="1"/>
  <c r="N40" i="69"/>
  <c r="Q40" i="69" s="1"/>
  <c r="I8" i="74"/>
  <c r="E7" i="74"/>
  <c r="I7" i="74"/>
  <c r="G8" i="74"/>
  <c r="E8" i="74"/>
  <c r="F8" i="74"/>
  <c r="F7" i="74"/>
  <c r="G7" i="74"/>
  <c r="Q29" i="73"/>
  <c r="R24" i="73" s="1"/>
  <c r="P29" i="73"/>
  <c r="K14" i="72"/>
  <c r="G14" i="72"/>
  <c r="G15" i="72" s="1"/>
  <c r="Q23" i="73"/>
  <c r="R17" i="73" s="1"/>
  <c r="P23" i="73"/>
  <c r="F14" i="72"/>
  <c r="F15" i="72" s="1"/>
  <c r="Q16" i="73"/>
  <c r="R13" i="73" s="1"/>
  <c r="P16" i="73"/>
  <c r="P35" i="73"/>
  <c r="L14" i="72"/>
  <c r="L15" i="72" s="1"/>
  <c r="Q35" i="73"/>
  <c r="R30" i="73" s="1"/>
  <c r="P61" i="73"/>
  <c r="Q61" i="73"/>
  <c r="R56" i="73" s="1"/>
  <c r="M14" i="72"/>
  <c r="M15" i="72" s="1"/>
  <c r="Q55" i="73"/>
  <c r="R50" i="73" s="1"/>
  <c r="P55" i="73"/>
  <c r="J14" i="72"/>
  <c r="J15" i="72" s="1"/>
  <c r="Q49" i="73"/>
  <c r="R42" i="73" s="1"/>
  <c r="P49" i="73"/>
  <c r="I14" i="72"/>
  <c r="I15" i="72" s="1"/>
  <c r="Q41" i="73"/>
  <c r="R36" i="73" s="1"/>
  <c r="P41" i="73"/>
  <c r="H14" i="72"/>
  <c r="H15" i="72" s="1"/>
  <c r="D14" i="72"/>
  <c r="D2" i="73"/>
  <c r="Q9" i="73"/>
  <c r="R5" i="73" s="1"/>
  <c r="P9" i="73"/>
  <c r="Q18" i="71"/>
  <c r="P18" i="71"/>
  <c r="P24" i="71"/>
  <c r="Q24" i="71"/>
  <c r="Q25" i="71"/>
  <c r="P25" i="71"/>
  <c r="N35" i="71"/>
  <c r="AE35" i="71"/>
  <c r="AF35" i="71"/>
  <c r="AG30" i="71" s="1"/>
  <c r="Q37" i="71"/>
  <c r="P37" i="71"/>
  <c r="P48" i="71"/>
  <c r="Q48" i="71"/>
  <c r="Q7" i="71"/>
  <c r="P7" i="71"/>
  <c r="Q17" i="71"/>
  <c r="P17" i="71"/>
  <c r="N55" i="71"/>
  <c r="AF55" i="71"/>
  <c r="AG50" i="71" s="1"/>
  <c r="AE55" i="71"/>
  <c r="Q6" i="71"/>
  <c r="P6" i="71"/>
  <c r="P13" i="71"/>
  <c r="Q13" i="71"/>
  <c r="H14" i="70"/>
  <c r="H15" i="70" s="1"/>
  <c r="Q41" i="71"/>
  <c r="R36" i="71" s="1"/>
  <c r="P41" i="71"/>
  <c r="Q52" i="71"/>
  <c r="P52" i="71"/>
  <c r="Q22" i="71"/>
  <c r="P22" i="71"/>
  <c r="Q53" i="71"/>
  <c r="P53" i="71"/>
  <c r="P8" i="71"/>
  <c r="Q8" i="71"/>
  <c r="AF61" i="71"/>
  <c r="AG56" i="71" s="1"/>
  <c r="AE61" i="71"/>
  <c r="N61" i="71"/>
  <c r="N23" i="71"/>
  <c r="AF23" i="71"/>
  <c r="AG17" i="71" s="1"/>
  <c r="AE23" i="71"/>
  <c r="Q36" i="71"/>
  <c r="P36" i="71"/>
  <c r="F14" i="70"/>
  <c r="F15" i="70" s="1"/>
  <c r="P16" i="71"/>
  <c r="Q16" i="71"/>
  <c r="R13" i="71" s="1"/>
  <c r="Q44" i="71"/>
  <c r="P44" i="71"/>
  <c r="AF29" i="71"/>
  <c r="AG24" i="71" s="1"/>
  <c r="AE29" i="71"/>
  <c r="N29" i="71"/>
  <c r="Q42" i="71"/>
  <c r="P42" i="71"/>
  <c r="P57" i="71"/>
  <c r="Q57" i="71"/>
  <c r="N12" i="71"/>
  <c r="AF12" i="71"/>
  <c r="AG10" i="71" s="1"/>
  <c r="AE12" i="71"/>
  <c r="Q32" i="71"/>
  <c r="P32" i="71"/>
  <c r="P14" i="71"/>
  <c r="Q14" i="71"/>
  <c r="P54" i="71"/>
  <c r="Q54" i="71"/>
  <c r="P15" i="71"/>
  <c r="Q15" i="71"/>
  <c r="N49" i="71"/>
  <c r="AE49" i="71"/>
  <c r="AF49" i="71"/>
  <c r="AG42" i="71" s="1"/>
  <c r="P45" i="71"/>
  <c r="Q45" i="71"/>
  <c r="N9" i="71"/>
  <c r="AF9" i="71"/>
  <c r="AG5" i="71" s="1"/>
  <c r="AE9" i="71"/>
  <c r="Q59" i="71"/>
  <c r="P59" i="71"/>
  <c r="Q30" i="71"/>
  <c r="P30" i="71"/>
  <c r="P11" i="71"/>
  <c r="Q11" i="71"/>
  <c r="AF9" i="69"/>
  <c r="AG5" i="69" s="1"/>
  <c r="AE9" i="69"/>
  <c r="N9" i="69"/>
  <c r="AF15" i="69"/>
  <c r="AE15" i="69"/>
  <c r="N15" i="69"/>
  <c r="Q59" i="69"/>
  <c r="P59" i="69"/>
  <c r="M13" i="69"/>
  <c r="AF10" i="69"/>
  <c r="AE10" i="69"/>
  <c r="N10" i="69"/>
  <c r="N22" i="69"/>
  <c r="AF22" i="69"/>
  <c r="AE22" i="69"/>
  <c r="AF11" i="69"/>
  <c r="AE11" i="69"/>
  <c r="N11" i="69"/>
  <c r="N20" i="69"/>
  <c r="AF20" i="69"/>
  <c r="AE20" i="69"/>
  <c r="Q34" i="69"/>
  <c r="P34" i="69"/>
  <c r="AF44" i="69"/>
  <c r="AG39" i="69" s="1"/>
  <c r="AE44" i="69"/>
  <c r="N44" i="69"/>
  <c r="N50" i="69"/>
  <c r="AF50" i="69"/>
  <c r="AE50" i="69"/>
  <c r="Q23" i="69"/>
  <c r="P23" i="69"/>
  <c r="Q28" i="69"/>
  <c r="P28" i="69"/>
  <c r="N55" i="69"/>
  <c r="AF55" i="69"/>
  <c r="AE55" i="69"/>
  <c r="AF48" i="69"/>
  <c r="AE48" i="69"/>
  <c r="N48" i="69"/>
  <c r="N53" i="69"/>
  <c r="AF53" i="69"/>
  <c r="M58" i="69"/>
  <c r="AE53" i="69"/>
  <c r="F2" i="69"/>
  <c r="I3" i="68"/>
  <c r="N18" i="69"/>
  <c r="AF18" i="69"/>
  <c r="AE18" i="69"/>
  <c r="M24" i="69"/>
  <c r="N26" i="69"/>
  <c r="M31" i="69"/>
  <c r="AF26" i="69"/>
  <c r="AE26" i="69"/>
  <c r="Q25" i="69"/>
  <c r="P25" i="69"/>
  <c r="AF16" i="69"/>
  <c r="AE16" i="69"/>
  <c r="N16" i="69"/>
  <c r="Q33" i="69"/>
  <c r="P33" i="69"/>
  <c r="Q56" i="69"/>
  <c r="P56" i="69"/>
  <c r="N21" i="69"/>
  <c r="AF21" i="69"/>
  <c r="AE21" i="69"/>
  <c r="Q27" i="69"/>
  <c r="P27" i="69"/>
  <c r="N51" i="69"/>
  <c r="AF51" i="69"/>
  <c r="AE51" i="69"/>
  <c r="M17" i="69"/>
  <c r="AF14" i="69"/>
  <c r="AE14" i="69"/>
  <c r="N14" i="69"/>
  <c r="Q30" i="69"/>
  <c r="P30" i="69"/>
  <c r="N19" i="69"/>
  <c r="AF19" i="69"/>
  <c r="AE19" i="69"/>
  <c r="Q32" i="69"/>
  <c r="P32" i="69"/>
  <c r="N49" i="69"/>
  <c r="AF49" i="69"/>
  <c r="AE49" i="69"/>
  <c r="Q29" i="69"/>
  <c r="P29" i="69"/>
  <c r="N54" i="69"/>
  <c r="AF54" i="69"/>
  <c r="AE54" i="69"/>
  <c r="Q60" i="69"/>
  <c r="P60" i="69"/>
  <c r="I21" i="68"/>
  <c r="AE28" i="69"/>
  <c r="AE30" i="69"/>
  <c r="AE34" i="69"/>
  <c r="AF35" i="69"/>
  <c r="AF37" i="69"/>
  <c r="AF38" i="69"/>
  <c r="AG32" i="69" s="1"/>
  <c r="AE39" i="69"/>
  <c r="AF41" i="69"/>
  <c r="AF57" i="69"/>
  <c r="AE59" i="69"/>
  <c r="AF61" i="69"/>
  <c r="AF63" i="69"/>
  <c r="F6" i="68"/>
  <c r="E6" i="68"/>
  <c r="N8" i="69"/>
  <c r="N12" i="69"/>
  <c r="N45" i="69"/>
  <c r="N46" i="69"/>
  <c r="N65" i="69"/>
  <c r="N7" i="69"/>
  <c r="N38" i="69"/>
  <c r="N43" i="69"/>
  <c r="P47" i="69"/>
  <c r="N63" i="69"/>
  <c r="N62" i="69"/>
  <c r="N64" i="69"/>
  <c r="N35" i="69"/>
  <c r="N37" i="69"/>
  <c r="N41" i="69"/>
  <c r="N57" i="69"/>
  <c r="N61" i="69"/>
  <c r="P5" i="69"/>
  <c r="P6" i="69"/>
  <c r="P36" i="69"/>
  <c r="P39" i="69"/>
  <c r="P42" i="69"/>
  <c r="M52" i="69"/>
  <c r="AE47" i="69"/>
  <c r="AE8" i="69"/>
  <c r="AE12" i="69"/>
  <c r="P40" i="69"/>
  <c r="AE45" i="69"/>
  <c r="AE46" i="69"/>
  <c r="AE7" i="69"/>
  <c r="AE43" i="69"/>
  <c r="AE5" i="69"/>
  <c r="AE6" i="69"/>
  <c r="AE42" i="69"/>
  <c r="AE62" i="69"/>
  <c r="AE64" i="69"/>
  <c r="AE65" i="69"/>
  <c r="AF5" i="69"/>
  <c r="F7" i="72" l="1"/>
  <c r="E7" i="72"/>
  <c r="D15" i="72"/>
  <c r="G7" i="72"/>
  <c r="K15" i="72"/>
  <c r="I8" i="72" s="1"/>
  <c r="I7" i="72"/>
  <c r="G14" i="70"/>
  <c r="G15" i="70" s="1"/>
  <c r="Q23" i="71"/>
  <c r="R17" i="71" s="1"/>
  <c r="P23" i="71"/>
  <c r="J14" i="70"/>
  <c r="J15" i="70" s="1"/>
  <c r="Q55" i="71"/>
  <c r="R50" i="71" s="1"/>
  <c r="P55" i="71"/>
  <c r="Q12" i="71"/>
  <c r="R10" i="71" s="1"/>
  <c r="P12" i="71"/>
  <c r="E14" i="70"/>
  <c r="E15" i="70" s="1"/>
  <c r="D14" i="70"/>
  <c r="P9" i="71"/>
  <c r="Q9" i="71"/>
  <c r="R5" i="71" s="1"/>
  <c r="D2" i="71"/>
  <c r="Q29" i="71"/>
  <c r="R24" i="71" s="1"/>
  <c r="K14" i="70"/>
  <c r="P29" i="71"/>
  <c r="Q61" i="71"/>
  <c r="R56" i="71" s="1"/>
  <c r="P61" i="71"/>
  <c r="M14" i="70"/>
  <c r="M15" i="70" s="1"/>
  <c r="P49" i="71"/>
  <c r="Q49" i="71"/>
  <c r="R42" i="71" s="1"/>
  <c r="I14" i="70"/>
  <c r="I15" i="70" s="1"/>
  <c r="P35" i="71"/>
  <c r="L14" i="70"/>
  <c r="L15" i="70" s="1"/>
  <c r="Q35" i="71"/>
  <c r="R30" i="71" s="1"/>
  <c r="Q37" i="69"/>
  <c r="P37" i="69"/>
  <c r="Q12" i="69"/>
  <c r="P12" i="69"/>
  <c r="Q10" i="69"/>
  <c r="P10" i="69"/>
  <c r="N17" i="69"/>
  <c r="AF17" i="69"/>
  <c r="AG14" i="69" s="1"/>
  <c r="AE17" i="69"/>
  <c r="Q64" i="69"/>
  <c r="P64" i="69"/>
  <c r="Q49" i="69"/>
  <c r="P49" i="69"/>
  <c r="Q16" i="69"/>
  <c r="P16" i="69"/>
  <c r="Q18" i="69"/>
  <c r="P18" i="69"/>
  <c r="Q55" i="69"/>
  <c r="P55" i="69"/>
  <c r="AF13" i="69"/>
  <c r="AG10" i="69" s="1"/>
  <c r="AE13" i="69"/>
  <c r="N13" i="69"/>
  <c r="P51" i="69"/>
  <c r="Q51" i="69"/>
  <c r="N52" i="69"/>
  <c r="AF52" i="69"/>
  <c r="AG45" i="69" s="1"/>
  <c r="AE52" i="69"/>
  <c r="Q20" i="69"/>
  <c r="P20" i="69"/>
  <c r="Q43" i="69"/>
  <c r="P43" i="69"/>
  <c r="AE58" i="69"/>
  <c r="N58" i="69"/>
  <c r="AF58" i="69"/>
  <c r="AG53" i="69" s="1"/>
  <c r="Q11" i="69"/>
  <c r="P11" i="69"/>
  <c r="Q15" i="69"/>
  <c r="P15" i="69"/>
  <c r="Q62" i="69"/>
  <c r="P62" i="69"/>
  <c r="Q38" i="69"/>
  <c r="R32" i="69" s="1"/>
  <c r="P38" i="69"/>
  <c r="L14" i="68"/>
  <c r="L15" i="68" s="1"/>
  <c r="Q19" i="69"/>
  <c r="P19" i="69"/>
  <c r="Q7" i="69"/>
  <c r="P7" i="69"/>
  <c r="Q53" i="69"/>
  <c r="P53" i="69"/>
  <c r="Q35" i="69"/>
  <c r="P35" i="69"/>
  <c r="Q63" i="69"/>
  <c r="P63" i="69"/>
  <c r="Q61" i="69"/>
  <c r="P61" i="69"/>
  <c r="Q65" i="69"/>
  <c r="R59" i="69" s="1"/>
  <c r="P65" i="69"/>
  <c r="M14" i="68"/>
  <c r="M15" i="68" s="1"/>
  <c r="Q54" i="69"/>
  <c r="P54" i="69"/>
  <c r="P21" i="69"/>
  <c r="Q21" i="69"/>
  <c r="N31" i="69"/>
  <c r="AF31" i="69"/>
  <c r="AG25" i="69" s="1"/>
  <c r="AE31" i="69"/>
  <c r="Q48" i="69"/>
  <c r="P48" i="69"/>
  <c r="Q50" i="69"/>
  <c r="P50" i="69"/>
  <c r="D2" i="69"/>
  <c r="Q9" i="69"/>
  <c r="R5" i="69" s="1"/>
  <c r="P9" i="69"/>
  <c r="D14" i="68"/>
  <c r="Q8" i="69"/>
  <c r="P8" i="69"/>
  <c r="Q57" i="69"/>
  <c r="P57" i="69"/>
  <c r="Q46" i="69"/>
  <c r="P46" i="69"/>
  <c r="Q14" i="69"/>
  <c r="P14" i="69"/>
  <c r="Q26" i="69"/>
  <c r="P26" i="69"/>
  <c r="Q44" i="69"/>
  <c r="R39" i="69" s="1"/>
  <c r="P44" i="69"/>
  <c r="H14" i="68"/>
  <c r="H15" i="68" s="1"/>
  <c r="Q41" i="69"/>
  <c r="P41" i="69"/>
  <c r="Q45" i="69"/>
  <c r="P45" i="69"/>
  <c r="N24" i="69"/>
  <c r="AF24" i="69"/>
  <c r="AG18" i="69" s="1"/>
  <c r="AE24" i="69"/>
  <c r="Q22" i="69"/>
  <c r="P22" i="69"/>
  <c r="G8" i="72" l="1"/>
  <c r="F8" i="72"/>
  <c r="E8" i="72"/>
  <c r="F7" i="70"/>
  <c r="E7" i="70"/>
  <c r="D15" i="70"/>
  <c r="G7" i="70"/>
  <c r="K15" i="70"/>
  <c r="I8" i="70" s="1"/>
  <c r="I7" i="70"/>
  <c r="Q13" i="69"/>
  <c r="R10" i="69" s="1"/>
  <c r="P13" i="69"/>
  <c r="E14" i="68"/>
  <c r="E15" i="68" s="1"/>
  <c r="Q58" i="69"/>
  <c r="R53" i="69" s="1"/>
  <c r="P58" i="69"/>
  <c r="J14" i="68"/>
  <c r="J15" i="68" s="1"/>
  <c r="Q17" i="69"/>
  <c r="R14" i="69" s="1"/>
  <c r="F14" i="68"/>
  <c r="F15" i="68" s="1"/>
  <c r="P17" i="69"/>
  <c r="Q24" i="69"/>
  <c r="R18" i="69" s="1"/>
  <c r="P24" i="69"/>
  <c r="G14" i="68"/>
  <c r="G15" i="68" s="1"/>
  <c r="Q31" i="69"/>
  <c r="R25" i="69" s="1"/>
  <c r="P31" i="69"/>
  <c r="K14" i="68"/>
  <c r="D15" i="68"/>
  <c r="Q52" i="69"/>
  <c r="R45" i="69" s="1"/>
  <c r="P52" i="69"/>
  <c r="I14" i="68"/>
  <c r="I15" i="68" s="1"/>
  <c r="G8" i="70" l="1"/>
  <c r="F8" i="70"/>
  <c r="E8" i="70"/>
  <c r="F7" i="68"/>
  <c r="G8" i="68"/>
  <c r="F8" i="68"/>
  <c r="G7" i="68"/>
  <c r="K15" i="68"/>
  <c r="I8" i="68" s="1"/>
  <c r="I7" i="68"/>
  <c r="E7" i="68"/>
  <c r="E8" i="68" l="1"/>
</calcChain>
</file>

<file path=xl/sharedStrings.xml><?xml version="1.0" encoding="utf-8"?>
<sst xmlns="http://schemas.openxmlformats.org/spreadsheetml/2006/main" count="10530" uniqueCount="2882">
  <si>
    <t>平均廠價</t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</si>
  <si>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</si>
  <si>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</si>
  <si>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</si>
  <si>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</si>
  <si>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>微波主食</t>
  </si>
  <si>
    <t>二配港式香滑嫩蛋牛肉燴飯</t>
  </si>
  <si>
    <t>二配美味蟹煲</t>
  </si>
  <si>
    <t>二配濃蕃茄火腿蛋包飯</t>
  </si>
  <si>
    <t>沙拉</t>
  </si>
  <si>
    <t>青醬優格雞肉握沙拉(113年)</t>
  </si>
  <si>
    <t>青檸烤雞握沙拉(113年)</t>
  </si>
  <si>
    <t>小吃</t>
  </si>
  <si>
    <t>剝皮辣椒雞湯</t>
  </si>
  <si>
    <t>二配金咖哩濃厚辛口咖哩飯</t>
  </si>
  <si>
    <t>二配金咖哩果香甘口咖哩飯</t>
  </si>
  <si>
    <t>二配泰式綠咖哩雞</t>
  </si>
  <si>
    <t>鐵板滑蛋炸豬排丼</t>
  </si>
  <si>
    <t>極上炙烤親子丼</t>
  </si>
  <si>
    <t>二配川味麻婆燒豆腐燴飯</t>
  </si>
  <si>
    <t>二配起司控培根白醬焗烤飯</t>
  </si>
  <si>
    <t>二配厚香料咖哩雞排飯</t>
  </si>
  <si>
    <t>三明治</t>
  </si>
  <si>
    <t>紐奧良風味烤雞鮮蔬三明治</t>
  </si>
  <si>
    <t>好多菜三明治(114年)</t>
  </si>
  <si>
    <t>經典總匯三明治</t>
  </si>
  <si>
    <t>雞蛋沙拉三明治(114年)</t>
  </si>
  <si>
    <t>陽光地瓜總匯三明治</t>
  </si>
  <si>
    <t>鮪魚起司溏心蛋三明治</t>
  </si>
  <si>
    <t>肉鬆火腿三明治</t>
  </si>
  <si>
    <t>醬燒烤雞三明治</t>
  </si>
  <si>
    <t>藍莓優格三明治</t>
  </si>
  <si>
    <t>輕乳酪巧克力三明治</t>
  </si>
  <si>
    <t>調理麵包</t>
  </si>
  <si>
    <t>茄汁薯餅蛋堡</t>
  </si>
  <si>
    <t>香雞蛋堡(112年)</t>
  </si>
  <si>
    <t>豬肉起司堡</t>
  </si>
  <si>
    <t>豬肉起司蛋堡</t>
  </si>
  <si>
    <t>美式雞腿堡</t>
  </si>
  <si>
    <t>莎莎烤雞麵沙拉</t>
  </si>
  <si>
    <t>壹號醬雞豚雙拼</t>
  </si>
  <si>
    <t>好多蒜燒豚飯</t>
  </si>
  <si>
    <t>二配粗飽系雞排炒飯(114年)</t>
  </si>
  <si>
    <t>二配鮭魚蛋炒飯</t>
  </si>
  <si>
    <t>二配香辣醬蒜味香腸蛋炒飯</t>
  </si>
  <si>
    <t>二配香拌海鮮醬肉絲蛋炒飯</t>
  </si>
  <si>
    <t>墨西哥辣醬熱狗堡</t>
  </si>
  <si>
    <t>厚豆腐蛋白蕈菇豬肉堡</t>
  </si>
  <si>
    <t>經典雙牛起司堡(113年)</t>
  </si>
  <si>
    <t>香鬆起司蛋三明治(114年)</t>
  </si>
  <si>
    <t>瘋狂起司三明治(113年)</t>
  </si>
  <si>
    <t>經典火腿玉米蛋三明治</t>
  </si>
  <si>
    <t>火腿起司蛋三明治</t>
  </si>
  <si>
    <t/>
  </si>
  <si>
    <t>排關平均</t>
  </si>
  <si>
    <t>實績平均</t>
  </si>
  <si>
    <t>達成率平均</t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</si>
  <si>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</si>
  <si>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</si>
  <si>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</si>
  <si>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</si>
  <si>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</si>
  <si>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</si>
  <si>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</si>
  <si>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</si>
  <si>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</si>
  <si>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</si>
  <si>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ET-55</t>
  </si>
  <si>
    <t>熱縮爐</t>
  </si>
  <si>
    <t>伺服包裝機</t>
  </si>
  <si>
    <t>香蕉可可三明治</t>
  </si>
  <si>
    <t>香菜雞堡</t>
  </si>
  <si>
    <t>黃金魚堡(114年)</t>
  </si>
  <si>
    <t>韓式泡菜豬肉豆腐丼飯</t>
  </si>
  <si>
    <t>溫層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</si>
  <si>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</si>
  <si>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</si>
  <si>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</si>
  <si>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</si>
  <si>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</si>
  <si>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</si>
  <si>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</si>
  <si>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</si>
  <si>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</si>
  <si>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</si>
  <si>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</si>
  <si>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</si>
  <si>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</si>
  <si>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</si>
  <si>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</si>
  <si>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</si>
  <si>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</si>
  <si>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</si>
  <si>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</si>
  <si>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</si>
  <si>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</si>
  <si>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</si>
  <si>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</si>
  <si>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</si>
  <si>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</si>
  <si>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</si>
  <si>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</si>
  <si>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</si>
  <si>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</si>
  <si>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</si>
  <si>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</si>
  <si>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</si>
  <si>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</si>
  <si>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</si>
  <si>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</si>
  <si>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</si>
  <si>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</si>
  <si>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</si>
  <si>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</si>
  <si>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</si>
  <si>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</si>
  <si>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</si>
  <si>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</si>
  <si>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</si>
  <si>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</si>
  <si>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</si>
  <si>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</si>
  <si>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</si>
  <si>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</si>
  <si>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</si>
  <si>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</si>
  <si>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</si>
  <si>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</si>
  <si>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</si>
  <si>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</si>
  <si>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</si>
  <si>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</si>
  <si>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</si>
  <si>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星期三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</si>
  <si>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</si>
  <si>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</si>
  <si>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</si>
  <si>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</si>
  <si>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</si>
  <si>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</si>
  <si>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</si>
  <si>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</si>
  <si>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</si>
  <si>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</si>
  <si>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</si>
  <si>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</si>
  <si>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</si>
  <si>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</si>
  <si>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</si>
  <si>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</si>
  <si>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</si>
  <si>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</si>
  <si>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</si>
  <si>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</si>
  <si>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</si>
  <si>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</si>
  <si>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</si>
  <si>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</si>
  <si>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</si>
  <si>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</si>
  <si>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</si>
  <si>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</si>
  <si>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</si>
  <si>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</si>
  <si>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</si>
  <si>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</si>
  <si>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</si>
  <si>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</si>
  <si>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</si>
  <si>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</si>
  <si>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</si>
  <si>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</si>
  <si>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</si>
  <si>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</si>
  <si>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</si>
  <si>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</si>
  <si>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</si>
  <si>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</si>
  <si>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</si>
  <si>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</si>
  <si>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</si>
  <si>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</si>
  <si>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</si>
  <si>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</si>
  <si>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</si>
  <si>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</si>
  <si>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</si>
  <si>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</si>
  <si>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</si>
  <si>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</si>
  <si>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</si>
  <si>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</si>
  <si>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</si>
  <si>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</si>
  <si>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</si>
  <si>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</si>
  <si>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</si>
  <si>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</si>
  <si>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</si>
  <si>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</si>
  <si>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</si>
  <si>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</si>
  <si>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</si>
  <si>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</si>
  <si>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</si>
  <si>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</si>
  <si>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</si>
  <si>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</si>
  <si>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</si>
  <si>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</si>
  <si>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</si>
  <si>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</si>
  <si>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</si>
  <si>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</si>
  <si>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</si>
  <si>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</si>
  <si>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</si>
  <si>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</si>
  <si>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</si>
  <si>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</si>
  <si>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</si>
  <si>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</si>
  <si>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</si>
  <si>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</si>
  <si>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</si>
  <si>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</si>
  <si>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</si>
  <si>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</si>
  <si>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</si>
  <si>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</si>
  <si>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</si>
  <si>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</si>
  <si>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</si>
  <si>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</si>
  <si>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</si>
  <si>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</si>
  <si>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星期四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</si>
  <si>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</si>
  <si>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</si>
  <si>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</si>
  <si>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</si>
  <si>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</si>
  <si>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</si>
  <si>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</si>
  <si>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</si>
  <si>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</si>
  <si>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</si>
  <si>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</si>
  <si>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</si>
  <si>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</si>
  <si>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</si>
  <si>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</si>
  <si>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</si>
  <si>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</si>
  <si>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</si>
  <si>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</si>
  <si>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</si>
  <si>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</si>
  <si>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</si>
  <si>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</si>
  <si>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</si>
  <si>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</si>
  <si>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</si>
  <si>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</si>
  <si>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</si>
  <si>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</si>
  <si>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</si>
  <si>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</si>
  <si>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</si>
  <si>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</si>
  <si>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</si>
  <si>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</si>
  <si>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</si>
  <si>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</si>
  <si>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</si>
  <si>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</si>
  <si>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</si>
  <si>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</si>
  <si>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</si>
  <si>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</si>
  <si>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</si>
  <si>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</si>
  <si>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</si>
  <si>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</si>
  <si>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</si>
  <si>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</si>
  <si>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</si>
  <si>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</si>
  <si>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</si>
  <si>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</si>
  <si>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</si>
  <si>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</si>
  <si>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</si>
  <si>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</si>
  <si>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</si>
  <si>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</si>
  <si>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</si>
  <si>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</si>
  <si>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</si>
  <si>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</si>
  <si>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</si>
  <si>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</si>
  <si>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</si>
  <si>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</si>
  <si>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</si>
  <si>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</si>
  <si>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</si>
  <si>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</si>
  <si>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</si>
  <si>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</si>
  <si>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</si>
  <si>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</si>
  <si>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</si>
  <si>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</si>
  <si>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</si>
  <si>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</si>
  <si>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</si>
  <si>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</si>
  <si>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</si>
  <si>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</si>
  <si>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</si>
  <si>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</si>
  <si>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</si>
  <si>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</si>
  <si>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</si>
  <si>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</si>
  <si>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出勤人數</t>
    <phoneticPr fontId="4" type="noConversion"/>
  </si>
  <si>
    <t>人時性差異分析</t>
    <phoneticPr fontId="4" type="noConversion"/>
  </si>
  <si>
    <t>日報登錄</t>
    <phoneticPr fontId="4" type="noConversion"/>
  </si>
  <si>
    <t>合計
設備次數</t>
    <phoneticPr fontId="3" type="noConversion"/>
  </si>
  <si>
    <t>星期五</t>
  </si>
  <si>
    <t>線別</t>
    <phoneticPr fontId="3" type="noConversion"/>
  </si>
  <si>
    <t>品類</t>
    <phoneticPr fontId="4" type="noConversion"/>
  </si>
  <si>
    <t>廠價</t>
    <phoneticPr fontId="7" type="noConversion"/>
  </si>
  <si>
    <t>生產量</t>
    <phoneticPr fontId="4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</si>
  <si>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</si>
  <si>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</si>
  <si>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</si>
  <si>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達成率平均</t>
    <phoneticPr fontId="4" type="noConversion"/>
  </si>
  <si>
    <t>稼動時間/分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</si>
  <si>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</si>
  <si>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</si>
  <si>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</si>
  <si>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</si>
  <si>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</si>
  <si>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</si>
  <si>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</si>
  <si>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</si>
  <si>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</si>
  <si>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</si>
  <si>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</si>
  <si>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</si>
  <si>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</si>
  <si>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</si>
  <si>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</si>
  <si>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</si>
  <si>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</si>
  <si>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</si>
  <si>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</si>
  <si>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</si>
  <si>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</si>
  <si>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</si>
  <si>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</si>
  <si>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</si>
  <si>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</si>
  <si>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</si>
  <si>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</si>
  <si>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</si>
  <si>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</si>
  <si>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</si>
  <si>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</si>
  <si>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</si>
  <si>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</si>
  <si>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</si>
  <si>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</si>
  <si>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</si>
  <si>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</si>
  <si>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</si>
  <si>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</si>
  <si>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</si>
  <si>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</si>
  <si>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</si>
  <si>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</si>
  <si>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</si>
  <si>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</si>
  <si>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</si>
  <si>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</si>
  <si>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</si>
  <si>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</si>
  <si>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</si>
  <si>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</si>
  <si>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</si>
  <si>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</si>
  <si>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</si>
  <si>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</si>
  <si>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</si>
  <si>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</si>
  <si>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</si>
  <si>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</si>
  <si>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</si>
  <si>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</si>
  <si>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</si>
  <si>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</si>
  <si>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</si>
  <si>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</si>
  <si>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</si>
  <si>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</si>
  <si>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</si>
  <si>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</si>
  <si>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</si>
  <si>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</si>
  <si>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</si>
  <si>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</si>
  <si>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</si>
  <si>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</si>
  <si>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</si>
  <si>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</si>
  <si>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</si>
  <si>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</si>
  <si>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</si>
  <si>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</si>
  <si>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</si>
  <si>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</si>
  <si>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</si>
  <si>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</si>
  <si>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</si>
  <si>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</si>
  <si>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</si>
  <si>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</si>
  <si>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</si>
  <si>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</si>
  <si>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</si>
  <si>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</si>
  <si>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</si>
  <si>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</si>
  <si>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</si>
  <si>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</si>
  <si>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星期六</t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</si>
  <si>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</si>
  <si>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</si>
  <si>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</si>
  <si>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</si>
  <si>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</si>
  <si>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</si>
  <si>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</si>
  <si>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</si>
  <si>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</si>
  <si>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</si>
  <si>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</si>
  <si>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</si>
  <si>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</si>
  <si>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</si>
  <si>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</si>
  <si>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</si>
  <si>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</si>
  <si>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</si>
  <si>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</si>
  <si>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</si>
  <si>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</si>
  <si>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</si>
  <si>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</si>
  <si>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</si>
  <si>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</si>
  <si>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</si>
  <si>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</si>
  <si>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</si>
  <si>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</si>
  <si>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</si>
  <si>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</si>
  <si>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</si>
  <si>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</si>
  <si>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</si>
  <si>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</si>
  <si>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</si>
  <si>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</si>
  <si>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</si>
  <si>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</si>
  <si>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</si>
  <si>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</si>
  <si>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</si>
  <si>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</si>
  <si>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</si>
  <si>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</si>
  <si>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</si>
  <si>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</si>
  <si>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</si>
  <si>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</si>
  <si>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</si>
  <si>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</si>
  <si>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</si>
  <si>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</si>
  <si>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</si>
  <si>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</si>
  <si>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</si>
  <si>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</si>
  <si>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</si>
  <si>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</si>
  <si>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</si>
  <si>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</si>
  <si>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</si>
  <si>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</si>
  <si>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</si>
  <si>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</si>
  <si>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</si>
  <si>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</si>
  <si>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</si>
  <si>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</si>
  <si>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</si>
  <si>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</si>
  <si>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</si>
  <si>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</si>
  <si>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</si>
  <si>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</si>
  <si>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</si>
  <si>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</si>
  <si>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</si>
  <si>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</si>
  <si>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</si>
  <si>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</si>
  <si>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</si>
  <si>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</si>
  <si>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</si>
  <si>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</si>
  <si>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</si>
  <si>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</si>
  <si>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</si>
  <si>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</si>
  <si>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</si>
  <si>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</si>
  <si>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</si>
  <si>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</si>
  <si>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</si>
  <si>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</si>
  <si>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</si>
  <si>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</si>
  <si>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</si>
  <si>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</si>
  <si>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</si>
  <si>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</si>
  <si>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</si>
  <si>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</si>
  <si>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</si>
  <si>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</si>
  <si>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</si>
  <si>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</si>
  <si>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</si>
  <si>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</si>
  <si>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星期日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</si>
  <si>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</si>
  <si>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</si>
  <si>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</si>
  <si>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</si>
  <si>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</si>
  <si>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</si>
  <si>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</si>
  <si>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</si>
  <si>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</si>
  <si>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</si>
  <si>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</si>
  <si>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</si>
  <si>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</si>
  <si>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</si>
  <si>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</si>
  <si>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</si>
  <si>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</si>
  <si>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</si>
  <si>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</si>
  <si>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</si>
  <si>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</si>
  <si>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</si>
  <si>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</si>
  <si>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</si>
  <si>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</si>
  <si>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</si>
  <si>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</si>
  <si>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</si>
  <si>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</si>
  <si>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</si>
  <si>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</si>
  <si>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</si>
  <si>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</si>
  <si>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</si>
  <si>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</si>
  <si>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</si>
  <si>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</si>
  <si>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</si>
  <si>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</si>
  <si>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</si>
  <si>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</si>
  <si>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</si>
  <si>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平均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</si>
  <si>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</si>
  <si>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</si>
  <si>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</si>
  <si>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</si>
  <si>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營業額</t>
    <phoneticPr fontId="3" type="noConversion"/>
  </si>
  <si>
    <t>結束</t>
    <phoneticPr fontId="3" type="noConversion"/>
  </si>
  <si>
    <t>星期一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</si>
  <si>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</si>
  <si>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</si>
  <si>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</si>
  <si>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</si>
  <si>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</si>
  <si>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</si>
  <si>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</si>
  <si>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</si>
  <si>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</si>
  <si>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</si>
  <si>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</si>
  <si>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</si>
  <si>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</si>
  <si>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</si>
  <si>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</si>
  <si>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</si>
  <si>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</si>
  <si>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</si>
  <si>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</si>
  <si>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</si>
  <si>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</si>
  <si>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</si>
  <si>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</si>
  <si>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</si>
  <si>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</si>
  <si>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</si>
  <si>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</si>
  <si>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</si>
  <si>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</si>
  <si>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</si>
  <si>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</si>
  <si>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</si>
  <si>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</si>
  <si>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</si>
  <si>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</si>
  <si>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</si>
  <si>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</si>
  <si>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</si>
  <si>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</si>
  <si>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</si>
  <si>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</si>
  <si>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</si>
  <si>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</si>
  <si>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</si>
  <si>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</si>
  <si>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</si>
  <si>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</si>
  <si>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</si>
  <si>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</si>
  <si>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</si>
  <si>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</si>
  <si>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</si>
  <si>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</si>
  <si>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</si>
  <si>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</si>
  <si>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</si>
  <si>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</si>
  <si>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</si>
  <si>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</si>
  <si>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</si>
  <si>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</si>
  <si>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</si>
  <si>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</si>
  <si>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</si>
  <si>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</si>
  <si>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</si>
  <si>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</si>
  <si>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</si>
  <si>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</si>
  <si>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</si>
  <si>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</si>
  <si>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</si>
  <si>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</si>
  <si>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</si>
  <si>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</si>
  <si>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</si>
  <si>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</si>
  <si>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</si>
  <si>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</si>
  <si>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</si>
  <si>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</si>
  <si>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</si>
  <si>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</si>
  <si>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</si>
  <si>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</si>
  <si>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</si>
  <si>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</si>
  <si>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</si>
  <si>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</si>
  <si>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</si>
  <si>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</si>
  <si>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新豐8線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</si>
  <si>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</si>
  <si>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</si>
  <si>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項目</t>
    <phoneticPr fontId="4" type="noConversion"/>
  </si>
  <si>
    <t>➀</t>
    <phoneticPr fontId="4" type="noConversion"/>
  </si>
  <si>
    <t>➂</t>
    <phoneticPr fontId="4" type="noConversion"/>
  </si>
  <si>
    <t>異常停線</t>
    <phoneticPr fontId="4" type="noConversion"/>
  </si>
  <si>
    <t>③三明治-各編組展開</t>
    <phoneticPr fontId="3" type="noConversion"/>
  </si>
  <si>
    <t>合計次數</t>
    <phoneticPr fontId="4" type="noConversion"/>
  </si>
  <si>
    <t>設備次數</t>
    <phoneticPr fontId="3" type="noConversion"/>
  </si>
  <si>
    <t>次數</t>
    <phoneticPr fontId="13" type="noConversion"/>
  </si>
  <si>
    <t>主要應用設備</t>
    <phoneticPr fontId="3" type="noConversion"/>
  </si>
  <si>
    <t>握沙拉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</si>
  <si>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</si>
  <si>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</si>
  <si>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</si>
  <si>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</si>
  <si>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</si>
  <si>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</si>
  <si>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</si>
  <si>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</si>
  <si>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</si>
  <si>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</si>
  <si>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</si>
  <si>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</si>
  <si>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</si>
  <si>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星期二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</si>
  <si>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</si>
  <si>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</si>
  <si>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</si>
  <si>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</si>
  <si>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</si>
  <si>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</si>
  <si>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</si>
  <si>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</si>
  <si>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</si>
  <si>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</si>
  <si>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</si>
  <si>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</si>
  <si>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</si>
  <si>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</si>
  <si>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</si>
  <si>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</si>
  <si>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</si>
  <si>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</si>
  <si>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</si>
  <si>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</si>
  <si>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</si>
  <si>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</si>
  <si>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</si>
  <si>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</si>
  <si>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</si>
  <si>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</si>
  <si>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</si>
  <si>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</si>
  <si>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</si>
  <si>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</si>
  <si>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</si>
  <si>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</si>
  <si>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</si>
  <si>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</si>
  <si>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</si>
  <si>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</si>
  <si>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</si>
  <si>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</si>
  <si>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</si>
  <si>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</si>
  <si>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魔王愛吃辣雞堡</t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</si>
  <si>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</si>
  <si>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</si>
  <si>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</si>
  <si>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</si>
  <si>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</si>
  <si>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</si>
  <si>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</si>
  <si>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</si>
  <si>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</si>
  <si>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</si>
  <si>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</si>
  <si>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</si>
  <si>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</si>
  <si>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</si>
  <si>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</si>
  <si>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</si>
  <si>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</si>
  <si>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</si>
  <si>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</si>
  <si>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</si>
  <si>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</si>
  <si>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</si>
  <si>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</si>
  <si>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</si>
  <si>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</si>
  <si>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</si>
  <si>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</si>
  <si>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</si>
  <si>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</si>
  <si>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</si>
  <si>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</si>
  <si>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</si>
  <si>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</si>
  <si>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</si>
  <si>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</si>
  <si>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</si>
  <si>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</si>
  <si>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</si>
  <si>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</si>
  <si>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</si>
  <si>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</si>
  <si>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</si>
  <si>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</si>
  <si>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</si>
  <si>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</si>
  <si>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</si>
  <si>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</si>
  <si>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</si>
  <si>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</si>
  <si>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</si>
  <si>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</si>
  <si>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</si>
  <si>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</si>
  <si>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</si>
  <si>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</si>
  <si>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</si>
  <si>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</si>
  <si>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</si>
  <si>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</si>
  <si>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</si>
  <si>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</si>
  <si>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</si>
  <si>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</si>
  <si>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</si>
  <si>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</si>
  <si>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</si>
  <si>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</si>
  <si>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</si>
  <si>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</si>
  <si>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</si>
  <si>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</si>
  <si>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</si>
  <si>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</si>
  <si>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</si>
  <si>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</si>
  <si>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</si>
  <si>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人時性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</si>
  <si>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</si>
  <si>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</si>
  <si>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</si>
  <si>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</si>
  <si>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</si>
  <si>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</si>
  <si>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</si>
  <si>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</si>
  <si>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</si>
  <si>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</si>
  <si>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</si>
  <si>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</si>
  <si>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</si>
  <si>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</si>
  <si>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</si>
  <si>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</si>
  <si>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</si>
  <si>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</si>
  <si>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</si>
  <si>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</si>
  <si>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</si>
  <si>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</si>
  <si>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</si>
  <si>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</si>
  <si>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</si>
  <si>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</si>
  <si>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</si>
  <si>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</si>
  <si>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</si>
  <si>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</si>
  <si>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</si>
  <si>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</si>
  <si>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</si>
  <si>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</si>
  <si>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</si>
  <si>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</si>
  <si>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</si>
  <si>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</si>
  <si>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</si>
  <si>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</si>
  <si>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</si>
  <si>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</si>
  <si>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</si>
  <si>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</si>
  <si>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</si>
  <si>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</si>
  <si>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</si>
  <si>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</si>
  <si>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</si>
  <si>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</si>
  <si>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</si>
  <si>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</si>
  <si>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</si>
  <si>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</si>
  <si>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</si>
  <si>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</si>
  <si>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</si>
  <si>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</si>
  <si>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</si>
  <si>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</si>
  <si>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</si>
  <si>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</si>
  <si>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</si>
  <si>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</si>
  <si>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</si>
  <si>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</si>
  <si>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</si>
  <si>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</si>
  <si>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</si>
  <si>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</si>
  <si>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</si>
  <si>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</si>
  <si>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</si>
  <si>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</si>
  <si>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</si>
  <si>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</si>
  <si>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</si>
  <si>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</si>
  <si>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</si>
  <si>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</si>
  <si>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</si>
  <si>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</si>
  <si>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</si>
  <si>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</si>
  <si>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</si>
  <si>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</si>
  <si>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</si>
  <si>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</si>
  <si>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</si>
  <si>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</si>
  <si>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</si>
  <si>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</si>
  <si>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</si>
  <si>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</si>
  <si>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</si>
  <si>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</si>
  <si>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</si>
  <si>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</si>
  <si>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</si>
  <si>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</si>
  <si>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</si>
  <si>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</si>
  <si>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</si>
  <si>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</si>
  <si>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</si>
  <si>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</si>
  <si>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</si>
  <si>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</si>
  <si>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</si>
  <si>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</si>
  <si>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</si>
  <si>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</si>
  <si>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</si>
  <si>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</si>
  <si>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</si>
  <si>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</si>
  <si>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</si>
  <si>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</si>
  <si>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</si>
  <si>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</si>
  <si>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</si>
  <si>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</si>
  <si>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</si>
  <si>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</si>
  <si>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</si>
  <si>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</si>
  <si>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</si>
  <si>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</si>
  <si>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</si>
  <si>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</si>
  <si>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</si>
  <si>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</si>
  <si>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</si>
  <si>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</si>
  <si>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</si>
  <si>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</si>
  <si>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</si>
  <si>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</si>
  <si>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</si>
  <si>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</si>
  <si>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</si>
  <si>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</si>
  <si>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</si>
  <si>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</si>
  <si>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</si>
  <si>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</si>
  <si>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</si>
  <si>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</si>
  <si>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</si>
  <si>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</si>
  <si>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</si>
  <si>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</si>
  <si>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</si>
  <si>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</si>
  <si>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</si>
  <si>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</si>
  <si>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</si>
  <si>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</si>
  <si>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</si>
  <si>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</si>
  <si>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</si>
  <si>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</si>
  <si>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</si>
  <si>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</si>
  <si>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</si>
  <si>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</si>
  <si>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</si>
  <si>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</si>
  <si>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</si>
  <si>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</si>
  <si>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</si>
  <si>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</si>
  <si>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</si>
  <si>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</si>
  <si>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</si>
  <si>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</si>
  <si>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</si>
  <si>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</si>
  <si>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</si>
  <si>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</si>
  <si>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</si>
  <si>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</si>
  <si>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</si>
  <si>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</si>
  <si>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</si>
  <si>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</si>
  <si>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</si>
  <si>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</si>
  <si>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</si>
  <si>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品名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</si>
  <si>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</si>
  <si>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</si>
  <si>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</si>
  <si>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</si>
  <si>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</si>
  <si>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</si>
  <si>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</si>
  <si>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</si>
  <si>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</si>
  <si>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</si>
  <si>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</si>
  <si>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</si>
  <si>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</si>
  <si>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</si>
  <si>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</si>
  <si>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</si>
  <si>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</si>
  <si>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</si>
  <si>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</si>
  <si>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</si>
  <si>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</si>
  <si>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</si>
  <si>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</si>
  <si>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</si>
  <si>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</si>
  <si>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</si>
  <si>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</si>
  <si>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</si>
  <si>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</si>
  <si>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</si>
  <si>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</si>
  <si>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</si>
  <si>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</si>
  <si>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</si>
  <si>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</si>
  <si>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</si>
  <si>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</si>
  <si>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</si>
  <si>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</si>
  <si>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</si>
  <si>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</si>
  <si>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</si>
  <si>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</si>
  <si>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</si>
  <si>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</si>
  <si>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</si>
  <si>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</si>
  <si>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</si>
  <si>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</si>
  <si>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</si>
  <si>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</si>
  <si>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</si>
  <si>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</si>
  <si>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</si>
  <si>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</si>
  <si>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</si>
  <si>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</si>
  <si>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</si>
  <si>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</si>
  <si>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</si>
  <si>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</si>
  <si>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</si>
  <si>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</si>
  <si>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</si>
  <si>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</si>
  <si>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</si>
  <si>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</si>
  <si>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</si>
  <si>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</si>
  <si>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</si>
  <si>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</si>
  <si>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</si>
  <si>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</si>
  <si>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</si>
  <si>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</si>
  <si>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</si>
  <si>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</si>
  <si>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</si>
  <si>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</si>
  <si>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</si>
  <si>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</si>
  <si>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</si>
  <si>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</si>
  <si>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</si>
  <si>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</si>
  <si>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</si>
  <si>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</si>
  <si>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</si>
  <si>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</si>
  <si>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</si>
  <si>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</si>
  <si>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</si>
  <si>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</si>
  <si>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</si>
  <si>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</si>
  <si>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</si>
  <si>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</si>
  <si>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</si>
  <si>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</si>
  <si>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</si>
  <si>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</si>
  <si>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</si>
  <si>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</si>
  <si>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</si>
  <si>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</si>
  <si>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</si>
  <si>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</si>
  <si>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</si>
  <si>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</si>
  <si>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新豐7線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</si>
  <si>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</si>
  <si>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</si>
  <si>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</si>
  <si>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</si>
  <si>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</si>
  <si>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</si>
  <si>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</si>
  <si>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</si>
  <si>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</si>
  <si>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</si>
  <si>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營業額</t>
    <phoneticPr fontId="3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</si>
  <si>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</si>
  <si>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</si>
  <si>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</si>
  <si>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</si>
  <si>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</si>
  <si>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</si>
  <si>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</si>
  <si>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</si>
  <si>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</si>
  <si>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</si>
  <si>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人時性</t>
    <phoneticPr fontId="4" type="noConversion"/>
  </si>
  <si>
    <t>設備次數</t>
    <phoneticPr fontId="1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</si>
  <si>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</si>
  <si>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</si>
  <si>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</si>
  <si>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</si>
  <si>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</si>
  <si>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</si>
  <si>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出勤人數</t>
    <phoneticPr fontId="4" type="noConversion"/>
  </si>
  <si>
    <t>日報登錄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</si>
  <si>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</si>
  <si>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</si>
  <si>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線別</t>
    <phoneticPr fontId="3" type="noConversion"/>
  </si>
  <si>
    <t>品名</t>
    <phoneticPr fontId="3" type="noConversion"/>
  </si>
  <si>
    <t>生產量</t>
    <phoneticPr fontId="4" type="noConversion"/>
  </si>
  <si>
    <t>休息時間</t>
    <phoneticPr fontId="4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</si>
  <si>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</si>
  <si>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</si>
  <si>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</si>
  <si>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</si>
  <si>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</si>
  <si>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</si>
  <si>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</si>
  <si>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</si>
  <si>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</si>
  <si>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</si>
  <si>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</si>
  <si>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</si>
  <si>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</si>
  <si>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</si>
  <si>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</si>
  <si>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</si>
  <si>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</si>
  <si>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</si>
  <si>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</si>
  <si>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</si>
  <si>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</si>
  <si>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</si>
  <si>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</si>
  <si>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</si>
  <si>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</si>
  <si>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</si>
  <si>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</si>
  <si>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</si>
  <si>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</si>
  <si>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</si>
  <si>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</si>
  <si>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</si>
  <si>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</si>
  <si>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</si>
  <si>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</si>
  <si>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</si>
  <si>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</si>
  <si>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</si>
  <si>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</si>
  <si>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</si>
  <si>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</si>
  <si>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</si>
  <si>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</si>
  <si>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</si>
  <si>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</si>
  <si>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</si>
  <si>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</si>
  <si>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</si>
  <si>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</si>
  <si>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</si>
  <si>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</si>
  <si>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</si>
  <si>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</si>
  <si>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</si>
  <si>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</si>
  <si>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</si>
  <si>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</si>
  <si>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</si>
  <si>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</si>
  <si>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</si>
  <si>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</si>
  <si>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</si>
  <si>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</si>
  <si>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</si>
  <si>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</si>
  <si>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</si>
  <si>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</si>
  <si>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</si>
  <si>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</si>
  <si>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</si>
  <si>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</si>
  <si>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</si>
  <si>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</si>
  <si>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</si>
  <si>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</si>
  <si>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</si>
  <si>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</si>
  <si>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</si>
  <si>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</si>
  <si>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</si>
  <si>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</si>
  <si>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</si>
  <si>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</si>
  <si>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</si>
  <si>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</si>
  <si>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</si>
  <si>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</si>
  <si>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</si>
  <si>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</si>
  <si>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</si>
  <si>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</si>
  <si>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</si>
  <si>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</si>
  <si>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</si>
  <si>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</si>
  <si>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</si>
  <si>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</si>
  <si>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</si>
  <si>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</si>
  <si>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二配蔥爆牛肉燴飯</t>
  </si>
  <si>
    <t>新豐6線</t>
    <phoneticPr fontId="4" type="noConversion"/>
  </si>
  <si>
    <t>平均</t>
    <phoneticPr fontId="4" type="noConversion"/>
  </si>
  <si>
    <t>新豐7線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</si>
  <si>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</si>
  <si>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</si>
  <si>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</si>
  <si>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</si>
  <si>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</si>
  <si>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</si>
  <si>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</si>
  <si>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</si>
  <si>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</si>
  <si>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</si>
  <si>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</si>
  <si>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</si>
  <si>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</si>
  <si>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</si>
  <si>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</si>
  <si>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</si>
  <si>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</si>
  <si>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</si>
  <si>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</si>
  <si>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</si>
  <si>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</si>
  <si>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</si>
  <si>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</si>
  <si>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</si>
  <si>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</si>
  <si>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</si>
  <si>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</si>
  <si>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</si>
  <si>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</si>
  <si>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</si>
  <si>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</si>
  <si>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</si>
  <si>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</si>
  <si>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</si>
  <si>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</si>
  <si>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</si>
  <si>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</si>
  <si>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</si>
  <si>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</si>
  <si>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</si>
  <si>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</si>
  <si>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</si>
  <si>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</si>
  <si>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</si>
  <si>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</si>
  <si>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</si>
  <si>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</si>
  <si>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</si>
  <si>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</si>
  <si>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</si>
  <si>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</si>
  <si>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</si>
  <si>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</si>
  <si>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</si>
  <si>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</si>
  <si>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</si>
  <si>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</si>
  <si>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</si>
  <si>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</si>
  <si>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</si>
  <si>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</si>
  <si>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</si>
  <si>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</si>
  <si>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</si>
  <si>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</si>
  <si>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</si>
  <si>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</si>
  <si>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</si>
  <si>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</si>
  <si>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</si>
  <si>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</si>
  <si>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</si>
  <si>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</si>
  <si>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</si>
  <si>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</si>
  <si>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</si>
  <si>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</si>
  <si>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</si>
  <si>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</si>
  <si>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</si>
  <si>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</si>
  <si>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</si>
  <si>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</si>
  <si>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</si>
  <si>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厚蛋時蔬握沙拉</t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</si>
  <si>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</si>
  <si>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</si>
  <si>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</si>
  <si>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</si>
  <si>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</si>
  <si>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</si>
  <si>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</si>
  <si>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</si>
  <si>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</si>
  <si>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</si>
  <si>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</si>
  <si>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</si>
  <si>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</si>
  <si>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</si>
  <si>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</si>
  <si>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</si>
  <si>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</si>
  <si>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</si>
  <si>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</si>
  <si>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</si>
  <si>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</si>
  <si>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</si>
  <si>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</si>
  <si>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</si>
  <si>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</si>
  <si>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</si>
  <si>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</si>
  <si>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</si>
  <si>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</si>
  <si>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</si>
  <si>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</si>
  <si>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</si>
  <si>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</si>
  <si>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</si>
  <si>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</si>
  <si>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</si>
  <si>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</si>
  <si>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</si>
  <si>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</si>
  <si>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</si>
  <si>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</si>
  <si>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</si>
  <si>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</si>
  <si>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</si>
  <si>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</si>
  <si>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</si>
  <si>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</si>
  <si>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</si>
  <si>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</si>
  <si>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</si>
  <si>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</si>
  <si>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</si>
  <si>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</si>
  <si>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</si>
  <si>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</si>
  <si>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</si>
  <si>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</si>
  <si>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</si>
  <si>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</si>
  <si>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</si>
  <si>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</si>
  <si>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</si>
  <si>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</si>
  <si>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</si>
  <si>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</si>
  <si>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</si>
  <si>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</si>
  <si>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</si>
  <si>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</si>
  <si>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</si>
  <si>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</si>
  <si>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</si>
  <si>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</si>
  <si>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</si>
  <si>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</si>
  <si>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</si>
  <si>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</si>
  <si>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</si>
  <si>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</si>
  <si>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</si>
  <si>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</si>
  <si>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</si>
  <si>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</si>
  <si>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</si>
  <si>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</si>
  <si>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</si>
  <si>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</si>
  <si>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</si>
  <si>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</si>
  <si>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</si>
  <si>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</si>
  <si>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</si>
  <si>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</si>
  <si>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</si>
  <si>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</si>
  <si>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</si>
  <si>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</si>
  <si>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</si>
  <si>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</si>
  <si>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</si>
  <si>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</si>
  <si>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</si>
  <si>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</si>
  <si>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</si>
  <si>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</si>
  <si>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</si>
  <si>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</si>
  <si>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</si>
  <si>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</si>
  <si>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</si>
  <si>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</si>
  <si>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</si>
  <si>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</si>
  <si>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</si>
  <si>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</si>
  <si>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</si>
  <si>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</si>
  <si>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</si>
  <si>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</si>
  <si>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</si>
  <si>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</si>
  <si>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</si>
  <si>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</si>
  <si>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</si>
  <si>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</si>
  <si>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</si>
  <si>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</si>
  <si>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</si>
  <si>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</si>
  <si>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</si>
  <si>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</si>
  <si>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</si>
  <si>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</si>
  <si>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</si>
  <si>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</si>
  <si>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</si>
  <si>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</si>
  <si>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</si>
  <si>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</si>
  <si>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</si>
  <si>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</si>
  <si>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</si>
  <si>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</si>
  <si>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</si>
  <si>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</si>
  <si>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</si>
  <si>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</si>
  <si>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</si>
  <si>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</si>
  <si>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</si>
  <si>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</si>
  <si>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</si>
  <si>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</si>
  <si>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</si>
  <si>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</si>
  <si>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</si>
  <si>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</si>
  <si>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</si>
  <si>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</si>
  <si>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</si>
  <si>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</si>
  <si>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</si>
  <si>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</si>
  <si>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</si>
  <si>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</si>
  <si>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</si>
  <si>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</si>
  <si>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</si>
  <si>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</si>
  <si>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</si>
  <si>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</si>
  <si>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</si>
  <si>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</si>
  <si>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</si>
  <si>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</si>
  <si>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</si>
  <si>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</si>
  <si>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</si>
  <si>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</si>
  <si>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</si>
  <si>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</si>
  <si>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</si>
  <si>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</si>
  <si>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</si>
  <si>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</si>
  <si>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</si>
  <si>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</si>
  <si>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</si>
  <si>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</si>
  <si>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</si>
  <si>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</si>
  <si>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</si>
  <si>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</si>
  <si>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</si>
  <si>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</si>
  <si>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</si>
  <si>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</si>
  <si>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</si>
  <si>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</si>
  <si>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</si>
  <si>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</si>
  <si>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</si>
  <si>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</si>
  <si>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</si>
  <si>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</si>
  <si>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</si>
  <si>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</si>
  <si>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</si>
  <si>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</si>
  <si>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</si>
  <si>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</si>
  <si>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</si>
  <si>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</si>
  <si>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</si>
  <si>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</si>
  <si>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</si>
  <si>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</si>
  <si>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</si>
  <si>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</si>
  <si>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</si>
  <si>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</si>
  <si>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</si>
  <si>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</si>
  <si>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</si>
  <si>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</si>
  <si>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</si>
  <si>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</si>
  <si>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</si>
  <si>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</si>
  <si>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</si>
  <si>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</si>
  <si>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</si>
  <si>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</si>
  <si>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</si>
  <si>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</si>
  <si>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</si>
  <si>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</si>
  <si>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</si>
  <si>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</si>
  <si>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</si>
  <si>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</si>
  <si>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</si>
  <si>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</si>
  <si>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</si>
  <si>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</si>
  <si>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</si>
  <si>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</si>
  <si>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</si>
  <si>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</si>
  <si>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</si>
  <si>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</si>
  <si>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</si>
  <si>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</si>
  <si>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</si>
  <si>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</si>
  <si>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</si>
  <si>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</si>
  <si>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</si>
  <si>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</si>
  <si>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</si>
  <si>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</si>
  <si>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</si>
  <si>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</si>
  <si>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</si>
  <si>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</si>
  <si>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</si>
  <si>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</si>
  <si>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</si>
  <si>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</si>
  <si>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</si>
  <si>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</si>
  <si>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</si>
  <si>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</si>
  <si>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</si>
  <si>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</si>
  <si>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</si>
  <si>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</si>
  <si>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</si>
  <si>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</si>
  <si>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</si>
  <si>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</si>
  <si>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</si>
  <si>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</si>
  <si>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</si>
  <si>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</si>
  <si>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</si>
  <si>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</si>
  <si>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</si>
  <si>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</si>
  <si>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</si>
  <si>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</si>
  <si>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</si>
  <si>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</si>
  <si>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</si>
  <si>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</si>
  <si>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</si>
  <si>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</si>
  <si>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</si>
  <si>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</si>
  <si>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</si>
  <si>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</si>
  <si>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</si>
  <si>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</si>
  <si>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</si>
  <si>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</si>
  <si>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</si>
  <si>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</si>
  <si>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</si>
  <si>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</si>
  <si>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</si>
  <si>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</si>
  <si>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</si>
  <si>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</si>
  <si>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</si>
  <si>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</si>
  <si>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</si>
  <si>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</si>
  <si>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</si>
  <si>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</si>
  <si>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</si>
  <si>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</si>
  <si>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</si>
  <si>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</si>
  <si>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</si>
  <si>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</si>
  <si>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</si>
  <si>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</si>
  <si>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</si>
  <si>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</si>
  <si>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</si>
  <si>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</si>
  <si>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</si>
  <si>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</si>
  <si>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</si>
  <si>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</si>
  <si>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</si>
  <si>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</si>
  <si>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</si>
  <si>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</si>
  <si>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</si>
  <si>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</si>
  <si>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</si>
  <si>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</si>
  <si>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</si>
  <si>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</si>
  <si>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</si>
  <si>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</si>
  <si>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</si>
  <si>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</si>
  <si>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</si>
  <si>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</si>
  <si>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</si>
  <si>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</si>
  <si>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</si>
  <si>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</si>
  <si>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</si>
  <si>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</si>
  <si>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</si>
  <si>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</si>
  <si>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</si>
  <si>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</si>
  <si>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</si>
  <si>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</si>
  <si>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</si>
  <si>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</si>
  <si>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</si>
  <si>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</si>
  <si>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</si>
  <si>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</si>
  <si>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</si>
  <si>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</si>
  <si>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</si>
  <si>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</si>
  <si>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</si>
  <si>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</si>
  <si>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</si>
  <si>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</si>
  <si>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</si>
  <si>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</si>
  <si>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</si>
  <si>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</si>
  <si>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</si>
  <si>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</si>
  <si>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</si>
  <si>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</si>
  <si>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</si>
  <si>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</si>
  <si>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</si>
  <si>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</si>
  <si>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</si>
  <si>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</si>
  <si>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</si>
  <si>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</si>
  <si>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</si>
  <si>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</si>
  <si>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</si>
  <si>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</si>
  <si>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</si>
  <si>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</si>
  <si>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</si>
  <si>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</si>
  <si>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</si>
  <si>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</si>
  <si>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</si>
  <si>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</si>
  <si>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</si>
  <si>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</si>
  <si>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</si>
  <si>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</si>
  <si>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</si>
  <si>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</si>
  <si>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</si>
  <si>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</si>
  <si>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</si>
  <si>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</si>
  <si>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</si>
  <si>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</si>
  <si>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</si>
  <si>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</si>
  <si>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</si>
  <si>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</si>
  <si>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</si>
  <si>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</si>
  <si>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</si>
  <si>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</si>
  <si>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</si>
  <si>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</si>
  <si>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</si>
  <si>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</si>
  <si>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</si>
  <si>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</si>
  <si>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</si>
  <si>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</si>
  <si>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</si>
  <si>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</si>
  <si>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</si>
  <si>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</si>
  <si>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</si>
  <si>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</si>
  <si>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</si>
  <si>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</si>
  <si>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</si>
  <si>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</si>
  <si>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</si>
  <si>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</si>
  <si>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</si>
  <si>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</si>
  <si>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</si>
  <si>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</si>
  <si>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</si>
  <si>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</si>
  <si>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</si>
  <si>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</si>
  <si>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</si>
  <si>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</si>
  <si>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</si>
  <si>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</si>
  <si>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</si>
  <si>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</si>
  <si>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</si>
  <si>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</si>
  <si>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</si>
  <si>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</si>
  <si>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</si>
  <si>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</si>
  <si>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</si>
  <si>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</si>
  <si>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</si>
  <si>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</si>
  <si>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</si>
  <si>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</si>
  <si>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</si>
  <si>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</si>
  <si>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</si>
  <si>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</si>
  <si>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</si>
  <si>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</si>
  <si>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</si>
  <si>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</si>
  <si>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</si>
  <si>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</si>
  <si>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</si>
  <si>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</si>
  <si>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</si>
  <si>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</si>
  <si>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</si>
  <si>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</si>
  <si>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</si>
  <si>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</si>
  <si>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</si>
  <si>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</si>
  <si>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</si>
  <si>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</si>
  <si>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</si>
  <si>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</si>
  <si>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</si>
  <si>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</si>
  <si>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</si>
  <si>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</si>
  <si>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</si>
  <si>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</si>
  <si>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</si>
  <si>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</si>
  <si>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</si>
  <si>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</si>
  <si>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</si>
  <si>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</si>
  <si>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</si>
  <si>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</si>
  <si>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</si>
  <si>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</si>
  <si>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</si>
  <si>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</si>
  <si>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</si>
  <si>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</si>
  <si>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</si>
  <si>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</si>
  <si>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</si>
  <si>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</si>
  <si>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</si>
  <si>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</si>
  <si>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</si>
  <si>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</si>
  <si>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</si>
  <si>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</si>
  <si>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</si>
  <si>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</si>
  <si>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</si>
  <si>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</si>
  <si>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</si>
  <si>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</si>
  <si>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</si>
  <si>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</si>
  <si>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</si>
  <si>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</si>
  <si>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</si>
  <si>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</si>
  <si>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</si>
  <si>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</si>
  <si>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</si>
  <si>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</si>
  <si>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</si>
  <si>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</si>
  <si>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</si>
  <si>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</si>
  <si>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</si>
  <si>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</si>
  <si>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</si>
  <si>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</si>
  <si>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</si>
  <si>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</si>
  <si>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</si>
  <si>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</si>
  <si>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</si>
  <si>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</si>
  <si>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</si>
  <si>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</si>
  <si>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</si>
  <si>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</si>
  <si>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</si>
  <si>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</si>
  <si>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</si>
  <si>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</si>
  <si>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</si>
  <si>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</si>
  <si>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</si>
  <si>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</si>
  <si>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</si>
  <si>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</si>
  <si>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</si>
  <si>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</si>
  <si>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</si>
  <si>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</si>
  <si>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</si>
  <si>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</si>
  <si>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</si>
  <si>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</si>
  <si>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</si>
  <si>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</si>
  <si>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</si>
  <si>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</si>
  <si>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</si>
  <si>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</si>
  <si>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</si>
  <si>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</si>
  <si>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</si>
  <si>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</si>
  <si>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</si>
  <si>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</si>
  <si>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</si>
  <si>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</si>
  <si>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</si>
  <si>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</si>
  <si>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</si>
  <si>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</si>
  <si>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</si>
  <si>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</si>
  <si>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</si>
  <si>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</si>
  <si>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</si>
  <si>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</si>
  <si>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</si>
  <si>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</si>
  <si>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</si>
  <si>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</si>
  <si>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</si>
  <si>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</si>
  <si>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</si>
  <si>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</si>
  <si>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</si>
  <si>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</si>
  <si>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</si>
  <si>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</si>
  <si>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</si>
  <si>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</si>
  <si>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</si>
  <si>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</si>
  <si>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</si>
  <si>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</si>
  <si>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</si>
  <si>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</si>
  <si>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</si>
  <si>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</si>
  <si>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</si>
  <si>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</si>
  <si>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</si>
  <si>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</si>
  <si>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</si>
  <si>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</si>
  <si>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</si>
  <si>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</si>
  <si>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</si>
  <si>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</si>
  <si>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</si>
  <si>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</si>
  <si>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</si>
  <si>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</si>
  <si>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</si>
  <si>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</si>
  <si>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</si>
  <si>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</si>
  <si>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</si>
  <si>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</si>
  <si>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</si>
  <si>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</si>
  <si>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</si>
  <si>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</si>
  <si>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</si>
  <si>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</si>
  <si>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</si>
  <si>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</si>
  <si>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</si>
  <si>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</si>
  <si>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</si>
  <si>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</si>
  <si>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</si>
  <si>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</si>
  <si>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</si>
  <si>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</si>
  <si>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</si>
  <si>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</si>
  <si>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</si>
  <si>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</si>
  <si>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</si>
  <si>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</si>
  <si>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</si>
  <si>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</si>
  <si>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</si>
  <si>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</si>
  <si>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</si>
  <si>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</si>
  <si>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</si>
  <si>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</si>
  <si>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</si>
  <si>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</si>
  <si>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</si>
  <si>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</si>
  <si>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</si>
  <si>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</si>
  <si>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</si>
  <si>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</si>
  <si>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</si>
  <si>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</si>
  <si>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</si>
  <si>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</si>
  <si>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</si>
  <si>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</si>
  <si>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</si>
  <si>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</si>
  <si>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</si>
  <si>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</si>
  <si>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</si>
  <si>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</si>
  <si>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</si>
  <si>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</si>
  <si>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</si>
  <si>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</si>
  <si>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</si>
  <si>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</si>
  <si>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</si>
  <si>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</si>
  <si>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</si>
  <si>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</si>
  <si>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</si>
  <si>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</si>
  <si>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</si>
  <si>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</si>
  <si>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</si>
  <si>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</si>
  <si>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</si>
  <si>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</si>
  <si>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</si>
  <si>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</si>
  <si>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</si>
  <si>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</si>
  <si>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</si>
  <si>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</si>
  <si>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</si>
  <si>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</si>
  <si>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</si>
  <si>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</si>
  <si>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</si>
  <si>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</si>
  <si>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</si>
  <si>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</si>
  <si>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</si>
  <si>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</si>
  <si>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</si>
  <si>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</si>
  <si>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</si>
  <si>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</si>
  <si>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</si>
  <si>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</si>
  <si>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</si>
  <si>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</si>
  <si>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</si>
  <si>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</si>
  <si>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</si>
  <si>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</si>
  <si>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</si>
  <si>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</si>
  <si>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</si>
  <si>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</si>
  <si>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</si>
  <si>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</si>
  <si>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</si>
  <si>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</si>
  <si>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</si>
  <si>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</si>
  <si>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</si>
  <si>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</si>
  <si>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</si>
  <si>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</si>
  <si>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</si>
  <si>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</si>
  <si>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</si>
  <si>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</si>
  <si>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</si>
  <si>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</si>
  <si>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</si>
  <si>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</si>
  <si>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</si>
  <si>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</si>
  <si>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</si>
  <si>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</si>
  <si>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</si>
  <si>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</si>
  <si>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</si>
  <si>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</si>
  <si>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</si>
  <si>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</si>
  <si>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</si>
  <si>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</si>
  <si>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</si>
  <si>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</si>
  <si>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</si>
  <si>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</si>
  <si>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</si>
  <si>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</si>
  <si>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</si>
  <si>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</si>
  <si>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休息時間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</si>
  <si>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</si>
  <si>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</si>
  <si>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</si>
  <si>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</si>
  <si>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</si>
  <si>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</si>
  <si>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</si>
  <si>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</si>
  <si>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</si>
  <si>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</si>
  <si>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</si>
  <si>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</si>
  <si>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</si>
  <si>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</si>
  <si>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</si>
  <si>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</si>
  <si>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</si>
  <si>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</si>
  <si>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</si>
  <si>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</si>
  <si>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</si>
  <si>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</si>
  <si>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</si>
  <si>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</si>
  <si>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</si>
  <si>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</si>
  <si>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</si>
  <si>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</si>
  <si>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</si>
  <si>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</si>
  <si>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</si>
  <si>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</si>
  <si>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</si>
  <si>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</si>
  <si>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</si>
  <si>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</si>
  <si>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</si>
  <si>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</si>
  <si>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</si>
  <si>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</si>
  <si>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</si>
  <si>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</si>
  <si>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</si>
  <si>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</si>
  <si>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</si>
  <si>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</si>
  <si>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</si>
  <si>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</si>
  <si>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</si>
  <si>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</si>
  <si>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</si>
  <si>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</si>
  <si>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</si>
  <si>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</si>
  <si>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</si>
  <si>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</si>
  <si>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</si>
  <si>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</si>
  <si>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</si>
  <si>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</si>
  <si>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</si>
  <si>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</si>
  <si>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</si>
  <si>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</si>
  <si>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</si>
  <si>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</si>
  <si>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</si>
  <si>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</si>
  <si>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</si>
  <si>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</si>
  <si>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</si>
  <si>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</si>
  <si>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</si>
  <si>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</si>
  <si>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</si>
  <si>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設備次數</t>
    <phoneticPr fontId="3" type="noConversion"/>
  </si>
  <si>
    <t>線別</t>
    <phoneticPr fontId="3" type="noConversion"/>
  </si>
  <si>
    <t>品類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</si>
  <si>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</si>
  <si>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</si>
  <si>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</si>
  <si>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人時性</t>
    <phoneticPr fontId="4" type="noConversion"/>
  </si>
  <si>
    <t>休息時間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</si>
  <si>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</si>
  <si>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</si>
  <si>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</si>
  <si>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</si>
  <si>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</si>
  <si>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</si>
  <si>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</si>
  <si>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</si>
  <si>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</si>
  <si>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</si>
  <si>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</si>
  <si>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</si>
  <si>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</si>
  <si>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</si>
  <si>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</si>
  <si>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</si>
  <si>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</si>
  <si>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</si>
  <si>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</si>
  <si>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</si>
  <si>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</si>
  <si>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</si>
  <si>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</si>
  <si>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</si>
  <si>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</si>
  <si>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</si>
  <si>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</si>
  <si>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</si>
  <si>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</si>
  <si>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</si>
  <si>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</si>
  <si>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</si>
  <si>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</si>
  <si>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</si>
  <si>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</si>
  <si>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</si>
  <si>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</si>
  <si>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</si>
  <si>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</si>
  <si>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</si>
  <si>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</si>
  <si>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</si>
  <si>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</si>
  <si>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</si>
  <si>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</si>
  <si>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</si>
  <si>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</si>
  <si>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</si>
  <si>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</si>
  <si>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</si>
  <si>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</si>
  <si>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</si>
  <si>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</si>
  <si>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</si>
  <si>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</si>
  <si>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</si>
  <si>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</si>
  <si>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</si>
  <si>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</si>
  <si>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</si>
  <si>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</si>
  <si>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</si>
  <si>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</si>
  <si>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</si>
  <si>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</si>
  <si>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</si>
  <si>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</si>
  <si>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</si>
  <si>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</si>
  <si>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</si>
  <si>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</si>
  <si>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</si>
  <si>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</si>
  <si>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</si>
  <si>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</si>
  <si>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</si>
  <si>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</si>
  <si>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</si>
  <si>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</si>
  <si>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</si>
  <si>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</si>
  <si>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</si>
  <si>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</si>
  <si>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新豐6線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</si>
  <si>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</si>
  <si>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</si>
  <si>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</si>
  <si>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</si>
  <si>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</si>
  <si>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</si>
  <si>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</si>
  <si>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</si>
  <si>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</si>
  <si>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</si>
  <si>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</si>
  <si>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</si>
  <si>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</si>
  <si>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</si>
  <si>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</si>
  <si>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</si>
  <si>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</si>
  <si>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</si>
  <si>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</si>
  <si>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</si>
  <si>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</si>
  <si>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</si>
  <si>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</si>
  <si>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</si>
  <si>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</si>
  <si>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</si>
  <si>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</si>
  <si>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</si>
  <si>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</si>
  <si>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</si>
  <si>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</si>
  <si>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</si>
  <si>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</si>
  <si>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</si>
  <si>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</si>
  <si>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</si>
  <si>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</si>
  <si>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</si>
  <si>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</si>
  <si>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</si>
  <si>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</si>
  <si>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</si>
  <si>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</si>
  <si>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</si>
  <si>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</si>
  <si>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</si>
  <si>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</si>
  <si>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</si>
  <si>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</si>
  <si>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</si>
  <si>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</si>
  <si>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</si>
  <si>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</si>
  <si>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</si>
  <si>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</si>
  <si>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</si>
  <si>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</si>
  <si>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</si>
  <si>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</si>
  <si>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</si>
  <si>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</si>
  <si>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</si>
  <si>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</si>
  <si>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</si>
  <si>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</si>
  <si>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</si>
  <si>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</si>
  <si>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</si>
  <si>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</si>
  <si>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</si>
  <si>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</si>
  <si>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</si>
  <si>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</si>
  <si>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</si>
  <si>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</si>
  <si>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</si>
  <si>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</si>
  <si>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</si>
  <si>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</si>
  <si>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</si>
  <si>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</si>
  <si>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</si>
  <si>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</si>
  <si>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</si>
  <si>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</si>
  <si>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</si>
  <si>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</si>
  <si>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</si>
  <si>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</si>
  <si>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</si>
  <si>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</si>
  <si>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</si>
  <si>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</si>
  <si>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</si>
  <si>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</si>
  <si>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</si>
  <si>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</si>
  <si>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</si>
  <si>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</si>
  <si>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</si>
  <si>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</si>
  <si>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</si>
  <si>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</si>
  <si>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</si>
  <si>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</si>
  <si>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</si>
  <si>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</si>
  <si>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</si>
  <si>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</si>
  <si>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</si>
  <si>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</si>
  <si>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</si>
  <si>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</si>
  <si>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</si>
  <si>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</si>
  <si>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</si>
  <si>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</si>
  <si>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</si>
  <si>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</si>
  <si>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</si>
  <si>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</si>
  <si>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</si>
  <si>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</si>
  <si>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</si>
  <si>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</si>
  <si>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</si>
  <si>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</si>
  <si>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</si>
  <si>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</si>
  <si>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</si>
  <si>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</si>
  <si>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</si>
  <si>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</si>
  <si>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</si>
  <si>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</si>
  <si>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</si>
  <si>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</si>
  <si>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</si>
  <si>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</si>
  <si>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</si>
  <si>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</si>
  <si>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</si>
  <si>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</si>
  <si>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</si>
  <si>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</si>
  <si>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</si>
  <si>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</si>
  <si>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</si>
  <si>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</si>
  <si>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</si>
  <si>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</si>
  <si>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</si>
  <si>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</si>
  <si>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</si>
  <si>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</si>
  <si>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</si>
  <si>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</si>
  <si>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</si>
  <si>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</si>
  <si>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</si>
  <si>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</si>
  <si>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</si>
  <si>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</si>
  <si>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</si>
  <si>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</si>
  <si>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</si>
  <si>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</si>
  <si>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</si>
  <si>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</si>
  <si>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</si>
  <si>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</si>
  <si>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</si>
  <si>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</si>
  <si>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</si>
  <si>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</si>
  <si>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</si>
  <si>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</si>
  <si>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</si>
  <si>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</si>
  <si>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</si>
  <si>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</si>
  <si>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</si>
  <si>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</si>
  <si>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</si>
  <si>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</si>
  <si>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</si>
  <si>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</si>
  <si>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</si>
  <si>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</si>
  <si>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</si>
  <si>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</si>
  <si>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</si>
  <si>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</si>
  <si>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</si>
  <si>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</si>
  <si>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</si>
  <si>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</si>
  <si>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</si>
  <si>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</si>
  <si>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</si>
  <si>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</si>
  <si>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</si>
  <si>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</si>
  <si>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</si>
  <si>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</si>
  <si>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</si>
  <si>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</si>
  <si>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</si>
  <si>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</si>
  <si>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</si>
  <si>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</si>
  <si>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</si>
  <si>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</si>
  <si>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</si>
  <si>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</si>
  <si>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</si>
  <si>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</si>
  <si>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</si>
  <si>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</si>
  <si>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</si>
  <si>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</si>
  <si>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</si>
  <si>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</si>
  <si>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</si>
  <si>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</si>
  <si>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</si>
  <si>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</si>
  <si>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</si>
  <si>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</si>
  <si>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</si>
  <si>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</si>
  <si>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</si>
  <si>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</si>
  <si>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</si>
  <si>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</si>
  <si>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</si>
  <si>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</si>
  <si>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</si>
  <si>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</si>
  <si>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</si>
  <si>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</si>
  <si>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</si>
  <si>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</si>
  <si>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</si>
  <si>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</si>
  <si>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</si>
  <si>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</si>
  <si>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</si>
  <si>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</si>
  <si>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</si>
  <si>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</si>
  <si>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</si>
  <si>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</si>
  <si>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</si>
  <si>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</si>
  <si>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</si>
  <si>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</si>
  <si>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</si>
  <si>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</si>
  <si>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</si>
  <si>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</si>
  <si>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</si>
  <si>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</si>
  <si>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</si>
  <si>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</si>
  <si>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</si>
  <si>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</si>
  <si>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</si>
  <si>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</si>
  <si>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</si>
  <si>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</si>
  <si>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</si>
  <si>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</si>
  <si>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</si>
  <si>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</si>
  <si>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</si>
  <si>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</si>
  <si>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</si>
  <si>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</si>
  <si>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</si>
  <si>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</si>
  <si>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</si>
  <si>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</si>
  <si>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</si>
  <si>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</si>
  <si>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</si>
  <si>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</si>
  <si>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</si>
  <si>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</si>
  <si>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</si>
  <si>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</si>
  <si>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</si>
  <si>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</si>
  <si>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</si>
  <si>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</si>
  <si>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</si>
  <si>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</si>
  <si>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</si>
  <si>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</si>
  <si>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</si>
  <si>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</si>
  <si>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</si>
  <si>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</si>
  <si>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</si>
  <si>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</si>
  <si>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</si>
  <si>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</si>
  <si>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</si>
  <si>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</si>
  <si>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</si>
  <si>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</si>
  <si>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</si>
  <si>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</si>
  <si>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</si>
  <si>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</si>
  <si>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</si>
  <si>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</si>
  <si>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</si>
  <si>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</si>
  <si>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</si>
  <si>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</si>
  <si>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</si>
  <si>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</si>
  <si>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</si>
  <si>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</si>
  <si>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</si>
  <si>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</si>
  <si>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</si>
  <si>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</si>
  <si>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</si>
  <si>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</si>
  <si>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</si>
  <si>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</si>
  <si>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</si>
  <si>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</si>
  <si>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</si>
  <si>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</si>
  <si>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</si>
  <si>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</si>
  <si>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</si>
  <si>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</si>
  <si>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</si>
  <si>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</si>
  <si>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</si>
  <si>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</si>
  <si>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</si>
  <si>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</si>
  <si>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</si>
  <si>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</si>
  <si>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</si>
  <si>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</si>
  <si>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</si>
  <si>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</si>
  <si>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</si>
  <si>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</si>
  <si>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</si>
  <si>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</si>
  <si>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</si>
  <si>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</si>
  <si>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</si>
  <si>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</si>
  <si>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</si>
  <si>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</si>
  <si>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</si>
  <si>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產線配置圖</t>
    <phoneticPr fontId="4" type="noConversion"/>
  </si>
  <si>
    <t>生產實績</t>
    <phoneticPr fontId="4" type="noConversion"/>
  </si>
  <si>
    <t>日報登錄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</si>
  <si>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</si>
  <si>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</si>
  <si>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</si>
  <si>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</si>
  <si>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</si>
  <si>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</si>
  <si>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</si>
  <si>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</si>
  <si>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</si>
  <si>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營收</t>
    <phoneticPr fontId="7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</si>
  <si>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</si>
  <si>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</si>
  <si>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</si>
  <si>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</si>
  <si>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</si>
  <si>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</si>
  <si>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</si>
  <si>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</si>
  <si>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</si>
  <si>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</si>
  <si>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</si>
  <si>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</si>
  <si>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</si>
  <si>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</si>
  <si>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</si>
  <si>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</si>
  <si>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</si>
  <si>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</si>
  <si>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</si>
  <si>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</si>
  <si>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</si>
  <si>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</si>
  <si>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</si>
  <si>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</si>
  <si>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</si>
  <si>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爆炒雞丁飯</t>
  </si>
  <si>
    <t>新豐8線</t>
    <phoneticPr fontId="4" type="noConversion"/>
  </si>
  <si>
    <t>醬燒烤雞三明治(115年)</t>
  </si>
  <si>
    <t>新豐9線</t>
    <phoneticPr fontId="4" type="noConversion"/>
  </si>
  <si>
    <t>肉鬆火腿三明治(115年)</t>
  </si>
  <si>
    <t>好多蛋三明治</t>
  </si>
  <si>
    <t>新豐3線</t>
    <phoneticPr fontId="4" type="noConversion"/>
  </si>
  <si>
    <t>黑胡椒豬肉鐵板炒麵麵包</t>
  </si>
  <si>
    <t>新豐1線</t>
    <phoneticPr fontId="4" type="noConversion"/>
  </si>
  <si>
    <t>新豐1線</t>
    <phoneticPr fontId="4" type="noConversion"/>
  </si>
  <si>
    <t>韓式燒肉拌飯</t>
  </si>
  <si>
    <t>平均</t>
    <phoneticPr fontId="4" type="noConversion"/>
  </si>
  <si>
    <t>新豐10線</t>
    <phoneticPr fontId="4" type="noConversion"/>
  </si>
  <si>
    <t>新豐4線</t>
    <phoneticPr fontId="4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</si>
  <si>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</si>
  <si>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</si>
  <si>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</si>
  <si>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</si>
  <si>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組合室</t>
    <phoneticPr fontId="3" type="noConversion"/>
  </si>
  <si>
    <t>※現行日本鮮食廠以達成率80%為基本(即為現行KPI)</t>
    <phoneticPr fontId="4" type="noConversion"/>
  </si>
  <si>
    <t>編組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</si>
  <si>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</si>
  <si>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</si>
  <si>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</si>
  <si>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</si>
  <si>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</si>
  <si>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</si>
  <si>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</si>
  <si>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</si>
  <si>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握沙拉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</si>
  <si>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</si>
  <si>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</si>
  <si>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</si>
  <si>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</si>
  <si>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</si>
  <si>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</si>
  <si>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</si>
  <si>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</si>
  <si>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</si>
  <si>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</si>
  <si>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</si>
  <si>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</si>
  <si>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</si>
  <si>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</si>
  <si>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</si>
  <si>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</si>
  <si>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</si>
  <si>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</si>
  <si>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</si>
  <si>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</si>
  <si>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</si>
  <si>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</si>
  <si>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</si>
  <si>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</si>
  <si>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</si>
  <si>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</si>
  <si>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</si>
  <si>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</si>
  <si>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</si>
  <si>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</si>
  <si>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</si>
  <si>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</si>
  <si>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</si>
  <si>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</si>
  <si>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</si>
  <si>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</si>
  <si>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</si>
  <si>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</si>
  <si>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</si>
  <si>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</si>
  <si>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</si>
  <si>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</si>
  <si>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</si>
  <si>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</si>
  <si>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</si>
  <si>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</si>
  <si>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</si>
  <si>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</si>
  <si>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</si>
  <si>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</si>
  <si>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</si>
  <si>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</si>
  <si>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</si>
  <si>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</si>
  <si>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</si>
  <si>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</si>
  <si>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</si>
  <si>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</si>
  <si>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</si>
  <si>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</si>
  <si>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</si>
  <si>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</si>
  <si>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</si>
  <si>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</si>
  <si>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</si>
  <si>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</si>
  <si>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</si>
  <si>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</si>
  <si>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</si>
  <si>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</si>
  <si>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</si>
  <si>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</si>
  <si>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</si>
  <si>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</si>
  <si>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</si>
  <si>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</si>
  <si>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</si>
  <si>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</si>
  <si>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</si>
  <si>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</si>
  <si>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</si>
  <si>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</si>
  <si>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</si>
  <si>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</si>
  <si>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</si>
  <si>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</si>
  <si>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</si>
  <si>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</si>
  <si>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</si>
  <si>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</si>
  <si>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</si>
  <si>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</si>
  <si>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</si>
  <si>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</si>
  <si>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</si>
  <si>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</si>
  <si>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</si>
  <si>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</si>
  <si>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</si>
  <si>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</si>
  <si>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</si>
  <si>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</si>
  <si>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</si>
  <si>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產線異常
分析說明(5分鐘以上)</t>
    <phoneticPr fontId="4" type="noConversion"/>
  </si>
  <si>
    <t>合計
設備次數</t>
    <phoneticPr fontId="3" type="noConversion"/>
  </si>
  <si>
    <t>品類</t>
    <phoneticPr fontId="4" type="noConversion"/>
  </si>
  <si>
    <t>品名</t>
    <phoneticPr fontId="3" type="noConversion"/>
  </si>
  <si>
    <t>營收</t>
    <phoneticPr fontId="7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</si>
  <si>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</si>
  <si>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</si>
  <si>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</si>
  <si>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人時性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</si>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</sst>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0_);[Red]\(0\)"/>
    <numFmt numFmtId="183" formatCode="_-* #,##0_-;\-* #,##0_-;_-* &quot;-&quot;??_-;_-@_-"/>
    <numFmt numFmtId="184" formatCode="0,000&quot;元&quot;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name val="ＭＳ Ｐゴシック"/>
      <family val="2"/>
    </font>
    <font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9" fillId="0" borderId="0"/>
    <xf numFmtId="0" fontId="14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20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11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178" fontId="12" fillId="0" borderId="7" xfId="2" applyNumberFormat="1" applyFont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20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82" fontId="6" fillId="0" borderId="1" xfId="1" applyNumberFormat="1" applyFont="1" applyBorder="1" applyAlignment="1">
      <alignment horizontal="center" vertical="center"/>
    </xf>
    <xf numFmtId="20" fontId="6" fillId="0" borderId="5" xfId="1" applyNumberFormat="1" applyFont="1" applyBorder="1" applyAlignment="1">
      <alignment horizontal="center" vertical="center"/>
    </xf>
    <xf numFmtId="182" fontId="6" fillId="0" borderId="5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181" fontId="6" fillId="0" borderId="5" xfId="1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vertical="center" wrapText="1"/>
    </xf>
    <xf numFmtId="176" fontId="2" fillId="0" borderId="5" xfId="1" applyNumberFormat="1" applyFont="1" applyBorder="1" applyAlignment="1">
      <alignment horizontal="left" vertical="center"/>
    </xf>
    <xf numFmtId="176" fontId="2" fillId="0" borderId="6" xfId="1" applyNumberFormat="1" applyFont="1" applyBorder="1">
      <alignment vertical="center"/>
    </xf>
    <xf numFmtId="0" fontId="6" fillId="0" borderId="1" xfId="1" applyFont="1" applyBorder="1" applyAlignment="1">
      <alignment horizontal="center"/>
    </xf>
    <xf numFmtId="3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6" fillId="0" borderId="0" xfId="5" applyFont="1">
      <alignment vertical="center"/>
    </xf>
    <xf numFmtId="0" fontId="6" fillId="0" borderId="0" xfId="5" applyFont="1">
      <alignment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>
      <alignment vertical="center"/>
    </xf>
    <xf numFmtId="0" fontId="6" fillId="0" borderId="0" xfId="6" applyFont="1">
      <alignment vertical="center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23" fillId="0" borderId="0" xfId="6" applyFont="1">
      <alignment vertical="center"/>
    </xf>
    <xf numFmtId="0" fontId="24" fillId="0" borderId="0" xfId="6" applyFont="1">
      <alignment vertical="center"/>
    </xf>
    <xf numFmtId="0" fontId="2" fillId="0" borderId="0" xfId="6" applyFont="1">
      <alignment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11" fillId="0" borderId="26" xfId="5" applyFont="1" applyBorder="1" applyAlignment="1">
      <alignment horizontal="center" vertical="center" wrapText="1"/>
    </xf>
    <xf numFmtId="0" fontId="11" fillId="0" borderId="27" xfId="5" applyFont="1" applyBorder="1" applyAlignment="1">
      <alignment horizontal="center" vertical="center" wrapText="1"/>
    </xf>
    <xf numFmtId="0" fontId="11" fillId="0" borderId="28" xfId="5" applyFont="1" applyBorder="1" applyAlignment="1">
      <alignment horizontal="center" vertical="center" wrapText="1"/>
    </xf>
    <xf numFmtId="0" fontId="6" fillId="0" borderId="30" xfId="6" applyFont="1" applyBorder="1" applyAlignment="1">
      <alignment horizontal="center" vertical="center" wrapText="1"/>
    </xf>
    <xf numFmtId="177" fontId="6" fillId="0" borderId="31" xfId="5" applyNumberFormat="1" applyFont="1" applyBorder="1" applyAlignment="1">
      <alignment horizontal="center" vertical="center" wrapText="1"/>
    </xf>
    <xf numFmtId="177" fontId="6" fillId="0" borderId="32" xfId="5" applyNumberFormat="1" applyFont="1" applyBorder="1" applyAlignment="1">
      <alignment horizontal="center" vertical="center" wrapText="1"/>
    </xf>
    <xf numFmtId="177" fontId="6" fillId="0" borderId="27" xfId="5" applyNumberFormat="1" applyFont="1" applyBorder="1" applyAlignment="1">
      <alignment horizontal="center" vertical="center" wrapText="1"/>
    </xf>
    <xf numFmtId="177" fontId="6" fillId="0" borderId="28" xfId="5" applyNumberFormat="1" applyFont="1" applyBorder="1" applyAlignment="1">
      <alignment horizontal="center" vertical="center" wrapText="1"/>
    </xf>
    <xf numFmtId="177" fontId="6" fillId="0" borderId="33" xfId="5" applyNumberFormat="1" applyFont="1" applyBorder="1" applyAlignment="1">
      <alignment horizontal="center" vertical="center" wrapText="1"/>
    </xf>
    <xf numFmtId="177" fontId="6" fillId="0" borderId="34" xfId="5" applyNumberFormat="1" applyFont="1" applyBorder="1" applyAlignment="1">
      <alignment horizontal="center" vertical="center" wrapText="1"/>
    </xf>
    <xf numFmtId="0" fontId="26" fillId="0" borderId="30" xfId="6" applyFont="1" applyBorder="1" applyAlignment="1">
      <alignment horizontal="center" vertical="center" wrapText="1"/>
    </xf>
    <xf numFmtId="177" fontId="26" fillId="0" borderId="26" xfId="5" applyNumberFormat="1" applyFont="1" applyBorder="1" applyAlignment="1">
      <alignment horizontal="center" vertical="center"/>
    </xf>
    <xf numFmtId="177" fontId="26" fillId="0" borderId="27" xfId="5" applyNumberFormat="1" applyFont="1" applyBorder="1" applyAlignment="1">
      <alignment horizontal="center" vertical="center"/>
    </xf>
    <xf numFmtId="177" fontId="26" fillId="0" borderId="28" xfId="5" applyNumberFormat="1" applyFont="1" applyBorder="1" applyAlignment="1">
      <alignment horizontal="center" vertical="center"/>
    </xf>
    <xf numFmtId="177" fontId="26" fillId="0" borderId="33" xfId="5" applyNumberFormat="1" applyFont="1" applyBorder="1" applyAlignment="1">
      <alignment horizontal="center" vertical="center"/>
    </xf>
    <xf numFmtId="177" fontId="26" fillId="0" borderId="34" xfId="5" applyNumberFormat="1" applyFont="1" applyBorder="1" applyAlignment="1">
      <alignment horizontal="center" vertical="center"/>
    </xf>
    <xf numFmtId="0" fontId="26" fillId="0" borderId="30" xfId="6" applyFont="1" applyBorder="1" applyAlignment="1">
      <alignment horizontal="center" vertical="center"/>
    </xf>
    <xf numFmtId="180" fontId="26" fillId="0" borderId="26" xfId="4" applyNumberFormat="1" applyFont="1" applyFill="1" applyBorder="1" applyAlignment="1">
      <alignment horizontal="center" vertical="center"/>
    </xf>
    <xf numFmtId="180" fontId="26" fillId="0" borderId="27" xfId="4" applyNumberFormat="1" applyFont="1" applyFill="1" applyBorder="1" applyAlignment="1">
      <alignment horizontal="center" vertical="center"/>
    </xf>
    <xf numFmtId="180" fontId="26" fillId="0" borderId="28" xfId="4" applyNumberFormat="1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181" fontId="6" fillId="0" borderId="37" xfId="6" applyNumberFormat="1" applyFont="1" applyBorder="1" applyAlignment="1">
      <alignment horizontal="center" vertical="center"/>
    </xf>
    <xf numFmtId="181" fontId="6" fillId="0" borderId="1" xfId="6" applyNumberFormat="1" applyFont="1" applyBorder="1" applyAlignment="1">
      <alignment horizontal="center" vertical="center"/>
    </xf>
    <xf numFmtId="181" fontId="6" fillId="0" borderId="30" xfId="6" applyNumberFormat="1" applyFont="1" applyBorder="1" applyAlignment="1">
      <alignment horizontal="center" vertical="center"/>
    </xf>
    <xf numFmtId="181" fontId="6" fillId="0" borderId="37" xfId="9" applyNumberFormat="1" applyFont="1" applyBorder="1" applyAlignment="1">
      <alignment horizontal="center" vertical="center"/>
    </xf>
    <xf numFmtId="181" fontId="6" fillId="0" borderId="1" xfId="9" applyNumberFormat="1" applyFont="1" applyBorder="1" applyAlignment="1">
      <alignment horizontal="center" vertical="center"/>
    </xf>
    <xf numFmtId="181" fontId="6" fillId="0" borderId="30" xfId="9" applyNumberFormat="1" applyFont="1" applyBorder="1" applyAlignment="1">
      <alignment horizontal="center" vertical="center"/>
    </xf>
    <xf numFmtId="0" fontId="0" fillId="6" borderId="5" xfId="6" applyFont="1" applyFill="1" applyBorder="1" applyAlignment="1">
      <alignment horizontal="center" vertical="center"/>
    </xf>
    <xf numFmtId="182" fontId="6" fillId="6" borderId="37" xfId="9" applyNumberFormat="1" applyFont="1" applyFill="1" applyBorder="1" applyAlignment="1">
      <alignment horizontal="center" vertical="center"/>
    </xf>
    <xf numFmtId="182" fontId="6" fillId="6" borderId="1" xfId="6" applyNumberFormat="1" applyFont="1" applyFill="1" applyBorder="1" applyAlignment="1">
      <alignment horizontal="center" vertical="center"/>
    </xf>
    <xf numFmtId="182" fontId="6" fillId="6" borderId="30" xfId="6" applyNumberFormat="1" applyFont="1" applyFill="1" applyBorder="1" applyAlignment="1">
      <alignment horizontal="center" vertical="center"/>
    </xf>
    <xf numFmtId="182" fontId="6" fillId="6" borderId="37" xfId="6" applyNumberFormat="1" applyFont="1" applyFill="1" applyBorder="1" applyAlignment="1">
      <alignment horizontal="center" vertical="center"/>
    </xf>
    <xf numFmtId="1" fontId="6" fillId="0" borderId="40" xfId="5" applyNumberFormat="1" applyFont="1" applyBorder="1" applyAlignment="1">
      <alignment horizontal="center" vertical="center"/>
    </xf>
    <xf numFmtId="1" fontId="6" fillId="0" borderId="2" xfId="5" applyNumberFormat="1" applyFont="1" applyBorder="1" applyAlignment="1">
      <alignment horizontal="center" vertical="center"/>
    </xf>
    <xf numFmtId="1" fontId="6" fillId="0" borderId="41" xfId="5" applyNumberFormat="1" applyFont="1" applyBorder="1" applyAlignment="1">
      <alignment horizontal="center" vertical="center"/>
    </xf>
    <xf numFmtId="0" fontId="11" fillId="0" borderId="37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0" borderId="30" xfId="5" applyFont="1" applyBorder="1" applyAlignment="1">
      <alignment horizontal="center" vertical="center"/>
    </xf>
    <xf numFmtId="0" fontId="6" fillId="0" borderId="44" xfId="5" applyFont="1" applyBorder="1">
      <alignment vertical="center"/>
    </xf>
    <xf numFmtId="0" fontId="6" fillId="0" borderId="45" xfId="5" applyFont="1" applyBorder="1" applyAlignment="1">
      <alignment horizontal="center" vertical="center"/>
    </xf>
    <xf numFmtId="0" fontId="6" fillId="0" borderId="48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11" fillId="0" borderId="0" xfId="1" applyFo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/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4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Border="1" applyAlignment="1">
      <alignment horizontal="left"/>
    </xf>
    <xf numFmtId="0" fontId="6" fillId="0" borderId="6" xfId="1" applyFont="1" applyBorder="1" applyAlignment="1">
      <alignment horizontal="left"/>
    </xf>
    <xf numFmtId="0" fontId="6" fillId="0" borderId="46" xfId="5" applyFont="1" applyBorder="1" applyAlignment="1">
      <alignment horizontal="center" vertical="center"/>
    </xf>
    <xf numFmtId="0" fontId="6" fillId="0" borderId="47" xfId="5" applyFont="1" applyBorder="1" applyAlignment="1">
      <alignment horizontal="center" vertical="center"/>
    </xf>
    <xf numFmtId="0" fontId="0" fillId="6" borderId="29" xfId="6" applyFont="1" applyFill="1" applyBorder="1" applyAlignment="1">
      <alignment horizontal="center" vertical="center" wrapText="1"/>
    </xf>
    <xf numFmtId="0" fontId="6" fillId="6" borderId="36" xfId="6" applyFont="1" applyFill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25" fillId="4" borderId="16" xfId="5" applyFont="1" applyFill="1" applyBorder="1" applyAlignment="1">
      <alignment horizontal="center" vertical="center"/>
    </xf>
    <xf numFmtId="0" fontId="25" fillId="4" borderId="18" xfId="5" applyFont="1" applyFill="1" applyBorder="1" applyAlignment="1">
      <alignment horizontal="center" vertical="center"/>
    </xf>
    <xf numFmtId="0" fontId="25" fillId="4" borderId="17" xfId="5" applyFont="1" applyFill="1" applyBorder="1" applyAlignment="1">
      <alignment horizontal="center" vertical="center"/>
    </xf>
    <xf numFmtId="0" fontId="25" fillId="6" borderId="16" xfId="5" applyFont="1" applyFill="1" applyBorder="1" applyAlignment="1">
      <alignment horizontal="center" vertical="center"/>
    </xf>
    <xf numFmtId="0" fontId="25" fillId="6" borderId="18" xfId="5" applyFont="1" applyFill="1" applyBorder="1" applyAlignment="1">
      <alignment horizontal="center" vertical="center"/>
    </xf>
    <xf numFmtId="0" fontId="25" fillId="6" borderId="17" xfId="5" applyFont="1" applyFill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2" fillId="0" borderId="29" xfId="6" applyFont="1" applyBorder="1" applyAlignment="1">
      <alignment horizontal="center" vertical="center" textRotation="255"/>
    </xf>
    <xf numFmtId="0" fontId="2" fillId="0" borderId="35" xfId="6" applyFont="1" applyBorder="1" applyAlignment="1">
      <alignment horizontal="center" vertical="center" textRotation="255"/>
    </xf>
    <xf numFmtId="0" fontId="2" fillId="0" borderId="36" xfId="6" applyFont="1" applyBorder="1" applyAlignment="1">
      <alignment horizontal="center" vertical="center" textRotation="255"/>
    </xf>
    <xf numFmtId="0" fontId="6" fillId="0" borderId="29" xfId="6" applyFont="1" applyBorder="1" applyAlignment="1">
      <alignment horizontal="center" vertical="center" wrapText="1"/>
    </xf>
    <xf numFmtId="0" fontId="6" fillId="0" borderId="36" xfId="6" applyFont="1" applyBorder="1" applyAlignment="1">
      <alignment horizontal="center" vertical="center" wrapText="1"/>
    </xf>
    <xf numFmtId="1" fontId="21" fillId="0" borderId="1" xfId="8" applyNumberFormat="1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2" fillId="0" borderId="6" xfId="6" applyFont="1" applyBorder="1" applyAlignment="1">
      <alignment horizontal="center" vertical="center"/>
    </xf>
    <xf numFmtId="177" fontId="22" fillId="7" borderId="5" xfId="6" applyNumberFormat="1" applyFont="1" applyFill="1" applyBorder="1" applyAlignment="1">
      <alignment horizontal="center" vertical="center"/>
    </xf>
    <xf numFmtId="177" fontId="22" fillId="7" borderId="6" xfId="6" applyNumberFormat="1" applyFont="1" applyFill="1" applyBorder="1" applyAlignment="1">
      <alignment horizontal="center" vertical="center"/>
    </xf>
    <xf numFmtId="177" fontId="22" fillId="7" borderId="5" xfId="7" applyNumberFormat="1" applyFont="1" applyFill="1" applyBorder="1" applyAlignment="1">
      <alignment horizontal="center" vertical="center"/>
    </xf>
    <xf numFmtId="177" fontId="22" fillId="7" borderId="6" xfId="7" applyNumberFormat="1" applyFont="1" applyFill="1" applyBorder="1" applyAlignment="1">
      <alignment horizontal="center" vertical="center"/>
    </xf>
    <xf numFmtId="180" fontId="22" fillId="0" borderId="5" xfId="6" applyNumberFormat="1" applyFont="1" applyBorder="1" applyAlignment="1">
      <alignment horizontal="center" vertical="center"/>
    </xf>
    <xf numFmtId="180" fontId="22" fillId="0" borderId="6" xfId="6" applyNumberFormat="1" applyFont="1" applyBorder="1" applyAlignment="1">
      <alignment horizontal="center" vertical="center"/>
    </xf>
    <xf numFmtId="180" fontId="22" fillId="0" borderId="5" xfId="4" applyNumberFormat="1" applyFont="1" applyFill="1" applyBorder="1" applyAlignment="1">
      <alignment horizontal="center" vertical="center"/>
    </xf>
    <xf numFmtId="180" fontId="22" fillId="0" borderId="6" xfId="4" applyNumberFormat="1" applyFont="1" applyFill="1" applyBorder="1" applyAlignment="1">
      <alignment horizontal="center" vertical="center"/>
    </xf>
    <xf numFmtId="177" fontId="5" fillId="0" borderId="5" xfId="6" applyNumberFormat="1" applyFont="1" applyBorder="1" applyAlignment="1">
      <alignment horizontal="center" vertical="center"/>
    </xf>
    <xf numFmtId="177" fontId="5" fillId="0" borderId="6" xfId="6" applyNumberFormat="1" applyFont="1" applyBorder="1" applyAlignment="1">
      <alignment horizontal="center" vertical="center"/>
    </xf>
    <xf numFmtId="177" fontId="5" fillId="0" borderId="5" xfId="7" applyNumberFormat="1" applyFont="1" applyBorder="1" applyAlignment="1">
      <alignment horizontal="center" vertical="center"/>
    </xf>
    <xf numFmtId="177" fontId="5" fillId="0" borderId="6" xfId="7" applyNumberFormat="1" applyFont="1" applyBorder="1" applyAlignment="1">
      <alignment horizontal="center" vertical="center"/>
    </xf>
    <xf numFmtId="0" fontId="21" fillId="0" borderId="6" xfId="8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20" fillId="2" borderId="6" xfId="2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5" fillId="0" borderId="5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183" fontId="2" fillId="4" borderId="5" xfId="7" applyNumberFormat="1" applyFont="1" applyFill="1" applyBorder="1" applyAlignment="1">
      <alignment horizontal="center" vertical="center"/>
    </xf>
    <xf numFmtId="183" fontId="2" fillId="4" borderId="6" xfId="7" applyNumberFormat="1" applyFont="1" applyFill="1" applyBorder="1" applyAlignment="1">
      <alignment horizontal="center" vertical="center"/>
    </xf>
    <xf numFmtId="183" fontId="2" fillId="6" borderId="5" xfId="7" applyNumberFormat="1" applyFont="1" applyFill="1" applyBorder="1" applyAlignment="1">
      <alignment horizontal="center" vertical="center"/>
    </xf>
    <xf numFmtId="183" fontId="2" fillId="6" borderId="6" xfId="7" applyNumberFormat="1" applyFont="1" applyFill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18" fillId="14" borderId="5" xfId="6" applyFont="1" applyFill="1" applyBorder="1" applyAlignment="1">
      <alignment horizontal="center" vertical="center"/>
    </xf>
    <xf numFmtId="0" fontId="18" fillId="14" borderId="6" xfId="6" applyFont="1" applyFill="1" applyBorder="1" applyAlignment="1">
      <alignment horizontal="center" vertical="center"/>
    </xf>
    <xf numFmtId="183" fontId="5" fillId="0" borderId="5" xfId="7" applyNumberFormat="1" applyFont="1" applyBorder="1" applyAlignment="1">
      <alignment horizontal="center" vertical="center"/>
    </xf>
    <xf numFmtId="183" fontId="5" fillId="0" borderId="6" xfId="7" applyNumberFormat="1" applyFont="1" applyBorder="1" applyAlignment="1">
      <alignment horizontal="center" vertical="center"/>
    </xf>
    <xf numFmtId="184" fontId="5" fillId="0" borderId="5" xfId="7" applyNumberFormat="1" applyFont="1" applyBorder="1" applyAlignment="1">
      <alignment horizontal="center" vertical="center"/>
    </xf>
    <xf numFmtId="184" fontId="5" fillId="0" borderId="6" xfId="7" applyNumberFormat="1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5" fillId="0" borderId="11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center" vertical="center"/>
    </xf>
    <xf numFmtId="0" fontId="6" fillId="0" borderId="5" xfId="1" applyFont="1" applyBorder="1" applyAlignment="1"/>
    <xf numFmtId="0" fontId="6" fillId="0" borderId="6" xfId="1" applyFont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0" fillId="7" borderId="7" xfId="1" applyFont="1" applyFill="1" applyBorder="1" applyAlignment="1">
      <alignment horizontal="center" vertical="center" wrapText="1"/>
    </xf>
    <xf numFmtId="0" fontId="10" fillId="7" borderId="11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 wrapText="1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/>
    <xf numFmtId="0" fontId="6" fillId="13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180" fontId="6" fillId="0" borderId="7" xfId="4" applyNumberFormat="1" applyFont="1" applyBorder="1" applyAlignment="1">
      <alignment horizontal="center" vertical="center"/>
    </xf>
    <xf numFmtId="180" fontId="6" fillId="0" borderId="11" xfId="4" applyNumberFormat="1" applyFont="1" applyBorder="1" applyAlignment="1">
      <alignment horizontal="center" vertical="center"/>
    </xf>
    <xf numFmtId="180" fontId="6" fillId="0" borderId="8" xfId="4" applyNumberFormat="1" applyFont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left"/>
    </xf>
    <xf numFmtId="0" fontId="6" fillId="11" borderId="1" xfId="1" applyFont="1" applyFill="1" applyBorder="1" applyAlignment="1">
      <alignment horizontal="center" vertical="center" wrapText="1"/>
    </xf>
    <xf numFmtId="0" fontId="6" fillId="10" borderId="9" xfId="1" applyFont="1" applyFill="1" applyBorder="1" applyAlignment="1">
      <alignment horizontal="center" vertical="center" wrapText="1"/>
    </xf>
    <xf numFmtId="0" fontId="6" fillId="10" borderId="10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 wrapText="1"/>
    </xf>
    <xf numFmtId="0" fontId="6" fillId="0" borderId="5" xfId="3" applyFont="1" applyBorder="1" applyAlignment="1">
      <alignment horizontal="left"/>
    </xf>
    <xf numFmtId="0" fontId="6" fillId="0" borderId="6" xfId="3" applyFont="1" applyBorder="1" applyAlignment="1">
      <alignment horizontal="left"/>
    </xf>
    <xf numFmtId="0" fontId="6" fillId="5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3" applyFont="1" applyBorder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left"/>
    </xf>
    <xf numFmtId="0" fontId="6" fillId="0" borderId="6" xfId="1" applyFont="1" applyBorder="1" applyAlignment="1">
      <alignment horizontal="left"/>
    </xf>
  </cellXfs>
  <cellStyles count="10">
    <cellStyle name="一般" xfId="0" builtinId="0"/>
    <cellStyle name="一般 2 17 2" xfId="8" xr:uid="{00000000-0005-0000-0000-000001000000}"/>
    <cellStyle name="一般 2 2 2" xfId="6" xr:uid="{00000000-0005-0000-0000-000002000000}"/>
    <cellStyle name="一般 2 2 29" xfId="9" xr:uid="{00000000-0005-0000-0000-000003000000}"/>
    <cellStyle name="一般 2 2 7" xfId="1" xr:uid="{00000000-0005-0000-0000-000004000000}"/>
    <cellStyle name="一般 2 4" xfId="3" xr:uid="{00000000-0005-0000-0000-000005000000}"/>
    <cellStyle name="一般 2 8" xfId="2" xr:uid="{00000000-0005-0000-0000-000006000000}"/>
    <cellStyle name="一般 3" xfId="5" xr:uid="{00000000-0005-0000-0000-000007000000}"/>
    <cellStyle name="千分位 2" xfId="7" xr:uid="{00000000-0005-0000-0000-000008000000}"/>
    <cellStyle name="百分比 2" xfId="4" xr:uid="{00000000-0005-0000-0000-000009000000}"/>
  </cellStyles>
  <dxfs count="252"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2"/>
  <sheetViews>
    <sheetView tabSelected="1" zoomScale="85" zoomScaleNormal="85" workbookViewId="0">
      <selection activeCell="G6" sqref="G6:H6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2794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2795</v>
      </c>
      <c r="C3" s="154" t="str">
        <f>TEXT('0430 4度C'!A2,"yyyy.mm.ddaaaa")</f>
        <v>2026.04.30星期四</v>
      </c>
      <c r="D3" s="155"/>
      <c r="E3" s="33" t="s">
        <v>2796</v>
      </c>
      <c r="F3" s="156">
        <f>'0430 4度C'!D1</f>
        <v>145179</v>
      </c>
      <c r="G3" s="157"/>
      <c r="H3" s="33" t="s">
        <v>2797</v>
      </c>
      <c r="I3" s="158">
        <f>'0430 4度C'!F1</f>
        <v>4913951.8899999987</v>
      </c>
      <c r="J3" s="159"/>
      <c r="K3" s="34"/>
      <c r="L3" s="35"/>
      <c r="M3" s="35"/>
      <c r="N3" s="35"/>
    </row>
    <row r="4" spans="2:17" ht="28.5" customHeight="1">
      <c r="B4" s="160" t="s">
        <v>2798</v>
      </c>
      <c r="C4" s="146" t="s">
        <v>2799</v>
      </c>
      <c r="D4" s="147"/>
      <c r="E4" s="163" t="s">
        <v>2800</v>
      </c>
      <c r="F4" s="164"/>
      <c r="G4" s="163" t="s">
        <v>2801</v>
      </c>
      <c r="H4" s="164"/>
      <c r="I4" s="163" t="s">
        <v>2802</v>
      </c>
      <c r="J4" s="164"/>
      <c r="K4" s="144" t="s">
        <v>2803</v>
      </c>
      <c r="L4" s="145"/>
      <c r="M4" s="145" t="s">
        <v>2804</v>
      </c>
      <c r="N4" s="145"/>
    </row>
    <row r="5" spans="2:17" ht="28.5" customHeight="1">
      <c r="B5" s="161"/>
      <c r="C5" s="146" t="s">
        <v>2805</v>
      </c>
      <c r="D5" s="147"/>
      <c r="E5" s="146" t="s">
        <v>2806</v>
      </c>
      <c r="F5" s="147"/>
      <c r="G5" s="148" t="s">
        <v>2807</v>
      </c>
      <c r="H5" s="149"/>
      <c r="I5" s="150" t="s">
        <v>2808</v>
      </c>
      <c r="J5" s="151"/>
      <c r="K5" s="36" t="s">
        <v>2809</v>
      </c>
      <c r="L5" s="37" t="s">
        <v>2810</v>
      </c>
      <c r="M5" s="36" t="s">
        <v>2809</v>
      </c>
      <c r="N5" s="37" t="s">
        <v>2811</v>
      </c>
    </row>
    <row r="6" spans="2:17" ht="28.5" customHeight="1">
      <c r="B6" s="161"/>
      <c r="C6" s="146" t="s">
        <v>54</v>
      </c>
      <c r="D6" s="147"/>
      <c r="E6" s="138">
        <f>AVERAGE(D13:M13)</f>
        <v>151.1742053632268</v>
      </c>
      <c r="F6" s="139">
        <f>AVERAGE(D31:O31,D13:J13)</f>
        <v>157.40334019165479</v>
      </c>
      <c r="G6" s="140">
        <f>AVERAGE(D13:J13)</f>
        <v>157.40334019165479</v>
      </c>
      <c r="H6" s="141"/>
      <c r="I6" s="140">
        <f>AVERAGE(K13:M13)</f>
        <v>136.63955743022817</v>
      </c>
      <c r="J6" s="141"/>
      <c r="K6" s="142">
        <f>'0430 4度C'!Y2</f>
        <v>0</v>
      </c>
      <c r="L6" s="127">
        <f>'0430 4度C'!Z2</f>
        <v>0</v>
      </c>
      <c r="M6" s="143">
        <f>'0430 4度C'!AC2</f>
        <v>53</v>
      </c>
      <c r="N6" s="127">
        <f>'0430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145.22076070822965</v>
      </c>
      <c r="F7" s="131">
        <f>AVERAGE(D32:O32,D14:J14)</f>
        <v>151.45037130203195</v>
      </c>
      <c r="G7" s="132">
        <f>AVERAGE(D14:J14)</f>
        <v>151.45037130203195</v>
      </c>
      <c r="H7" s="133"/>
      <c r="I7" s="132">
        <f>AVERAGE(K14:M14)</f>
        <v>130.68500265602424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0.9610049510634624</v>
      </c>
      <c r="F8" s="135">
        <f>AVERAGE(D15:J15,D33:O33)</f>
        <v>0.96300115399555519</v>
      </c>
      <c r="G8" s="136">
        <f>AVERAGE(D15:J15)</f>
        <v>0.96300115399555519</v>
      </c>
      <c r="H8" s="137"/>
      <c r="I8" s="136">
        <f>AVERAGE(K15:M15)</f>
        <v>0.95634714422191303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2812</v>
      </c>
      <c r="N9" s="35"/>
      <c r="O9" s="35"/>
      <c r="P9" s="35"/>
      <c r="Q9" s="35"/>
    </row>
    <row r="10" spans="2:17" ht="30" customHeight="1">
      <c r="B10" s="110" t="s">
        <v>2813</v>
      </c>
      <c r="C10" s="111"/>
      <c r="D10" s="112" t="s">
        <v>2814</v>
      </c>
      <c r="E10" s="113"/>
      <c r="F10" s="113"/>
      <c r="G10" s="113"/>
      <c r="H10" s="113"/>
      <c r="I10" s="113"/>
      <c r="J10" s="114"/>
      <c r="K10" s="115" t="s">
        <v>2815</v>
      </c>
      <c r="L10" s="116"/>
      <c r="M10" s="117"/>
      <c r="P10" s="41"/>
      <c r="Q10" s="41"/>
    </row>
    <row r="11" spans="2:17" ht="17.25" customHeight="1">
      <c r="B11" s="118" t="s">
        <v>2816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2817</v>
      </c>
      <c r="C13" s="48" t="s">
        <v>2818</v>
      </c>
      <c r="D13" s="49">
        <f>SUMIFS('0430 4度C'!$K:$K,'0430 4度C'!$A:$A,"新豐6線",'0430 4度C'!$B:$B,"平均")</f>
        <v>119.40298507462687</v>
      </c>
      <c r="E13" s="50">
        <f>SUMIFS('0430 4度C'!$K:$K,'0430 4度C'!$A:$A,"新豐2線",'0430 4度C'!$B:$B,"平均")</f>
        <v>83.333333333333329</v>
      </c>
      <c r="F13" s="51">
        <f>SUMIFS('0430 4度C'!$K:$K,'0430 4度C'!$A:$A,"新豐5線",'0430 4度C'!$B:$B,"平均")</f>
        <v>100</v>
      </c>
      <c r="G13" s="51">
        <f>SUMIFS('0430 4度C'!$K:$K,'0430 4度C'!$A:$A,"新豐7線",'0430 4度C'!$B:$B,"平均")</f>
        <v>123.4567901234568</v>
      </c>
      <c r="H13" s="51">
        <f>SUMIFS('0430 4度C'!$K:$K,'0430 4度C'!$A:$A,"新豐3線",'0430 4度C'!$B:$B,"平均")</f>
        <v>255.81395348837211</v>
      </c>
      <c r="I13" s="51">
        <f>SUMIFS('0430 4度C'!$K:$K,'0430 4度C'!$A:$A,"新豐1線",'0430 4度C'!$B:$B,"平均")</f>
        <v>104.02684563758389</v>
      </c>
      <c r="J13" s="52">
        <f>SUMIFS('0430 4度C'!$K:$K,'0430 4度C'!$A:$A,"新豐10線",'0430 4度C'!$B:$B,"平均")</f>
        <v>315.78947368421052</v>
      </c>
      <c r="K13" s="53">
        <f>SUMIFS('0430 4度C'!$K:$K,'0430 4度C'!$A:$A,"新豐8線",'0430 4度C'!$B:$B,"平均")</f>
        <v>134.57943925233647</v>
      </c>
      <c r="L13" s="54">
        <f>SUMIFS('0430 4度C'!$K:$K,'0430 4度C'!$A:$A,"新豐9線",'0430 4度C'!$B:$B,"平均")</f>
        <v>126.66666666666667</v>
      </c>
      <c r="M13" s="52">
        <f>SUMIFS('0430 4度C'!$K:$K,'0430 4度C'!$A:$A,"新豐4線",'0430 4度C'!$B:$B,"平均")</f>
        <v>148.67256637168143</v>
      </c>
    </row>
    <row r="14" spans="2:17" ht="39.6" customHeight="1">
      <c r="B14" s="123"/>
      <c r="C14" s="55" t="s">
        <v>99</v>
      </c>
      <c r="D14" s="56">
        <f>SUMIFS('0430 4度C'!$N:$N,'0430 4度C'!$A:$A,"新豐6線",'0430 4度C'!$B:$B,"平均")</f>
        <v>116.40681281956857</v>
      </c>
      <c r="E14" s="57">
        <f>SUMIFS('0430 4度C'!$N:$N,'0430 4度C'!$A:$A,"新豐2線",'0430 4度C'!$B:$B,"平均")</f>
        <v>79.397380959515743</v>
      </c>
      <c r="F14" s="57">
        <f>SUMIFS('0430 4度C'!$N:$N,'0430 4度C'!$A:$A,"新豐5線",'0430 4度C'!$B:$B,"平均")</f>
        <v>96.735627194702758</v>
      </c>
      <c r="G14" s="57">
        <f>SUMIFS('0430 4度C'!$N:$N,'0430 4度C'!$A:$A,"新豐7線",'0430 4度C'!$B:$B,"平均")</f>
        <v>118.39660264562787</v>
      </c>
      <c r="H14" s="57">
        <f>SUMIFS('0430 4度C'!$N:$N,'0430 4度C'!$A:$A,"新豐3線",'0430 4度C'!$B:$B,"平均")</f>
        <v>244.69778148693047</v>
      </c>
      <c r="I14" s="57">
        <f>SUMIFS('0430 4度C'!$N:$N,'0430 4度C'!$A:$A,"新豐1線",'0430 4度C'!$B:$B,"平均")</f>
        <v>100.74760712121743</v>
      </c>
      <c r="J14" s="58">
        <f>SUMIFS('0430 4度C'!$N:$N,'0430 4度C'!$A:$A,"新豐10線",'0430 4度C'!$B:$B,"平均")</f>
        <v>303.7707868866608</v>
      </c>
      <c r="K14" s="59">
        <f>SUMIFS('0430 4度C'!$N:$N,'0430 4度C'!$A:$A,"新豐8線",'0430 4度C'!$B:$B,"平均")</f>
        <v>128.63836553382953</v>
      </c>
      <c r="L14" s="60">
        <f>SUMIFS('0430 4度C'!$N:$N,'0430 4度C'!$A:$A,"新豐9線",'0430 4度C'!$B:$B,"平均")</f>
        <v>121.00195893278604</v>
      </c>
      <c r="M14" s="58">
        <f>SUMIFS('0430 4度C'!$N:$N,'0430 4度C'!$A:$A,"新豐4線",'0430 4度C'!$B:$B,"平均")</f>
        <v>142.41468350145715</v>
      </c>
    </row>
    <row r="15" spans="2:17" ht="40.15" customHeight="1">
      <c r="B15" s="124"/>
      <c r="C15" s="61" t="s">
        <v>2819</v>
      </c>
      <c r="D15" s="62">
        <f t="shared" ref="D15:M15" si="0">D14/D13</f>
        <v>0.97490705736388672</v>
      </c>
      <c r="E15" s="63">
        <f t="shared" si="0"/>
        <v>0.95276857151418892</v>
      </c>
      <c r="F15" s="63">
        <f t="shared" si="0"/>
        <v>0.96735627194702756</v>
      </c>
      <c r="G15" s="63">
        <f t="shared" si="0"/>
        <v>0.95901248142958562</v>
      </c>
      <c r="H15" s="63">
        <f t="shared" si="0"/>
        <v>0.95654587308527361</v>
      </c>
      <c r="I15" s="63">
        <f t="shared" si="0"/>
        <v>0.96847699748783211</v>
      </c>
      <c r="J15" s="64">
        <f t="shared" si="0"/>
        <v>0.96194082514109258</v>
      </c>
      <c r="K15" s="62">
        <f t="shared" si="0"/>
        <v>0.95585452167498319</v>
      </c>
      <c r="L15" s="63">
        <f t="shared" si="0"/>
        <v>0.95527862315357392</v>
      </c>
      <c r="M15" s="64">
        <f t="shared" si="0"/>
        <v>0.95790828783718196</v>
      </c>
    </row>
    <row r="16" spans="2:17" ht="17.25" customHeight="1">
      <c r="B16" s="125" t="s">
        <v>204</v>
      </c>
      <c r="C16" s="65" t="s">
        <v>2820</v>
      </c>
      <c r="D16" s="66">
        <f>VLOOKUP("新豐6線",'0430 4度C'!$A:$T,19,0)</f>
        <v>0.70833333333333337</v>
      </c>
      <c r="E16" s="67">
        <f>VLOOKUP("新豐2線",'0430 4度C'!$A:$T,19,0)</f>
        <v>0.20833333333333334</v>
      </c>
      <c r="F16" s="67">
        <f>VLOOKUP("新豐5線",'0430 4度C'!$A:$T,19,0)</f>
        <v>0.20833333333333334</v>
      </c>
      <c r="G16" s="67">
        <f>VLOOKUP("新豐7線",'0430 4度C'!$A:$T,19,0)</f>
        <v>0.20833333333333334</v>
      </c>
      <c r="H16" s="67">
        <f>VLOOKUP("新豐3線",'0430 4度C'!$A:$T,19,0)</f>
        <v>8.3333333333333329E-2</v>
      </c>
      <c r="I16" s="67">
        <f>VLOOKUP("新豐1線",'0430 4度C'!$A:$T,19,0)</f>
        <v>0.20833333333333334</v>
      </c>
      <c r="J16" s="68">
        <f>VLOOKUP("新豐10線",'0430 4度C'!$A:$T,19,0)</f>
        <v>0.20833333333333334</v>
      </c>
      <c r="K16" s="69">
        <f>VLOOKUP("新豐8線",'0430 4度C'!$A:$T,19,0)</f>
        <v>8.3333333333333329E-2</v>
      </c>
      <c r="L16" s="70">
        <f>VLOOKUP("新豐9線",'0430 4度C'!$A:$T,19,0)</f>
        <v>8.3333333333333329E-2</v>
      </c>
      <c r="M16" s="71">
        <f>VLOOKUP("新豐4線",'0430 4度C'!$A:$T,19,0)</f>
        <v>8.3333333333333329E-2</v>
      </c>
    </row>
    <row r="17" spans="2:13" ht="17.25" customHeight="1">
      <c r="B17" s="126"/>
      <c r="C17" s="65" t="s">
        <v>2821</v>
      </c>
      <c r="D17" s="69">
        <f>LOOKUP(2,1/(('0430 4度C'!$A:$A="新豐6線")*('0430 4度C'!$T:$T&lt;&gt;"")),'0430 4度C'!$T:$T)</f>
        <v>0.80625000000000013</v>
      </c>
      <c r="E17" s="67">
        <f>LOOKUP(2,1/(('0430 4度C'!$A:$A="新豐2線")*('0430 4度C'!$T:$T&lt;&gt;"")),'0430 4度C'!$T:$T)</f>
        <v>0.47152777777777777</v>
      </c>
      <c r="F17" s="67">
        <f>LOOKUP(2,1/(('0430 4度C'!$A:$A="新豐5線")*('0430 4度C'!$T:$T&lt;&gt;"")),'0430 4度C'!$T:$T)</f>
        <v>0.7993055555555556</v>
      </c>
      <c r="G17" s="67">
        <f>LOOKUP(2,1/(('0430 4度C'!$A:$A="新豐7線")*('0430 4度C'!$T:$T&lt;&gt;"")),'0430 4度C'!$T:$T)</f>
        <v>0.77916666666666667</v>
      </c>
      <c r="H17" s="67">
        <f>LOOKUP(2,1/(('0430 4度C'!$A:$A="新豐3線")*('0430 4度C'!$T:$T&lt;&gt;"")),'0430 4度C'!$T:$T)</f>
        <v>0.41249999999999998</v>
      </c>
      <c r="I17" s="67">
        <f>LOOKUP(2,1/(('0430 4度C'!$A:$A="新豐1線")*('0430 4度C'!$T:$T&lt;&gt;"")),'0430 4度C'!$T:$T)</f>
        <v>0.78402777777777777</v>
      </c>
      <c r="J17" s="68">
        <f>LOOKUP(2,1/(('0430 4度C'!$A:$A="新豐10線")*('0430 4度C'!$T:$T&lt;&gt;"")),'0430 4度C'!$T:$T)</f>
        <v>0.37361111111111112</v>
      </c>
      <c r="K17" s="66">
        <f>LOOKUP(2,1/(('0430 4度C'!$A:$A="新豐8線")*('0430 4度C'!$T:$T&lt;&gt;"")),'0430 4度C'!$T:$T)</f>
        <v>0.62569444444444444</v>
      </c>
      <c r="L17" s="67">
        <f>LOOKUP(2,1/(('0430 4度C'!$A:$A="新豐9線")*('0430 4度C'!$T:$T&lt;&gt;"")),'0430 4度C'!$T:$T)</f>
        <v>0.65347222222222212</v>
      </c>
      <c r="M17" s="68">
        <f>LOOKUP(2,1/(('0430 4度C'!$A:$A="新豐4線")*('0430 4度C'!$T:$T&lt;&gt;"")),'0430 4度C'!$T:$T)</f>
        <v>0.62361111111111101</v>
      </c>
    </row>
    <row r="18" spans="2:13" ht="17.25" customHeight="1">
      <c r="B18" s="104" t="s">
        <v>2822</v>
      </c>
      <c r="C18" s="72" t="s">
        <v>2823</v>
      </c>
      <c r="D18" s="73">
        <f>SUMIFS('0430 4度C'!$Y:$Y,'0430 4度C'!$A:$A,"新豐6線",'0430 4度C'!$B:$B,"平均")</f>
        <v>0</v>
      </c>
      <c r="E18" s="74">
        <f>SUMIFS('0430 4度C'!$Y:$Y,'0430 4度C'!$A:$A,"新豐2線",'0430 4度C'!$B:$B,"平均")</f>
        <v>0</v>
      </c>
      <c r="F18" s="74">
        <f>SUMIFS('0430 4度C'!$Y:$Y,'0430 4度C'!$A:$A,"新豐5線",'0430 4度C'!$B:$B,"平均")</f>
        <v>0</v>
      </c>
      <c r="G18" s="74">
        <f>SUMIFS('0430 4度C'!$Y:$Y,'0430 4度C'!$A:$A,"新豐7線",'0430 4度C'!$B:$B,"平均")</f>
        <v>0</v>
      </c>
      <c r="H18" s="74">
        <f>SUMIFS('0430 4度C'!$Y:$Y,'0430 4度C'!$A:$A,"新豐3線",'0430 4度C'!$B:$B,"平均")</f>
        <v>0</v>
      </c>
      <c r="I18" s="74">
        <f>SUMIFS('0430 4度C'!$Y:$Y,'0430 4度C'!$A:$A,"新豐1線",'0430 4度C'!$B:$B,"平均")</f>
        <v>0</v>
      </c>
      <c r="J18" s="75">
        <f>SUMIFS('0430 4度C'!$Y:$Y,'0430 4度C'!$A:$A,"新豐10線",'0430 4度C'!$B:$B,"平均")</f>
        <v>0</v>
      </c>
      <c r="K18" s="76">
        <f>SUMIFS('0430 4度C'!$Y:$Y,'0430 4度C'!$A:$A,"新豐8線",'0430 4度C'!$B:$B,"平均")</f>
        <v>0</v>
      </c>
      <c r="L18" s="74">
        <f>SUMIFS('0430 4度C'!$Y:$Y,'0430 4度C'!$A:$A,"新豐9線",'0430 4度C'!$B:$B,"平均")</f>
        <v>0</v>
      </c>
      <c r="M18" s="75">
        <f>SUMIFS('0430 4度C'!$Y:$Y,'0430 4度C'!$A:$A,"新豐4線",'0430 4度C'!$B:$B,"平均")</f>
        <v>0</v>
      </c>
    </row>
    <row r="19" spans="2:13" ht="17.25" customHeight="1">
      <c r="B19" s="105"/>
      <c r="C19" s="72" t="s">
        <v>2824</v>
      </c>
      <c r="D19" s="73">
        <f>SUMIFS('0430 4度C'!$Z:$Z,'0430 4度C'!$A:$A,"新豐6線",'0430 4度C'!$B:$B,"平均")</f>
        <v>0</v>
      </c>
      <c r="E19" s="74">
        <f>SUMIFS('0430 4度C'!$Z:$Z,'0430 4度C'!$A:$A,"新豐2線",'0430 4度C'!$B:$B,"平均")</f>
        <v>0</v>
      </c>
      <c r="F19" s="74">
        <f>SUMIFS('0430 4度C'!$Z:$Z,'0430 4度C'!$A:$A,"新豐5線",'0430 4度C'!$B:$B,"平均")</f>
        <v>0</v>
      </c>
      <c r="G19" s="74">
        <f>SUMIFS('0430 4度C'!$Z:$Z,'0430 4度C'!$A:$A,"新豐7線",'0430 4度C'!$B:$B,"平均")</f>
        <v>0</v>
      </c>
      <c r="H19" s="74">
        <f>SUMIFS('0430 4度C'!$Z:$Z,'0430 4度C'!$A:$A,"新豐3線",'0430 4度C'!$B:$B,"平均")</f>
        <v>0</v>
      </c>
      <c r="I19" s="74">
        <f>SUMIFS('0430 4度C'!$Z:$Z,'0430 4度C'!$A:$A,"新豐1線",'0430 4度C'!$B:$B,"平均")</f>
        <v>0</v>
      </c>
      <c r="J19" s="75">
        <f>SUMIFS('0430 4度C'!$Z:$Z,'0430 4度C'!$A:$A,"新豐10線",'0430 4度C'!$B:$B,"平均")</f>
        <v>0</v>
      </c>
      <c r="K19" s="76">
        <f>SUMIFS('0430 4度C'!$Z:$Z,'0430 4度C'!$A:$A,"新豐8線",'0430 4度C'!$B:$B,"平均")</f>
        <v>0</v>
      </c>
      <c r="L19" s="74">
        <f>SUMIFS('0430 4度C'!$Z:$Z,'0430 4度C'!$A:$A,"新豐9線",'0430 4度C'!$B:$B,"平均")</f>
        <v>0</v>
      </c>
      <c r="M19" s="75">
        <f>SUMIFS('0430 4度C'!$Z:$Z,'0430 4度C'!$A:$A,"新豐4線",'0430 4度C'!$B:$B,"平均")</f>
        <v>0</v>
      </c>
    </row>
    <row r="20" spans="2:13" ht="17.25" customHeight="1">
      <c r="B20" s="104" t="s">
        <v>2825</v>
      </c>
      <c r="C20" s="72" t="s">
        <v>2823</v>
      </c>
      <c r="D20" s="73">
        <f>SUMIFS('0430 4度C'!$AC:$AC,'0430 4度C'!$A:$A,"新豐6線",'0430 4度C'!$B:$B,"平均")</f>
        <v>4</v>
      </c>
      <c r="E20" s="74">
        <f>SUMIFS('0430 4度C'!$AC:$AC,'0430 4度C'!$A:$A,"新豐2線",'0430 4度C'!$B:$B,"平均")</f>
        <v>2</v>
      </c>
      <c r="F20" s="74">
        <f>SUMIFS('0430 4度C'!$AC:$AC,'0430 4度C'!$A:$A,"新豐5線",'0430 4度C'!$B:$B,"平均")</f>
        <v>4</v>
      </c>
      <c r="G20" s="74">
        <f>SUMIFS('0430 4度C'!$AC:$AC,'0430 4度C'!$A:$A,"新豐7線",'0430 4度C'!$B:$B,"平均")</f>
        <v>5</v>
      </c>
      <c r="H20" s="74">
        <f>SUMIFS('0430 4度C'!$AC:$AC,'0430 4度C'!$A:$A,"新豐3線",'0430 4度C'!$B:$B,"平均")</f>
        <v>4</v>
      </c>
      <c r="I20" s="74">
        <f>SUMIFS('0430 4度C'!$AC:$AC,'0430 4度C'!$A:$A,"新豐1線",'0430 4度C'!$B:$B,"平均")</f>
        <v>8</v>
      </c>
      <c r="J20" s="75">
        <f>SUMIFS('0430 4度C'!$AC:$AC,'0430 4度C'!$A:$A,"新豐10線",'0430 4度C'!$B:$B,"平均")</f>
        <v>6</v>
      </c>
      <c r="K20" s="76">
        <f>SUMIFS('0430 4度C'!$AC:$AC,'0430 4度C'!$A:$A,"新豐8線",'0430 4度C'!$B:$B,"平均")</f>
        <v>6</v>
      </c>
      <c r="L20" s="74">
        <f>SUMIFS('0430 4度C'!$AC:$AC,'0430 4度C'!$A:$A,"新豐9線",'0430 4度C'!$B:$B,"平均")</f>
        <v>7</v>
      </c>
      <c r="M20" s="75">
        <f>SUMIFS('0430 4度C'!$AC:$AC,'0430 4度C'!$A:$A,"新豐4線",'0430 4度C'!$B:$B,"平均")</f>
        <v>7</v>
      </c>
    </row>
    <row r="21" spans="2:13" ht="17.25" customHeight="1">
      <c r="B21" s="105"/>
      <c r="C21" s="72" t="s">
        <v>2826</v>
      </c>
      <c r="D21" s="73">
        <f>SUMIFS('0430 4度C'!$AD:$AD,'0430 4度C'!$A:$A,"新豐6線",'0430 4度C'!$B:$B,"平均")</f>
        <v>0</v>
      </c>
      <c r="E21" s="74">
        <f>SUMIFS('0430 4度C'!$AD:$AD,'0430 4度C'!$A:$A,"新豐2線",'0430 4度C'!$B:$B,"平均")</f>
        <v>0</v>
      </c>
      <c r="F21" s="74">
        <f>SUMIFS('0430 4度C'!$AD:$AD,'0430 4度C'!$A:$A,"新豐5線",'0430 4度C'!$B:$B,"平均")</f>
        <v>0</v>
      </c>
      <c r="G21" s="74">
        <f>SUMIFS('0430 4度C'!$AD:$AD,'0430 4度C'!$A:$A,"新豐7線",'0430 4度C'!$B:$B,"平均")</f>
        <v>0</v>
      </c>
      <c r="H21" s="74">
        <f>SUMIFS('0430 4度C'!$AD:$AD,'0430 4度C'!$A:$A,"新豐3線",'0430 4度C'!$B:$B,"平均")</f>
        <v>0</v>
      </c>
      <c r="I21" s="74">
        <f>SUMIFS('0430 4度C'!$AD:$AD,'0430 4度C'!$A:$A,"新豐1線",'0430 4度C'!$B:$B,"平均")</f>
        <v>0</v>
      </c>
      <c r="J21" s="75">
        <f>SUMIFS('0430 4度C'!$AD:$AD,'0430 4度C'!$A:$A,"新豐10線",'0430 4度C'!$B:$B,"平均")</f>
        <v>0</v>
      </c>
      <c r="K21" s="76">
        <f>SUMIFS('0430 4度C'!$AD:$AD,'0430 4度C'!$A:$A,"新豐8線",'0430 4度C'!$B:$B,"平均")</f>
        <v>0</v>
      </c>
      <c r="L21" s="74">
        <f>SUMIFS('0430 4度C'!$AD:$AD,'0430 4度C'!$A:$A,"新豐9線",'0430 4度C'!$B:$B,"平均")</f>
        <v>0</v>
      </c>
      <c r="M21" s="75">
        <f>SUMIFS('0430 4度C'!$AD:$AD,'0430 4度C'!$A:$A,"新豐4線",'0430 4度C'!$B:$B,"平均")</f>
        <v>0</v>
      </c>
    </row>
    <row r="22" spans="2:13" ht="17.25" customHeight="1">
      <c r="B22" s="106" t="s">
        <v>2827</v>
      </c>
      <c r="C22" s="107"/>
      <c r="D22" s="77">
        <f>SUMIFS('0430 4度C'!$I:$I,'0430 4度C'!$A:$A,"新豐6線",'0430 4度C'!$B:$B,"平均")</f>
        <v>16.75</v>
      </c>
      <c r="E22" s="78">
        <f>SUMIFS('0430 4度C'!$I:$I,'0430 4度C'!$A:$A,"新豐2線",'0430 4度C'!$B:$B,"平均")</f>
        <v>18</v>
      </c>
      <c r="F22" s="78">
        <f>SUMIFS('0430 4度C'!$I:$I,'0430 4度C'!$A:$A,"新豐5線",'0430 4度C'!$B:$B,"平均")</f>
        <v>17.5</v>
      </c>
      <c r="G22" s="78">
        <f>SUMIFS('0430 4度C'!$I:$I,'0430 4度C'!$A:$A,"新豐7線",'0430 4度C'!$B:$B,"平均")</f>
        <v>16.2</v>
      </c>
      <c r="H22" s="78">
        <f>SUMIFS('0430 4度C'!$I:$I,'0430 4度C'!$A:$A,"新豐3線",'0430 4度C'!$B:$B,"平均")</f>
        <v>10.75</v>
      </c>
      <c r="I22" s="78">
        <f>SUMIFS('0430 4度C'!$I:$I,'0430 4度C'!$A:$A,"新豐1線",'0430 4度C'!$B:$B,"平均")</f>
        <v>18.625</v>
      </c>
      <c r="J22" s="79">
        <f>SUMIFS('0430 4度C'!$I:$I,'0430 4度C'!$A:$A,"新豐10線",'0430 4度C'!$B:$B,"平均")</f>
        <v>9.5</v>
      </c>
      <c r="K22" s="77">
        <f>SUMIFS('0430 4度C'!$I:$I,'0430 4度C'!$A:$A,"新豐8線",'0430 4度C'!$B:$B,"平均")</f>
        <v>17.833333333333332</v>
      </c>
      <c r="L22" s="78">
        <f>SUMIFS('0430 4度C'!$I:$I,'0430 4度C'!$A:$A,"新豐9線",'0430 4度C'!$B:$B,"平均")</f>
        <v>17.142857142857142</v>
      </c>
      <c r="M22" s="79">
        <f>SUMIFS('0430 4度C'!$I:$I,'0430 4度C'!$A:$A,"新豐4線",'0430 4度C'!$B:$B,"平均")</f>
        <v>16.142857142857142</v>
      </c>
    </row>
    <row r="23" spans="2:13" ht="17.25" customHeight="1">
      <c r="B23" s="106" t="s">
        <v>213</v>
      </c>
      <c r="C23" s="107"/>
      <c r="D23" s="80" t="s">
        <v>67</v>
      </c>
      <c r="E23" s="81" t="s">
        <v>68</v>
      </c>
      <c r="F23" s="81" t="s">
        <v>2828</v>
      </c>
      <c r="G23" s="81" t="s">
        <v>2828</v>
      </c>
      <c r="H23" s="81" t="s">
        <v>69</v>
      </c>
      <c r="I23" s="81" t="s">
        <v>67</v>
      </c>
      <c r="J23" s="82" t="s">
        <v>69</v>
      </c>
      <c r="K23" s="80" t="s">
        <v>2829</v>
      </c>
      <c r="L23" s="81" t="s">
        <v>2830</v>
      </c>
      <c r="M23" s="82" t="s">
        <v>2829</v>
      </c>
    </row>
    <row r="24" spans="2:13" ht="17.25" customHeight="1">
      <c r="B24" s="106" t="s">
        <v>113</v>
      </c>
      <c r="C24" s="107"/>
      <c r="D24" s="80"/>
      <c r="E24" s="81"/>
      <c r="F24" s="81" t="s">
        <v>2831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115</v>
      </c>
      <c r="C25" s="109"/>
      <c r="D25" s="83"/>
      <c r="E25" s="84" t="s">
        <v>2832</v>
      </c>
      <c r="F25" s="102" t="s">
        <v>2833</v>
      </c>
      <c r="G25" s="103"/>
      <c r="H25" s="84" t="s">
        <v>2834</v>
      </c>
      <c r="I25" s="84" t="s">
        <v>2835</v>
      </c>
      <c r="J25" s="85" t="s">
        <v>2834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5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3">
    <pageSetUpPr fitToPage="1"/>
  </sheetPr>
  <dimension ref="A1:AG68"/>
  <sheetViews>
    <sheetView zoomScale="80" zoomScaleNormal="80" workbookViewId="0">
      <pane ySplit="4" topLeftCell="A5" activePane="bottomLeft" state="frozen"/>
      <selection activeCell="G6" sqref="G6:H6"/>
      <selection pane="bottomLeft" activeCell="G6" sqref="G6:H6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2836</v>
      </c>
      <c r="B1" s="1"/>
      <c r="C1" s="2" t="s">
        <v>121</v>
      </c>
      <c r="D1" s="3">
        <f>SUM(F5:F67)</f>
        <v>145179</v>
      </c>
      <c r="E1" s="88" t="s">
        <v>2837</v>
      </c>
      <c r="F1" s="1">
        <f>SUM(G5:G67)</f>
        <v>4913951.8899999987</v>
      </c>
      <c r="G1" s="1" t="s">
        <v>2838</v>
      </c>
      <c r="H1" s="4">
        <f>L9+L12+L43+L52+L17+L59+L30+L38+L23+L67</f>
        <v>158.44404761904761</v>
      </c>
      <c r="I1" s="215" t="s">
        <v>2839</v>
      </c>
      <c r="J1" s="215"/>
      <c r="K1" s="215"/>
      <c r="L1" s="215" t="s">
        <v>125</v>
      </c>
      <c r="M1" s="215"/>
      <c r="N1" s="215"/>
      <c r="O1" s="215" t="s">
        <v>2840</v>
      </c>
      <c r="P1" s="215"/>
      <c r="Q1" s="215"/>
      <c r="R1" s="215"/>
      <c r="S1" s="215" t="s">
        <v>2841</v>
      </c>
      <c r="T1" s="215"/>
      <c r="U1" s="215"/>
      <c r="V1" s="215"/>
      <c r="W1" s="215"/>
      <c r="X1" s="215"/>
      <c r="Y1" s="5" t="s">
        <v>2842</v>
      </c>
      <c r="Z1" s="6" t="s">
        <v>129</v>
      </c>
      <c r="AA1" s="216" t="s">
        <v>2843</v>
      </c>
      <c r="AB1" s="216"/>
      <c r="AC1" s="97" t="s">
        <v>128</v>
      </c>
      <c r="AD1" s="6" t="s">
        <v>2844</v>
      </c>
      <c r="AE1" s="215" t="s">
        <v>132</v>
      </c>
      <c r="AF1" s="217"/>
      <c r="AG1" s="217"/>
    </row>
    <row r="2" spans="1:33" ht="26.25" customHeight="1">
      <c r="A2" s="26">
        <v>46142</v>
      </c>
      <c r="B2" s="27" t="s">
        <v>236</v>
      </c>
      <c r="C2" s="2" t="s">
        <v>144</v>
      </c>
      <c r="D2" s="8">
        <f>AVERAGE(N9,N12,N43,N52,N17,N59,N23,N30,N38,N67)</f>
        <v>145.22076070822962</v>
      </c>
      <c r="E2" s="9" t="s">
        <v>0</v>
      </c>
      <c r="F2" s="10">
        <f>F1/D1</f>
        <v>33.847539175776099</v>
      </c>
      <c r="G2" s="1" t="s">
        <v>134</v>
      </c>
      <c r="H2" s="96">
        <f>COUNT(H5:H67)</f>
        <v>5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SUM(Y9+Y12+Y17+Y23+Y30+Y38+Y43+Y52+Y59+Y67)</f>
        <v>0</v>
      </c>
      <c r="Z2" s="11">
        <f>SUM(Z9+Z12+Z17+Z23+Z30+Z38+Z43+Z52+Z59+Z67)</f>
        <v>0</v>
      </c>
      <c r="AA2" s="216"/>
      <c r="AB2" s="216"/>
      <c r="AC2" s="11">
        <f>SUM(AC9+AC12+AC17+AC23+AC30+AC38+AC43+AC52+AC59+AC67)</f>
        <v>53</v>
      </c>
      <c r="AD2" s="11">
        <f>SUM(AD9+AD12+AD17+AD23+AD30+AD38+AD43+AD52+AD59+AD67)</f>
        <v>0</v>
      </c>
      <c r="AE2" s="217"/>
      <c r="AF2" s="217"/>
      <c r="AG2" s="217"/>
    </row>
    <row r="3" spans="1:33" ht="40.5" customHeight="1">
      <c r="A3" s="168" t="s">
        <v>135</v>
      </c>
      <c r="B3" s="168" t="s">
        <v>2845</v>
      </c>
      <c r="C3" s="168" t="s">
        <v>2846</v>
      </c>
      <c r="D3" s="168"/>
      <c r="E3" s="213" t="s">
        <v>138</v>
      </c>
      <c r="F3" s="168" t="s">
        <v>139</v>
      </c>
      <c r="G3" s="213" t="s">
        <v>2847</v>
      </c>
      <c r="H3" s="207" t="s">
        <v>141</v>
      </c>
      <c r="I3" s="205" t="s">
        <v>2848</v>
      </c>
      <c r="J3" s="202" t="s">
        <v>2849</v>
      </c>
      <c r="K3" s="212" t="s">
        <v>144</v>
      </c>
      <c r="L3" s="205" t="s">
        <v>2850</v>
      </c>
      <c r="M3" s="202" t="s">
        <v>2849</v>
      </c>
      <c r="N3" s="212" t="s">
        <v>144</v>
      </c>
      <c r="O3" s="205" t="s">
        <v>2848</v>
      </c>
      <c r="P3" s="212" t="s">
        <v>2851</v>
      </c>
      <c r="Q3" s="203" t="s">
        <v>147</v>
      </c>
      <c r="R3" s="181" t="s">
        <v>2852</v>
      </c>
      <c r="S3" s="168" t="s">
        <v>1</v>
      </c>
      <c r="T3" s="168"/>
      <c r="U3" s="207" t="s">
        <v>2</v>
      </c>
      <c r="V3" s="207" t="s">
        <v>2853</v>
      </c>
      <c r="W3" s="168" t="s">
        <v>2854</v>
      </c>
      <c r="X3" s="168"/>
      <c r="Y3" s="208" t="s">
        <v>2855</v>
      </c>
      <c r="Z3" s="167"/>
      <c r="AA3" s="209" t="s">
        <v>2856</v>
      </c>
      <c r="AB3" s="210"/>
      <c r="AC3" s="208" t="s">
        <v>2857</v>
      </c>
      <c r="AD3" s="167"/>
      <c r="AE3" s="202" t="s">
        <v>2858</v>
      </c>
      <c r="AF3" s="203" t="s">
        <v>2859</v>
      </c>
      <c r="AG3" s="181" t="s">
        <v>2860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2861</v>
      </c>
      <c r="X4" s="88" t="s">
        <v>2862</v>
      </c>
      <c r="Y4" s="90" t="s">
        <v>2863</v>
      </c>
      <c r="Z4" s="90" t="s">
        <v>2864</v>
      </c>
      <c r="AA4" s="211"/>
      <c r="AB4" s="210"/>
      <c r="AC4" s="90" t="s">
        <v>2865</v>
      </c>
      <c r="AD4" s="90" t="s">
        <v>2866</v>
      </c>
      <c r="AE4" s="202"/>
      <c r="AF4" s="203"/>
      <c r="AG4" s="181"/>
    </row>
    <row r="5" spans="1:33">
      <c r="A5" s="204" t="s">
        <v>2867</v>
      </c>
      <c r="B5" s="28" t="s">
        <v>5</v>
      </c>
      <c r="C5" s="206" t="s">
        <v>6</v>
      </c>
      <c r="D5" s="206"/>
      <c r="E5" s="28">
        <v>50.67</v>
      </c>
      <c r="F5" s="88">
        <v>1001</v>
      </c>
      <c r="G5" s="88">
        <f t="shared" ref="G5:G8" si="0">E5*F5</f>
        <v>50720.67</v>
      </c>
      <c r="H5" s="30" t="s">
        <v>53</v>
      </c>
      <c r="I5" s="95">
        <v>17</v>
      </c>
      <c r="J5" s="13">
        <v>2000</v>
      </c>
      <c r="K5" s="12">
        <f t="shared" ref="K5:K67" si="1">J5/I5</f>
        <v>117.64705882352941</v>
      </c>
      <c r="L5" s="95">
        <v>17</v>
      </c>
      <c r="M5" s="13">
        <f t="shared" ref="M5:M8" si="2">F5/V5*60</f>
        <v>1937.4193548387066</v>
      </c>
      <c r="N5" s="12">
        <f t="shared" ref="N5:N67" si="3">M5/L5</f>
        <v>113.96584440227686</v>
      </c>
      <c r="O5" s="14">
        <f t="shared" ref="O5:O67" si="4">L5-I5</f>
        <v>0</v>
      </c>
      <c r="P5" s="15">
        <f t="shared" ref="P5:P67" si="5">N5-K5</f>
        <v>-3.6812144212525482</v>
      </c>
      <c r="Q5" s="91">
        <f t="shared" ref="Q5:Q67" si="6">N5/K5</f>
        <v>0.96870967741935332</v>
      </c>
      <c r="R5" s="177">
        <f>Q9</f>
        <v>0.97490705736388672</v>
      </c>
      <c r="S5" s="21">
        <v>0.70833333333333337</v>
      </c>
      <c r="T5" s="21">
        <v>0.72986111111111118</v>
      </c>
      <c r="U5" s="88"/>
      <c r="V5" s="30">
        <f t="shared" ref="V5:V8" si="7">(T5-S5)*24*60</f>
        <v>31.00000000000005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51" si="8">M5-J5</f>
        <v>-62.580645161293432</v>
      </c>
      <c r="AF5" s="91">
        <f t="shared" ref="AF5:AF67" si="9">M5/J5</f>
        <v>0.96870967741935332</v>
      </c>
      <c r="AG5" s="177">
        <f>AF9</f>
        <v>0.97490705736388683</v>
      </c>
    </row>
    <row r="6" spans="1:33">
      <c r="A6" s="205" t="s">
        <v>2868</v>
      </c>
      <c r="B6" s="28" t="s">
        <v>5</v>
      </c>
      <c r="C6" s="206" t="s">
        <v>7</v>
      </c>
      <c r="D6" s="206"/>
      <c r="E6" s="28">
        <v>54.09</v>
      </c>
      <c r="F6" s="88">
        <v>846</v>
      </c>
      <c r="G6" s="88">
        <f t="shared" si="0"/>
        <v>45760.14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1952.3076923076874</v>
      </c>
      <c r="N6" s="12">
        <f t="shared" si="3"/>
        <v>102.75303643724671</v>
      </c>
      <c r="O6" s="14">
        <f t="shared" si="4"/>
        <v>0</v>
      </c>
      <c r="P6" s="15">
        <f t="shared" si="5"/>
        <v>-2.5101214574901292</v>
      </c>
      <c r="Q6" s="91">
        <f t="shared" si="6"/>
        <v>0.97615384615384382</v>
      </c>
      <c r="R6" s="177"/>
      <c r="S6" s="21">
        <v>0.73402777777777783</v>
      </c>
      <c r="T6" s="21">
        <v>0.75208333333333344</v>
      </c>
      <c r="U6" s="88">
        <f t="shared" ref="U6:U8" si="10">IF(S6=TIME(17,0,0),"",(S6-T5)*24*60)</f>
        <v>5.9999999999999787</v>
      </c>
      <c r="V6" s="30">
        <f t="shared" si="7"/>
        <v>26.000000000000068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-47.692307692312625</v>
      </c>
      <c r="AF6" s="91">
        <f t="shared" si="9"/>
        <v>0.97615384615384371</v>
      </c>
      <c r="AG6" s="177"/>
    </row>
    <row r="7" spans="1:33">
      <c r="A7" s="205" t="s">
        <v>2868</v>
      </c>
      <c r="B7" s="28" t="s">
        <v>5</v>
      </c>
      <c r="C7" s="200" t="s">
        <v>16</v>
      </c>
      <c r="D7" s="201"/>
      <c r="E7" s="28">
        <v>50.67</v>
      </c>
      <c r="F7" s="88">
        <v>978</v>
      </c>
      <c r="G7" s="88">
        <f t="shared" si="0"/>
        <v>49555.26</v>
      </c>
      <c r="H7" s="30" t="s">
        <v>53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1955.9999999999966</v>
      </c>
      <c r="N7" s="12">
        <f t="shared" si="3"/>
        <v>130.39999999999978</v>
      </c>
      <c r="O7" s="14">
        <f t="shared" si="4"/>
        <v>0</v>
      </c>
      <c r="P7" s="15">
        <f t="shared" si="5"/>
        <v>-2.9333333333335645</v>
      </c>
      <c r="Q7" s="91">
        <f t="shared" si="6"/>
        <v>0.97799999999999832</v>
      </c>
      <c r="R7" s="177"/>
      <c r="S7" s="21">
        <v>0.75694444444444453</v>
      </c>
      <c r="T7" s="21">
        <v>0.7777777777777779</v>
      </c>
      <c r="U7" s="88">
        <f t="shared" si="10"/>
        <v>6.9999999999999751</v>
      </c>
      <c r="V7" s="30">
        <f t="shared" si="7"/>
        <v>30.000000000000053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-44.000000000003411</v>
      </c>
      <c r="AF7" s="91">
        <f t="shared" si="9"/>
        <v>0.97799999999999832</v>
      </c>
      <c r="AG7" s="177"/>
    </row>
    <row r="8" spans="1:33">
      <c r="A8" s="205" t="s">
        <v>2869</v>
      </c>
      <c r="B8" s="28" t="s">
        <v>5</v>
      </c>
      <c r="C8" s="200" t="s">
        <v>1270</v>
      </c>
      <c r="D8" s="201"/>
      <c r="E8" s="28">
        <v>52.86</v>
      </c>
      <c r="F8" s="88">
        <v>1107</v>
      </c>
      <c r="G8" s="88">
        <f t="shared" si="0"/>
        <v>58516.02</v>
      </c>
      <c r="H8" s="30" t="s">
        <v>53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1953.5294117647036</v>
      </c>
      <c r="N8" s="12">
        <f t="shared" si="3"/>
        <v>122.09558823529397</v>
      </c>
      <c r="O8" s="14">
        <f t="shared" si="4"/>
        <v>0</v>
      </c>
      <c r="P8" s="15">
        <f t="shared" si="5"/>
        <v>-2.9044117647060261</v>
      </c>
      <c r="Q8" s="91">
        <f t="shared" si="6"/>
        <v>0.97676470588235176</v>
      </c>
      <c r="R8" s="177"/>
      <c r="S8" s="21">
        <v>0.78263888888888899</v>
      </c>
      <c r="T8" s="21">
        <v>0.80625000000000013</v>
      </c>
      <c r="U8" s="88">
        <f t="shared" si="10"/>
        <v>6.9999999999999751</v>
      </c>
      <c r="V8" s="30">
        <f t="shared" si="7"/>
        <v>34.000000000000043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-46.470588235296418</v>
      </c>
      <c r="AF8" s="91">
        <f t="shared" si="9"/>
        <v>0.97676470588235176</v>
      </c>
      <c r="AG8" s="177"/>
    </row>
    <row r="9" spans="1:33">
      <c r="A9" s="205" t="s">
        <v>2870</v>
      </c>
      <c r="B9" s="28" t="s">
        <v>2871</v>
      </c>
      <c r="C9" s="178"/>
      <c r="D9" s="178"/>
      <c r="E9" s="92"/>
      <c r="F9" s="12"/>
      <c r="G9" s="12"/>
      <c r="H9" s="88"/>
      <c r="I9" s="23">
        <v>16.75</v>
      </c>
      <c r="J9" s="13">
        <v>2000</v>
      </c>
      <c r="K9" s="12">
        <f t="shared" si="1"/>
        <v>119.40298507462687</v>
      </c>
      <c r="L9" s="23">
        <v>16.75</v>
      </c>
      <c r="M9" s="13">
        <f>AVERAGE(M5:M8)</f>
        <v>1949.8141147277736</v>
      </c>
      <c r="N9" s="12">
        <f t="shared" si="3"/>
        <v>116.40681281956857</v>
      </c>
      <c r="O9" s="14">
        <f t="shared" si="4"/>
        <v>0</v>
      </c>
      <c r="P9" s="15">
        <f t="shared" si="5"/>
        <v>-2.9961722550582977</v>
      </c>
      <c r="Q9" s="91">
        <f t="shared" si="6"/>
        <v>0.97490705736388672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f>SUM(AC5:AC8)</f>
        <v>4</v>
      </c>
      <c r="AD9" s="24">
        <f>SUM(AD5:AD8)</f>
        <v>0</v>
      </c>
      <c r="AE9" s="14">
        <f t="shared" si="8"/>
        <v>-50.185885272226415</v>
      </c>
      <c r="AF9" s="91">
        <f t="shared" si="9"/>
        <v>0.97490705736388683</v>
      </c>
      <c r="AG9" s="177"/>
    </row>
    <row r="10" spans="1:33" ht="15.75" customHeight="1">
      <c r="A10" s="199" t="s">
        <v>166</v>
      </c>
      <c r="B10" s="28" t="s">
        <v>9</v>
      </c>
      <c r="C10" s="200" t="s">
        <v>10</v>
      </c>
      <c r="D10" s="201"/>
      <c r="E10" s="28">
        <v>39.619999999999997</v>
      </c>
      <c r="F10" s="88">
        <v>3594</v>
      </c>
      <c r="G10" s="88">
        <f t="shared" ref="G10:G11" si="11">E10*F10</f>
        <v>142394.28</v>
      </c>
      <c r="H10" s="30" t="s">
        <v>53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1" si="12">F10/V10*60</f>
        <v>1428.0794701986754</v>
      </c>
      <c r="N10" s="12">
        <f t="shared" si="3"/>
        <v>75.162077378877655</v>
      </c>
      <c r="O10" s="14">
        <f t="shared" si="4"/>
        <v>0</v>
      </c>
      <c r="P10" s="15">
        <f t="shared" si="5"/>
        <v>-3.7852910421749755</v>
      </c>
      <c r="Q10" s="91">
        <f t="shared" si="6"/>
        <v>0.95205298013245032</v>
      </c>
      <c r="R10" s="177">
        <f>Q12</f>
        <v>0.95276857151418892</v>
      </c>
      <c r="S10" s="21">
        <v>0.20833333333333334</v>
      </c>
      <c r="T10" s="21">
        <v>0.31319444444444444</v>
      </c>
      <c r="U10" s="88"/>
      <c r="V10" s="30">
        <f t="shared" ref="V10:V11" si="13">(T10-S10)*24*60</f>
        <v>151</v>
      </c>
      <c r="W10" s="16"/>
      <c r="X10" s="16"/>
      <c r="Y10" s="16"/>
      <c r="Z10" s="16"/>
      <c r="AA10" s="168"/>
      <c r="AB10" s="168"/>
      <c r="AC10" s="18">
        <v>2</v>
      </c>
      <c r="AD10" s="18"/>
      <c r="AE10" s="14">
        <f t="shared" si="8"/>
        <v>-71.920529801324619</v>
      </c>
      <c r="AF10" s="91">
        <f t="shared" si="9"/>
        <v>0.95205298013245021</v>
      </c>
      <c r="AG10" s="177">
        <f>AF12</f>
        <v>0.95276857151418892</v>
      </c>
    </row>
    <row r="11" spans="1:33" ht="15.75" customHeight="1">
      <c r="A11" s="199" t="s">
        <v>2872</v>
      </c>
      <c r="B11" s="28" t="s">
        <v>9</v>
      </c>
      <c r="C11" s="200" t="s">
        <v>11</v>
      </c>
      <c r="D11" s="201"/>
      <c r="E11" s="28">
        <v>39.799999999999997</v>
      </c>
      <c r="F11" s="88">
        <v>5268</v>
      </c>
      <c r="G11" s="88">
        <f t="shared" si="11"/>
        <v>209666.4</v>
      </c>
      <c r="H11" s="30" t="s">
        <v>53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1430.2262443438915</v>
      </c>
      <c r="N11" s="12">
        <f t="shared" si="3"/>
        <v>84.130955549640674</v>
      </c>
      <c r="O11" s="14">
        <f t="shared" si="4"/>
        <v>0</v>
      </c>
      <c r="P11" s="15">
        <f t="shared" si="5"/>
        <v>-4.1043385680063835</v>
      </c>
      <c r="Q11" s="91">
        <f t="shared" si="6"/>
        <v>0.95348416289592763</v>
      </c>
      <c r="R11" s="177"/>
      <c r="S11" s="21">
        <v>0.31805555555555554</v>
      </c>
      <c r="T11" s="21">
        <v>0.47152777777777777</v>
      </c>
      <c r="U11" s="88">
        <f t="shared" ref="U11" si="14">IF(S11=TIME(17,0,0),"",(S11-T10)*24*60)</f>
        <v>6.9999999999999751</v>
      </c>
      <c r="V11" s="30">
        <f t="shared" si="13"/>
        <v>221</v>
      </c>
      <c r="W11" s="16"/>
      <c r="X11" s="16"/>
      <c r="Y11" s="16"/>
      <c r="Z11" s="16"/>
      <c r="AA11" s="168"/>
      <c r="AB11" s="168"/>
      <c r="AC11" s="18"/>
      <c r="AD11" s="18"/>
      <c r="AE11" s="14">
        <f t="shared" si="8"/>
        <v>-69.773755656108506</v>
      </c>
      <c r="AF11" s="91">
        <f t="shared" si="9"/>
        <v>0.95348416289592763</v>
      </c>
      <c r="AG11" s="177"/>
    </row>
    <row r="12" spans="1:33" ht="16.5" customHeight="1">
      <c r="A12" s="199" t="s">
        <v>2872</v>
      </c>
      <c r="B12" s="28" t="s">
        <v>165</v>
      </c>
      <c r="C12" s="178"/>
      <c r="D12" s="178"/>
      <c r="E12" s="92"/>
      <c r="F12" s="13"/>
      <c r="G12" s="13"/>
      <c r="H12" s="88"/>
      <c r="I12" s="23">
        <v>18</v>
      </c>
      <c r="J12" s="13">
        <v>1500</v>
      </c>
      <c r="K12" s="12">
        <f t="shared" si="1"/>
        <v>83.333333333333329</v>
      </c>
      <c r="L12" s="23">
        <v>18</v>
      </c>
      <c r="M12" s="13">
        <f>AVERAGE(M10:M11)</f>
        <v>1429.1528572712834</v>
      </c>
      <c r="N12" s="12">
        <f t="shared" si="3"/>
        <v>79.397380959515743</v>
      </c>
      <c r="O12" s="14">
        <f t="shared" si="4"/>
        <v>0</v>
      </c>
      <c r="P12" s="15">
        <f t="shared" si="5"/>
        <v>-3.9359523738175852</v>
      </c>
      <c r="Q12" s="91">
        <f t="shared" si="6"/>
        <v>0.95276857151418892</v>
      </c>
      <c r="R12" s="177"/>
      <c r="S12" s="21"/>
      <c r="T12" s="21"/>
      <c r="U12" s="12"/>
      <c r="V12" s="30"/>
      <c r="W12" s="12"/>
      <c r="X12" s="12"/>
      <c r="Y12" s="24">
        <f>SUM(Y10:Y11)</f>
        <v>0</v>
      </c>
      <c r="Z12" s="24">
        <f>SUM(Z10:Z11)</f>
        <v>0</v>
      </c>
      <c r="AA12" s="167"/>
      <c r="AB12" s="167"/>
      <c r="AC12" s="24">
        <f>SUM(AC10:AC11)</f>
        <v>2</v>
      </c>
      <c r="AD12" s="24">
        <f>SUM(AD10:AD11)</f>
        <v>0</v>
      </c>
      <c r="AE12" s="14">
        <f t="shared" si="8"/>
        <v>-70.847142728716562</v>
      </c>
      <c r="AF12" s="91">
        <f t="shared" si="9"/>
        <v>0.95276857151418892</v>
      </c>
      <c r="AG12" s="177"/>
    </row>
    <row r="13" spans="1:33" ht="16.5" customHeight="1">
      <c r="A13" s="197" t="s">
        <v>2873</v>
      </c>
      <c r="B13" s="88" t="s">
        <v>12</v>
      </c>
      <c r="C13" s="193" t="s">
        <v>13</v>
      </c>
      <c r="D13" s="193"/>
      <c r="E13" s="28">
        <v>41</v>
      </c>
      <c r="F13" s="88">
        <v>1605</v>
      </c>
      <c r="G13" s="88">
        <f t="shared" ref="G13:G16" si="15">E13*F13</f>
        <v>65805</v>
      </c>
      <c r="H13" s="30" t="s">
        <v>53</v>
      </c>
      <c r="I13" s="95">
        <v>26</v>
      </c>
      <c r="J13" s="13">
        <v>1500</v>
      </c>
      <c r="K13" s="12">
        <f t="shared" si="1"/>
        <v>57.692307692307693</v>
      </c>
      <c r="L13" s="95">
        <v>26</v>
      </c>
      <c r="M13" s="13">
        <f t="shared" ref="M13:M16" si="16">F13/V13*60</f>
        <v>1437.3134328358219</v>
      </c>
      <c r="N13" s="12">
        <f t="shared" si="3"/>
        <v>55.281285878300842</v>
      </c>
      <c r="O13" s="14">
        <f t="shared" si="4"/>
        <v>0</v>
      </c>
      <c r="P13" s="15">
        <f t="shared" si="5"/>
        <v>-2.4110218140068511</v>
      </c>
      <c r="Q13" s="91">
        <f t="shared" si="6"/>
        <v>0.95820895522388128</v>
      </c>
      <c r="R13" s="177">
        <f>Q17</f>
        <v>0.96735627194702756</v>
      </c>
      <c r="S13" s="21">
        <v>0.20833333333333334</v>
      </c>
      <c r="T13" s="21">
        <v>0.25486111111111109</v>
      </c>
      <c r="U13" s="88"/>
      <c r="V13" s="30">
        <f t="shared" ref="V13:V16" si="17">(T13-S13)*24*60</f>
        <v>66.999999999999957</v>
      </c>
      <c r="W13" s="21"/>
      <c r="X13" s="21"/>
      <c r="Y13" s="21"/>
      <c r="Z13" s="21"/>
      <c r="AA13" s="168"/>
      <c r="AB13" s="168"/>
      <c r="AC13" s="18">
        <v>4</v>
      </c>
      <c r="AD13" s="18"/>
      <c r="AE13" s="14">
        <f t="shared" si="8"/>
        <v>-62.686567164178086</v>
      </c>
      <c r="AF13" s="91">
        <f t="shared" si="9"/>
        <v>0.95820895522388128</v>
      </c>
      <c r="AG13" s="177">
        <f>AF17</f>
        <v>0.96735627194702756</v>
      </c>
    </row>
    <row r="14" spans="1:33" ht="16.5" customHeight="1">
      <c r="A14" s="198" t="s">
        <v>2873</v>
      </c>
      <c r="B14" s="88" t="s">
        <v>5</v>
      </c>
      <c r="C14" s="193" t="s">
        <v>20</v>
      </c>
      <c r="D14" s="193"/>
      <c r="E14" s="28">
        <v>53.68</v>
      </c>
      <c r="F14" s="88">
        <v>905</v>
      </c>
      <c r="G14" s="88">
        <f t="shared" si="15"/>
        <v>48580.4</v>
      </c>
      <c r="H14" s="30" t="s">
        <v>53</v>
      </c>
      <c r="I14" s="95">
        <v>16</v>
      </c>
      <c r="J14" s="13">
        <v>1500</v>
      </c>
      <c r="K14" s="12">
        <f t="shared" si="1"/>
        <v>93.75</v>
      </c>
      <c r="L14" s="95">
        <v>16</v>
      </c>
      <c r="M14" s="13">
        <f t="shared" si="16"/>
        <v>1467.5675675675666</v>
      </c>
      <c r="N14" s="12">
        <f t="shared" si="3"/>
        <v>91.722972972972912</v>
      </c>
      <c r="O14" s="14">
        <f t="shared" si="4"/>
        <v>0</v>
      </c>
      <c r="P14" s="15">
        <f t="shared" si="5"/>
        <v>-2.0270270270270885</v>
      </c>
      <c r="Q14" s="91">
        <f t="shared" si="6"/>
        <v>0.97837837837837771</v>
      </c>
      <c r="R14" s="177"/>
      <c r="S14" s="21">
        <v>0.70833333333333337</v>
      </c>
      <c r="T14" s="21">
        <v>0.73402777777777783</v>
      </c>
      <c r="U14" s="88" t="str">
        <f t="shared" ref="U14:U16" si="18">IF(S14=TIME(17,0,0),"",(S14-T13)*24*60)</f>
        <v/>
      </c>
      <c r="V14" s="30">
        <f t="shared" si="17"/>
        <v>37.000000000000028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8"/>
        <v>-32.432432432433416</v>
      </c>
      <c r="AF14" s="91">
        <f t="shared" si="9"/>
        <v>0.97837837837837771</v>
      </c>
      <c r="AG14" s="177"/>
    </row>
    <row r="15" spans="1:33" ht="16.5" customHeight="1">
      <c r="A15" s="198" t="s">
        <v>2873</v>
      </c>
      <c r="B15" s="88" t="s">
        <v>5</v>
      </c>
      <c r="C15" s="193" t="s">
        <v>15</v>
      </c>
      <c r="D15" s="193"/>
      <c r="E15" s="28">
        <v>50.92</v>
      </c>
      <c r="F15" s="88">
        <v>1548</v>
      </c>
      <c r="G15" s="88">
        <f t="shared" si="15"/>
        <v>78824.160000000003</v>
      </c>
      <c r="H15" s="30" t="s">
        <v>53</v>
      </c>
      <c r="I15" s="95">
        <v>15</v>
      </c>
      <c r="J15" s="13">
        <v>2000</v>
      </c>
      <c r="K15" s="12">
        <f t="shared" si="1"/>
        <v>133.33333333333334</v>
      </c>
      <c r="L15" s="95">
        <v>15</v>
      </c>
      <c r="M15" s="13">
        <f t="shared" si="16"/>
        <v>1935.0000000000005</v>
      </c>
      <c r="N15" s="12">
        <f t="shared" si="3"/>
        <v>129.00000000000003</v>
      </c>
      <c r="O15" s="14">
        <f t="shared" si="4"/>
        <v>0</v>
      </c>
      <c r="P15" s="15">
        <f t="shared" si="5"/>
        <v>-4.3333333333333144</v>
      </c>
      <c r="Q15" s="91">
        <f t="shared" si="6"/>
        <v>0.96750000000000014</v>
      </c>
      <c r="R15" s="177"/>
      <c r="S15" s="21">
        <v>0.73958333333333337</v>
      </c>
      <c r="T15" s="21">
        <v>0.7729166666666667</v>
      </c>
      <c r="U15" s="88">
        <f t="shared" si="18"/>
        <v>7.9999999999999716</v>
      </c>
      <c r="V15" s="30">
        <f t="shared" si="17"/>
        <v>47.999999999999986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-64.999999999999545</v>
      </c>
      <c r="AF15" s="91">
        <f t="shared" si="9"/>
        <v>0.96750000000000025</v>
      </c>
      <c r="AG15" s="177"/>
    </row>
    <row r="16" spans="1:33" ht="16.5" customHeight="1">
      <c r="A16" s="198" t="s">
        <v>2873</v>
      </c>
      <c r="B16" s="88" t="s">
        <v>5</v>
      </c>
      <c r="C16" s="193" t="s">
        <v>21</v>
      </c>
      <c r="D16" s="193"/>
      <c r="E16" s="28">
        <v>57.3</v>
      </c>
      <c r="F16" s="88">
        <v>998</v>
      </c>
      <c r="G16" s="88">
        <f t="shared" si="15"/>
        <v>57185.399999999994</v>
      </c>
      <c r="H16" s="30" t="s">
        <v>53</v>
      </c>
      <c r="I16" s="95">
        <v>13</v>
      </c>
      <c r="J16" s="13">
        <v>2000</v>
      </c>
      <c r="K16" s="12">
        <f t="shared" si="1"/>
        <v>153.84615384615384</v>
      </c>
      <c r="L16" s="95">
        <v>13</v>
      </c>
      <c r="M16" s="13">
        <f t="shared" si="16"/>
        <v>1931.6129032258036</v>
      </c>
      <c r="N16" s="12">
        <f t="shared" si="3"/>
        <v>148.58560794044644</v>
      </c>
      <c r="O16" s="14">
        <f t="shared" si="4"/>
        <v>0</v>
      </c>
      <c r="P16" s="15">
        <f t="shared" si="5"/>
        <v>-5.2605459057074029</v>
      </c>
      <c r="Q16" s="91">
        <f t="shared" si="6"/>
        <v>0.96580645161290191</v>
      </c>
      <c r="R16" s="177"/>
      <c r="S16" s="21">
        <v>0.77777777777777779</v>
      </c>
      <c r="T16" s="21">
        <v>0.7993055555555556</v>
      </c>
      <c r="U16" s="88">
        <f t="shared" si="18"/>
        <v>6.9999999999999751</v>
      </c>
      <c r="V16" s="30">
        <f t="shared" si="17"/>
        <v>31.00000000000005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-68.38709677419638</v>
      </c>
      <c r="AF16" s="91">
        <f t="shared" si="9"/>
        <v>0.9658064516129018</v>
      </c>
      <c r="AG16" s="177"/>
    </row>
    <row r="17" spans="1:33" ht="16.5" customHeight="1">
      <c r="A17" s="198" t="s">
        <v>2873</v>
      </c>
      <c r="B17" s="28" t="s">
        <v>2874</v>
      </c>
      <c r="C17" s="178"/>
      <c r="D17" s="178"/>
      <c r="E17" s="92"/>
      <c r="F17" s="12"/>
      <c r="G17" s="12"/>
      <c r="H17" s="88"/>
      <c r="I17" s="23">
        <v>17.5</v>
      </c>
      <c r="J17" s="13">
        <v>1750</v>
      </c>
      <c r="K17" s="12">
        <f t="shared" si="1"/>
        <v>100</v>
      </c>
      <c r="L17" s="23">
        <v>17.5</v>
      </c>
      <c r="M17" s="13">
        <f>AVERAGE(M13:M16)</f>
        <v>1692.8734759072981</v>
      </c>
      <c r="N17" s="12">
        <f t="shared" si="3"/>
        <v>96.735627194702758</v>
      </c>
      <c r="O17" s="14">
        <f t="shared" si="4"/>
        <v>0</v>
      </c>
      <c r="P17" s="15">
        <f t="shared" si="5"/>
        <v>-3.2643728052972421</v>
      </c>
      <c r="Q17" s="91">
        <f t="shared" si="6"/>
        <v>0.96735627194702756</v>
      </c>
      <c r="R17" s="177"/>
      <c r="S17" s="21"/>
      <c r="T17" s="21"/>
      <c r="U17" s="88"/>
      <c r="V17" s="30"/>
      <c r="W17" s="12"/>
      <c r="X17" s="12"/>
      <c r="Y17" s="24">
        <f>SUM(Y13:Y16)</f>
        <v>0</v>
      </c>
      <c r="Z17" s="24">
        <f>SUM(Z13:Z16)</f>
        <v>0</v>
      </c>
      <c r="AA17" s="167"/>
      <c r="AB17" s="167"/>
      <c r="AC17" s="24">
        <f>SUM(AC13:AC16)</f>
        <v>4</v>
      </c>
      <c r="AD17" s="24">
        <f>SUM(AD13:AD16)</f>
        <v>0</v>
      </c>
      <c r="AE17" s="14">
        <f t="shared" si="8"/>
        <v>-57.126524092701857</v>
      </c>
      <c r="AF17" s="91">
        <f t="shared" si="9"/>
        <v>0.96735627194702756</v>
      </c>
      <c r="AG17" s="177"/>
    </row>
    <row r="18" spans="1:33" ht="15.75" customHeight="1">
      <c r="A18" s="195" t="s">
        <v>170</v>
      </c>
      <c r="B18" s="28" t="s">
        <v>5</v>
      </c>
      <c r="C18" s="193" t="s">
        <v>2710</v>
      </c>
      <c r="D18" s="193"/>
      <c r="E18" s="28">
        <v>59.04</v>
      </c>
      <c r="F18" s="88">
        <v>7516</v>
      </c>
      <c r="G18" s="88">
        <f t="shared" ref="G18:G22" si="19">E18*F18</f>
        <v>443744.64</v>
      </c>
      <c r="H18" s="30" t="s">
        <v>53</v>
      </c>
      <c r="I18" s="95">
        <v>19</v>
      </c>
      <c r="J18" s="13">
        <v>2000</v>
      </c>
      <c r="K18" s="12">
        <f t="shared" si="1"/>
        <v>105.26315789473684</v>
      </c>
      <c r="L18" s="95">
        <v>19</v>
      </c>
      <c r="M18" s="13">
        <f t="shared" ref="M18:M22" si="20">F18/V18*60</f>
        <v>1902.7848101265822</v>
      </c>
      <c r="N18" s="12">
        <f t="shared" si="3"/>
        <v>100.14656895403064</v>
      </c>
      <c r="O18" s="14">
        <f t="shared" si="4"/>
        <v>0</v>
      </c>
      <c r="P18" s="15">
        <f t="shared" si="5"/>
        <v>-5.116588940706194</v>
      </c>
      <c r="Q18" s="91">
        <f t="shared" si="6"/>
        <v>0.95139240506329115</v>
      </c>
      <c r="R18" s="177">
        <f>Q23</f>
        <v>0.95901248142958562</v>
      </c>
      <c r="S18" s="21">
        <v>0.20833333333333334</v>
      </c>
      <c r="T18" s="21">
        <v>0.37291666666666667</v>
      </c>
      <c r="U18" s="88"/>
      <c r="V18" s="30">
        <f t="shared" ref="V18:V22" si="21">(T18-S18)*24*60</f>
        <v>237</v>
      </c>
      <c r="W18" s="21"/>
      <c r="X18" s="21"/>
      <c r="Y18" s="21"/>
      <c r="Z18" s="21"/>
      <c r="AA18" s="168"/>
      <c r="AB18" s="168"/>
      <c r="AC18" s="18">
        <v>5</v>
      </c>
      <c r="AD18" s="18"/>
      <c r="AE18" s="14">
        <f t="shared" si="8"/>
        <v>-97.215189873417785</v>
      </c>
      <c r="AF18" s="91">
        <f t="shared" si="9"/>
        <v>0.95139240506329115</v>
      </c>
      <c r="AG18" s="177">
        <f>AF23</f>
        <v>0.95901248142958573</v>
      </c>
    </row>
    <row r="19" spans="1:33" ht="15.75" customHeight="1">
      <c r="A19" s="196" t="s">
        <v>2875</v>
      </c>
      <c r="B19" s="28" t="s">
        <v>5</v>
      </c>
      <c r="C19" s="193" t="s">
        <v>73</v>
      </c>
      <c r="D19" s="193"/>
      <c r="E19" s="28">
        <v>50.67</v>
      </c>
      <c r="F19" s="88">
        <v>1662</v>
      </c>
      <c r="G19" s="88">
        <f t="shared" si="19"/>
        <v>84213.540000000008</v>
      </c>
      <c r="H19" s="30" t="s">
        <v>53</v>
      </c>
      <c r="I19" s="95">
        <v>17</v>
      </c>
      <c r="J19" s="13">
        <v>2000</v>
      </c>
      <c r="K19" s="12">
        <f t="shared" si="1"/>
        <v>117.64705882352941</v>
      </c>
      <c r="L19" s="95">
        <v>17</v>
      </c>
      <c r="M19" s="13">
        <f t="shared" si="20"/>
        <v>1917.6923076923088</v>
      </c>
      <c r="N19" s="12">
        <f t="shared" si="3"/>
        <v>112.80542986425345</v>
      </c>
      <c r="O19" s="14">
        <f t="shared" si="4"/>
        <v>0</v>
      </c>
      <c r="P19" s="15">
        <f t="shared" si="5"/>
        <v>-4.8416289592759512</v>
      </c>
      <c r="Q19" s="91">
        <f t="shared" si="6"/>
        <v>0.95884615384615446</v>
      </c>
      <c r="R19" s="177"/>
      <c r="S19" s="21">
        <v>0.37708333333333333</v>
      </c>
      <c r="T19" s="21">
        <v>0.41319444444444442</v>
      </c>
      <c r="U19" s="88">
        <f t="shared" ref="U19:U22" si="22">IF(S19=TIME(17,0,0),"",(S19-T18)*24*60)</f>
        <v>5.9999999999999787</v>
      </c>
      <c r="V19" s="30">
        <f t="shared" si="21"/>
        <v>51.999999999999972</v>
      </c>
      <c r="W19" s="16"/>
      <c r="X19" s="88"/>
      <c r="Y19" s="88"/>
      <c r="Z19" s="88"/>
      <c r="AA19" s="168"/>
      <c r="AB19" s="168"/>
      <c r="AC19" s="18"/>
      <c r="AD19" s="18"/>
      <c r="AE19" s="14">
        <f t="shared" si="8"/>
        <v>-82.307692307691241</v>
      </c>
      <c r="AF19" s="91">
        <f t="shared" si="9"/>
        <v>0.95884615384615435</v>
      </c>
      <c r="AG19" s="177"/>
    </row>
    <row r="20" spans="1:33" ht="15.75" customHeight="1">
      <c r="A20" s="196" t="s">
        <v>2875</v>
      </c>
      <c r="B20" s="28" t="s">
        <v>5</v>
      </c>
      <c r="C20" s="193" t="s">
        <v>17</v>
      </c>
      <c r="D20" s="193"/>
      <c r="E20" s="28">
        <v>57.73</v>
      </c>
      <c r="F20" s="88">
        <v>1737</v>
      </c>
      <c r="G20" s="88">
        <f t="shared" si="19"/>
        <v>100277.01</v>
      </c>
      <c r="H20" s="30" t="s">
        <v>53</v>
      </c>
      <c r="I20" s="95">
        <v>14</v>
      </c>
      <c r="J20" s="13">
        <v>2000</v>
      </c>
      <c r="K20" s="12">
        <f t="shared" si="1"/>
        <v>142.85714285714286</v>
      </c>
      <c r="L20" s="95">
        <v>14</v>
      </c>
      <c r="M20" s="13">
        <f t="shared" si="20"/>
        <v>1930.0000000000011</v>
      </c>
      <c r="N20" s="12">
        <f t="shared" si="3"/>
        <v>137.85714285714295</v>
      </c>
      <c r="O20" s="14">
        <f t="shared" si="4"/>
        <v>0</v>
      </c>
      <c r="P20" s="15">
        <f t="shared" si="5"/>
        <v>-4.9999999999999147</v>
      </c>
      <c r="Q20" s="91">
        <f t="shared" si="6"/>
        <v>0.96500000000000064</v>
      </c>
      <c r="R20" s="177"/>
      <c r="S20" s="21">
        <v>0.41805555555555551</v>
      </c>
      <c r="T20" s="21">
        <v>0.45555555555555549</v>
      </c>
      <c r="U20" s="88">
        <f t="shared" si="22"/>
        <v>6.9999999999999751</v>
      </c>
      <c r="V20" s="30">
        <f t="shared" si="21"/>
        <v>53.999999999999972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-69.999999999998863</v>
      </c>
      <c r="AF20" s="91">
        <f t="shared" si="9"/>
        <v>0.96500000000000052</v>
      </c>
      <c r="AG20" s="177"/>
    </row>
    <row r="21" spans="1:33" ht="15.75" customHeight="1">
      <c r="A21" s="196" t="s">
        <v>2875</v>
      </c>
      <c r="B21" s="28" t="s">
        <v>5</v>
      </c>
      <c r="C21" s="193" t="s">
        <v>19</v>
      </c>
      <c r="D21" s="193"/>
      <c r="E21" s="28">
        <v>50.49</v>
      </c>
      <c r="F21" s="88">
        <v>1311</v>
      </c>
      <c r="G21" s="88">
        <f t="shared" si="19"/>
        <v>66192.39</v>
      </c>
      <c r="H21" s="30" t="s">
        <v>53</v>
      </c>
      <c r="I21" s="95">
        <v>15</v>
      </c>
      <c r="J21" s="13">
        <v>2000</v>
      </c>
      <c r="K21" s="12">
        <f t="shared" si="1"/>
        <v>133.33333333333334</v>
      </c>
      <c r="L21" s="95">
        <v>15</v>
      </c>
      <c r="M21" s="13">
        <f t="shared" si="20"/>
        <v>1918.5365853658532</v>
      </c>
      <c r="N21" s="12">
        <f t="shared" si="3"/>
        <v>127.9024390243902</v>
      </c>
      <c r="O21" s="14">
        <f t="shared" si="4"/>
        <v>0</v>
      </c>
      <c r="P21" s="15">
        <f t="shared" si="5"/>
        <v>-5.4308943089431381</v>
      </c>
      <c r="Q21" s="91">
        <f t="shared" si="6"/>
        <v>0.95926829268292646</v>
      </c>
      <c r="R21" s="177"/>
      <c r="S21" s="21">
        <v>0.70833333333333337</v>
      </c>
      <c r="T21" s="21">
        <v>0.7368055555555556</v>
      </c>
      <c r="U21" s="88" t="str">
        <f t="shared" si="22"/>
        <v/>
      </c>
      <c r="V21" s="30">
        <f t="shared" si="21"/>
        <v>41.000000000000014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8"/>
        <v>-81.463414634146829</v>
      </c>
      <c r="AF21" s="91">
        <f t="shared" si="9"/>
        <v>0.95926829268292657</v>
      </c>
      <c r="AG21" s="177"/>
    </row>
    <row r="22" spans="1:33" ht="15.75" customHeight="1">
      <c r="A22" s="196" t="s">
        <v>2875</v>
      </c>
      <c r="B22" s="28" t="s">
        <v>5</v>
      </c>
      <c r="C22" s="193" t="s">
        <v>14</v>
      </c>
      <c r="D22" s="193"/>
      <c r="E22" s="28">
        <v>50.98</v>
      </c>
      <c r="F22" s="88">
        <v>1729</v>
      </c>
      <c r="G22" s="88">
        <f t="shared" si="19"/>
        <v>88144.42</v>
      </c>
      <c r="H22" s="30" t="s">
        <v>53</v>
      </c>
      <c r="I22" s="95">
        <v>16</v>
      </c>
      <c r="J22" s="13">
        <v>2000</v>
      </c>
      <c r="K22" s="12">
        <f t="shared" si="1"/>
        <v>125</v>
      </c>
      <c r="L22" s="95">
        <v>16</v>
      </c>
      <c r="M22" s="13">
        <f t="shared" si="20"/>
        <v>1921.111111111112</v>
      </c>
      <c r="N22" s="12">
        <f t="shared" si="3"/>
        <v>120.0694444444445</v>
      </c>
      <c r="O22" s="14">
        <f t="shared" si="4"/>
        <v>0</v>
      </c>
      <c r="P22" s="15">
        <f t="shared" si="5"/>
        <v>-4.9305555555555003</v>
      </c>
      <c r="Q22" s="91">
        <f t="shared" si="6"/>
        <v>0.96055555555555605</v>
      </c>
      <c r="R22" s="177"/>
      <c r="S22" s="21">
        <v>0.7416666666666667</v>
      </c>
      <c r="T22" s="21">
        <v>0.77916666666666667</v>
      </c>
      <c r="U22" s="88">
        <f t="shared" si="22"/>
        <v>6.9999999999999751</v>
      </c>
      <c r="V22" s="30">
        <f t="shared" si="21"/>
        <v>53.999999999999972</v>
      </c>
      <c r="W22" s="16"/>
      <c r="X22" s="16"/>
      <c r="Y22" s="88"/>
      <c r="Z22" s="88"/>
      <c r="AA22" s="168"/>
      <c r="AB22" s="168"/>
      <c r="AC22" s="18"/>
      <c r="AD22" s="18"/>
      <c r="AE22" s="14">
        <f t="shared" si="8"/>
        <v>-78.888888888888005</v>
      </c>
      <c r="AF22" s="91">
        <f t="shared" si="9"/>
        <v>0.96055555555555605</v>
      </c>
      <c r="AG22" s="177"/>
    </row>
    <row r="23" spans="1:33" ht="15.75" customHeight="1">
      <c r="A23" s="196" t="s">
        <v>2875</v>
      </c>
      <c r="B23" s="28" t="s">
        <v>2874</v>
      </c>
      <c r="C23" s="178"/>
      <c r="D23" s="178"/>
      <c r="E23" s="92"/>
      <c r="F23" s="88"/>
      <c r="G23" s="88"/>
      <c r="H23" s="88"/>
      <c r="I23" s="23">
        <v>16.2</v>
      </c>
      <c r="J23" s="13">
        <v>2000</v>
      </c>
      <c r="K23" s="12">
        <f t="shared" si="1"/>
        <v>123.4567901234568</v>
      </c>
      <c r="L23" s="23">
        <v>16.2</v>
      </c>
      <c r="M23" s="13">
        <f>AVERAGE(M18:M22)</f>
        <v>1918.0249628591714</v>
      </c>
      <c r="N23" s="12">
        <f t="shared" si="3"/>
        <v>118.39660264562787</v>
      </c>
      <c r="O23" s="14">
        <f t="shared" si="4"/>
        <v>0</v>
      </c>
      <c r="P23" s="15">
        <f t="shared" si="5"/>
        <v>-5.0601874778289329</v>
      </c>
      <c r="Q23" s="91">
        <f t="shared" si="6"/>
        <v>0.95901248142958562</v>
      </c>
      <c r="R23" s="177"/>
      <c r="S23" s="21"/>
      <c r="T23" s="21"/>
      <c r="U23" s="12"/>
      <c r="V23" s="30"/>
      <c r="W23" s="12"/>
      <c r="X23" s="12"/>
      <c r="Y23" s="24">
        <f>SUM(Y18:Y22)</f>
        <v>0</v>
      </c>
      <c r="Z23" s="24">
        <f>SUM(Z18:Z22)</f>
        <v>0</v>
      </c>
      <c r="AA23" s="167"/>
      <c r="AB23" s="167"/>
      <c r="AC23" s="24">
        <f>SUM(AC18:AC22)</f>
        <v>5</v>
      </c>
      <c r="AD23" s="24">
        <f>SUM(AD18:AD22)</f>
        <v>0</v>
      </c>
      <c r="AE23" s="14">
        <f t="shared" si="8"/>
        <v>-81.97503714082859</v>
      </c>
      <c r="AF23" s="91">
        <f t="shared" si="9"/>
        <v>0.95901248142958573</v>
      </c>
      <c r="AG23" s="177"/>
    </row>
    <row r="24" spans="1:33" ht="15.75" customHeight="1">
      <c r="A24" s="194" t="s">
        <v>2876</v>
      </c>
      <c r="B24" s="28" t="s">
        <v>22</v>
      </c>
      <c r="C24" s="193" t="s">
        <v>23</v>
      </c>
      <c r="D24" s="193"/>
      <c r="E24" s="28">
        <v>31.29</v>
      </c>
      <c r="F24" s="88">
        <v>5600</v>
      </c>
      <c r="G24" s="88">
        <f t="shared" ref="G24:G29" si="23">E24*F24</f>
        <v>175224</v>
      </c>
      <c r="H24" s="30">
        <v>2</v>
      </c>
      <c r="I24" s="95">
        <v>18</v>
      </c>
      <c r="J24" s="13">
        <v>2400</v>
      </c>
      <c r="K24" s="12">
        <f t="shared" si="1"/>
        <v>133.33333333333334</v>
      </c>
      <c r="L24" s="95">
        <v>18</v>
      </c>
      <c r="M24" s="13">
        <f t="shared" ref="M24:M29" si="24">F24/V24*60</f>
        <v>2285.7142857142858</v>
      </c>
      <c r="N24" s="12">
        <f t="shared" si="3"/>
        <v>126.98412698412699</v>
      </c>
      <c r="O24" s="14">
        <f t="shared" si="4"/>
        <v>0</v>
      </c>
      <c r="P24" s="15">
        <f t="shared" si="5"/>
        <v>-6.3492063492063551</v>
      </c>
      <c r="Q24" s="91">
        <f t="shared" si="6"/>
        <v>0.95238095238095233</v>
      </c>
      <c r="R24" s="177">
        <f>Q30</f>
        <v>0.95585452167498319</v>
      </c>
      <c r="S24" s="21">
        <v>8.3333333333333329E-2</v>
      </c>
      <c r="T24" s="21">
        <v>0.18541666666666667</v>
      </c>
      <c r="U24" s="88"/>
      <c r="V24" s="30">
        <f t="shared" ref="V24:V29" si="25">(T24-S24)*24*60</f>
        <v>147</v>
      </c>
      <c r="W24" s="16">
        <f>T24</f>
        <v>0.18541666666666667</v>
      </c>
      <c r="X24" s="16">
        <f>S25</f>
        <v>0.20347222222222222</v>
      </c>
      <c r="Y24" s="16"/>
      <c r="Z24" s="16"/>
      <c r="AA24" s="168"/>
      <c r="AB24" s="168"/>
      <c r="AC24" s="18">
        <v>6</v>
      </c>
      <c r="AD24" s="18"/>
      <c r="AE24" s="14">
        <f t="shared" si="8"/>
        <v>-114.28571428571422</v>
      </c>
      <c r="AF24" s="91">
        <f t="shared" si="9"/>
        <v>0.95238095238095244</v>
      </c>
      <c r="AG24" s="177">
        <f>AF30</f>
        <v>0.95585452167498319</v>
      </c>
    </row>
    <row r="25" spans="1:33" ht="15.75" customHeight="1">
      <c r="A25" s="194" t="s">
        <v>2876</v>
      </c>
      <c r="B25" s="28" t="s">
        <v>22</v>
      </c>
      <c r="C25" s="193" t="s">
        <v>25</v>
      </c>
      <c r="D25" s="193"/>
      <c r="E25" s="28">
        <v>26.2</v>
      </c>
      <c r="F25" s="88">
        <v>4855</v>
      </c>
      <c r="G25" s="88">
        <f t="shared" si="23"/>
        <v>127201</v>
      </c>
      <c r="H25" s="30" t="s">
        <v>53</v>
      </c>
      <c r="I25" s="95">
        <v>20</v>
      </c>
      <c r="J25" s="13">
        <v>2400</v>
      </c>
      <c r="K25" s="12">
        <f t="shared" si="1"/>
        <v>120</v>
      </c>
      <c r="L25" s="95">
        <v>20</v>
      </c>
      <c r="M25" s="13">
        <f t="shared" si="24"/>
        <v>2293.7007874015744</v>
      </c>
      <c r="N25" s="12">
        <f t="shared" si="3"/>
        <v>114.68503937007873</v>
      </c>
      <c r="O25" s="14">
        <f t="shared" si="4"/>
        <v>0</v>
      </c>
      <c r="P25" s="15">
        <f t="shared" si="5"/>
        <v>-5.3149606299212735</v>
      </c>
      <c r="Q25" s="91">
        <f t="shared" si="6"/>
        <v>0.95570866141732269</v>
      </c>
      <c r="R25" s="177"/>
      <c r="S25" s="21">
        <v>0.20347222222222222</v>
      </c>
      <c r="T25" s="21">
        <v>0.29166666666666669</v>
      </c>
      <c r="U25" s="88">
        <f t="shared" ref="U25:U29" si="26">(S25-T24)*24*60</f>
        <v>25.999999999999986</v>
      </c>
      <c r="V25" s="30">
        <f t="shared" si="25"/>
        <v>127.00000000000003</v>
      </c>
      <c r="W25" s="16"/>
      <c r="X25" s="16"/>
      <c r="Y25" s="16"/>
      <c r="Z25" s="16"/>
      <c r="AA25" s="168"/>
      <c r="AB25" s="168"/>
      <c r="AC25" s="18"/>
      <c r="AD25" s="18"/>
      <c r="AE25" s="14">
        <f t="shared" si="8"/>
        <v>-106.29921259842558</v>
      </c>
      <c r="AF25" s="91">
        <f t="shared" si="9"/>
        <v>0.95570866141732269</v>
      </c>
      <c r="AG25" s="177"/>
    </row>
    <row r="26" spans="1:33" ht="15.75" customHeight="1">
      <c r="A26" s="194" t="s">
        <v>2876</v>
      </c>
      <c r="B26" s="28" t="s">
        <v>22</v>
      </c>
      <c r="C26" s="193" t="s">
        <v>2712</v>
      </c>
      <c r="D26" s="193"/>
      <c r="E26" s="28">
        <v>26.37</v>
      </c>
      <c r="F26" s="88">
        <v>6714</v>
      </c>
      <c r="G26" s="88">
        <f t="shared" si="23"/>
        <v>177048.18</v>
      </c>
      <c r="H26" s="30" t="s">
        <v>53</v>
      </c>
      <c r="I26" s="95">
        <v>19</v>
      </c>
      <c r="J26" s="13">
        <v>2400</v>
      </c>
      <c r="K26" s="12">
        <f t="shared" si="1"/>
        <v>126.31578947368421</v>
      </c>
      <c r="L26" s="95">
        <v>19</v>
      </c>
      <c r="M26" s="13">
        <f t="shared" si="24"/>
        <v>2288.8636363636365</v>
      </c>
      <c r="N26" s="12">
        <f t="shared" si="3"/>
        <v>120.46650717703351</v>
      </c>
      <c r="O26" s="14">
        <f t="shared" si="4"/>
        <v>0</v>
      </c>
      <c r="P26" s="15">
        <f t="shared" si="5"/>
        <v>-5.8492822966506992</v>
      </c>
      <c r="Q26" s="91">
        <f t="shared" si="6"/>
        <v>0.95369318181818197</v>
      </c>
      <c r="R26" s="177"/>
      <c r="S26" s="21">
        <v>0.29652777777777778</v>
      </c>
      <c r="T26" s="21">
        <v>0.41875000000000001</v>
      </c>
      <c r="U26" s="88">
        <f t="shared" si="26"/>
        <v>6.9999999999999751</v>
      </c>
      <c r="V26" s="30">
        <f t="shared" si="25"/>
        <v>176</v>
      </c>
      <c r="W26" s="16"/>
      <c r="X26" s="16"/>
      <c r="Y26" s="16"/>
      <c r="Z26" s="16"/>
      <c r="AA26" s="168"/>
      <c r="AB26" s="168"/>
      <c r="AC26" s="18"/>
      <c r="AD26" s="18"/>
      <c r="AE26" s="14">
        <f t="shared" si="8"/>
        <v>-111.13636363636351</v>
      </c>
      <c r="AF26" s="91">
        <f t="shared" si="9"/>
        <v>0.95369318181818186</v>
      </c>
      <c r="AG26" s="177"/>
    </row>
    <row r="27" spans="1:33" ht="15.75" customHeight="1">
      <c r="A27" s="194" t="s">
        <v>2876</v>
      </c>
      <c r="B27" s="28" t="s">
        <v>22</v>
      </c>
      <c r="C27" s="193" t="s">
        <v>26</v>
      </c>
      <c r="D27" s="193"/>
      <c r="E27" s="28">
        <v>25.99</v>
      </c>
      <c r="F27" s="88">
        <v>3856</v>
      </c>
      <c r="G27" s="88">
        <f t="shared" si="23"/>
        <v>100217.43999999999</v>
      </c>
      <c r="H27" s="30" t="s">
        <v>53</v>
      </c>
      <c r="I27" s="95">
        <v>14</v>
      </c>
      <c r="J27" s="13">
        <v>2400</v>
      </c>
      <c r="K27" s="12">
        <f t="shared" si="1"/>
        <v>171.42857142857142</v>
      </c>
      <c r="L27" s="95">
        <v>14</v>
      </c>
      <c r="M27" s="13">
        <f t="shared" si="24"/>
        <v>2290.6930693069298</v>
      </c>
      <c r="N27" s="12">
        <f t="shared" si="3"/>
        <v>163.62093352192355</v>
      </c>
      <c r="O27" s="14">
        <f t="shared" si="4"/>
        <v>0</v>
      </c>
      <c r="P27" s="15">
        <f t="shared" si="5"/>
        <v>-7.8076379066478694</v>
      </c>
      <c r="Q27" s="91">
        <f t="shared" si="6"/>
        <v>0.95445544554455408</v>
      </c>
      <c r="R27" s="177"/>
      <c r="S27" s="21">
        <v>0.42291666666666666</v>
      </c>
      <c r="T27" s="21">
        <v>0.49305555555555558</v>
      </c>
      <c r="U27" s="88">
        <f t="shared" si="26"/>
        <v>5.9999999999999787</v>
      </c>
      <c r="V27" s="30">
        <f t="shared" si="25"/>
        <v>101.00000000000004</v>
      </c>
      <c r="W27" s="16">
        <f>T27</f>
        <v>0.49305555555555558</v>
      </c>
      <c r="X27" s="16">
        <f>S28</f>
        <v>0.53472222222222221</v>
      </c>
      <c r="Y27" s="16"/>
      <c r="Z27" s="16"/>
      <c r="AA27" s="168"/>
      <c r="AB27" s="168"/>
      <c r="AC27" s="18"/>
      <c r="AD27" s="18"/>
      <c r="AE27" s="14">
        <f t="shared" si="8"/>
        <v>-109.30693069307017</v>
      </c>
      <c r="AF27" s="91">
        <f t="shared" si="9"/>
        <v>0.95445544554455408</v>
      </c>
      <c r="AG27" s="177"/>
    </row>
    <row r="28" spans="1:33" ht="15.75" customHeight="1">
      <c r="A28" s="194" t="s">
        <v>2876</v>
      </c>
      <c r="B28" s="28" t="s">
        <v>22</v>
      </c>
      <c r="C28" s="193" t="s">
        <v>23</v>
      </c>
      <c r="D28" s="193"/>
      <c r="E28" s="28">
        <v>31.29</v>
      </c>
      <c r="F28" s="88">
        <v>3458</v>
      </c>
      <c r="G28" s="88">
        <f t="shared" si="23"/>
        <v>108200.81999999999</v>
      </c>
      <c r="H28" s="30" t="s">
        <v>53</v>
      </c>
      <c r="I28" s="95">
        <v>18</v>
      </c>
      <c r="J28" s="13">
        <v>2400</v>
      </c>
      <c r="K28" s="12">
        <f t="shared" si="1"/>
        <v>133.33333333333334</v>
      </c>
      <c r="L28" s="95">
        <v>18</v>
      </c>
      <c r="M28" s="13">
        <f t="shared" si="24"/>
        <v>2305.3333333333335</v>
      </c>
      <c r="N28" s="12">
        <f t="shared" si="3"/>
        <v>128.07407407407408</v>
      </c>
      <c r="O28" s="14">
        <f t="shared" si="4"/>
        <v>0</v>
      </c>
      <c r="P28" s="15">
        <f t="shared" si="5"/>
        <v>-5.2592592592592666</v>
      </c>
      <c r="Q28" s="91">
        <f t="shared" si="6"/>
        <v>0.9605555555555555</v>
      </c>
      <c r="R28" s="177"/>
      <c r="S28" s="21">
        <v>0.53472222222222221</v>
      </c>
      <c r="T28" s="21">
        <v>0.59722222222222221</v>
      </c>
      <c r="U28" s="88">
        <f t="shared" si="26"/>
        <v>59.999999999999943</v>
      </c>
      <c r="V28" s="30">
        <f t="shared" si="25"/>
        <v>90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-94.666666666666515</v>
      </c>
      <c r="AF28" s="91">
        <f t="shared" si="9"/>
        <v>0.96055555555555561</v>
      </c>
      <c r="AG28" s="177"/>
    </row>
    <row r="29" spans="1:33" ht="15.75" customHeight="1">
      <c r="A29" s="194" t="s">
        <v>2876</v>
      </c>
      <c r="B29" s="28" t="s">
        <v>22</v>
      </c>
      <c r="C29" s="193" t="s">
        <v>28</v>
      </c>
      <c r="D29" s="193"/>
      <c r="E29" s="28">
        <v>26.2</v>
      </c>
      <c r="F29" s="88">
        <v>1380</v>
      </c>
      <c r="G29" s="88">
        <f t="shared" si="23"/>
        <v>36156</v>
      </c>
      <c r="H29" s="30" t="s">
        <v>53</v>
      </c>
      <c r="I29" s="95">
        <v>18</v>
      </c>
      <c r="J29" s="13">
        <v>2400</v>
      </c>
      <c r="K29" s="12">
        <f t="shared" si="1"/>
        <v>133.33333333333334</v>
      </c>
      <c r="L29" s="95">
        <v>18</v>
      </c>
      <c r="M29" s="13">
        <f t="shared" si="24"/>
        <v>2299.9999999999982</v>
      </c>
      <c r="N29" s="12">
        <f t="shared" si="3"/>
        <v>127.77777777777767</v>
      </c>
      <c r="O29" s="14">
        <f t="shared" si="4"/>
        <v>0</v>
      </c>
      <c r="P29" s="15">
        <f t="shared" si="5"/>
        <v>-5.5555555555556708</v>
      </c>
      <c r="Q29" s="91">
        <f t="shared" si="6"/>
        <v>0.95833333333333248</v>
      </c>
      <c r="R29" s="177"/>
      <c r="S29" s="21">
        <v>0.60069444444444442</v>
      </c>
      <c r="T29" s="21">
        <v>0.62569444444444444</v>
      </c>
      <c r="U29" s="88">
        <f t="shared" si="26"/>
        <v>4.9999999999999822</v>
      </c>
      <c r="V29" s="30">
        <f t="shared" si="25"/>
        <v>36.000000000000028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8"/>
        <v>-100.00000000000182</v>
      </c>
      <c r="AF29" s="91">
        <f t="shared" si="9"/>
        <v>0.95833333333333259</v>
      </c>
      <c r="AG29" s="177"/>
    </row>
    <row r="30" spans="1:33" ht="15.75" customHeight="1">
      <c r="A30" s="194" t="s">
        <v>2876</v>
      </c>
      <c r="B30" s="28" t="s">
        <v>2874</v>
      </c>
      <c r="C30" s="178"/>
      <c r="D30" s="178"/>
      <c r="E30" s="92"/>
      <c r="F30" s="88"/>
      <c r="G30" s="88"/>
      <c r="H30" s="88"/>
      <c r="I30" s="23">
        <v>17.833333333333332</v>
      </c>
      <c r="J30" s="13">
        <v>2400</v>
      </c>
      <c r="K30" s="12">
        <f t="shared" si="1"/>
        <v>134.57943925233647</v>
      </c>
      <c r="L30" s="23">
        <v>17.833333333333332</v>
      </c>
      <c r="M30" s="13">
        <f>AVERAGE(M24:M29)</f>
        <v>2294.0508520199596</v>
      </c>
      <c r="N30" s="12">
        <f t="shared" si="3"/>
        <v>128.63836553382953</v>
      </c>
      <c r="O30" s="14">
        <f t="shared" si="4"/>
        <v>0</v>
      </c>
      <c r="P30" s="15">
        <f t="shared" si="5"/>
        <v>-5.9410737185069422</v>
      </c>
      <c r="Q30" s="91">
        <f t="shared" si="6"/>
        <v>0.95585452167498319</v>
      </c>
      <c r="R30" s="177"/>
      <c r="S30" s="21"/>
      <c r="T30" s="21"/>
      <c r="U30" s="88"/>
      <c r="V30" s="30"/>
      <c r="W30" s="88"/>
      <c r="X30" s="88"/>
      <c r="Y30" s="24">
        <f>SUM(Y24:Y29)</f>
        <v>0</v>
      </c>
      <c r="Z30" s="24">
        <f>SUM(Z24:Z29)</f>
        <v>0</v>
      </c>
      <c r="AA30" s="167"/>
      <c r="AB30" s="167"/>
      <c r="AC30" s="24">
        <f>SUM(AC24:AC29)</f>
        <v>6</v>
      </c>
      <c r="AD30" s="24">
        <f>SUM(AD24:AD29)</f>
        <v>0</v>
      </c>
      <c r="AE30" s="14">
        <f t="shared" si="8"/>
        <v>-105.94914798004038</v>
      </c>
      <c r="AF30" s="91">
        <f t="shared" si="9"/>
        <v>0.95585452167498319</v>
      </c>
      <c r="AG30" s="177"/>
    </row>
    <row r="31" spans="1:33" ht="15.75" customHeight="1">
      <c r="A31" s="191" t="s">
        <v>2877</v>
      </c>
      <c r="B31" s="28" t="s">
        <v>22</v>
      </c>
      <c r="C31" s="169" t="s">
        <v>2714</v>
      </c>
      <c r="D31" s="169"/>
      <c r="E31" s="28">
        <v>20.36</v>
      </c>
      <c r="F31" s="88">
        <v>3900</v>
      </c>
      <c r="G31" s="88">
        <f t="shared" ref="G31:G37" si="27">E31*F31</f>
        <v>79404</v>
      </c>
      <c r="H31" s="30">
        <v>2</v>
      </c>
      <c r="I31" s="95">
        <v>18</v>
      </c>
      <c r="J31" s="13">
        <v>2400</v>
      </c>
      <c r="K31" s="12">
        <f t="shared" si="1"/>
        <v>133.33333333333334</v>
      </c>
      <c r="L31" s="95">
        <v>18</v>
      </c>
      <c r="M31" s="13">
        <f t="shared" ref="M31:M37" si="28">F31/V31*60</f>
        <v>2294.117647058823</v>
      </c>
      <c r="N31" s="12">
        <f t="shared" si="3"/>
        <v>127.45098039215684</v>
      </c>
      <c r="O31" s="14">
        <f t="shared" si="4"/>
        <v>0</v>
      </c>
      <c r="P31" s="15">
        <f t="shared" si="5"/>
        <v>-5.8823529411765065</v>
      </c>
      <c r="Q31" s="91">
        <f t="shared" si="6"/>
        <v>0.95588235294117618</v>
      </c>
      <c r="R31" s="177">
        <f>Q38</f>
        <v>0.95527862315357392</v>
      </c>
      <c r="S31" s="21">
        <v>8.3333333333333329E-2</v>
      </c>
      <c r="T31" s="21">
        <v>0.15416666666666667</v>
      </c>
      <c r="U31" s="88"/>
      <c r="V31" s="30">
        <f t="shared" ref="V31:V37" si="29">(T31-S31)*24*60</f>
        <v>102.00000000000001</v>
      </c>
      <c r="W31" s="21">
        <f>T31</f>
        <v>0.15416666666666667</v>
      </c>
      <c r="X31" s="21">
        <f>S32</f>
        <v>0.17430555555555557</v>
      </c>
      <c r="Y31" s="21"/>
      <c r="Z31" s="21"/>
      <c r="AA31" s="168"/>
      <c r="AB31" s="168"/>
      <c r="AC31" s="18">
        <v>7</v>
      </c>
      <c r="AD31" s="18"/>
      <c r="AE31" s="14">
        <f t="shared" si="8"/>
        <v>-105.88235294117703</v>
      </c>
      <c r="AF31" s="91">
        <f t="shared" si="9"/>
        <v>0.95588235294117618</v>
      </c>
      <c r="AG31" s="177">
        <f>AF38</f>
        <v>0.95527862315357392</v>
      </c>
    </row>
    <row r="32" spans="1:33" ht="15.75" customHeight="1">
      <c r="A32" s="191" t="s">
        <v>2877</v>
      </c>
      <c r="B32" s="28" t="s">
        <v>22</v>
      </c>
      <c r="C32" s="169" t="s">
        <v>51</v>
      </c>
      <c r="D32" s="169"/>
      <c r="E32" s="28">
        <v>24.43</v>
      </c>
      <c r="F32" s="88">
        <v>5859</v>
      </c>
      <c r="G32" s="88">
        <f t="shared" si="27"/>
        <v>143135.37</v>
      </c>
      <c r="H32" s="30" t="s">
        <v>53</v>
      </c>
      <c r="I32" s="95">
        <v>14</v>
      </c>
      <c r="J32" s="13">
        <v>2400</v>
      </c>
      <c r="K32" s="12">
        <f t="shared" si="1"/>
        <v>171.42857142857142</v>
      </c>
      <c r="L32" s="95">
        <v>14</v>
      </c>
      <c r="M32" s="13">
        <f t="shared" si="28"/>
        <v>2282.727272727273</v>
      </c>
      <c r="N32" s="12">
        <f t="shared" si="3"/>
        <v>163.05194805194807</v>
      </c>
      <c r="O32" s="14">
        <f t="shared" si="4"/>
        <v>0</v>
      </c>
      <c r="P32" s="15">
        <f t="shared" si="5"/>
        <v>-8.3766233766233427</v>
      </c>
      <c r="Q32" s="91">
        <f t="shared" si="6"/>
        <v>0.95113636363636378</v>
      </c>
      <c r="R32" s="177"/>
      <c r="S32" s="21">
        <v>0.17430555555555557</v>
      </c>
      <c r="T32" s="21">
        <v>0.28125</v>
      </c>
      <c r="U32" s="88">
        <f t="shared" ref="U32:U37" si="30">(S32-T31)*24*60</f>
        <v>29.000000000000018</v>
      </c>
      <c r="V32" s="30">
        <f t="shared" si="29"/>
        <v>154</v>
      </c>
      <c r="W32" s="88"/>
      <c r="X32" s="88"/>
      <c r="Y32" s="88"/>
      <c r="Z32" s="88"/>
      <c r="AA32" s="168"/>
      <c r="AB32" s="168"/>
      <c r="AC32" s="18"/>
      <c r="AD32" s="18"/>
      <c r="AE32" s="14">
        <f t="shared" si="8"/>
        <v>-117.27272727272702</v>
      </c>
      <c r="AF32" s="91">
        <f t="shared" si="9"/>
        <v>0.95113636363636378</v>
      </c>
      <c r="AG32" s="177"/>
    </row>
    <row r="33" spans="1:33">
      <c r="A33" s="192" t="s">
        <v>2877</v>
      </c>
      <c r="B33" s="28" t="s">
        <v>22</v>
      </c>
      <c r="C33" s="169" t="s">
        <v>24</v>
      </c>
      <c r="D33" s="169"/>
      <c r="E33" s="28">
        <v>25.98</v>
      </c>
      <c r="F33" s="88">
        <v>2793</v>
      </c>
      <c r="G33" s="88">
        <f t="shared" si="27"/>
        <v>72562.14</v>
      </c>
      <c r="H33" s="30" t="s">
        <v>53</v>
      </c>
      <c r="I33" s="95">
        <v>21</v>
      </c>
      <c r="J33" s="13">
        <v>2400</v>
      </c>
      <c r="K33" s="12">
        <f t="shared" si="1"/>
        <v>114.28571428571429</v>
      </c>
      <c r="L33" s="95">
        <v>21</v>
      </c>
      <c r="M33" s="13">
        <f t="shared" si="28"/>
        <v>2295.616438356165</v>
      </c>
      <c r="N33" s="12">
        <f t="shared" si="3"/>
        <v>109.31506849315072</v>
      </c>
      <c r="O33" s="14">
        <f t="shared" si="4"/>
        <v>0</v>
      </c>
      <c r="P33" s="15">
        <f t="shared" si="5"/>
        <v>-4.9706457925635732</v>
      </c>
      <c r="Q33" s="91">
        <f t="shared" si="6"/>
        <v>0.95650684931506869</v>
      </c>
      <c r="R33" s="177"/>
      <c r="S33" s="21">
        <v>0.28541666666666665</v>
      </c>
      <c r="T33" s="21">
        <v>0.33611111111111108</v>
      </c>
      <c r="U33" s="88">
        <f t="shared" si="30"/>
        <v>5.9999999999999787</v>
      </c>
      <c r="V33" s="30">
        <f t="shared" si="29"/>
        <v>72.999999999999986</v>
      </c>
      <c r="W33" s="88"/>
      <c r="X33" s="88"/>
      <c r="Y33" s="88"/>
      <c r="Z33" s="88"/>
      <c r="AA33" s="168"/>
      <c r="AB33" s="168"/>
      <c r="AC33" s="18"/>
      <c r="AD33" s="18"/>
      <c r="AE33" s="14">
        <f t="shared" si="8"/>
        <v>-104.38356164383504</v>
      </c>
      <c r="AF33" s="91">
        <f t="shared" si="9"/>
        <v>0.95650684931506869</v>
      </c>
      <c r="AG33" s="177"/>
    </row>
    <row r="34" spans="1:33">
      <c r="A34" s="192" t="s">
        <v>2877</v>
      </c>
      <c r="B34" s="28" t="s">
        <v>22</v>
      </c>
      <c r="C34" s="169" t="s">
        <v>2715</v>
      </c>
      <c r="D34" s="169"/>
      <c r="E34" s="28">
        <v>34.1</v>
      </c>
      <c r="F34" s="88">
        <v>4000</v>
      </c>
      <c r="G34" s="88">
        <f t="shared" si="27"/>
        <v>136400</v>
      </c>
      <c r="H34" s="30">
        <v>2</v>
      </c>
      <c r="I34" s="95">
        <v>17</v>
      </c>
      <c r="J34" s="13">
        <v>1600</v>
      </c>
      <c r="K34" s="12">
        <f t="shared" si="1"/>
        <v>94.117647058823536</v>
      </c>
      <c r="L34" s="95">
        <v>17</v>
      </c>
      <c r="M34" s="13">
        <f t="shared" si="28"/>
        <v>1528.6624203821657</v>
      </c>
      <c r="N34" s="12">
        <f t="shared" si="3"/>
        <v>89.92131884600974</v>
      </c>
      <c r="O34" s="14">
        <f t="shared" si="4"/>
        <v>0</v>
      </c>
      <c r="P34" s="15">
        <f t="shared" si="5"/>
        <v>-4.1963282128137962</v>
      </c>
      <c r="Q34" s="91">
        <f t="shared" si="6"/>
        <v>0.9554140127388534</v>
      </c>
      <c r="R34" s="177"/>
      <c r="S34" s="21">
        <v>0.34097222222222218</v>
      </c>
      <c r="T34" s="21">
        <v>0.44999999999999996</v>
      </c>
      <c r="U34" s="88">
        <f t="shared" si="30"/>
        <v>6.9999999999999751</v>
      </c>
      <c r="V34" s="30">
        <f t="shared" si="29"/>
        <v>157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8"/>
        <v>-71.337579617834308</v>
      </c>
      <c r="AF34" s="91">
        <f t="shared" si="9"/>
        <v>0.95541401273885351</v>
      </c>
      <c r="AG34" s="177"/>
    </row>
    <row r="35" spans="1:33">
      <c r="A35" s="192" t="s">
        <v>2877</v>
      </c>
      <c r="B35" s="28" t="s">
        <v>22</v>
      </c>
      <c r="C35" s="169" t="s">
        <v>49</v>
      </c>
      <c r="D35" s="169"/>
      <c r="E35" s="28">
        <v>20.2</v>
      </c>
      <c r="F35" s="88">
        <v>1760</v>
      </c>
      <c r="G35" s="88">
        <f t="shared" si="27"/>
        <v>35552</v>
      </c>
      <c r="H35" s="30" t="s">
        <v>53</v>
      </c>
      <c r="I35" s="95">
        <v>15</v>
      </c>
      <c r="J35" s="13">
        <v>2400</v>
      </c>
      <c r="K35" s="12">
        <f t="shared" si="1"/>
        <v>160</v>
      </c>
      <c r="L35" s="95">
        <v>15</v>
      </c>
      <c r="M35" s="13">
        <f t="shared" si="28"/>
        <v>2295.6521739130435</v>
      </c>
      <c r="N35" s="12">
        <f t="shared" si="3"/>
        <v>153.04347826086956</v>
      </c>
      <c r="O35" s="14">
        <f t="shared" si="4"/>
        <v>0</v>
      </c>
      <c r="P35" s="15">
        <f t="shared" si="5"/>
        <v>-6.9565217391304373</v>
      </c>
      <c r="Q35" s="91">
        <f t="shared" si="6"/>
        <v>0.95652173913043481</v>
      </c>
      <c r="R35" s="177"/>
      <c r="S35" s="21">
        <v>0.45555555555555549</v>
      </c>
      <c r="T35" s="21">
        <v>0.48749999999999993</v>
      </c>
      <c r="U35" s="88">
        <f t="shared" si="30"/>
        <v>7.9999999999999716</v>
      </c>
      <c r="V35" s="30">
        <f t="shared" si="29"/>
        <v>46</v>
      </c>
      <c r="W35" s="16">
        <f>T35</f>
        <v>0.48749999999999993</v>
      </c>
      <c r="X35" s="16">
        <f>S36</f>
        <v>0.5263888888888888</v>
      </c>
      <c r="Y35" s="16"/>
      <c r="Z35" s="16"/>
      <c r="AA35" s="168"/>
      <c r="AB35" s="168"/>
      <c r="AC35" s="18"/>
      <c r="AD35" s="18"/>
      <c r="AE35" s="14">
        <f t="shared" si="8"/>
        <v>-104.3478260869565</v>
      </c>
      <c r="AF35" s="91">
        <f t="shared" si="9"/>
        <v>0.95652173913043481</v>
      </c>
      <c r="AG35" s="177"/>
    </row>
    <row r="36" spans="1:33">
      <c r="A36" s="192" t="s">
        <v>2877</v>
      </c>
      <c r="B36" s="28" t="s">
        <v>22</v>
      </c>
      <c r="C36" s="169" t="s">
        <v>2715</v>
      </c>
      <c r="D36" s="169"/>
      <c r="E36" s="28">
        <v>34.1</v>
      </c>
      <c r="F36" s="88">
        <v>2715</v>
      </c>
      <c r="G36" s="88">
        <f t="shared" si="27"/>
        <v>92581.5</v>
      </c>
      <c r="H36" s="30" t="s">
        <v>53</v>
      </c>
      <c r="I36" s="95">
        <v>17</v>
      </c>
      <c r="J36" s="13">
        <v>1600</v>
      </c>
      <c r="K36" s="12">
        <f t="shared" si="1"/>
        <v>94.117647058823536</v>
      </c>
      <c r="L36" s="95">
        <v>17</v>
      </c>
      <c r="M36" s="13">
        <f t="shared" si="28"/>
        <v>1536.7924528301894</v>
      </c>
      <c r="N36" s="12">
        <f t="shared" si="3"/>
        <v>90.399556048834668</v>
      </c>
      <c r="O36" s="14">
        <f t="shared" si="4"/>
        <v>0</v>
      </c>
      <c r="P36" s="15">
        <f t="shared" si="5"/>
        <v>-3.7180910099888678</v>
      </c>
      <c r="Q36" s="91">
        <f t="shared" si="6"/>
        <v>0.96049528301886833</v>
      </c>
      <c r="R36" s="177"/>
      <c r="S36" s="21">
        <v>0.5263888888888888</v>
      </c>
      <c r="T36" s="21">
        <v>0.59999999999999987</v>
      </c>
      <c r="U36" s="88">
        <f t="shared" si="30"/>
        <v>55.999999999999957</v>
      </c>
      <c r="V36" s="30">
        <f t="shared" si="29"/>
        <v>105.99999999999994</v>
      </c>
      <c r="W36" s="16"/>
      <c r="X36" s="16"/>
      <c r="Y36" s="16"/>
      <c r="Z36" s="16"/>
      <c r="AA36" s="168"/>
      <c r="AB36" s="168"/>
      <c r="AC36" s="18"/>
      <c r="AD36" s="18"/>
      <c r="AE36" s="14">
        <f t="shared" si="8"/>
        <v>-63.207547169810596</v>
      </c>
      <c r="AF36" s="91">
        <f t="shared" si="9"/>
        <v>0.96049528301886833</v>
      </c>
      <c r="AG36" s="177"/>
    </row>
    <row r="37" spans="1:33">
      <c r="A37" s="192" t="s">
        <v>2877</v>
      </c>
      <c r="B37" s="28" t="s">
        <v>22</v>
      </c>
      <c r="C37" s="169" t="s">
        <v>2714</v>
      </c>
      <c r="D37" s="169"/>
      <c r="E37" s="28">
        <v>20.36</v>
      </c>
      <c r="F37" s="88">
        <v>2744</v>
      </c>
      <c r="G37" s="88">
        <f t="shared" si="27"/>
        <v>55867.839999999997</v>
      </c>
      <c r="H37" s="30" t="s">
        <v>53</v>
      </c>
      <c r="I37" s="95">
        <v>18</v>
      </c>
      <c r="J37" s="13">
        <v>2400</v>
      </c>
      <c r="K37" s="12">
        <f t="shared" si="1"/>
        <v>133.33333333333334</v>
      </c>
      <c r="L37" s="95">
        <v>18</v>
      </c>
      <c r="M37" s="13">
        <f t="shared" si="28"/>
        <v>2286.6666666666647</v>
      </c>
      <c r="N37" s="12">
        <f t="shared" si="3"/>
        <v>127.03703703703692</v>
      </c>
      <c r="O37" s="14">
        <f t="shared" si="4"/>
        <v>0</v>
      </c>
      <c r="P37" s="15">
        <f t="shared" si="5"/>
        <v>-6.2962962962964184</v>
      </c>
      <c r="Q37" s="91">
        <f t="shared" si="6"/>
        <v>0.95277777777777684</v>
      </c>
      <c r="R37" s="177"/>
      <c r="S37" s="21">
        <v>0.60347222222222208</v>
      </c>
      <c r="T37" s="21">
        <v>0.65347222222222212</v>
      </c>
      <c r="U37" s="88">
        <f t="shared" si="30"/>
        <v>4.9999999999999822</v>
      </c>
      <c r="V37" s="30">
        <f t="shared" si="29"/>
        <v>72.000000000000057</v>
      </c>
      <c r="W37" s="16"/>
      <c r="X37" s="16"/>
      <c r="Y37" s="19"/>
      <c r="Z37" s="19"/>
      <c r="AA37" s="172"/>
      <c r="AB37" s="173"/>
      <c r="AC37" s="18"/>
      <c r="AD37" s="18"/>
      <c r="AE37" s="14">
        <f t="shared" si="8"/>
        <v>-113.3333333333353</v>
      </c>
      <c r="AF37" s="91">
        <f t="shared" si="9"/>
        <v>0.95277777777777695</v>
      </c>
      <c r="AG37" s="177"/>
    </row>
    <row r="38" spans="1:33">
      <c r="A38" s="192" t="s">
        <v>2877</v>
      </c>
      <c r="B38" s="12" t="s">
        <v>2874</v>
      </c>
      <c r="C38" s="178"/>
      <c r="D38" s="178"/>
      <c r="E38" s="92"/>
      <c r="F38" s="12"/>
      <c r="G38" s="12"/>
      <c r="H38" s="88"/>
      <c r="I38" s="23">
        <v>17.142857142857142</v>
      </c>
      <c r="J38" s="13">
        <v>2171.4285714285716</v>
      </c>
      <c r="K38" s="12">
        <f t="shared" si="1"/>
        <v>126.66666666666667</v>
      </c>
      <c r="L38" s="23">
        <v>17.142857142857142</v>
      </c>
      <c r="M38" s="13">
        <f>AVERAGE(M31:M37)</f>
        <v>2074.3192959906178</v>
      </c>
      <c r="N38" s="12">
        <f t="shared" si="3"/>
        <v>121.00195893278604</v>
      </c>
      <c r="O38" s="14">
        <f t="shared" si="4"/>
        <v>0</v>
      </c>
      <c r="P38" s="15">
        <f t="shared" si="5"/>
        <v>-5.6647077338806326</v>
      </c>
      <c r="Q38" s="91">
        <f t="shared" si="6"/>
        <v>0.95527862315357392</v>
      </c>
      <c r="R38" s="177"/>
      <c r="S38" s="21"/>
      <c r="T38" s="21"/>
      <c r="U38" s="12"/>
      <c r="V38" s="30"/>
      <c r="W38" s="12"/>
      <c r="X38" s="12"/>
      <c r="Y38" s="24">
        <f>SUM(Y31:Y37)</f>
        <v>0</v>
      </c>
      <c r="Z38" s="24">
        <f>SUM(Z31:Z37)</f>
        <v>0</v>
      </c>
      <c r="AA38" s="167"/>
      <c r="AB38" s="167"/>
      <c r="AC38" s="24">
        <f>SUM(AC31:AC37)</f>
        <v>7</v>
      </c>
      <c r="AD38" s="24">
        <f>SUM(AD31:AD37)</f>
        <v>0</v>
      </c>
      <c r="AE38" s="14">
        <f t="shared" si="8"/>
        <v>-97.109275437953784</v>
      </c>
      <c r="AF38" s="91">
        <f t="shared" si="9"/>
        <v>0.95527862315357392</v>
      </c>
      <c r="AG38" s="177"/>
    </row>
    <row r="39" spans="1:33" ht="15.75" customHeight="1">
      <c r="A39" s="188" t="s">
        <v>2878</v>
      </c>
      <c r="B39" s="28" t="s">
        <v>33</v>
      </c>
      <c r="C39" s="170" t="s">
        <v>2717</v>
      </c>
      <c r="D39" s="171"/>
      <c r="E39" s="28">
        <v>37.880000000000003</v>
      </c>
      <c r="F39" s="88">
        <v>5050</v>
      </c>
      <c r="G39" s="88">
        <f t="shared" ref="G39:G42" si="31">E39*F39</f>
        <v>191294</v>
      </c>
      <c r="H39" s="30" t="s">
        <v>53</v>
      </c>
      <c r="I39" s="95">
        <v>13</v>
      </c>
      <c r="J39" s="13">
        <v>2000</v>
      </c>
      <c r="K39" s="12">
        <f t="shared" si="1"/>
        <v>153.84615384615384</v>
      </c>
      <c r="L39" s="95">
        <v>13</v>
      </c>
      <c r="M39" s="13">
        <f t="shared" ref="M39:M42" si="32">F39/V39*60</f>
        <v>1905.6603773584909</v>
      </c>
      <c r="N39" s="13">
        <f t="shared" si="3"/>
        <v>146.589259796807</v>
      </c>
      <c r="O39" s="14">
        <f t="shared" si="4"/>
        <v>0</v>
      </c>
      <c r="P39" s="15">
        <f t="shared" si="5"/>
        <v>-7.2568940493468403</v>
      </c>
      <c r="Q39" s="91">
        <f t="shared" si="6"/>
        <v>0.95283018867924552</v>
      </c>
      <c r="R39" s="183">
        <f>Q43</f>
        <v>0.95654587308527361</v>
      </c>
      <c r="S39" s="21">
        <v>8.3333333333333329E-2</v>
      </c>
      <c r="T39" s="21">
        <v>0.19374999999999998</v>
      </c>
      <c r="U39" s="21"/>
      <c r="V39" s="30">
        <f t="shared" ref="V39:V42" si="33">(T39-S39)*24*60</f>
        <v>158.99999999999997</v>
      </c>
      <c r="W39" s="16">
        <f>T39</f>
        <v>0.19374999999999998</v>
      </c>
      <c r="X39" s="16">
        <f>S40</f>
        <v>0.21249999999999997</v>
      </c>
      <c r="Y39" s="19"/>
      <c r="Z39" s="19"/>
      <c r="AA39" s="172"/>
      <c r="AB39" s="173"/>
      <c r="AC39" s="18">
        <v>4</v>
      </c>
      <c r="AD39" s="18"/>
      <c r="AE39" s="14">
        <f t="shared" si="8"/>
        <v>-94.339622641509095</v>
      </c>
      <c r="AF39" s="91">
        <f t="shared" si="9"/>
        <v>0.9528301886792454</v>
      </c>
      <c r="AG39" s="183">
        <f>AF43</f>
        <v>0.95654587308527372</v>
      </c>
    </row>
    <row r="40" spans="1:33" ht="15.75" customHeight="1">
      <c r="A40" s="189" t="s">
        <v>2878</v>
      </c>
      <c r="B40" s="28" t="s">
        <v>33</v>
      </c>
      <c r="C40" s="170" t="s">
        <v>48</v>
      </c>
      <c r="D40" s="171"/>
      <c r="E40" s="28">
        <v>35.119999999999997</v>
      </c>
      <c r="F40" s="88">
        <v>3884</v>
      </c>
      <c r="G40" s="88">
        <f t="shared" si="31"/>
        <v>136406.07999999999</v>
      </c>
      <c r="H40" s="30" t="s">
        <v>53</v>
      </c>
      <c r="I40" s="95">
        <v>10</v>
      </c>
      <c r="J40" s="13">
        <v>3000</v>
      </c>
      <c r="K40" s="12">
        <f t="shared" si="1"/>
        <v>300</v>
      </c>
      <c r="L40" s="95">
        <v>10</v>
      </c>
      <c r="M40" s="13">
        <f t="shared" si="32"/>
        <v>2877.037037037036</v>
      </c>
      <c r="N40" s="13">
        <f t="shared" si="3"/>
        <v>287.70370370370358</v>
      </c>
      <c r="O40" s="14">
        <f t="shared" si="4"/>
        <v>0</v>
      </c>
      <c r="P40" s="15">
        <f t="shared" si="5"/>
        <v>-12.296296296296418</v>
      </c>
      <c r="Q40" s="91">
        <f t="shared" si="6"/>
        <v>0.95901234567901195</v>
      </c>
      <c r="R40" s="184"/>
      <c r="S40" s="21">
        <v>0.21249999999999997</v>
      </c>
      <c r="T40" s="21">
        <v>0.26874999999999999</v>
      </c>
      <c r="U40" s="88">
        <f t="shared" ref="U40:U42" si="34">(S40-T39)*24*60</f>
        <v>26.999999999999986</v>
      </c>
      <c r="V40" s="30">
        <f t="shared" si="33"/>
        <v>81.000000000000028</v>
      </c>
      <c r="W40" s="16"/>
      <c r="X40" s="16"/>
      <c r="Y40" s="19"/>
      <c r="Z40" s="19"/>
      <c r="AA40" s="172"/>
      <c r="AB40" s="173"/>
      <c r="AC40" s="18"/>
      <c r="AD40" s="18"/>
      <c r="AE40" s="14">
        <f t="shared" si="8"/>
        <v>-122.96296296296396</v>
      </c>
      <c r="AF40" s="91">
        <f t="shared" si="9"/>
        <v>0.95901234567901206</v>
      </c>
      <c r="AG40" s="184"/>
    </row>
    <row r="41" spans="1:33" ht="15.75" customHeight="1">
      <c r="A41" s="189" t="s">
        <v>2878</v>
      </c>
      <c r="B41" s="28" t="s">
        <v>33</v>
      </c>
      <c r="C41" s="170" t="s">
        <v>36</v>
      </c>
      <c r="D41" s="171"/>
      <c r="E41" s="28">
        <v>21.13</v>
      </c>
      <c r="F41" s="88">
        <v>4068</v>
      </c>
      <c r="G41" s="88">
        <f t="shared" si="31"/>
        <v>85956.84</v>
      </c>
      <c r="H41" s="30" t="s">
        <v>53</v>
      </c>
      <c r="I41" s="95">
        <v>10</v>
      </c>
      <c r="J41" s="13">
        <v>3000</v>
      </c>
      <c r="K41" s="12">
        <f t="shared" si="1"/>
        <v>300</v>
      </c>
      <c r="L41" s="95">
        <v>10</v>
      </c>
      <c r="M41" s="13">
        <f t="shared" si="32"/>
        <v>2871.5294117647054</v>
      </c>
      <c r="N41" s="13">
        <f t="shared" si="3"/>
        <v>287.15294117647056</v>
      </c>
      <c r="O41" s="14">
        <f t="shared" si="4"/>
        <v>0</v>
      </c>
      <c r="P41" s="15">
        <f t="shared" si="5"/>
        <v>-12.847058823529437</v>
      </c>
      <c r="Q41" s="91">
        <f t="shared" si="6"/>
        <v>0.95717647058823518</v>
      </c>
      <c r="R41" s="184"/>
      <c r="S41" s="21">
        <v>0.27291666666666664</v>
      </c>
      <c r="T41" s="21">
        <v>0.33194444444444443</v>
      </c>
      <c r="U41" s="88">
        <f t="shared" si="34"/>
        <v>5.9999999999999787</v>
      </c>
      <c r="V41" s="30">
        <f t="shared" si="33"/>
        <v>85.000000000000014</v>
      </c>
      <c r="W41" s="16"/>
      <c r="X41" s="16"/>
      <c r="Y41" s="19"/>
      <c r="Z41" s="19"/>
      <c r="AA41" s="172"/>
      <c r="AB41" s="173"/>
      <c r="AC41" s="18"/>
      <c r="AD41" s="18"/>
      <c r="AE41" s="14">
        <f t="shared" si="8"/>
        <v>-128.4705882352946</v>
      </c>
      <c r="AF41" s="91">
        <f t="shared" si="9"/>
        <v>0.95717647058823518</v>
      </c>
      <c r="AG41" s="184"/>
    </row>
    <row r="42" spans="1:33" ht="15.75" customHeight="1">
      <c r="A42" s="189" t="s">
        <v>2878</v>
      </c>
      <c r="B42" s="28" t="s">
        <v>33</v>
      </c>
      <c r="C42" s="170" t="s">
        <v>37</v>
      </c>
      <c r="D42" s="171"/>
      <c r="E42" s="28">
        <v>27.17</v>
      </c>
      <c r="F42" s="88">
        <v>5162</v>
      </c>
      <c r="G42" s="88">
        <f t="shared" si="31"/>
        <v>140251.54</v>
      </c>
      <c r="H42" s="30" t="s">
        <v>53</v>
      </c>
      <c r="I42" s="95">
        <v>10</v>
      </c>
      <c r="J42" s="13">
        <v>3000</v>
      </c>
      <c r="K42" s="12">
        <f t="shared" si="1"/>
        <v>300</v>
      </c>
      <c r="L42" s="95">
        <v>10</v>
      </c>
      <c r="M42" s="13">
        <f t="shared" si="32"/>
        <v>2867.7777777777774</v>
      </c>
      <c r="N42" s="13">
        <f t="shared" si="3"/>
        <v>286.77777777777771</v>
      </c>
      <c r="O42" s="14">
        <f t="shared" si="4"/>
        <v>0</v>
      </c>
      <c r="P42" s="15">
        <f t="shared" si="5"/>
        <v>-13.222222222222285</v>
      </c>
      <c r="Q42" s="91">
        <f t="shared" si="6"/>
        <v>0.95592592592592573</v>
      </c>
      <c r="R42" s="184"/>
      <c r="S42" s="21">
        <v>0.33749999999999997</v>
      </c>
      <c r="T42" s="21">
        <v>0.41249999999999998</v>
      </c>
      <c r="U42" s="88">
        <f t="shared" si="34"/>
        <v>7.9999999999999716</v>
      </c>
      <c r="V42" s="30">
        <f t="shared" si="33"/>
        <v>108.00000000000001</v>
      </c>
      <c r="W42" s="16"/>
      <c r="X42" s="16"/>
      <c r="Y42" s="19"/>
      <c r="Z42" s="19"/>
      <c r="AA42" s="172"/>
      <c r="AB42" s="173"/>
      <c r="AC42" s="18"/>
      <c r="AD42" s="18"/>
      <c r="AE42" s="14">
        <f t="shared" si="8"/>
        <v>-132.22222222222263</v>
      </c>
      <c r="AF42" s="91">
        <f t="shared" si="9"/>
        <v>0.95592592592592585</v>
      </c>
      <c r="AG42" s="184"/>
    </row>
    <row r="43" spans="1:33" ht="15.75" customHeight="1">
      <c r="A43" s="190" t="s">
        <v>2878</v>
      </c>
      <c r="B43" s="28" t="s">
        <v>2874</v>
      </c>
      <c r="C43" s="165"/>
      <c r="D43" s="166"/>
      <c r="E43" s="89"/>
      <c r="F43" s="88"/>
      <c r="G43" s="88"/>
      <c r="H43" s="88"/>
      <c r="I43" s="23">
        <v>10.75</v>
      </c>
      <c r="J43" s="13">
        <v>2750</v>
      </c>
      <c r="K43" s="12">
        <f t="shared" si="1"/>
        <v>255.81395348837211</v>
      </c>
      <c r="L43" s="23">
        <v>10.75</v>
      </c>
      <c r="M43" s="13">
        <f>AVERAGE(M39:M42)</f>
        <v>2630.5011509845026</v>
      </c>
      <c r="N43" s="12">
        <f t="shared" si="3"/>
        <v>244.69778148693047</v>
      </c>
      <c r="O43" s="14">
        <f t="shared" si="4"/>
        <v>0</v>
      </c>
      <c r="P43" s="15">
        <f t="shared" si="5"/>
        <v>-11.11617200144164</v>
      </c>
      <c r="Q43" s="91">
        <f t="shared" si="6"/>
        <v>0.95654587308527361</v>
      </c>
      <c r="R43" s="185"/>
      <c r="S43" s="21"/>
      <c r="T43" s="21"/>
      <c r="U43" s="88"/>
      <c r="V43" s="30"/>
      <c r="W43" s="16"/>
      <c r="X43" s="16"/>
      <c r="Y43" s="24">
        <f>SUM(Y39:Y42)</f>
        <v>0</v>
      </c>
      <c r="Z43" s="24">
        <f>SUM(Z39:Z42)</f>
        <v>0</v>
      </c>
      <c r="AA43" s="186"/>
      <c r="AB43" s="187"/>
      <c r="AC43" s="24">
        <f>SUM(AC39:AC42)</f>
        <v>4</v>
      </c>
      <c r="AD43" s="24">
        <f>SUM(AD39:AD42)</f>
        <v>0</v>
      </c>
      <c r="AE43" s="14">
        <f t="shared" si="8"/>
        <v>-119.4988490154974</v>
      </c>
      <c r="AF43" s="91">
        <f t="shared" si="9"/>
        <v>0.95654587308527372</v>
      </c>
      <c r="AG43" s="185"/>
    </row>
    <row r="44" spans="1:33" ht="15.75" customHeight="1">
      <c r="A44" s="181" t="s">
        <v>2879</v>
      </c>
      <c r="B44" s="28" t="s">
        <v>9</v>
      </c>
      <c r="C44" s="169" t="s">
        <v>39</v>
      </c>
      <c r="D44" s="169"/>
      <c r="E44" s="28">
        <v>46</v>
      </c>
      <c r="F44" s="29">
        <v>1678</v>
      </c>
      <c r="G44" s="88">
        <f t="shared" ref="G44:G51" si="35">E44*F44</f>
        <v>77188</v>
      </c>
      <c r="H44" s="30" t="s">
        <v>53</v>
      </c>
      <c r="I44" s="95">
        <v>17</v>
      </c>
      <c r="J44" s="13">
        <v>2000</v>
      </c>
      <c r="K44" s="12">
        <f t="shared" si="1"/>
        <v>117.64705882352941</v>
      </c>
      <c r="L44" s="95">
        <v>17</v>
      </c>
      <c r="M44" s="13">
        <f t="shared" ref="M44" si="36">F44/V44*60</f>
        <v>1936.1538461538455</v>
      </c>
      <c r="N44" s="13">
        <f t="shared" si="3"/>
        <v>113.89140271493208</v>
      </c>
      <c r="O44" s="14">
        <f t="shared" si="4"/>
        <v>0</v>
      </c>
      <c r="P44" s="15">
        <f t="shared" si="5"/>
        <v>-3.7556561085973215</v>
      </c>
      <c r="Q44" s="91">
        <f t="shared" si="6"/>
        <v>0.96807692307692272</v>
      </c>
      <c r="R44" s="177">
        <f>Q52</f>
        <v>0.96847699748783211</v>
      </c>
      <c r="S44" s="21">
        <v>0.20833333333333334</v>
      </c>
      <c r="T44" s="21">
        <v>0.24444444444444446</v>
      </c>
      <c r="U44" s="21"/>
      <c r="V44" s="30">
        <f t="shared" ref="V44:V51" si="37">(T44-S44)*24*60</f>
        <v>52.000000000000014</v>
      </c>
      <c r="W44" s="21"/>
      <c r="X44" s="21"/>
      <c r="Y44" s="21"/>
      <c r="Z44" s="21"/>
      <c r="AA44" s="168"/>
      <c r="AB44" s="168"/>
      <c r="AC44" s="18">
        <v>8</v>
      </c>
      <c r="AD44" s="18"/>
      <c r="AE44" s="14">
        <f t="shared" si="8"/>
        <v>-63.846153846154493</v>
      </c>
      <c r="AF44" s="91">
        <f t="shared" si="9"/>
        <v>0.96807692307692272</v>
      </c>
      <c r="AG44" s="177">
        <f>AF52</f>
        <v>0.968476997487832</v>
      </c>
    </row>
    <row r="45" spans="1:33" ht="15.75" customHeight="1">
      <c r="A45" s="181" t="s">
        <v>2879</v>
      </c>
      <c r="B45" s="28" t="s">
        <v>5</v>
      </c>
      <c r="C45" s="169" t="s">
        <v>40</v>
      </c>
      <c r="D45" s="169"/>
      <c r="E45" s="28">
        <v>56.43</v>
      </c>
      <c r="F45" s="29">
        <v>1057</v>
      </c>
      <c r="G45" s="88">
        <f t="shared" si="35"/>
        <v>59646.51</v>
      </c>
      <c r="H45" s="30" t="s">
        <v>53</v>
      </c>
      <c r="I45" s="95">
        <v>22</v>
      </c>
      <c r="J45" s="13">
        <v>2000</v>
      </c>
      <c r="K45" s="12">
        <f t="shared" si="1"/>
        <v>90.909090909090907</v>
      </c>
      <c r="L45" s="95">
        <v>22</v>
      </c>
      <c r="M45" s="13">
        <f>F45/V45*60</f>
        <v>1921.8181818181793</v>
      </c>
      <c r="N45" s="13">
        <f t="shared" si="3"/>
        <v>87.355371900826327</v>
      </c>
      <c r="O45" s="14">
        <f t="shared" si="4"/>
        <v>0</v>
      </c>
      <c r="P45" s="15">
        <f t="shared" si="5"/>
        <v>-3.5537190082645793</v>
      </c>
      <c r="Q45" s="91">
        <f t="shared" si="6"/>
        <v>0.9609090909090896</v>
      </c>
      <c r="R45" s="177"/>
      <c r="S45" s="21">
        <v>0.24791666666666667</v>
      </c>
      <c r="T45" s="21">
        <v>0.27083333333333337</v>
      </c>
      <c r="U45" s="88">
        <f t="shared" ref="U45:U51" si="38">IF(S45=TIME(17,0,0),"",(S45-T44)*24*60)</f>
        <v>4.9999999999999822</v>
      </c>
      <c r="V45" s="30">
        <f t="shared" si="37"/>
        <v>33.000000000000043</v>
      </c>
      <c r="W45" s="16"/>
      <c r="X45" s="16"/>
      <c r="Y45" s="16"/>
      <c r="Z45" s="16"/>
      <c r="AA45" s="168"/>
      <c r="AB45" s="168"/>
      <c r="AC45" s="18"/>
      <c r="AD45" s="18"/>
      <c r="AE45" s="14">
        <f t="shared" si="8"/>
        <v>-78.181818181820745</v>
      </c>
      <c r="AF45" s="91">
        <f t="shared" si="9"/>
        <v>0.9609090909090896</v>
      </c>
      <c r="AG45" s="177"/>
    </row>
    <row r="46" spans="1:33" ht="15.75" customHeight="1">
      <c r="A46" s="181" t="s">
        <v>2879</v>
      </c>
      <c r="B46" s="28" t="s">
        <v>5</v>
      </c>
      <c r="C46" s="170" t="s">
        <v>41</v>
      </c>
      <c r="D46" s="171"/>
      <c r="E46" s="28">
        <v>51.75</v>
      </c>
      <c r="F46" s="29">
        <v>657</v>
      </c>
      <c r="G46" s="88">
        <f t="shared" si="35"/>
        <v>33999.75</v>
      </c>
      <c r="H46" s="30" t="s">
        <v>53</v>
      </c>
      <c r="I46" s="95">
        <v>25</v>
      </c>
      <c r="J46" s="13">
        <v>2000</v>
      </c>
      <c r="K46" s="12">
        <f t="shared" si="1"/>
        <v>80</v>
      </c>
      <c r="L46" s="95">
        <v>25</v>
      </c>
      <c r="M46" s="13">
        <f t="shared" ref="M46:M51" si="39">F46/V46*60</f>
        <v>1970.9999999999993</v>
      </c>
      <c r="N46" s="13">
        <f t="shared" si="3"/>
        <v>78.839999999999975</v>
      </c>
      <c r="O46" s="14">
        <f t="shared" si="4"/>
        <v>0</v>
      </c>
      <c r="P46" s="15">
        <f t="shared" si="5"/>
        <v>-1.160000000000025</v>
      </c>
      <c r="Q46" s="91">
        <f t="shared" si="6"/>
        <v>0.98549999999999971</v>
      </c>
      <c r="R46" s="177"/>
      <c r="S46" s="21">
        <v>0.27500000000000002</v>
      </c>
      <c r="T46" s="21">
        <v>0.28888888888888892</v>
      </c>
      <c r="U46" s="88">
        <f t="shared" si="38"/>
        <v>5.9999999999999787</v>
      </c>
      <c r="V46" s="30">
        <f t="shared" si="37"/>
        <v>20.000000000000007</v>
      </c>
      <c r="W46" s="16"/>
      <c r="X46" s="16"/>
      <c r="Y46" s="19"/>
      <c r="Z46" s="19"/>
      <c r="AA46" s="168"/>
      <c r="AB46" s="168"/>
      <c r="AC46" s="18"/>
      <c r="AD46" s="18"/>
      <c r="AE46" s="14">
        <f t="shared" si="8"/>
        <v>-29.000000000000682</v>
      </c>
      <c r="AF46" s="91">
        <f t="shared" si="9"/>
        <v>0.98549999999999971</v>
      </c>
      <c r="AG46" s="177"/>
    </row>
    <row r="47" spans="1:33" ht="15.75" customHeight="1">
      <c r="A47" s="181" t="s">
        <v>2879</v>
      </c>
      <c r="B47" s="28" t="s">
        <v>5</v>
      </c>
      <c r="C47" s="93" t="s">
        <v>18</v>
      </c>
      <c r="D47" s="94"/>
      <c r="E47" s="28">
        <v>53.68</v>
      </c>
      <c r="F47" s="29">
        <v>891</v>
      </c>
      <c r="G47" s="88">
        <f t="shared" si="35"/>
        <v>47828.88</v>
      </c>
      <c r="H47" s="30" t="s">
        <v>53</v>
      </c>
      <c r="I47" s="95">
        <v>16</v>
      </c>
      <c r="J47" s="13">
        <v>2000</v>
      </c>
      <c r="K47" s="12">
        <f t="shared" si="1"/>
        <v>125</v>
      </c>
      <c r="L47" s="95">
        <v>16</v>
      </c>
      <c r="M47" s="13">
        <f t="shared" si="39"/>
        <v>1909.2857142857156</v>
      </c>
      <c r="N47" s="13">
        <f t="shared" si="3"/>
        <v>119.33035714285722</v>
      </c>
      <c r="O47" s="14">
        <f t="shared" si="4"/>
        <v>0</v>
      </c>
      <c r="P47" s="15">
        <f t="shared" si="5"/>
        <v>-5.6696428571427759</v>
      </c>
      <c r="Q47" s="91">
        <f t="shared" si="6"/>
        <v>0.95464285714285779</v>
      </c>
      <c r="R47" s="177"/>
      <c r="S47" s="21">
        <v>0.29236111111111113</v>
      </c>
      <c r="T47" s="21">
        <v>0.31180555555555556</v>
      </c>
      <c r="U47" s="88">
        <f t="shared" si="38"/>
        <v>4.9999999999999822</v>
      </c>
      <c r="V47" s="30">
        <f t="shared" si="37"/>
        <v>27.999999999999979</v>
      </c>
      <c r="W47" s="16"/>
      <c r="X47" s="16"/>
      <c r="Y47" s="19"/>
      <c r="Z47" s="19"/>
      <c r="AA47" s="168"/>
      <c r="AB47" s="168"/>
      <c r="AC47" s="18"/>
      <c r="AD47" s="18"/>
      <c r="AE47" s="14">
        <f t="shared" si="8"/>
        <v>-90.714285714284415</v>
      </c>
      <c r="AF47" s="91">
        <f t="shared" si="9"/>
        <v>0.95464285714285779</v>
      </c>
      <c r="AG47" s="177"/>
    </row>
    <row r="48" spans="1:33" ht="15.75" customHeight="1">
      <c r="A48" s="181" t="s">
        <v>2879</v>
      </c>
      <c r="B48" s="28" t="s">
        <v>5</v>
      </c>
      <c r="C48" s="93" t="s">
        <v>2720</v>
      </c>
      <c r="D48" s="94"/>
      <c r="E48" s="28">
        <v>54.09</v>
      </c>
      <c r="F48" s="29">
        <v>2832</v>
      </c>
      <c r="G48" s="88">
        <f t="shared" si="35"/>
        <v>153182.88</v>
      </c>
      <c r="H48" s="30" t="s">
        <v>53</v>
      </c>
      <c r="I48" s="95">
        <v>17</v>
      </c>
      <c r="J48" s="13">
        <v>1500</v>
      </c>
      <c r="K48" s="12">
        <f t="shared" si="1"/>
        <v>88.235294117647058</v>
      </c>
      <c r="L48" s="95">
        <v>17</v>
      </c>
      <c r="M48" s="13">
        <f t="shared" si="39"/>
        <v>1427.8991596638657</v>
      </c>
      <c r="N48" s="13">
        <f t="shared" si="3"/>
        <v>83.994068215521509</v>
      </c>
      <c r="O48" s="14">
        <f t="shared" si="4"/>
        <v>0</v>
      </c>
      <c r="P48" s="15">
        <f t="shared" si="5"/>
        <v>-4.2412259021255494</v>
      </c>
      <c r="Q48" s="91">
        <f t="shared" si="6"/>
        <v>0.95193277310924374</v>
      </c>
      <c r="R48" s="177"/>
      <c r="S48" s="21">
        <v>0.31527777777777777</v>
      </c>
      <c r="T48" s="21">
        <v>0.39791666666666664</v>
      </c>
      <c r="U48" s="88">
        <f t="shared" si="38"/>
        <v>4.9999999999999822</v>
      </c>
      <c r="V48" s="30">
        <f t="shared" si="37"/>
        <v>118.99999999999997</v>
      </c>
      <c r="W48" s="16"/>
      <c r="X48" s="16"/>
      <c r="Y48" s="19"/>
      <c r="Z48" s="19"/>
      <c r="AA48" s="168"/>
      <c r="AB48" s="168"/>
      <c r="AC48" s="18"/>
      <c r="AD48" s="18"/>
      <c r="AE48" s="14">
        <f t="shared" si="8"/>
        <v>-72.100840336134297</v>
      </c>
      <c r="AF48" s="91">
        <f t="shared" si="9"/>
        <v>0.95193277310924385</v>
      </c>
      <c r="AG48" s="177"/>
    </row>
    <row r="49" spans="1:33" ht="15.75" customHeight="1">
      <c r="A49" s="181" t="s">
        <v>2879</v>
      </c>
      <c r="B49" s="28" t="s">
        <v>5</v>
      </c>
      <c r="C49" s="170" t="s">
        <v>45</v>
      </c>
      <c r="D49" s="171"/>
      <c r="E49" s="28">
        <v>55.32</v>
      </c>
      <c r="F49" s="29">
        <v>1009</v>
      </c>
      <c r="G49" s="88">
        <f t="shared" si="35"/>
        <v>55817.88</v>
      </c>
      <c r="H49" s="30" t="s">
        <v>53</v>
      </c>
      <c r="I49" s="95">
        <v>15</v>
      </c>
      <c r="J49" s="13">
        <v>2000</v>
      </c>
      <c r="K49" s="12">
        <f t="shared" si="1"/>
        <v>133.33333333333334</v>
      </c>
      <c r="L49" s="95">
        <v>15</v>
      </c>
      <c r="M49" s="13">
        <f t="shared" si="39"/>
        <v>1952.9032258064485</v>
      </c>
      <c r="N49" s="13">
        <f t="shared" si="3"/>
        <v>130.19354838709657</v>
      </c>
      <c r="O49" s="14">
        <f t="shared" si="4"/>
        <v>0</v>
      </c>
      <c r="P49" s="15">
        <f t="shared" si="5"/>
        <v>-3.1397849462367731</v>
      </c>
      <c r="Q49" s="91">
        <f t="shared" si="6"/>
        <v>0.97645161290322424</v>
      </c>
      <c r="R49" s="177"/>
      <c r="S49" s="21">
        <v>0.70833333333333337</v>
      </c>
      <c r="T49" s="21">
        <v>0.72986111111111118</v>
      </c>
      <c r="U49" s="88" t="str">
        <f t="shared" si="38"/>
        <v/>
      </c>
      <c r="V49" s="30">
        <f t="shared" si="37"/>
        <v>31.00000000000005</v>
      </c>
      <c r="W49" s="16"/>
      <c r="X49" s="16"/>
      <c r="Y49" s="19"/>
      <c r="Z49" s="19"/>
      <c r="AA49" s="172"/>
      <c r="AB49" s="173"/>
      <c r="AC49" s="18"/>
      <c r="AD49" s="18"/>
      <c r="AE49" s="14">
        <f t="shared" si="8"/>
        <v>-47.096774193551482</v>
      </c>
      <c r="AF49" s="91">
        <f t="shared" si="9"/>
        <v>0.97645161290322424</v>
      </c>
      <c r="AG49" s="177"/>
    </row>
    <row r="50" spans="1:33" ht="15.75" customHeight="1">
      <c r="A50" s="181" t="s">
        <v>2879</v>
      </c>
      <c r="B50" s="28" t="s">
        <v>5</v>
      </c>
      <c r="C50" s="170" t="s">
        <v>44</v>
      </c>
      <c r="D50" s="171"/>
      <c r="E50" s="28">
        <v>55.56</v>
      </c>
      <c r="F50" s="29">
        <v>1441</v>
      </c>
      <c r="G50" s="88">
        <f t="shared" si="35"/>
        <v>80061.960000000006</v>
      </c>
      <c r="H50" s="30" t="s">
        <v>53</v>
      </c>
      <c r="I50" s="95">
        <v>17</v>
      </c>
      <c r="J50" s="13">
        <v>2000</v>
      </c>
      <c r="K50" s="12">
        <f t="shared" si="1"/>
        <v>117.64705882352941</v>
      </c>
      <c r="L50" s="95">
        <v>17</v>
      </c>
      <c r="M50" s="13">
        <f t="shared" si="39"/>
        <v>1921.3333333333335</v>
      </c>
      <c r="N50" s="13">
        <f t="shared" si="3"/>
        <v>113.01960784313727</v>
      </c>
      <c r="O50" s="14">
        <f t="shared" si="4"/>
        <v>0</v>
      </c>
      <c r="P50" s="15">
        <f t="shared" si="5"/>
        <v>-4.6274509803921404</v>
      </c>
      <c r="Q50" s="91">
        <f t="shared" si="6"/>
        <v>0.96066666666666678</v>
      </c>
      <c r="R50" s="177"/>
      <c r="S50" s="21">
        <v>0.73472222222222228</v>
      </c>
      <c r="T50" s="21">
        <v>0.76597222222222228</v>
      </c>
      <c r="U50" s="88">
        <f t="shared" si="38"/>
        <v>6.9999999999999751</v>
      </c>
      <c r="V50" s="30">
        <f t="shared" si="37"/>
        <v>45</v>
      </c>
      <c r="W50" s="16"/>
      <c r="X50" s="16"/>
      <c r="Y50" s="19"/>
      <c r="Z50" s="19"/>
      <c r="AA50" s="172"/>
      <c r="AB50" s="173"/>
      <c r="AC50" s="18"/>
      <c r="AD50" s="18"/>
      <c r="AE50" s="14">
        <f t="shared" si="8"/>
        <v>-78.666666666666515</v>
      </c>
      <c r="AF50" s="91">
        <f t="shared" si="9"/>
        <v>0.96066666666666678</v>
      </c>
      <c r="AG50" s="177"/>
    </row>
    <row r="51" spans="1:33" ht="15.75" customHeight="1">
      <c r="A51" s="181" t="s">
        <v>2879</v>
      </c>
      <c r="B51" s="28" t="s">
        <v>5</v>
      </c>
      <c r="C51" s="170" t="s">
        <v>43</v>
      </c>
      <c r="D51" s="171"/>
      <c r="E51" s="28">
        <v>54.29</v>
      </c>
      <c r="F51" s="29">
        <v>657</v>
      </c>
      <c r="G51" s="88">
        <f t="shared" si="35"/>
        <v>35668.53</v>
      </c>
      <c r="H51" s="30" t="s">
        <v>53</v>
      </c>
      <c r="I51" s="95">
        <v>20</v>
      </c>
      <c r="J51" s="13">
        <v>2000</v>
      </c>
      <c r="K51" s="12">
        <f t="shared" si="1"/>
        <v>100</v>
      </c>
      <c r="L51" s="95">
        <v>20</v>
      </c>
      <c r="M51" s="13">
        <f t="shared" si="39"/>
        <v>1971.0000000000068</v>
      </c>
      <c r="N51" s="13">
        <f t="shared" si="3"/>
        <v>98.550000000000338</v>
      </c>
      <c r="O51" s="14">
        <f t="shared" si="4"/>
        <v>0</v>
      </c>
      <c r="P51" s="15">
        <f t="shared" si="5"/>
        <v>-1.4499999999996618</v>
      </c>
      <c r="Q51" s="91">
        <f t="shared" si="6"/>
        <v>0.98550000000000337</v>
      </c>
      <c r="R51" s="177"/>
      <c r="S51" s="21">
        <v>0.77013888888888893</v>
      </c>
      <c r="T51" s="21">
        <v>0.78402777777777777</v>
      </c>
      <c r="U51" s="88">
        <f t="shared" si="38"/>
        <v>5.9999999999999787</v>
      </c>
      <c r="V51" s="30">
        <f t="shared" si="37"/>
        <v>19.999999999999929</v>
      </c>
      <c r="W51" s="16"/>
      <c r="X51" s="16"/>
      <c r="Y51" s="19"/>
      <c r="Z51" s="19"/>
      <c r="AA51" s="172"/>
      <c r="AB51" s="173"/>
      <c r="AC51" s="18"/>
      <c r="AD51" s="18"/>
      <c r="AE51" s="14">
        <f t="shared" si="8"/>
        <v>-28.999999999993179</v>
      </c>
      <c r="AF51" s="91">
        <f t="shared" si="9"/>
        <v>0.98550000000000337</v>
      </c>
      <c r="AG51" s="177"/>
    </row>
    <row r="52" spans="1:33">
      <c r="A52" s="182" t="s">
        <v>2879</v>
      </c>
      <c r="B52" s="28" t="s">
        <v>2874</v>
      </c>
      <c r="C52" s="178"/>
      <c r="D52" s="178"/>
      <c r="E52" s="92"/>
      <c r="F52" s="12"/>
      <c r="G52" s="12"/>
      <c r="H52" s="88"/>
      <c r="I52" s="23">
        <v>18.625</v>
      </c>
      <c r="J52" s="13">
        <v>1937.5</v>
      </c>
      <c r="K52" s="12">
        <f t="shared" si="1"/>
        <v>104.02684563758389</v>
      </c>
      <c r="L52" s="23">
        <v>18.625</v>
      </c>
      <c r="M52" s="13">
        <f>AVERAGE(M44:M51)</f>
        <v>1876.4241826326745</v>
      </c>
      <c r="N52" s="12">
        <f t="shared" si="3"/>
        <v>100.74760712121743</v>
      </c>
      <c r="O52" s="14">
        <f t="shared" si="4"/>
        <v>0</v>
      </c>
      <c r="P52" s="15">
        <f t="shared" si="5"/>
        <v>-3.2792385163664619</v>
      </c>
      <c r="Q52" s="91">
        <f t="shared" si="6"/>
        <v>0.96847699748783211</v>
      </c>
      <c r="R52" s="177"/>
      <c r="S52" s="21"/>
      <c r="T52" s="21"/>
      <c r="U52" s="88"/>
      <c r="V52" s="30"/>
      <c r="W52" s="12"/>
      <c r="X52" s="12"/>
      <c r="Y52" s="24">
        <f>SUM(Y44:Y51)</f>
        <v>0</v>
      </c>
      <c r="Z52" s="24">
        <f>SUM(Z44:Z51)</f>
        <v>0</v>
      </c>
      <c r="AA52" s="167"/>
      <c r="AB52" s="167"/>
      <c r="AC52" s="24">
        <f>SUM(AC44:AC51)</f>
        <v>8</v>
      </c>
      <c r="AD52" s="24">
        <f>SUM(AD44:AD51)</f>
        <v>0</v>
      </c>
      <c r="AE52" s="14">
        <f>M52-J52</f>
        <v>-61.075817367325499</v>
      </c>
      <c r="AF52" s="91">
        <f t="shared" si="9"/>
        <v>0.968476997487832</v>
      </c>
      <c r="AG52" s="177"/>
    </row>
    <row r="53" spans="1:33" ht="15.75" customHeight="1">
      <c r="A53" s="179" t="s">
        <v>2880</v>
      </c>
      <c r="B53" s="88" t="s">
        <v>33</v>
      </c>
      <c r="C53" s="169" t="s">
        <v>47</v>
      </c>
      <c r="D53" s="169"/>
      <c r="E53" s="28">
        <v>34.36</v>
      </c>
      <c r="F53" s="29">
        <v>1571</v>
      </c>
      <c r="G53" s="88">
        <f t="shared" ref="G53:G58" si="40">E53*F53</f>
        <v>53979.56</v>
      </c>
      <c r="H53" s="30" t="s">
        <v>53</v>
      </c>
      <c r="I53" s="95">
        <v>10</v>
      </c>
      <c r="J53" s="13">
        <v>3000</v>
      </c>
      <c r="K53" s="12">
        <f t="shared" si="1"/>
        <v>300</v>
      </c>
      <c r="L53" s="95">
        <v>10</v>
      </c>
      <c r="M53" s="13">
        <f t="shared" ref="M53:M58" si="41">F53/V53*60</f>
        <v>2856.3636363636365</v>
      </c>
      <c r="N53" s="12">
        <f t="shared" si="3"/>
        <v>285.63636363636363</v>
      </c>
      <c r="O53" s="14">
        <f t="shared" si="4"/>
        <v>0</v>
      </c>
      <c r="P53" s="15">
        <f t="shared" si="5"/>
        <v>-14.363636363636374</v>
      </c>
      <c r="Q53" s="91">
        <f t="shared" si="6"/>
        <v>0.95212121212121203</v>
      </c>
      <c r="R53" s="177">
        <f>Q59</f>
        <v>0.96194082514109258</v>
      </c>
      <c r="S53" s="21">
        <v>0.20833333333333334</v>
      </c>
      <c r="T53" s="21">
        <v>0.23125000000000001</v>
      </c>
      <c r="U53" s="88"/>
      <c r="V53" s="30">
        <f t="shared" ref="V53:V58" si="42">(T53-S53)*24*60</f>
        <v>33</v>
      </c>
      <c r="W53" s="21"/>
      <c r="X53" s="21"/>
      <c r="Y53" s="21"/>
      <c r="Z53" s="21"/>
      <c r="AA53" s="168"/>
      <c r="AB53" s="168"/>
      <c r="AC53" s="18">
        <v>6</v>
      </c>
      <c r="AD53" s="18"/>
      <c r="AE53" s="14">
        <f t="shared" ref="AE53:AE67" si="43">M53-J53</f>
        <v>-143.63636363636351</v>
      </c>
      <c r="AF53" s="91">
        <f t="shared" si="9"/>
        <v>0.95212121212121215</v>
      </c>
      <c r="AG53" s="177">
        <f>AF59</f>
        <v>0.96194082514109247</v>
      </c>
    </row>
    <row r="54" spans="1:33" ht="15.75" customHeight="1">
      <c r="A54" s="179" t="s">
        <v>2880</v>
      </c>
      <c r="B54" s="88" t="s">
        <v>33</v>
      </c>
      <c r="C54" s="169" t="s">
        <v>34</v>
      </c>
      <c r="D54" s="169"/>
      <c r="E54" s="28">
        <v>34.36</v>
      </c>
      <c r="F54" s="29">
        <v>916</v>
      </c>
      <c r="G54" s="88">
        <f t="shared" si="40"/>
        <v>31473.759999999998</v>
      </c>
      <c r="H54" s="30" t="s">
        <v>53</v>
      </c>
      <c r="I54" s="95">
        <v>10</v>
      </c>
      <c r="J54" s="13">
        <v>3000</v>
      </c>
      <c r="K54" s="12">
        <f t="shared" si="1"/>
        <v>300</v>
      </c>
      <c r="L54" s="95">
        <v>10</v>
      </c>
      <c r="M54" s="13">
        <f t="shared" si="41"/>
        <v>2892.6315789473661</v>
      </c>
      <c r="N54" s="12">
        <f t="shared" si="3"/>
        <v>289.26315789473659</v>
      </c>
      <c r="O54" s="14">
        <f t="shared" si="4"/>
        <v>0</v>
      </c>
      <c r="P54" s="15">
        <f t="shared" si="5"/>
        <v>-10.736842105263406</v>
      </c>
      <c r="Q54" s="91">
        <f t="shared" si="6"/>
        <v>0.96421052631578863</v>
      </c>
      <c r="R54" s="177"/>
      <c r="S54" s="21">
        <v>0.23472222222222222</v>
      </c>
      <c r="T54" s="21">
        <v>0.24791666666666667</v>
      </c>
      <c r="U54" s="88">
        <f t="shared" ref="U54:U58" si="44">(S54-T53)*24*60</f>
        <v>4.9999999999999822</v>
      </c>
      <c r="V54" s="30">
        <f t="shared" si="42"/>
        <v>19.000000000000014</v>
      </c>
      <c r="W54" s="88"/>
      <c r="X54" s="88"/>
      <c r="Y54" s="88"/>
      <c r="Z54" s="88"/>
      <c r="AA54" s="168"/>
      <c r="AB54" s="168"/>
      <c r="AC54" s="18"/>
      <c r="AD54" s="18"/>
      <c r="AE54" s="14">
        <f t="shared" si="43"/>
        <v>-107.36842105263395</v>
      </c>
      <c r="AF54" s="91">
        <f t="shared" si="9"/>
        <v>0.96421052631578863</v>
      </c>
      <c r="AG54" s="177"/>
    </row>
    <row r="55" spans="1:33" ht="15.75" customHeight="1">
      <c r="A55" s="179" t="s">
        <v>2880</v>
      </c>
      <c r="B55" s="88" t="s">
        <v>33</v>
      </c>
      <c r="C55" s="169" t="s">
        <v>35</v>
      </c>
      <c r="D55" s="169"/>
      <c r="E55" s="28">
        <v>26.78</v>
      </c>
      <c r="F55" s="29">
        <v>1812</v>
      </c>
      <c r="G55" s="88">
        <f t="shared" si="40"/>
        <v>48525.36</v>
      </c>
      <c r="H55" s="30" t="s">
        <v>53</v>
      </c>
      <c r="I55" s="95">
        <v>10</v>
      </c>
      <c r="J55" s="13">
        <v>3000</v>
      </c>
      <c r="K55" s="12">
        <f t="shared" si="1"/>
        <v>300</v>
      </c>
      <c r="L55" s="95">
        <v>10</v>
      </c>
      <c r="M55" s="13">
        <f t="shared" si="41"/>
        <v>2861.0526315789452</v>
      </c>
      <c r="N55" s="12">
        <f t="shared" si="3"/>
        <v>286.10526315789451</v>
      </c>
      <c r="O55" s="14">
        <f t="shared" si="4"/>
        <v>0</v>
      </c>
      <c r="P55" s="15">
        <f t="shared" si="5"/>
        <v>-13.894736842105488</v>
      </c>
      <c r="Q55" s="91">
        <f t="shared" si="6"/>
        <v>0.95368421052631502</v>
      </c>
      <c r="R55" s="177"/>
      <c r="S55" s="21">
        <v>0.25277777777777777</v>
      </c>
      <c r="T55" s="21">
        <v>0.27916666666666667</v>
      </c>
      <c r="U55" s="88">
        <f t="shared" si="44"/>
        <v>6.9999999999999751</v>
      </c>
      <c r="V55" s="30">
        <f t="shared" si="42"/>
        <v>38.000000000000028</v>
      </c>
      <c r="W55" s="88"/>
      <c r="X55" s="88"/>
      <c r="Y55" s="88"/>
      <c r="Z55" s="88"/>
      <c r="AA55" s="168"/>
      <c r="AB55" s="168"/>
      <c r="AC55" s="18"/>
      <c r="AD55" s="18"/>
      <c r="AE55" s="14">
        <f t="shared" si="43"/>
        <v>-138.94736842105476</v>
      </c>
      <c r="AF55" s="91">
        <f t="shared" si="9"/>
        <v>0.95368421052631513</v>
      </c>
      <c r="AG55" s="177"/>
    </row>
    <row r="56" spans="1:33" ht="15.75" customHeight="1">
      <c r="A56" s="179" t="s">
        <v>2880</v>
      </c>
      <c r="B56" s="88" t="s">
        <v>33</v>
      </c>
      <c r="C56" s="169" t="s">
        <v>756</v>
      </c>
      <c r="D56" s="169"/>
      <c r="E56" s="28">
        <v>37.880000000000003</v>
      </c>
      <c r="F56" s="29">
        <v>1180</v>
      </c>
      <c r="G56" s="88">
        <f t="shared" si="40"/>
        <v>44698.400000000001</v>
      </c>
      <c r="H56" s="30" t="s">
        <v>53</v>
      </c>
      <c r="I56" s="95">
        <v>10</v>
      </c>
      <c r="J56" s="13">
        <v>3000</v>
      </c>
      <c r="K56" s="12">
        <f t="shared" si="1"/>
        <v>300</v>
      </c>
      <c r="L56" s="95">
        <v>10</v>
      </c>
      <c r="M56" s="13">
        <f t="shared" si="41"/>
        <v>2950.0000000000009</v>
      </c>
      <c r="N56" s="12">
        <f t="shared" si="3"/>
        <v>295.00000000000011</v>
      </c>
      <c r="O56" s="14">
        <f t="shared" si="4"/>
        <v>0</v>
      </c>
      <c r="P56" s="15">
        <f t="shared" si="5"/>
        <v>-4.9999999999998863</v>
      </c>
      <c r="Q56" s="91">
        <f t="shared" si="6"/>
        <v>0.98333333333333373</v>
      </c>
      <c r="R56" s="177"/>
      <c r="S56" s="21">
        <v>0.28333333333333333</v>
      </c>
      <c r="T56" s="21">
        <v>0.3</v>
      </c>
      <c r="U56" s="88">
        <f t="shared" si="44"/>
        <v>5.9999999999999787</v>
      </c>
      <c r="V56" s="30">
        <f t="shared" si="42"/>
        <v>23.999999999999993</v>
      </c>
      <c r="W56" s="88"/>
      <c r="X56" s="88"/>
      <c r="Y56" s="88"/>
      <c r="Z56" s="88"/>
      <c r="AA56" s="168"/>
      <c r="AB56" s="168"/>
      <c r="AC56" s="18"/>
      <c r="AD56" s="18"/>
      <c r="AE56" s="14">
        <f t="shared" si="43"/>
        <v>-49.999999999999091</v>
      </c>
      <c r="AF56" s="91">
        <f t="shared" si="9"/>
        <v>0.98333333333333361</v>
      </c>
      <c r="AG56" s="177"/>
    </row>
    <row r="57" spans="1:33">
      <c r="A57" s="180" t="s">
        <v>2880</v>
      </c>
      <c r="B57" s="88" t="s">
        <v>33</v>
      </c>
      <c r="C57" s="169" t="s">
        <v>38</v>
      </c>
      <c r="D57" s="169"/>
      <c r="E57" s="28">
        <v>35.869999999999997</v>
      </c>
      <c r="F57" s="29">
        <v>2845</v>
      </c>
      <c r="G57" s="88">
        <f t="shared" si="40"/>
        <v>102050.15</v>
      </c>
      <c r="H57" s="30" t="s">
        <v>53</v>
      </c>
      <c r="I57" s="95">
        <v>9</v>
      </c>
      <c r="J57" s="13">
        <v>3000</v>
      </c>
      <c r="K57" s="12">
        <f t="shared" si="1"/>
        <v>333.33333333333331</v>
      </c>
      <c r="L57" s="95">
        <v>9</v>
      </c>
      <c r="M57" s="13">
        <f t="shared" si="41"/>
        <v>2893.2203389830493</v>
      </c>
      <c r="N57" s="12">
        <f t="shared" si="3"/>
        <v>321.46892655367213</v>
      </c>
      <c r="O57" s="14">
        <f t="shared" si="4"/>
        <v>0</v>
      </c>
      <c r="P57" s="15">
        <f t="shared" si="5"/>
        <v>-11.864406779661181</v>
      </c>
      <c r="Q57" s="91">
        <f t="shared" si="6"/>
        <v>0.96440677966101651</v>
      </c>
      <c r="R57" s="177"/>
      <c r="S57" s="21">
        <v>0.3034722222222222</v>
      </c>
      <c r="T57" s="21">
        <v>0.34444444444444444</v>
      </c>
      <c r="U57" s="88">
        <f t="shared" si="44"/>
        <v>4.9999999999999822</v>
      </c>
      <c r="V57" s="30">
        <f t="shared" si="42"/>
        <v>59.000000000000028</v>
      </c>
      <c r="W57" s="16"/>
      <c r="X57" s="16"/>
      <c r="Y57" s="16"/>
      <c r="Z57" s="16"/>
      <c r="AA57" s="168"/>
      <c r="AB57" s="168"/>
      <c r="AC57" s="18"/>
      <c r="AD57" s="18"/>
      <c r="AE57" s="14">
        <f t="shared" si="43"/>
        <v>-106.77966101695074</v>
      </c>
      <c r="AF57" s="91">
        <f t="shared" si="9"/>
        <v>0.9644067796610164</v>
      </c>
      <c r="AG57" s="177"/>
    </row>
    <row r="58" spans="1:33" ht="15" customHeight="1">
      <c r="A58" s="180" t="s">
        <v>2880</v>
      </c>
      <c r="B58" s="88" t="s">
        <v>33</v>
      </c>
      <c r="C58" s="170" t="s">
        <v>72</v>
      </c>
      <c r="D58" s="171"/>
      <c r="E58" s="28">
        <v>34.35</v>
      </c>
      <c r="F58" s="29">
        <v>1717</v>
      </c>
      <c r="G58" s="88">
        <f t="shared" si="40"/>
        <v>58978.950000000004</v>
      </c>
      <c r="H58" s="30" t="s">
        <v>53</v>
      </c>
      <c r="I58" s="95">
        <v>8</v>
      </c>
      <c r="J58" s="13">
        <v>3000</v>
      </c>
      <c r="K58" s="12">
        <f t="shared" si="1"/>
        <v>375</v>
      </c>
      <c r="L58" s="95">
        <v>8</v>
      </c>
      <c r="M58" s="13">
        <f t="shared" si="41"/>
        <v>2861.6666666666642</v>
      </c>
      <c r="N58" s="12">
        <f t="shared" si="3"/>
        <v>357.70833333333303</v>
      </c>
      <c r="O58" s="14">
        <f t="shared" si="4"/>
        <v>0</v>
      </c>
      <c r="P58" s="15">
        <f t="shared" si="5"/>
        <v>-17.29166666666697</v>
      </c>
      <c r="Q58" s="91">
        <f t="shared" si="6"/>
        <v>0.95388888888888812</v>
      </c>
      <c r="R58" s="177"/>
      <c r="S58" s="21">
        <v>0.34861111111111109</v>
      </c>
      <c r="T58" s="21">
        <v>0.37361111111111112</v>
      </c>
      <c r="U58" s="88">
        <f t="shared" si="44"/>
        <v>5.9999999999999787</v>
      </c>
      <c r="V58" s="30">
        <f t="shared" si="42"/>
        <v>36.000000000000028</v>
      </c>
      <c r="W58" s="88"/>
      <c r="X58" s="88"/>
      <c r="Y58" s="98"/>
      <c r="Z58" s="98"/>
      <c r="AA58" s="172"/>
      <c r="AB58" s="173"/>
      <c r="AC58" s="18"/>
      <c r="AD58" s="18"/>
      <c r="AE58" s="14">
        <f t="shared" si="43"/>
        <v>-138.33333333333576</v>
      </c>
      <c r="AF58" s="91">
        <f t="shared" si="9"/>
        <v>0.95388888888888812</v>
      </c>
      <c r="AG58" s="177"/>
    </row>
    <row r="59" spans="1:33">
      <c r="A59" s="180" t="s">
        <v>2880</v>
      </c>
      <c r="B59" s="28" t="s">
        <v>2874</v>
      </c>
      <c r="C59" s="178"/>
      <c r="D59" s="178"/>
      <c r="E59" s="92"/>
      <c r="F59" s="12"/>
      <c r="G59" s="12"/>
      <c r="H59" s="88"/>
      <c r="I59" s="23">
        <v>9.5</v>
      </c>
      <c r="J59" s="13">
        <v>3000</v>
      </c>
      <c r="K59" s="12">
        <f t="shared" si="1"/>
        <v>315.78947368421052</v>
      </c>
      <c r="L59" s="23">
        <v>9.5</v>
      </c>
      <c r="M59" s="13">
        <f>AVERAGE(M53:M58)</f>
        <v>2885.8224754232774</v>
      </c>
      <c r="N59" s="12">
        <f t="shared" si="3"/>
        <v>303.7707868866608</v>
      </c>
      <c r="O59" s="14">
        <f t="shared" si="4"/>
        <v>0</v>
      </c>
      <c r="P59" s="15">
        <f t="shared" si="5"/>
        <v>-12.018686797549719</v>
      </c>
      <c r="Q59" s="91">
        <f t="shared" si="6"/>
        <v>0.96194082514109258</v>
      </c>
      <c r="R59" s="177"/>
      <c r="S59" s="21"/>
      <c r="T59" s="21"/>
      <c r="U59" s="12"/>
      <c r="V59" s="30"/>
      <c r="W59" s="12"/>
      <c r="X59" s="12"/>
      <c r="Y59" s="24">
        <f>SUM(Y53:Y58)</f>
        <v>0</v>
      </c>
      <c r="Z59" s="24">
        <f>SUM(Z53:Z58)</f>
        <v>0</v>
      </c>
      <c r="AA59" s="167"/>
      <c r="AB59" s="167"/>
      <c r="AC59" s="24">
        <f>SUM(AC53:AC58)</f>
        <v>6</v>
      </c>
      <c r="AD59" s="24">
        <f>SUM(AD53:AD58)</f>
        <v>0</v>
      </c>
      <c r="AE59" s="14">
        <f t="shared" si="43"/>
        <v>-114.17752457672259</v>
      </c>
      <c r="AF59" s="91">
        <f t="shared" si="9"/>
        <v>0.96194082514109247</v>
      </c>
      <c r="AG59" s="177"/>
    </row>
    <row r="60" spans="1:33" ht="15.75" customHeight="1">
      <c r="A60" s="174" t="s">
        <v>2881</v>
      </c>
      <c r="B60" s="88" t="s">
        <v>22</v>
      </c>
      <c r="C60" s="169" t="s">
        <v>28</v>
      </c>
      <c r="D60" s="169"/>
      <c r="E60" s="28">
        <v>26.2</v>
      </c>
      <c r="F60" s="88">
        <v>4700</v>
      </c>
      <c r="G60" s="88">
        <f t="shared" ref="G60:G66" si="45">E60*F60</f>
        <v>123140</v>
      </c>
      <c r="H60" s="30">
        <v>2</v>
      </c>
      <c r="I60" s="95">
        <v>18</v>
      </c>
      <c r="J60" s="13">
        <v>2400</v>
      </c>
      <c r="K60" s="12">
        <f t="shared" si="1"/>
        <v>133.33333333333334</v>
      </c>
      <c r="L60" s="95">
        <v>18</v>
      </c>
      <c r="M60" s="13">
        <f t="shared" ref="M60:M66" si="46">F60/V60*60</f>
        <v>2292.6829268292686</v>
      </c>
      <c r="N60" s="12">
        <f t="shared" si="3"/>
        <v>127.37127371273715</v>
      </c>
      <c r="O60" s="14">
        <f t="shared" si="4"/>
        <v>0</v>
      </c>
      <c r="P60" s="15">
        <f t="shared" si="5"/>
        <v>-5.9620596205961931</v>
      </c>
      <c r="Q60" s="91">
        <f t="shared" si="6"/>
        <v>0.9552845528455286</v>
      </c>
      <c r="R60" s="177">
        <f>Q67</f>
        <v>0.95790828783718196</v>
      </c>
      <c r="S60" s="21">
        <v>8.3333333333333329E-2</v>
      </c>
      <c r="T60" s="21">
        <v>0.16874999999999998</v>
      </c>
      <c r="U60" s="21"/>
      <c r="V60" s="30">
        <f t="shared" ref="V60:V66" si="47">(T60-S60)*24*60</f>
        <v>122.99999999999999</v>
      </c>
      <c r="W60" s="16">
        <f>T60</f>
        <v>0.16874999999999998</v>
      </c>
      <c r="X60" s="16">
        <f>S61</f>
        <v>0.18958333333333333</v>
      </c>
      <c r="Y60" s="16"/>
      <c r="Z60" s="16"/>
      <c r="AA60" s="168"/>
      <c r="AB60" s="168"/>
      <c r="AC60" s="18">
        <v>7</v>
      </c>
      <c r="AD60" s="18"/>
      <c r="AE60" s="14">
        <f t="shared" si="43"/>
        <v>-107.31707317073142</v>
      </c>
      <c r="AF60" s="91">
        <f t="shared" si="9"/>
        <v>0.9552845528455286</v>
      </c>
      <c r="AG60" s="177">
        <f>AF67</f>
        <v>0.95790828783718196</v>
      </c>
    </row>
    <row r="61" spans="1:33" ht="15.75" customHeight="1">
      <c r="A61" s="175" t="s">
        <v>2881</v>
      </c>
      <c r="B61" s="88" t="s">
        <v>22</v>
      </c>
      <c r="C61" s="169" t="s">
        <v>32</v>
      </c>
      <c r="D61" s="169"/>
      <c r="E61" s="28">
        <v>20.52</v>
      </c>
      <c r="F61" s="88">
        <v>2586</v>
      </c>
      <c r="G61" s="88">
        <f t="shared" si="45"/>
        <v>53064.72</v>
      </c>
      <c r="H61" s="30" t="s">
        <v>53</v>
      </c>
      <c r="I61" s="95">
        <v>18</v>
      </c>
      <c r="J61" s="13">
        <v>2400</v>
      </c>
      <c r="K61" s="12">
        <f t="shared" si="1"/>
        <v>133.33333333333334</v>
      </c>
      <c r="L61" s="95">
        <v>18</v>
      </c>
      <c r="M61" s="13">
        <f t="shared" si="46"/>
        <v>2315.8208955223881</v>
      </c>
      <c r="N61" s="12">
        <f t="shared" si="3"/>
        <v>128.65671641791045</v>
      </c>
      <c r="O61" s="14">
        <f t="shared" si="4"/>
        <v>0</v>
      </c>
      <c r="P61" s="15">
        <f t="shared" si="5"/>
        <v>-4.6766169154228976</v>
      </c>
      <c r="Q61" s="91">
        <f t="shared" si="6"/>
        <v>0.96492537313432825</v>
      </c>
      <c r="R61" s="177"/>
      <c r="S61" s="21">
        <v>0.18958333333333333</v>
      </c>
      <c r="T61" s="21">
        <v>0.2361111111111111</v>
      </c>
      <c r="U61" s="88">
        <f t="shared" ref="U61:U66" si="48">(S61-T60)*24*60</f>
        <v>30.000000000000014</v>
      </c>
      <c r="V61" s="30">
        <f t="shared" si="47"/>
        <v>67</v>
      </c>
      <c r="W61" s="16"/>
      <c r="X61" s="16"/>
      <c r="Y61" s="16"/>
      <c r="Z61" s="16"/>
      <c r="AA61" s="168"/>
      <c r="AB61" s="168"/>
      <c r="AC61" s="18"/>
      <c r="AD61" s="18"/>
      <c r="AE61" s="14">
        <f t="shared" si="43"/>
        <v>-84.179104477611872</v>
      </c>
      <c r="AF61" s="91">
        <f t="shared" si="9"/>
        <v>0.96492537313432836</v>
      </c>
      <c r="AG61" s="177"/>
    </row>
    <row r="62" spans="1:33" ht="15.75" customHeight="1">
      <c r="A62" s="175" t="s">
        <v>2881</v>
      </c>
      <c r="B62" s="88" t="s">
        <v>22</v>
      </c>
      <c r="C62" s="169" t="s">
        <v>50</v>
      </c>
      <c r="D62" s="169"/>
      <c r="E62" s="28">
        <v>24.45</v>
      </c>
      <c r="F62" s="88">
        <v>2143</v>
      </c>
      <c r="G62" s="88">
        <f t="shared" si="45"/>
        <v>52396.35</v>
      </c>
      <c r="H62" s="30" t="s">
        <v>53</v>
      </c>
      <c r="I62" s="95">
        <v>19</v>
      </c>
      <c r="J62" s="13">
        <v>2400</v>
      </c>
      <c r="K62" s="12">
        <f t="shared" si="1"/>
        <v>126.31578947368421</v>
      </c>
      <c r="L62" s="95">
        <v>19</v>
      </c>
      <c r="M62" s="13">
        <f t="shared" si="46"/>
        <v>2296.0714285714266</v>
      </c>
      <c r="N62" s="12">
        <f t="shared" si="3"/>
        <v>120.84586466165403</v>
      </c>
      <c r="O62" s="14">
        <f t="shared" si="4"/>
        <v>0</v>
      </c>
      <c r="P62" s="15">
        <f t="shared" si="5"/>
        <v>-5.4699248120301718</v>
      </c>
      <c r="Q62" s="91">
        <f t="shared" si="6"/>
        <v>0.95669642857142778</v>
      </c>
      <c r="R62" s="177"/>
      <c r="S62" s="21">
        <v>0.23958333333333331</v>
      </c>
      <c r="T62" s="21">
        <v>0.27847222222222223</v>
      </c>
      <c r="U62" s="88">
        <f t="shared" si="48"/>
        <v>4.9999999999999822</v>
      </c>
      <c r="V62" s="30">
        <f t="shared" si="47"/>
        <v>56.000000000000043</v>
      </c>
      <c r="W62" s="16"/>
      <c r="X62" s="16"/>
      <c r="Y62" s="16"/>
      <c r="Z62" s="16"/>
      <c r="AA62" s="168"/>
      <c r="AB62" s="168"/>
      <c r="AC62" s="18"/>
      <c r="AD62" s="18"/>
      <c r="AE62" s="14">
        <f t="shared" si="43"/>
        <v>-103.92857142857338</v>
      </c>
      <c r="AF62" s="91">
        <f t="shared" si="9"/>
        <v>0.95669642857142778</v>
      </c>
      <c r="AG62" s="177"/>
    </row>
    <row r="63" spans="1:33" ht="15.75" customHeight="1">
      <c r="A63" s="175" t="s">
        <v>2881</v>
      </c>
      <c r="B63" s="88" t="s">
        <v>22</v>
      </c>
      <c r="C63" s="169" t="s">
        <v>31</v>
      </c>
      <c r="D63" s="169"/>
      <c r="E63" s="28">
        <v>20.21</v>
      </c>
      <c r="F63" s="88">
        <v>2729</v>
      </c>
      <c r="G63" s="88">
        <f t="shared" si="45"/>
        <v>55153.090000000004</v>
      </c>
      <c r="H63" s="30" t="s">
        <v>53</v>
      </c>
      <c r="I63" s="95">
        <v>15</v>
      </c>
      <c r="J63" s="13">
        <v>2400</v>
      </c>
      <c r="K63" s="12">
        <f t="shared" si="1"/>
        <v>160</v>
      </c>
      <c r="L63" s="95">
        <v>15</v>
      </c>
      <c r="M63" s="13">
        <f t="shared" si="46"/>
        <v>2306.1971830985917</v>
      </c>
      <c r="N63" s="12">
        <f t="shared" si="3"/>
        <v>153.74647887323945</v>
      </c>
      <c r="O63" s="14">
        <f t="shared" si="4"/>
        <v>0</v>
      </c>
      <c r="P63" s="15">
        <f t="shared" si="5"/>
        <v>-6.2535211267605462</v>
      </c>
      <c r="Q63" s="91">
        <f t="shared" si="6"/>
        <v>0.96091549295774659</v>
      </c>
      <c r="R63" s="177"/>
      <c r="S63" s="21">
        <v>0.28402777777777777</v>
      </c>
      <c r="T63" s="21">
        <v>0.33333333333333331</v>
      </c>
      <c r="U63" s="88">
        <f t="shared" si="48"/>
        <v>7.9999999999999716</v>
      </c>
      <c r="V63" s="30">
        <f t="shared" si="47"/>
        <v>70.999999999999986</v>
      </c>
      <c r="W63" s="16"/>
      <c r="X63" s="16"/>
      <c r="Y63" s="16"/>
      <c r="Z63" s="16"/>
      <c r="AA63" s="168"/>
      <c r="AB63" s="168"/>
      <c r="AC63" s="18"/>
      <c r="AD63" s="18"/>
      <c r="AE63" s="14">
        <f t="shared" si="43"/>
        <v>-93.802816901408278</v>
      </c>
      <c r="AF63" s="91">
        <f t="shared" si="9"/>
        <v>0.96091549295774659</v>
      </c>
      <c r="AG63" s="177"/>
    </row>
    <row r="64" spans="1:33" ht="15.75" customHeight="1">
      <c r="A64" s="175" t="s">
        <v>2881</v>
      </c>
      <c r="B64" s="88" t="s">
        <v>22</v>
      </c>
      <c r="C64" s="169" t="s">
        <v>70</v>
      </c>
      <c r="D64" s="169"/>
      <c r="E64" s="28">
        <v>22.69</v>
      </c>
      <c r="F64" s="88">
        <v>3774</v>
      </c>
      <c r="G64" s="88">
        <f t="shared" si="45"/>
        <v>85632.06</v>
      </c>
      <c r="H64" s="30" t="s">
        <v>53</v>
      </c>
      <c r="I64" s="95">
        <v>15</v>
      </c>
      <c r="J64" s="13">
        <v>2400</v>
      </c>
      <c r="K64" s="12">
        <f t="shared" si="1"/>
        <v>160</v>
      </c>
      <c r="L64" s="95">
        <v>15</v>
      </c>
      <c r="M64" s="13">
        <f t="shared" si="46"/>
        <v>2287.2727272727279</v>
      </c>
      <c r="N64" s="12">
        <f t="shared" si="3"/>
        <v>152.48484848484853</v>
      </c>
      <c r="O64" s="14">
        <f t="shared" si="4"/>
        <v>0</v>
      </c>
      <c r="P64" s="15">
        <f t="shared" si="5"/>
        <v>-7.5151515151514729</v>
      </c>
      <c r="Q64" s="91">
        <f t="shared" si="6"/>
        <v>0.95303030303030334</v>
      </c>
      <c r="R64" s="177"/>
      <c r="S64" s="21">
        <v>0.33888888888888885</v>
      </c>
      <c r="T64" s="21">
        <v>0.40763888888888883</v>
      </c>
      <c r="U64" s="88">
        <f t="shared" si="48"/>
        <v>7.9999999999999716</v>
      </c>
      <c r="V64" s="30">
        <f t="shared" si="47"/>
        <v>98.999999999999972</v>
      </c>
      <c r="W64" s="16"/>
      <c r="X64" s="16"/>
      <c r="Y64" s="16"/>
      <c r="Z64" s="16"/>
      <c r="AA64" s="168"/>
      <c r="AB64" s="168"/>
      <c r="AC64" s="18"/>
      <c r="AD64" s="18"/>
      <c r="AE64" s="14">
        <f t="shared" si="43"/>
        <v>-112.72727272727207</v>
      </c>
      <c r="AF64" s="91">
        <f t="shared" si="9"/>
        <v>0.95303030303030334</v>
      </c>
      <c r="AG64" s="177"/>
    </row>
    <row r="65" spans="1:33" ht="15.75" customHeight="1">
      <c r="A65" s="175" t="s">
        <v>2881</v>
      </c>
      <c r="B65" s="88" t="s">
        <v>22</v>
      </c>
      <c r="C65" s="169" t="s">
        <v>52</v>
      </c>
      <c r="D65" s="169"/>
      <c r="E65" s="28">
        <v>19.02</v>
      </c>
      <c r="F65" s="88">
        <v>4700</v>
      </c>
      <c r="G65" s="88">
        <f t="shared" si="45"/>
        <v>89394</v>
      </c>
      <c r="H65" s="30">
        <v>2</v>
      </c>
      <c r="I65" s="95">
        <v>14</v>
      </c>
      <c r="J65" s="13">
        <v>2400</v>
      </c>
      <c r="K65" s="12">
        <f t="shared" si="1"/>
        <v>171.42857142857142</v>
      </c>
      <c r="L65" s="95">
        <v>14</v>
      </c>
      <c r="M65" s="13">
        <f t="shared" si="46"/>
        <v>2292.682926829269</v>
      </c>
      <c r="N65" s="12">
        <f t="shared" si="3"/>
        <v>163.76306620209064</v>
      </c>
      <c r="O65" s="14">
        <f t="shared" si="4"/>
        <v>0</v>
      </c>
      <c r="P65" s="15">
        <f t="shared" si="5"/>
        <v>-7.665505226480775</v>
      </c>
      <c r="Q65" s="91">
        <f t="shared" si="6"/>
        <v>0.95528455284552882</v>
      </c>
      <c r="R65" s="177"/>
      <c r="S65" s="21">
        <v>0.41249999999999992</v>
      </c>
      <c r="T65" s="21">
        <v>0.49791666666666656</v>
      </c>
      <c r="U65" s="88">
        <f t="shared" si="48"/>
        <v>6.9999999999999751</v>
      </c>
      <c r="V65" s="30">
        <f t="shared" si="47"/>
        <v>122.99999999999996</v>
      </c>
      <c r="W65" s="16">
        <f>T65</f>
        <v>0.49791666666666656</v>
      </c>
      <c r="X65" s="16">
        <f>S66</f>
        <v>0.53888888888888875</v>
      </c>
      <c r="Y65" s="16"/>
      <c r="Z65" s="16"/>
      <c r="AA65" s="168"/>
      <c r="AB65" s="168"/>
      <c r="AC65" s="18"/>
      <c r="AD65" s="18"/>
      <c r="AE65" s="14">
        <f t="shared" si="43"/>
        <v>-107.31707317073096</v>
      </c>
      <c r="AF65" s="91">
        <f t="shared" si="9"/>
        <v>0.95528455284552871</v>
      </c>
      <c r="AG65" s="177"/>
    </row>
    <row r="66" spans="1:33" ht="15.75" customHeight="1">
      <c r="A66" s="175" t="s">
        <v>2881</v>
      </c>
      <c r="B66" s="88" t="s">
        <v>22</v>
      </c>
      <c r="C66" s="170" t="s">
        <v>52</v>
      </c>
      <c r="D66" s="171"/>
      <c r="E66" s="28">
        <v>19.02</v>
      </c>
      <c r="F66" s="88">
        <v>4681</v>
      </c>
      <c r="G66" s="88">
        <f t="shared" si="45"/>
        <v>89032.62</v>
      </c>
      <c r="H66" s="30" t="s">
        <v>53</v>
      </c>
      <c r="I66" s="95">
        <v>14</v>
      </c>
      <c r="J66" s="13">
        <v>2400</v>
      </c>
      <c r="K66" s="12">
        <f t="shared" si="1"/>
        <v>171.42857142857142</v>
      </c>
      <c r="L66" s="95">
        <v>14</v>
      </c>
      <c r="M66" s="13">
        <f t="shared" si="46"/>
        <v>2302.131147540983</v>
      </c>
      <c r="N66" s="12">
        <f t="shared" si="3"/>
        <v>164.4379391100702</v>
      </c>
      <c r="O66" s="14">
        <f t="shared" si="4"/>
        <v>0</v>
      </c>
      <c r="P66" s="15">
        <f t="shared" si="5"/>
        <v>-6.9906323185012127</v>
      </c>
      <c r="Q66" s="91">
        <f t="shared" si="6"/>
        <v>0.95922131147540957</v>
      </c>
      <c r="R66" s="177"/>
      <c r="S66" s="21">
        <v>0.53888888888888875</v>
      </c>
      <c r="T66" s="21">
        <v>0.62361111111111101</v>
      </c>
      <c r="U66" s="88">
        <f t="shared" si="48"/>
        <v>58.99999999999995</v>
      </c>
      <c r="V66" s="30">
        <f t="shared" si="47"/>
        <v>122.00000000000004</v>
      </c>
      <c r="W66" s="16"/>
      <c r="X66" s="16"/>
      <c r="Y66" s="19"/>
      <c r="Z66" s="19"/>
      <c r="AA66" s="172"/>
      <c r="AB66" s="173"/>
      <c r="AC66" s="18"/>
      <c r="AD66" s="18"/>
      <c r="AE66" s="14">
        <f t="shared" si="43"/>
        <v>-97.868852459017035</v>
      </c>
      <c r="AF66" s="91">
        <f t="shared" si="9"/>
        <v>0.95922131147540957</v>
      </c>
      <c r="AG66" s="177"/>
    </row>
    <row r="67" spans="1:33" ht="16.5" customHeight="1">
      <c r="A67" s="176" t="s">
        <v>2881</v>
      </c>
      <c r="B67" s="28" t="s">
        <v>2874</v>
      </c>
      <c r="C67" s="165"/>
      <c r="D67" s="166"/>
      <c r="E67" s="92"/>
      <c r="F67" s="12"/>
      <c r="G67" s="12"/>
      <c r="H67" s="88"/>
      <c r="I67" s="23">
        <v>16.142857142857142</v>
      </c>
      <c r="J67" s="13">
        <v>2400</v>
      </c>
      <c r="K67" s="12">
        <f t="shared" si="1"/>
        <v>148.67256637168143</v>
      </c>
      <c r="L67" s="23">
        <v>16.142857142857142</v>
      </c>
      <c r="M67" s="13">
        <f>AVERAGE(M60:M66)</f>
        <v>2298.9798908092366</v>
      </c>
      <c r="N67" s="12">
        <f t="shared" si="3"/>
        <v>142.41468350145715</v>
      </c>
      <c r="O67" s="14">
        <f t="shared" si="4"/>
        <v>0</v>
      </c>
      <c r="P67" s="15">
        <f t="shared" si="5"/>
        <v>-6.2578828702242788</v>
      </c>
      <c r="Q67" s="91">
        <f t="shared" si="6"/>
        <v>0.95790828783718196</v>
      </c>
      <c r="R67" s="177"/>
      <c r="S67" s="21"/>
      <c r="T67" s="21"/>
      <c r="U67" s="12"/>
      <c r="V67" s="30"/>
      <c r="W67" s="12"/>
      <c r="X67" s="12"/>
      <c r="Y67" s="24">
        <f>SUM(Y60:Y66)</f>
        <v>0</v>
      </c>
      <c r="Z67" s="24">
        <f>SUM(Z60:Z66)</f>
        <v>0</v>
      </c>
      <c r="AA67" s="167"/>
      <c r="AB67" s="167"/>
      <c r="AC67" s="24">
        <f>SUM(AC60:AC66)</f>
        <v>7</v>
      </c>
      <c r="AD67" s="24">
        <f>SUM(AD60:AD66)</f>
        <v>0</v>
      </c>
      <c r="AE67" s="14">
        <f t="shared" si="43"/>
        <v>-101.02010919076338</v>
      </c>
      <c r="AF67" s="91">
        <f t="shared" si="9"/>
        <v>0.95790828783718196</v>
      </c>
      <c r="AG67" s="177"/>
    </row>
    <row r="68" spans="1:33">
      <c r="D68" s="87"/>
      <c r="E68" s="87"/>
    </row>
  </sheetData>
  <mergeCells count="187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17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A18:A23"/>
    <mergeCell ref="C18:D18"/>
    <mergeCell ref="R18:R23"/>
    <mergeCell ref="AA18:AB18"/>
    <mergeCell ref="AA23:AB23"/>
    <mergeCell ref="A13:A17"/>
    <mergeCell ref="C13:D13"/>
    <mergeCell ref="R13:R17"/>
    <mergeCell ref="AA13:AB13"/>
    <mergeCell ref="AG18:AG23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24:A30"/>
    <mergeCell ref="C24:D24"/>
    <mergeCell ref="R24:R30"/>
    <mergeCell ref="AA24:AB24"/>
    <mergeCell ref="AG24:AG30"/>
    <mergeCell ref="C25:D25"/>
    <mergeCell ref="AA25:AB25"/>
    <mergeCell ref="C26:D26"/>
    <mergeCell ref="AA26:AB26"/>
    <mergeCell ref="C27:D27"/>
    <mergeCell ref="AG31:AG38"/>
    <mergeCell ref="C32:D32"/>
    <mergeCell ref="AA32:AB32"/>
    <mergeCell ref="C33:D33"/>
    <mergeCell ref="AA33:AB33"/>
    <mergeCell ref="C34:D34"/>
    <mergeCell ref="AA27:AB27"/>
    <mergeCell ref="C28:D28"/>
    <mergeCell ref="AA28:AB28"/>
    <mergeCell ref="C29:D29"/>
    <mergeCell ref="AA29:AB29"/>
    <mergeCell ref="C30:D30"/>
    <mergeCell ref="AA30:AB30"/>
    <mergeCell ref="C38:D38"/>
    <mergeCell ref="AA38:AB38"/>
    <mergeCell ref="A39:A43"/>
    <mergeCell ref="C39:D39"/>
    <mergeCell ref="R39:R43"/>
    <mergeCell ref="AA39:AB39"/>
    <mergeCell ref="AA34:AB34"/>
    <mergeCell ref="C35:D35"/>
    <mergeCell ref="AA35:AB35"/>
    <mergeCell ref="C36:D36"/>
    <mergeCell ref="AA36:AB36"/>
    <mergeCell ref="C37:D37"/>
    <mergeCell ref="AA37:AB37"/>
    <mergeCell ref="A31:A38"/>
    <mergeCell ref="C31:D31"/>
    <mergeCell ref="R31:R38"/>
    <mergeCell ref="AA31:AB31"/>
    <mergeCell ref="AG44:AG52"/>
    <mergeCell ref="C45:D45"/>
    <mergeCell ref="AA45:AB45"/>
    <mergeCell ref="C46:D46"/>
    <mergeCell ref="AA46:AB46"/>
    <mergeCell ref="AA47:AB47"/>
    <mergeCell ref="AG39:AG43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AA48:AB48"/>
    <mergeCell ref="C49:D49"/>
    <mergeCell ref="AA49:AB49"/>
    <mergeCell ref="C50:D50"/>
    <mergeCell ref="AA50:AB50"/>
    <mergeCell ref="C51:D51"/>
    <mergeCell ref="AA51:AB51"/>
    <mergeCell ref="A44:A52"/>
    <mergeCell ref="C44:D44"/>
    <mergeCell ref="R44:R52"/>
    <mergeCell ref="AA44:AB44"/>
    <mergeCell ref="C52:D52"/>
    <mergeCell ref="AA52:AB52"/>
    <mergeCell ref="A53:A59"/>
    <mergeCell ref="C53:D53"/>
    <mergeCell ref="R53:R59"/>
    <mergeCell ref="AA53:AB53"/>
    <mergeCell ref="AA58:AB58"/>
    <mergeCell ref="C59:D59"/>
    <mergeCell ref="AA59:AB59"/>
    <mergeCell ref="AG53:AG59"/>
    <mergeCell ref="C54:D54"/>
    <mergeCell ref="AA54:AB54"/>
    <mergeCell ref="C55:D55"/>
    <mergeCell ref="AA55:AB55"/>
    <mergeCell ref="C56:D56"/>
    <mergeCell ref="AA56:AB56"/>
    <mergeCell ref="C57:D57"/>
    <mergeCell ref="AA57:AB57"/>
    <mergeCell ref="C58:D58"/>
    <mergeCell ref="A60:A67"/>
    <mergeCell ref="C60:D60"/>
    <mergeCell ref="R60:R67"/>
    <mergeCell ref="AA60:AB60"/>
    <mergeCell ref="AG60:AG67"/>
    <mergeCell ref="C61:D61"/>
    <mergeCell ref="AA61:AB61"/>
    <mergeCell ref="C62:D62"/>
    <mergeCell ref="AA62:AB62"/>
    <mergeCell ref="C63:D63"/>
    <mergeCell ref="C67:D67"/>
    <mergeCell ref="AA67:AB67"/>
    <mergeCell ref="AA63:AB63"/>
    <mergeCell ref="C64:D64"/>
    <mergeCell ref="AA64:AB64"/>
    <mergeCell ref="C65:D65"/>
    <mergeCell ref="AA65:AB65"/>
    <mergeCell ref="C66:D66"/>
    <mergeCell ref="AA66:AB66"/>
  </mergeCells>
  <phoneticPr fontId="3" type="noConversion"/>
  <conditionalFormatting sqref="O5:O67">
    <cfRule type="cellIs" dxfId="250" priority="9" operator="greaterThan">
      <formula>0</formula>
    </cfRule>
  </conditionalFormatting>
  <conditionalFormatting sqref="P5:P67">
    <cfRule type="cellIs" dxfId="249" priority="1" operator="lessThan">
      <formula>0</formula>
    </cfRule>
  </conditionalFormatting>
  <conditionalFormatting sqref="Q5:Q67 AF5:AF67">
    <cfRule type="cellIs" dxfId="248" priority="10" operator="greaterThan">
      <formula>1</formula>
    </cfRule>
    <cfRule type="cellIs" dxfId="247" priority="11" operator="lessThan">
      <formula>0.8</formula>
    </cfRule>
  </conditionalFormatting>
  <conditionalFormatting sqref="R5:R10 AG5:AG10">
    <cfRule type="cellIs" dxfId="246" priority="52" operator="lessThan">
      <formula>0.8</formula>
    </cfRule>
  </conditionalFormatting>
  <conditionalFormatting sqref="AE5:AE67">
    <cfRule type="cellIs" dxfId="245" priority="12" operator="lessThan">
      <formula>0</formula>
    </cfRule>
  </conditionalFormatting>
  <conditionalFormatting sqref="AG13:AG56 R13:R67">
    <cfRule type="cellIs" dxfId="244" priority="13" operator="lessThan">
      <formula>0.8</formula>
    </cfRule>
  </conditionalFormatting>
  <dataValidations count="1">
    <dataValidation type="list" allowBlank="1" showInputMessage="1" showErrorMessage="1" sqref="AB9 AA5:AB8 AB57:AB58 AA9:AA58 AB11:AB53 AA59:AB67" xr:uid="{00000000-0002-0000-01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32"/>
  <sheetViews>
    <sheetView zoomScale="85" zoomScaleNormal="85" workbookViewId="0">
      <selection activeCell="H9" sqref="H9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75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2095</v>
      </c>
      <c r="C3" s="154" t="str">
        <f>TEXT('0429 4度C'!A2,"yyyy.mm.ddaaaa")</f>
        <v>2026.04.29星期三</v>
      </c>
      <c r="D3" s="155"/>
      <c r="E3" s="33" t="s">
        <v>77</v>
      </c>
      <c r="F3" s="156">
        <f>'0429 4度C'!D1</f>
        <v>178103</v>
      </c>
      <c r="G3" s="157"/>
      <c r="H3" s="33" t="s">
        <v>78</v>
      </c>
      <c r="I3" s="158">
        <f>'0429 4度C'!F1</f>
        <v>5954445.1200000001</v>
      </c>
      <c r="J3" s="159"/>
      <c r="K3" s="34"/>
      <c r="L3" s="35"/>
      <c r="M3" s="35"/>
      <c r="N3" s="35"/>
    </row>
    <row r="4" spans="2:17" ht="28.5" customHeight="1">
      <c r="B4" s="160" t="s">
        <v>2724</v>
      </c>
      <c r="C4" s="146" t="s">
        <v>80</v>
      </c>
      <c r="D4" s="147"/>
      <c r="E4" s="163" t="s">
        <v>2725</v>
      </c>
      <c r="F4" s="164"/>
      <c r="G4" s="163" t="s">
        <v>2726</v>
      </c>
      <c r="H4" s="164"/>
      <c r="I4" s="163" t="s">
        <v>83</v>
      </c>
      <c r="J4" s="164"/>
      <c r="K4" s="144" t="s">
        <v>2727</v>
      </c>
      <c r="L4" s="145"/>
      <c r="M4" s="145" t="s">
        <v>85</v>
      </c>
      <c r="N4" s="145"/>
    </row>
    <row r="5" spans="2:17" ht="28.5" customHeight="1">
      <c r="B5" s="161"/>
      <c r="C5" s="146" t="s">
        <v>2728</v>
      </c>
      <c r="D5" s="147"/>
      <c r="E5" s="146" t="s">
        <v>87</v>
      </c>
      <c r="F5" s="147"/>
      <c r="G5" s="148" t="s">
        <v>88</v>
      </c>
      <c r="H5" s="149"/>
      <c r="I5" s="150" t="s">
        <v>89</v>
      </c>
      <c r="J5" s="151"/>
      <c r="K5" s="36" t="s">
        <v>90</v>
      </c>
      <c r="L5" s="37" t="s">
        <v>91</v>
      </c>
      <c r="M5" s="36" t="s">
        <v>90</v>
      </c>
      <c r="N5" s="37" t="s">
        <v>92</v>
      </c>
    </row>
    <row r="6" spans="2:17" ht="28.5" customHeight="1">
      <c r="B6" s="161"/>
      <c r="C6" s="146" t="s">
        <v>54</v>
      </c>
      <c r="D6" s="147"/>
      <c r="E6" s="138">
        <f>AVERAGE(D13:M13)</f>
        <v>151.07581283383072</v>
      </c>
      <c r="F6" s="139">
        <f>AVERAGE(D31:O31,D13:J13)</f>
        <v>157.40334019165479</v>
      </c>
      <c r="G6" s="140">
        <f>AVERAGE(D13:J13)</f>
        <v>157.40334019165479</v>
      </c>
      <c r="H6" s="141"/>
      <c r="I6" s="140">
        <f>AVERAGE(K13:M13)</f>
        <v>136.31158233224122</v>
      </c>
      <c r="J6" s="141"/>
      <c r="K6" s="142">
        <f>'0429 4度C'!Y2</f>
        <v>0</v>
      </c>
      <c r="L6" s="127">
        <f>'0429 4度C'!Z2</f>
        <v>0</v>
      </c>
      <c r="M6" s="143">
        <f>'0429 4度C'!AC2</f>
        <v>58</v>
      </c>
      <c r="N6" s="127">
        <f>'0429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144.85139526798193</v>
      </c>
      <c r="F7" s="131">
        <f>AVERAGE(D32:O32,D14:J14)</f>
        <v>151.06614284185056</v>
      </c>
      <c r="G7" s="132">
        <f>AVERAGE(D14:J14)</f>
        <v>151.06614284185056</v>
      </c>
      <c r="H7" s="133"/>
      <c r="I7" s="132">
        <f>AVERAGE(K14:M14)</f>
        <v>130.35031759562176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0.95881599990259159</v>
      </c>
      <c r="F8" s="135">
        <f>AVERAGE(D15:J15,D33:O33)</f>
        <v>0.95995786552969009</v>
      </c>
      <c r="G8" s="136">
        <f>AVERAGE(D15:J15)</f>
        <v>0.95995786552969009</v>
      </c>
      <c r="H8" s="137"/>
      <c r="I8" s="136">
        <f>AVERAGE(K15:M15)</f>
        <v>0.9561516467726946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2729</v>
      </c>
      <c r="N9" s="35"/>
      <c r="O9" s="35"/>
      <c r="P9" s="35"/>
      <c r="Q9" s="35"/>
    </row>
    <row r="10" spans="2:17" ht="30" customHeight="1">
      <c r="B10" s="110" t="s">
        <v>2266</v>
      </c>
      <c r="C10" s="111"/>
      <c r="D10" s="112" t="s">
        <v>94</v>
      </c>
      <c r="E10" s="113"/>
      <c r="F10" s="113"/>
      <c r="G10" s="113"/>
      <c r="H10" s="113"/>
      <c r="I10" s="113"/>
      <c r="J10" s="114"/>
      <c r="K10" s="115" t="s">
        <v>95</v>
      </c>
      <c r="L10" s="116"/>
      <c r="M10" s="117"/>
      <c r="P10" s="41"/>
      <c r="Q10" s="41"/>
    </row>
    <row r="11" spans="2:17" ht="17.25" customHeight="1">
      <c r="B11" s="118" t="s">
        <v>2730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200</v>
      </c>
      <c r="C13" s="48" t="s">
        <v>98</v>
      </c>
      <c r="D13" s="49">
        <f>SUMIFS('0429 4度C'!$K:$K,'0429 4度C'!$A:$A,"新豐6線",'0429 4度C'!$B:$B,"平均")</f>
        <v>119.40298507462687</v>
      </c>
      <c r="E13" s="50">
        <f>SUMIFS('0429 4度C'!$K:$K,'0429 4度C'!$A:$A,"新豐2線",'0429 4度C'!$B:$B,"平均")</f>
        <v>83.333333333333329</v>
      </c>
      <c r="F13" s="51">
        <f>SUMIFS('0429 4度C'!$K:$K,'0429 4度C'!$A:$A,"新豐5線",'0429 4度C'!$B:$B,"平均")</f>
        <v>100</v>
      </c>
      <c r="G13" s="51">
        <f>SUMIFS('0429 4度C'!$K:$K,'0429 4度C'!$A:$A,"新豐7線",'0429 4度C'!$B:$B,"平均")</f>
        <v>123.4567901234568</v>
      </c>
      <c r="H13" s="51">
        <f>SUMIFS('0429 4度C'!$K:$K,'0429 4度C'!$A:$A,"新豐3線",'0429 4度C'!$B:$B,"平均")</f>
        <v>255.81395348837211</v>
      </c>
      <c r="I13" s="51">
        <f>SUMIFS('0429 4度C'!$K:$K,'0429 4度C'!$A:$A,"新豐1線",'0429 4度C'!$B:$B,"平均")</f>
        <v>104.02684563758389</v>
      </c>
      <c r="J13" s="52">
        <f>SUMIFS('0429 4度C'!$K:$K,'0429 4度C'!$A:$A,"新豐10線",'0429 4度C'!$B:$B,"平均")</f>
        <v>315.78947368421052</v>
      </c>
      <c r="K13" s="53">
        <f>SUMIFS('0429 4度C'!$K:$K,'0429 4度C'!$A:$A,"新豐8線",'0429 4度C'!$B:$B,"平均")</f>
        <v>131.25</v>
      </c>
      <c r="L13" s="54">
        <f>SUMIFS('0429 4度C'!$K:$K,'0429 4度C'!$A:$A,"新豐9線",'0429 4度C'!$B:$B,"平均")</f>
        <v>131.34328358208955</v>
      </c>
      <c r="M13" s="52">
        <f>SUMIFS('0429 4度C'!$K:$K,'0429 4度C'!$A:$A,"新豐4線",'0429 4度C'!$B:$B,"平均")</f>
        <v>146.34146341463415</v>
      </c>
    </row>
    <row r="14" spans="2:17" ht="39.6" customHeight="1">
      <c r="B14" s="123"/>
      <c r="C14" s="55" t="s">
        <v>2731</v>
      </c>
      <c r="D14" s="56">
        <f>SUMIFS('0429 4度C'!$N:$N,'0429 4度C'!$A:$A,"新豐6線",'0429 4度C'!$B:$B,"平均")</f>
        <v>114.16627104537319</v>
      </c>
      <c r="E14" s="57">
        <f>SUMIFS('0429 4度C'!$N:$N,'0429 4度C'!$A:$A,"新豐2線",'0429 4度C'!$B:$B,"平均")</f>
        <v>79.629356635189225</v>
      </c>
      <c r="F14" s="57">
        <f>SUMIFS('0429 4度C'!$N:$N,'0429 4度C'!$A:$A,"新豐5線",'0429 4度C'!$B:$B,"平均")</f>
        <v>96.654846885706661</v>
      </c>
      <c r="G14" s="57">
        <f>SUMIFS('0429 4度C'!$N:$N,'0429 4度C'!$A:$A,"新豐7線",'0429 4度C'!$B:$B,"平均")</f>
        <v>118.24045817607204</v>
      </c>
      <c r="H14" s="57">
        <f>SUMIFS('0429 4度C'!$N:$N,'0429 4度C'!$A:$A,"新豐3線",'0429 4度C'!$B:$B,"平均")</f>
        <v>244.17453580486855</v>
      </c>
      <c r="I14" s="57">
        <f>SUMIFS('0429 4度C'!$N:$N,'0429 4度C'!$A:$A,"新豐1線",'0429 4度C'!$B:$B,"平均")</f>
        <v>100.52192453348086</v>
      </c>
      <c r="J14" s="58">
        <f>SUMIFS('0429 4度C'!$N:$N,'0429 4度C'!$A:$A,"新豐10線",'0429 4度C'!$B:$B,"平均")</f>
        <v>304.07560681226352</v>
      </c>
      <c r="K14" s="59">
        <f>SUMIFS('0429 4度C'!$N:$N,'0429 4度C'!$A:$A,"新豐8線",'0429 4度C'!$B:$B,"平均")</f>
        <v>125.18267274066288</v>
      </c>
      <c r="L14" s="60">
        <f>SUMIFS('0429 4度C'!$N:$N,'0429 4度C'!$A:$A,"新豐9線",'0429 4度C'!$B:$B,"平均")</f>
        <v>125.48408952554817</v>
      </c>
      <c r="M14" s="58">
        <f>SUMIFS('0429 4度C'!$N:$N,'0429 4度C'!$A:$A,"新豐4線",'0429 4度C'!$B:$B,"平均")</f>
        <v>140.3841905206543</v>
      </c>
    </row>
    <row r="15" spans="2:17" ht="40.15" customHeight="1">
      <c r="B15" s="124"/>
      <c r="C15" s="61" t="s">
        <v>2732</v>
      </c>
      <c r="D15" s="62">
        <f t="shared" ref="D15:M15" si="0">D14/D13</f>
        <v>0.95614252000500044</v>
      </c>
      <c r="E15" s="63">
        <f t="shared" si="0"/>
        <v>0.95555227962227074</v>
      </c>
      <c r="F15" s="63">
        <f t="shared" si="0"/>
        <v>0.96654846885706658</v>
      </c>
      <c r="G15" s="63">
        <f t="shared" si="0"/>
        <v>0.95774771122618341</v>
      </c>
      <c r="H15" s="63">
        <f t="shared" si="0"/>
        <v>0.95450045814630424</v>
      </c>
      <c r="I15" s="63">
        <f t="shared" si="0"/>
        <v>0.96630753261217084</v>
      </c>
      <c r="J15" s="64">
        <f t="shared" si="0"/>
        <v>0.9629060882388345</v>
      </c>
      <c r="K15" s="62">
        <f t="shared" si="0"/>
        <v>0.95377274469076478</v>
      </c>
      <c r="L15" s="63">
        <f t="shared" si="0"/>
        <v>0.95539022706951449</v>
      </c>
      <c r="M15" s="64">
        <f t="shared" si="0"/>
        <v>0.95929196855780441</v>
      </c>
    </row>
    <row r="16" spans="2:17" ht="17.25" customHeight="1">
      <c r="B16" s="125" t="s">
        <v>2733</v>
      </c>
      <c r="C16" s="65" t="s">
        <v>102</v>
      </c>
      <c r="D16" s="66">
        <f>VLOOKUP("新豐6線",'0429 4度C'!$A:$T,19,0)</f>
        <v>0.70833333333333337</v>
      </c>
      <c r="E16" s="67">
        <f>VLOOKUP("新豐2線",'0429 4度C'!$A:$T,19,0)</f>
        <v>0.20833333333333334</v>
      </c>
      <c r="F16" s="67">
        <f>VLOOKUP("新豐5線",'0429 4度C'!$A:$T,19,0)</f>
        <v>0.20833333333333334</v>
      </c>
      <c r="G16" s="67">
        <f>VLOOKUP("新豐7線",'0429 4度C'!$A:$T,19,0)</f>
        <v>0.20833333333333334</v>
      </c>
      <c r="H16" s="67">
        <f>VLOOKUP("新豐3線",'0429 4度C'!$A:$T,19,0)</f>
        <v>8.3333333333333329E-2</v>
      </c>
      <c r="I16" s="67">
        <f>VLOOKUP("新豐1線",'0429 4度C'!$A:$T,19,0)</f>
        <v>0.20833333333333334</v>
      </c>
      <c r="J16" s="68">
        <f>VLOOKUP("新豐10線",'0429 4度C'!$A:$T,19,0)</f>
        <v>0.20833333333333334</v>
      </c>
      <c r="K16" s="69">
        <f>VLOOKUP("新豐8線",'0429 4度C'!$A:$T,19,0)</f>
        <v>8.3333333333333329E-2</v>
      </c>
      <c r="L16" s="70">
        <f>VLOOKUP("新豐9線",'0429 4度C'!$A:$T,19,0)</f>
        <v>8.3333333333333329E-2</v>
      </c>
      <c r="M16" s="71">
        <f>VLOOKUP("新豐4線",'0429 4度C'!$A:$T,19,0)</f>
        <v>8.3333333333333329E-2</v>
      </c>
    </row>
    <row r="17" spans="2:13" ht="17.25" customHeight="1">
      <c r="B17" s="126"/>
      <c r="C17" s="65" t="s">
        <v>2734</v>
      </c>
      <c r="D17" s="69">
        <f>LOOKUP(2,1/(('0429 4度C'!$A:$A="新豐6線")*('0429 4度C'!$T:$T&lt;&gt;"")),'0429 4度C'!$T:$T)</f>
        <v>0.82500000000000007</v>
      </c>
      <c r="E17" s="67">
        <f>LOOKUP(2,1/(('0429 4度C'!$A:$A="新豐2線")*('0429 4度C'!$T:$T&lt;&gt;"")),'0429 4度C'!$T:$T)</f>
        <v>0.52013888888888893</v>
      </c>
      <c r="F17" s="67">
        <f>LOOKUP(2,1/(('0429 4度C'!$A:$A="新豐5線")*('0429 4度C'!$T:$T&lt;&gt;"")),'0429 4度C'!$T:$T)</f>
        <v>0.81805555555555554</v>
      </c>
      <c r="G17" s="67">
        <f>LOOKUP(2,1/(('0429 4度C'!$A:$A="新豐7線")*('0429 4度C'!$T:$T&lt;&gt;"")),'0429 4度C'!$T:$T)</f>
        <v>0.79236111111111107</v>
      </c>
      <c r="H17" s="67">
        <f>LOOKUP(2,1/(('0429 4度C'!$A:$A="新豐3線")*('0429 4度C'!$T:$T&lt;&gt;"")),'0429 4度C'!$T:$T)</f>
        <v>0.47569444444444442</v>
      </c>
      <c r="I17" s="67">
        <f>LOOKUP(2,1/(('0429 4度C'!$A:$A="新豐1線")*('0429 4度C'!$T:$T&lt;&gt;"")),'0429 4度C'!$T:$T)</f>
        <v>0.79444444444444451</v>
      </c>
      <c r="J17" s="68">
        <f>LOOKUP(2,1/(('0429 4度C'!$A:$A="新豐10線")*('0429 4度C'!$T:$T&lt;&gt;"")),'0429 4度C'!$T:$T)</f>
        <v>0.41597222222222219</v>
      </c>
      <c r="K17" s="66">
        <f>LOOKUP(2,1/(('0429 4度C'!$A:$A="新豐8線")*('0429 4度C'!$T:$T&lt;&gt;"")),'0429 4度C'!$T:$T)</f>
        <v>0.75763888888888875</v>
      </c>
      <c r="L17" s="67">
        <f>LOOKUP(2,1/(('0429 4度C'!$A:$A="新豐9線")*('0429 4度C'!$T:$T&lt;&gt;"")),'0429 4度C'!$T:$T)</f>
        <v>0.74722222222222223</v>
      </c>
      <c r="M17" s="68">
        <f>LOOKUP(2,1/(('0429 4度C'!$A:$A="新豐4線")*('0429 4度C'!$T:$T&lt;&gt;"")),'0429 4度C'!$T:$T)</f>
        <v>0.78263888888888888</v>
      </c>
    </row>
    <row r="18" spans="2:13" ht="17.25" customHeight="1">
      <c r="B18" s="104" t="s">
        <v>104</v>
      </c>
      <c r="C18" s="72" t="s">
        <v>842</v>
      </c>
      <c r="D18" s="73">
        <f>SUMIFS('0429 4度C'!$Y:$Y,'0429 4度C'!$A:$A,"新豐6線",'0429 4度C'!$B:$B,"平均")</f>
        <v>0</v>
      </c>
      <c r="E18" s="74">
        <f>SUMIFS('0429 4度C'!$Y:$Y,'0429 4度C'!$A:$A,"新豐2線",'0429 4度C'!$B:$B,"平均")</f>
        <v>0</v>
      </c>
      <c r="F18" s="74">
        <f>SUMIFS('0429 4度C'!$Y:$Y,'0429 4度C'!$A:$A,"新豐5線",'0429 4度C'!$B:$B,"平均")</f>
        <v>0</v>
      </c>
      <c r="G18" s="74">
        <f>SUMIFS('0429 4度C'!$Y:$Y,'0429 4度C'!$A:$A,"新豐7線",'0429 4度C'!$B:$B,"平均")</f>
        <v>0</v>
      </c>
      <c r="H18" s="74">
        <f>SUMIFS('0429 4度C'!$Y:$Y,'0429 4度C'!$A:$A,"新豐3線",'0429 4度C'!$B:$B,"平均")</f>
        <v>0</v>
      </c>
      <c r="I18" s="74">
        <f>SUMIFS('0429 4度C'!$Y:$Y,'0429 4度C'!$A:$A,"新豐1線",'0429 4度C'!$B:$B,"平均")</f>
        <v>0</v>
      </c>
      <c r="J18" s="75">
        <f>SUMIFS('0429 4度C'!$Y:$Y,'0429 4度C'!$A:$A,"新豐10線",'0429 4度C'!$B:$B,"平均")</f>
        <v>0</v>
      </c>
      <c r="K18" s="76">
        <f>SUMIFS('0429 4度C'!$Y:$Y,'0429 4度C'!$A:$A,"新豐8線",'0429 4度C'!$B:$B,"平均")</f>
        <v>0</v>
      </c>
      <c r="L18" s="74">
        <f>SUMIFS('0429 4度C'!$Y:$Y,'0429 4度C'!$A:$A,"新豐9線",'0429 4度C'!$B:$B,"平均")</f>
        <v>0</v>
      </c>
      <c r="M18" s="75">
        <f>SUMIFS('0429 4度C'!$Y:$Y,'0429 4度C'!$A:$A,"新豐4線",'0429 4度C'!$B:$B,"平均")</f>
        <v>0</v>
      </c>
    </row>
    <row r="19" spans="2:13" ht="17.25" customHeight="1">
      <c r="B19" s="105"/>
      <c r="C19" s="72" t="s">
        <v>106</v>
      </c>
      <c r="D19" s="73">
        <f>SUMIFS('0429 4度C'!$Z:$Z,'0429 4度C'!$A:$A,"新豐6線",'0429 4度C'!$B:$B,"平均")</f>
        <v>0</v>
      </c>
      <c r="E19" s="74">
        <f>SUMIFS('0429 4度C'!$Z:$Z,'0429 4度C'!$A:$A,"新豐2線",'0429 4度C'!$B:$B,"平均")</f>
        <v>0</v>
      </c>
      <c r="F19" s="74">
        <f>SUMIFS('0429 4度C'!$Z:$Z,'0429 4度C'!$A:$A,"新豐5線",'0429 4度C'!$B:$B,"平均")</f>
        <v>0</v>
      </c>
      <c r="G19" s="74">
        <f>SUMIFS('0429 4度C'!$Z:$Z,'0429 4度C'!$A:$A,"新豐7線",'0429 4度C'!$B:$B,"平均")</f>
        <v>0</v>
      </c>
      <c r="H19" s="74">
        <f>SUMIFS('0429 4度C'!$Z:$Z,'0429 4度C'!$A:$A,"新豐3線",'0429 4度C'!$B:$B,"平均")</f>
        <v>0</v>
      </c>
      <c r="I19" s="74">
        <f>SUMIFS('0429 4度C'!$Z:$Z,'0429 4度C'!$A:$A,"新豐1線",'0429 4度C'!$B:$B,"平均")</f>
        <v>0</v>
      </c>
      <c r="J19" s="75">
        <f>SUMIFS('0429 4度C'!$Z:$Z,'0429 4度C'!$A:$A,"新豐10線",'0429 4度C'!$B:$B,"平均")</f>
        <v>0</v>
      </c>
      <c r="K19" s="76">
        <f>SUMIFS('0429 4度C'!$Z:$Z,'0429 4度C'!$A:$A,"新豐8線",'0429 4度C'!$B:$B,"平均")</f>
        <v>0</v>
      </c>
      <c r="L19" s="74">
        <f>SUMIFS('0429 4度C'!$Z:$Z,'0429 4度C'!$A:$A,"新豐9線",'0429 4度C'!$B:$B,"平均")</f>
        <v>0</v>
      </c>
      <c r="M19" s="75">
        <f>SUMIFS('0429 4度C'!$Z:$Z,'0429 4度C'!$A:$A,"新豐4線",'0429 4度C'!$B:$B,"平均")</f>
        <v>0</v>
      </c>
    </row>
    <row r="20" spans="2:13" ht="17.25" customHeight="1">
      <c r="B20" s="104" t="s">
        <v>107</v>
      </c>
      <c r="C20" s="72" t="s">
        <v>842</v>
      </c>
      <c r="D20" s="73">
        <f>SUMIFS('0429 4度C'!$AC:$AC,'0429 4度C'!$A:$A,"新豐6線",'0429 4度C'!$B:$B,"平均")</f>
        <v>4</v>
      </c>
      <c r="E20" s="74">
        <f>SUMIFS('0429 4度C'!$AC:$AC,'0429 4度C'!$A:$A,"新豐2線",'0429 4度C'!$B:$B,"平均")</f>
        <v>2</v>
      </c>
      <c r="F20" s="74">
        <f>SUMIFS('0429 4度C'!$AC:$AC,'0429 4度C'!$A:$A,"新豐5線",'0429 4度C'!$B:$B,"平均")</f>
        <v>4</v>
      </c>
      <c r="G20" s="74">
        <f>SUMIFS('0429 4度C'!$AC:$AC,'0429 4度C'!$A:$A,"新豐7線",'0429 4度C'!$B:$B,"平均")</f>
        <v>5</v>
      </c>
      <c r="H20" s="74">
        <f>SUMIFS('0429 4度C'!$AC:$AC,'0429 4度C'!$A:$A,"新豐3線",'0429 4度C'!$B:$B,"平均")</f>
        <v>4</v>
      </c>
      <c r="I20" s="74">
        <f>SUMIFS('0429 4度C'!$AC:$AC,'0429 4度C'!$A:$A,"新豐1線",'0429 4度C'!$B:$B,"平均")</f>
        <v>8</v>
      </c>
      <c r="J20" s="75">
        <f>SUMIFS('0429 4度C'!$AC:$AC,'0429 4度C'!$A:$A,"新豐10線",'0429 4度C'!$B:$B,"平均")</f>
        <v>6</v>
      </c>
      <c r="K20" s="76">
        <f>SUMIFS('0429 4度C'!$AC:$AC,'0429 4度C'!$A:$A,"新豐8線",'0429 4度C'!$B:$B,"平均")</f>
        <v>7</v>
      </c>
      <c r="L20" s="74">
        <f>SUMIFS('0429 4度C'!$AC:$AC,'0429 4度C'!$A:$A,"新豐9線",'0429 4度C'!$B:$B,"平均")</f>
        <v>8</v>
      </c>
      <c r="M20" s="75">
        <f>SUMIFS('0429 4度C'!$AC:$AC,'0429 4度C'!$A:$A,"新豐4線",'0429 4度C'!$B:$B,"平均")</f>
        <v>10</v>
      </c>
    </row>
    <row r="21" spans="2:13" ht="17.25" customHeight="1">
      <c r="B21" s="105"/>
      <c r="C21" s="72" t="s">
        <v>2735</v>
      </c>
      <c r="D21" s="73">
        <f>SUMIFS('0429 4度C'!$AD:$AD,'0429 4度C'!$A:$A,"新豐6線",'0429 4度C'!$B:$B,"平均")</f>
        <v>0</v>
      </c>
      <c r="E21" s="74">
        <f>SUMIFS('0429 4度C'!$AD:$AD,'0429 4度C'!$A:$A,"新豐2線",'0429 4度C'!$B:$B,"平均")</f>
        <v>0</v>
      </c>
      <c r="F21" s="74">
        <f>SUMIFS('0429 4度C'!$AD:$AD,'0429 4度C'!$A:$A,"新豐5線",'0429 4度C'!$B:$B,"平均")</f>
        <v>0</v>
      </c>
      <c r="G21" s="74">
        <f>SUMIFS('0429 4度C'!$AD:$AD,'0429 4度C'!$A:$A,"新豐7線",'0429 4度C'!$B:$B,"平均")</f>
        <v>0</v>
      </c>
      <c r="H21" s="74">
        <f>SUMIFS('0429 4度C'!$AD:$AD,'0429 4度C'!$A:$A,"新豐3線",'0429 4度C'!$B:$B,"平均")</f>
        <v>0</v>
      </c>
      <c r="I21" s="74">
        <f>SUMIFS('0429 4度C'!$AD:$AD,'0429 4度C'!$A:$A,"新豐1線",'0429 4度C'!$B:$B,"平均")</f>
        <v>0</v>
      </c>
      <c r="J21" s="75">
        <f>SUMIFS('0429 4度C'!$AD:$AD,'0429 4度C'!$A:$A,"新豐10線",'0429 4度C'!$B:$B,"平均")</f>
        <v>0</v>
      </c>
      <c r="K21" s="76">
        <f>SUMIFS('0429 4度C'!$AD:$AD,'0429 4度C'!$A:$A,"新豐8線",'0429 4度C'!$B:$B,"平均")</f>
        <v>0</v>
      </c>
      <c r="L21" s="74">
        <f>SUMIFS('0429 4度C'!$AD:$AD,'0429 4度C'!$A:$A,"新豐9線",'0429 4度C'!$B:$B,"平均")</f>
        <v>0</v>
      </c>
      <c r="M21" s="75">
        <f>SUMIFS('0429 4度C'!$AD:$AD,'0429 4度C'!$A:$A,"新豐4線",'0429 4度C'!$B:$B,"平均")</f>
        <v>0</v>
      </c>
    </row>
    <row r="22" spans="2:13" ht="17.25" customHeight="1">
      <c r="B22" s="106" t="s">
        <v>109</v>
      </c>
      <c r="C22" s="107"/>
      <c r="D22" s="77">
        <f>SUMIFS('0429 4度C'!$I:$I,'0429 4度C'!$A:$A,"新豐6線",'0429 4度C'!$B:$B,"平均")</f>
        <v>16.75</v>
      </c>
      <c r="E22" s="78">
        <f>SUMIFS('0429 4度C'!$I:$I,'0429 4度C'!$A:$A,"新豐2線",'0429 4度C'!$B:$B,"平均")</f>
        <v>18</v>
      </c>
      <c r="F22" s="78">
        <f>SUMIFS('0429 4度C'!$I:$I,'0429 4度C'!$A:$A,"新豐5線",'0429 4度C'!$B:$B,"平均")</f>
        <v>17.5</v>
      </c>
      <c r="G22" s="78">
        <f>SUMIFS('0429 4度C'!$I:$I,'0429 4度C'!$A:$A,"新豐7線",'0429 4度C'!$B:$B,"平均")</f>
        <v>16.2</v>
      </c>
      <c r="H22" s="78">
        <f>SUMIFS('0429 4度C'!$I:$I,'0429 4度C'!$A:$A,"新豐3線",'0429 4度C'!$B:$B,"平均")</f>
        <v>10.75</v>
      </c>
      <c r="I22" s="78">
        <f>SUMIFS('0429 4度C'!$I:$I,'0429 4度C'!$A:$A,"新豐1線",'0429 4度C'!$B:$B,"平均")</f>
        <v>18.625</v>
      </c>
      <c r="J22" s="79">
        <f>SUMIFS('0429 4度C'!$I:$I,'0429 4度C'!$A:$A,"新豐10線",'0429 4度C'!$B:$B,"平均")</f>
        <v>9.5</v>
      </c>
      <c r="K22" s="77">
        <f>SUMIFS('0429 4度C'!$I:$I,'0429 4度C'!$A:$A,"新豐8線",'0429 4度C'!$B:$B,"平均")</f>
        <v>18.285714285714285</v>
      </c>
      <c r="L22" s="78">
        <f>SUMIFS('0429 4度C'!$I:$I,'0429 4度C'!$A:$A,"新豐9線",'0429 4度C'!$B:$B,"平均")</f>
        <v>16.75</v>
      </c>
      <c r="M22" s="79">
        <f>SUMIFS('0429 4度C'!$I:$I,'0429 4度C'!$A:$A,"新豐4線",'0429 4度C'!$B:$B,"平均")</f>
        <v>16.399999999999999</v>
      </c>
    </row>
    <row r="23" spans="2:13" ht="17.25" customHeight="1">
      <c r="B23" s="106" t="s">
        <v>2736</v>
      </c>
      <c r="C23" s="107"/>
      <c r="D23" s="80" t="s">
        <v>67</v>
      </c>
      <c r="E23" s="81" t="s">
        <v>68</v>
      </c>
      <c r="F23" s="81" t="s">
        <v>2737</v>
      </c>
      <c r="G23" s="81" t="s">
        <v>2738</v>
      </c>
      <c r="H23" s="81" t="s">
        <v>69</v>
      </c>
      <c r="I23" s="81" t="s">
        <v>67</v>
      </c>
      <c r="J23" s="82" t="s">
        <v>69</v>
      </c>
      <c r="K23" s="80" t="s">
        <v>112</v>
      </c>
      <c r="L23" s="81" t="s">
        <v>112</v>
      </c>
      <c r="M23" s="82" t="s">
        <v>112</v>
      </c>
    </row>
    <row r="24" spans="2:13" ht="17.25" customHeight="1">
      <c r="B24" s="106" t="s">
        <v>113</v>
      </c>
      <c r="C24" s="107"/>
      <c r="D24" s="80"/>
      <c r="E24" s="81"/>
      <c r="F24" s="81" t="s">
        <v>114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115</v>
      </c>
      <c r="C25" s="109"/>
      <c r="D25" s="83"/>
      <c r="E25" s="84" t="s">
        <v>2739</v>
      </c>
      <c r="F25" s="102" t="s">
        <v>117</v>
      </c>
      <c r="G25" s="103"/>
      <c r="H25" s="84" t="s">
        <v>118</v>
      </c>
      <c r="I25" s="84" t="s">
        <v>2740</v>
      </c>
      <c r="J25" s="85" t="s">
        <v>118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4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G73"/>
  <sheetViews>
    <sheetView zoomScale="80" zoomScaleNormal="80" workbookViewId="0">
      <pane ySplit="4" topLeftCell="A5" activePane="bottomLeft" state="frozen"/>
      <selection activeCell="H9" sqref="H9"/>
      <selection pane="bottomLeft" activeCell="H9" sqref="H9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2741</v>
      </c>
      <c r="B1" s="1"/>
      <c r="C1" s="2" t="s">
        <v>908</v>
      </c>
      <c r="D1" s="3">
        <f>SUM(F5:F72)</f>
        <v>178103</v>
      </c>
      <c r="E1" s="88" t="s">
        <v>2742</v>
      </c>
      <c r="F1" s="1">
        <f>SUM(G5:G72)</f>
        <v>5954445.1200000001</v>
      </c>
      <c r="G1" s="1" t="s">
        <v>2743</v>
      </c>
      <c r="H1" s="4">
        <f>L9+L12+L45+L54+L17+L61+L31+L40+L23+L72</f>
        <v>158.76071428571427</v>
      </c>
      <c r="I1" s="215" t="s">
        <v>2744</v>
      </c>
      <c r="J1" s="215"/>
      <c r="K1" s="215"/>
      <c r="L1" s="215" t="s">
        <v>2745</v>
      </c>
      <c r="M1" s="215"/>
      <c r="N1" s="215"/>
      <c r="O1" s="215" t="s">
        <v>2746</v>
      </c>
      <c r="P1" s="215"/>
      <c r="Q1" s="215"/>
      <c r="R1" s="215"/>
      <c r="S1" s="215" t="s">
        <v>2747</v>
      </c>
      <c r="T1" s="215"/>
      <c r="U1" s="215"/>
      <c r="V1" s="215"/>
      <c r="W1" s="215"/>
      <c r="X1" s="215"/>
      <c r="Y1" s="5" t="s">
        <v>2748</v>
      </c>
      <c r="Z1" s="6" t="s">
        <v>2749</v>
      </c>
      <c r="AA1" s="216" t="s">
        <v>2750</v>
      </c>
      <c r="AB1" s="216"/>
      <c r="AC1" s="97" t="s">
        <v>2748</v>
      </c>
      <c r="AD1" s="6" t="s">
        <v>2751</v>
      </c>
      <c r="AE1" s="215" t="s">
        <v>2752</v>
      </c>
      <c r="AF1" s="217"/>
      <c r="AG1" s="217"/>
    </row>
    <row r="2" spans="1:33" ht="26.25" customHeight="1">
      <c r="A2" s="26">
        <v>46141</v>
      </c>
      <c r="B2" s="27" t="s">
        <v>133</v>
      </c>
      <c r="C2" s="2" t="s">
        <v>2753</v>
      </c>
      <c r="D2" s="8">
        <f>AVERAGE(N9,N12,N45,N54,N17,N61,N23,N31,N40,N72)</f>
        <v>144.85139526798193</v>
      </c>
      <c r="E2" s="9" t="s">
        <v>0</v>
      </c>
      <c r="F2" s="10">
        <f>F1/D1</f>
        <v>33.432593050088997</v>
      </c>
      <c r="G2" s="1" t="s">
        <v>2754</v>
      </c>
      <c r="H2" s="96">
        <f>COUNT(H5:H72)</f>
        <v>10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SUM(Y9+Y12+Y17+Y23+Y31+Y40+Y45+Y54+Y61+Y72)</f>
        <v>0</v>
      </c>
      <c r="Z2" s="11">
        <f>SUM(Z9+Z12+Z17+Z23+Z31+Z40+Z45+Z54+Z61+Z72)</f>
        <v>0</v>
      </c>
      <c r="AA2" s="216"/>
      <c r="AB2" s="216"/>
      <c r="AC2" s="11">
        <v>58</v>
      </c>
      <c r="AD2" s="11">
        <f>SUM(AD9+AD12+AD17+AD23+AD31+AD40+AD45+AD54+AD61+AD72)</f>
        <v>0</v>
      </c>
      <c r="AE2" s="217"/>
      <c r="AF2" s="217"/>
      <c r="AG2" s="217"/>
    </row>
    <row r="3" spans="1:33" ht="40.5" customHeight="1">
      <c r="A3" s="168" t="s">
        <v>2755</v>
      </c>
      <c r="B3" s="168" t="s">
        <v>2756</v>
      </c>
      <c r="C3" s="168" t="s">
        <v>2757</v>
      </c>
      <c r="D3" s="168"/>
      <c r="E3" s="213" t="s">
        <v>2758</v>
      </c>
      <c r="F3" s="168" t="s">
        <v>2759</v>
      </c>
      <c r="G3" s="213" t="s">
        <v>2760</v>
      </c>
      <c r="H3" s="207" t="s">
        <v>2761</v>
      </c>
      <c r="I3" s="205" t="s">
        <v>2762</v>
      </c>
      <c r="J3" s="202" t="s">
        <v>342</v>
      </c>
      <c r="K3" s="212" t="s">
        <v>2753</v>
      </c>
      <c r="L3" s="205" t="s">
        <v>2762</v>
      </c>
      <c r="M3" s="202" t="s">
        <v>2763</v>
      </c>
      <c r="N3" s="212" t="s">
        <v>200</v>
      </c>
      <c r="O3" s="205" t="s">
        <v>2762</v>
      </c>
      <c r="P3" s="212" t="s">
        <v>2753</v>
      </c>
      <c r="Q3" s="203" t="s">
        <v>2764</v>
      </c>
      <c r="R3" s="181" t="s">
        <v>2765</v>
      </c>
      <c r="S3" s="168" t="s">
        <v>1</v>
      </c>
      <c r="T3" s="168"/>
      <c r="U3" s="207" t="s">
        <v>2</v>
      </c>
      <c r="V3" s="207" t="s">
        <v>2766</v>
      </c>
      <c r="W3" s="168" t="s">
        <v>2767</v>
      </c>
      <c r="X3" s="168"/>
      <c r="Y3" s="208" t="s">
        <v>2768</v>
      </c>
      <c r="Z3" s="167"/>
      <c r="AA3" s="209" t="s">
        <v>340</v>
      </c>
      <c r="AB3" s="210"/>
      <c r="AC3" s="208" t="s">
        <v>2769</v>
      </c>
      <c r="AD3" s="167"/>
      <c r="AE3" s="202" t="s">
        <v>342</v>
      </c>
      <c r="AF3" s="203" t="s">
        <v>2770</v>
      </c>
      <c r="AG3" s="181" t="s">
        <v>2765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2771</v>
      </c>
      <c r="X4" s="88" t="s">
        <v>2772</v>
      </c>
      <c r="Y4" s="90" t="s">
        <v>2773</v>
      </c>
      <c r="Z4" s="90" t="s">
        <v>2774</v>
      </c>
      <c r="AA4" s="211"/>
      <c r="AB4" s="210"/>
      <c r="AC4" s="90" t="s">
        <v>2775</v>
      </c>
      <c r="AD4" s="90" t="s">
        <v>2776</v>
      </c>
      <c r="AE4" s="202"/>
      <c r="AF4" s="203"/>
      <c r="AG4" s="181"/>
    </row>
    <row r="5" spans="1:33">
      <c r="A5" s="204" t="s">
        <v>2777</v>
      </c>
      <c r="B5" s="28" t="s">
        <v>5</v>
      </c>
      <c r="C5" s="206" t="s">
        <v>6</v>
      </c>
      <c r="D5" s="206"/>
      <c r="E5" s="28">
        <v>50.67</v>
      </c>
      <c r="F5" s="88">
        <v>1151</v>
      </c>
      <c r="G5" s="88">
        <f t="shared" ref="G5:G8" si="0">E5*F5</f>
        <v>58321.170000000006</v>
      </c>
      <c r="H5" s="30" t="s">
        <v>53</v>
      </c>
      <c r="I5" s="95">
        <v>17</v>
      </c>
      <c r="J5" s="13">
        <v>2000</v>
      </c>
      <c r="K5" s="12">
        <f t="shared" ref="K5:K68" si="1">J5/I5</f>
        <v>117.64705882352941</v>
      </c>
      <c r="L5" s="95">
        <v>17</v>
      </c>
      <c r="M5" s="13">
        <f t="shared" ref="M5:M8" si="2">F5/V5*60</f>
        <v>1918.3333333333319</v>
      </c>
      <c r="N5" s="12">
        <f t="shared" ref="N5:N68" si="3">M5/L5</f>
        <v>112.84313725490188</v>
      </c>
      <c r="O5" s="14">
        <f t="shared" ref="O5:O68" si="4">L5-I5</f>
        <v>0</v>
      </c>
      <c r="P5" s="15">
        <f t="shared" ref="P5:P68" si="5">N5-K5</f>
        <v>-4.8039215686275298</v>
      </c>
      <c r="Q5" s="91">
        <f t="shared" ref="Q5:Q68" si="6">N5/K5</f>
        <v>0.95916666666666595</v>
      </c>
      <c r="R5" s="177">
        <f>Q9</f>
        <v>0.95614252000500044</v>
      </c>
      <c r="S5" s="21">
        <v>0.70833333333333337</v>
      </c>
      <c r="T5" s="21">
        <v>0.73333333333333339</v>
      </c>
      <c r="U5" s="88"/>
      <c r="V5" s="30">
        <f t="shared" ref="V5:V8" si="7">(T5-S5)*24*60</f>
        <v>36.000000000000028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53" si="8">M5-J5</f>
        <v>-81.666666666668107</v>
      </c>
      <c r="AF5" s="91">
        <f t="shared" ref="AF5:AF68" si="9">M5/J5</f>
        <v>0.95916666666666595</v>
      </c>
      <c r="AG5" s="177">
        <f>AF9</f>
        <v>0.95614252000500055</v>
      </c>
    </row>
    <row r="6" spans="1:33">
      <c r="A6" s="205" t="s">
        <v>2778</v>
      </c>
      <c r="B6" s="28" t="s">
        <v>5</v>
      </c>
      <c r="C6" s="206" t="s">
        <v>7</v>
      </c>
      <c r="D6" s="206"/>
      <c r="E6" s="28">
        <v>54.09</v>
      </c>
      <c r="F6" s="88">
        <v>984</v>
      </c>
      <c r="G6" s="88">
        <f t="shared" si="0"/>
        <v>53224.560000000005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1904.5161290322551</v>
      </c>
      <c r="N6" s="12">
        <f t="shared" si="3"/>
        <v>100.23769100169764</v>
      </c>
      <c r="O6" s="14">
        <f t="shared" si="4"/>
        <v>0</v>
      </c>
      <c r="P6" s="15">
        <f t="shared" si="5"/>
        <v>-5.0254668930391944</v>
      </c>
      <c r="Q6" s="91">
        <f t="shared" si="6"/>
        <v>0.9522580645161276</v>
      </c>
      <c r="R6" s="177"/>
      <c r="S6" s="21">
        <v>0.73819444444444449</v>
      </c>
      <c r="T6" s="21">
        <v>0.7597222222222223</v>
      </c>
      <c r="U6" s="88">
        <f t="shared" ref="U6:U8" si="10">IF(S6=TIME(17,0,0),"",(S6-T5)*24*60)</f>
        <v>6.9999999999999751</v>
      </c>
      <c r="V6" s="30">
        <f t="shared" si="7"/>
        <v>31.00000000000005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-95.483870967744906</v>
      </c>
      <c r="AF6" s="91">
        <f t="shared" si="9"/>
        <v>0.9522580645161276</v>
      </c>
      <c r="AG6" s="177"/>
    </row>
    <row r="7" spans="1:33">
      <c r="A7" s="205" t="s">
        <v>2778</v>
      </c>
      <c r="B7" s="28" t="s">
        <v>5</v>
      </c>
      <c r="C7" s="200" t="s">
        <v>16</v>
      </c>
      <c r="D7" s="201"/>
      <c r="E7" s="28">
        <v>50.67</v>
      </c>
      <c r="F7" s="88">
        <v>1269</v>
      </c>
      <c r="G7" s="88">
        <f t="shared" si="0"/>
        <v>64300.23</v>
      </c>
      <c r="H7" s="30" t="s">
        <v>53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1903.4999999999993</v>
      </c>
      <c r="N7" s="12">
        <f t="shared" si="3"/>
        <v>126.89999999999995</v>
      </c>
      <c r="O7" s="14">
        <f t="shared" si="4"/>
        <v>0</v>
      </c>
      <c r="P7" s="15">
        <f t="shared" si="5"/>
        <v>-6.433333333333394</v>
      </c>
      <c r="Q7" s="91">
        <f t="shared" si="6"/>
        <v>0.95174999999999954</v>
      </c>
      <c r="R7" s="177"/>
      <c r="S7" s="21">
        <v>0.76388888888888895</v>
      </c>
      <c r="T7" s="21">
        <v>0.79166666666666674</v>
      </c>
      <c r="U7" s="88">
        <f t="shared" si="10"/>
        <v>5.9999999999999787</v>
      </c>
      <c r="V7" s="30">
        <f t="shared" si="7"/>
        <v>40.000000000000014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-96.500000000000682</v>
      </c>
      <c r="AF7" s="91">
        <f t="shared" si="9"/>
        <v>0.95174999999999965</v>
      </c>
      <c r="AG7" s="177"/>
    </row>
    <row r="8" spans="1:33">
      <c r="A8" s="205" t="s">
        <v>1271</v>
      </c>
      <c r="B8" s="28" t="s">
        <v>5</v>
      </c>
      <c r="C8" s="200" t="s">
        <v>1270</v>
      </c>
      <c r="D8" s="201"/>
      <c r="E8" s="28">
        <v>52.86</v>
      </c>
      <c r="F8" s="88">
        <v>1378</v>
      </c>
      <c r="G8" s="88">
        <f t="shared" si="0"/>
        <v>72841.08</v>
      </c>
      <c r="H8" s="30" t="s">
        <v>53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1922.7906976744184</v>
      </c>
      <c r="N8" s="12">
        <f t="shared" si="3"/>
        <v>120.17441860465115</v>
      </c>
      <c r="O8" s="14">
        <f t="shared" si="4"/>
        <v>0</v>
      </c>
      <c r="P8" s="15">
        <f t="shared" si="5"/>
        <v>-4.8255813953488484</v>
      </c>
      <c r="Q8" s="91">
        <f t="shared" si="6"/>
        <v>0.96139534883720923</v>
      </c>
      <c r="R8" s="177"/>
      <c r="S8" s="21">
        <v>0.79513888888888895</v>
      </c>
      <c r="T8" s="21">
        <v>0.82500000000000007</v>
      </c>
      <c r="U8" s="88">
        <f t="shared" si="10"/>
        <v>4.9999999999999822</v>
      </c>
      <c r="V8" s="30">
        <f t="shared" si="7"/>
        <v>43.000000000000007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-77.209302325581575</v>
      </c>
      <c r="AF8" s="91">
        <f t="shared" si="9"/>
        <v>0.96139534883720923</v>
      </c>
      <c r="AG8" s="177"/>
    </row>
    <row r="9" spans="1:33">
      <c r="A9" s="205" t="s">
        <v>2778</v>
      </c>
      <c r="B9" s="28" t="s">
        <v>2779</v>
      </c>
      <c r="C9" s="178"/>
      <c r="D9" s="178"/>
      <c r="E9" s="92"/>
      <c r="F9" s="12"/>
      <c r="G9" s="12"/>
      <c r="H9" s="88"/>
      <c r="I9" s="23">
        <v>16.75</v>
      </c>
      <c r="J9" s="13">
        <v>2000</v>
      </c>
      <c r="K9" s="12">
        <f t="shared" si="1"/>
        <v>119.40298507462687</v>
      </c>
      <c r="L9" s="23">
        <v>16.75</v>
      </c>
      <c r="M9" s="13">
        <f>AVERAGE(M5:M8)</f>
        <v>1912.285040010001</v>
      </c>
      <c r="N9" s="12">
        <f t="shared" si="3"/>
        <v>114.16627104537319</v>
      </c>
      <c r="O9" s="14">
        <f t="shared" si="4"/>
        <v>0</v>
      </c>
      <c r="P9" s="15">
        <f t="shared" si="5"/>
        <v>-5.236714029253676</v>
      </c>
      <c r="Q9" s="91">
        <f t="shared" si="6"/>
        <v>0.95614252000500044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v>4</v>
      </c>
      <c r="AD9" s="24">
        <f>SUM(AD5:AD8)</f>
        <v>0</v>
      </c>
      <c r="AE9" s="14">
        <f t="shared" si="8"/>
        <v>-87.714959989998988</v>
      </c>
      <c r="AF9" s="91">
        <f t="shared" si="9"/>
        <v>0.95614252000500055</v>
      </c>
      <c r="AG9" s="177"/>
    </row>
    <row r="10" spans="1:33" ht="15.75" customHeight="1">
      <c r="A10" s="199" t="s">
        <v>2780</v>
      </c>
      <c r="B10" s="28" t="s">
        <v>9</v>
      </c>
      <c r="C10" s="200" t="s">
        <v>10</v>
      </c>
      <c r="D10" s="201"/>
      <c r="E10" s="28">
        <v>39.619999999999997</v>
      </c>
      <c r="F10" s="88">
        <v>4169</v>
      </c>
      <c r="G10" s="88">
        <f t="shared" ref="G10:G11" si="11">E10*F10</f>
        <v>165175.78</v>
      </c>
      <c r="H10" s="30" t="s">
        <v>53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1" si="12">F10/V10*60</f>
        <v>1437.5862068965519</v>
      </c>
      <c r="N10" s="12">
        <f t="shared" si="3"/>
        <v>75.662431941923785</v>
      </c>
      <c r="O10" s="14">
        <f t="shared" si="4"/>
        <v>0</v>
      </c>
      <c r="P10" s="15">
        <f t="shared" si="5"/>
        <v>-3.2849364791288451</v>
      </c>
      <c r="Q10" s="91">
        <f t="shared" si="6"/>
        <v>0.95839080459770132</v>
      </c>
      <c r="R10" s="177">
        <f>Q12</f>
        <v>0.95555227962227074</v>
      </c>
      <c r="S10" s="21">
        <v>0.20833333333333334</v>
      </c>
      <c r="T10" s="21">
        <v>0.32916666666666666</v>
      </c>
      <c r="U10" s="88"/>
      <c r="V10" s="30">
        <f t="shared" ref="V10:V11" si="13">(T10-S10)*24*60</f>
        <v>173.99999999999997</v>
      </c>
      <c r="W10" s="16"/>
      <c r="X10" s="16"/>
      <c r="Y10" s="16"/>
      <c r="Z10" s="16"/>
      <c r="AA10" s="168"/>
      <c r="AB10" s="168"/>
      <c r="AC10" s="18">
        <v>2</v>
      </c>
      <c r="AD10" s="18"/>
      <c r="AE10" s="14">
        <f t="shared" si="8"/>
        <v>-62.413793103448143</v>
      </c>
      <c r="AF10" s="91">
        <f t="shared" si="9"/>
        <v>0.95839080459770121</v>
      </c>
      <c r="AG10" s="177">
        <f>AF12</f>
        <v>0.95555227962227063</v>
      </c>
    </row>
    <row r="11" spans="1:33" ht="15.75" customHeight="1">
      <c r="A11" s="199" t="s">
        <v>2781</v>
      </c>
      <c r="B11" s="28" t="s">
        <v>9</v>
      </c>
      <c r="C11" s="200" t="s">
        <v>11</v>
      </c>
      <c r="D11" s="201"/>
      <c r="E11" s="28">
        <v>39.799999999999997</v>
      </c>
      <c r="F11" s="88">
        <v>6407</v>
      </c>
      <c r="G11" s="88">
        <f t="shared" si="11"/>
        <v>254998.59999999998</v>
      </c>
      <c r="H11" s="30" t="s">
        <v>53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1429.0706319702599</v>
      </c>
      <c r="N11" s="12">
        <f t="shared" si="3"/>
        <v>84.062978351191759</v>
      </c>
      <c r="O11" s="14">
        <f t="shared" si="4"/>
        <v>0</v>
      </c>
      <c r="P11" s="15">
        <f t="shared" si="5"/>
        <v>-4.1723157664552986</v>
      </c>
      <c r="Q11" s="91">
        <f t="shared" si="6"/>
        <v>0.95271375464683994</v>
      </c>
      <c r="R11" s="177"/>
      <c r="S11" s="21">
        <v>0.33333333333333331</v>
      </c>
      <c r="T11" s="21">
        <v>0.52013888888888893</v>
      </c>
      <c r="U11" s="88">
        <f t="shared" ref="U11" si="14">IF(S11=TIME(17,0,0),"",(S11-T10)*24*60)</f>
        <v>5.9999999999999787</v>
      </c>
      <c r="V11" s="30">
        <f t="shared" si="13"/>
        <v>269.00000000000006</v>
      </c>
      <c r="W11" s="16"/>
      <c r="X11" s="16"/>
      <c r="Y11" s="16"/>
      <c r="Z11" s="16"/>
      <c r="AA11" s="168"/>
      <c r="AB11" s="168"/>
      <c r="AC11" s="18"/>
      <c r="AD11" s="18"/>
      <c r="AE11" s="14">
        <f t="shared" si="8"/>
        <v>-70.92936802974009</v>
      </c>
      <c r="AF11" s="91">
        <f t="shared" si="9"/>
        <v>0.95271375464683994</v>
      </c>
      <c r="AG11" s="177"/>
    </row>
    <row r="12" spans="1:33" ht="16.5" customHeight="1">
      <c r="A12" s="199" t="s">
        <v>167</v>
      </c>
      <c r="B12" s="28" t="s">
        <v>2782</v>
      </c>
      <c r="C12" s="178"/>
      <c r="D12" s="178"/>
      <c r="E12" s="92"/>
      <c r="F12" s="13"/>
      <c r="G12" s="13"/>
      <c r="H12" s="88"/>
      <c r="I12" s="23">
        <v>18</v>
      </c>
      <c r="J12" s="13">
        <v>1500</v>
      </c>
      <c r="K12" s="12">
        <f t="shared" si="1"/>
        <v>83.333333333333329</v>
      </c>
      <c r="L12" s="23">
        <v>18</v>
      </c>
      <c r="M12" s="13">
        <f>AVERAGE(M10:M11)</f>
        <v>1433.328419433406</v>
      </c>
      <c r="N12" s="12">
        <f t="shared" si="3"/>
        <v>79.629356635189225</v>
      </c>
      <c r="O12" s="14">
        <f t="shared" si="4"/>
        <v>0</v>
      </c>
      <c r="P12" s="15">
        <f t="shared" si="5"/>
        <v>-3.7039766981441034</v>
      </c>
      <c r="Q12" s="91">
        <f t="shared" si="6"/>
        <v>0.95555227962227074</v>
      </c>
      <c r="R12" s="177"/>
      <c r="S12" s="21"/>
      <c r="T12" s="21"/>
      <c r="U12" s="12"/>
      <c r="V12" s="30"/>
      <c r="W12" s="12"/>
      <c r="X12" s="12"/>
      <c r="Y12" s="24">
        <f>SUM(Y10:Y11)</f>
        <v>0</v>
      </c>
      <c r="Z12" s="24">
        <f>SUM(Z10:Z11)</f>
        <v>0</v>
      </c>
      <c r="AA12" s="167"/>
      <c r="AB12" s="167"/>
      <c r="AC12" s="24">
        <v>2</v>
      </c>
      <c r="AD12" s="24">
        <f>SUM(AD10:AD11)</f>
        <v>0</v>
      </c>
      <c r="AE12" s="14">
        <f t="shared" si="8"/>
        <v>-66.671580566594002</v>
      </c>
      <c r="AF12" s="91">
        <f t="shared" si="9"/>
        <v>0.95555227962227063</v>
      </c>
      <c r="AG12" s="177"/>
    </row>
    <row r="13" spans="1:33" ht="16.5" customHeight="1">
      <c r="A13" s="197" t="s">
        <v>2783</v>
      </c>
      <c r="B13" s="88" t="s">
        <v>12</v>
      </c>
      <c r="C13" s="193" t="s">
        <v>13</v>
      </c>
      <c r="D13" s="193"/>
      <c r="E13" s="28">
        <v>41</v>
      </c>
      <c r="F13" s="88">
        <v>1836</v>
      </c>
      <c r="G13" s="88">
        <f t="shared" ref="G13:G16" si="15">E13*F13</f>
        <v>75276</v>
      </c>
      <c r="H13" s="30" t="s">
        <v>53</v>
      </c>
      <c r="I13" s="95">
        <v>26</v>
      </c>
      <c r="J13" s="13">
        <v>1500</v>
      </c>
      <c r="K13" s="12">
        <f t="shared" si="1"/>
        <v>57.692307692307693</v>
      </c>
      <c r="L13" s="95">
        <v>26</v>
      </c>
      <c r="M13" s="13">
        <f t="shared" ref="M13:M16" si="16">F13/V13*60</f>
        <v>1430.6493506493505</v>
      </c>
      <c r="N13" s="12">
        <f t="shared" si="3"/>
        <v>55.024975024975021</v>
      </c>
      <c r="O13" s="14">
        <f t="shared" si="4"/>
        <v>0</v>
      </c>
      <c r="P13" s="15">
        <f t="shared" si="5"/>
        <v>-2.6673326673326727</v>
      </c>
      <c r="Q13" s="91">
        <f t="shared" si="6"/>
        <v>0.95376623376623371</v>
      </c>
      <c r="R13" s="177">
        <f>Q17</f>
        <v>0.96654846885706658</v>
      </c>
      <c r="S13" s="21">
        <v>0.20833333333333334</v>
      </c>
      <c r="T13" s="21">
        <v>0.26180555555555557</v>
      </c>
      <c r="U13" s="88"/>
      <c r="V13" s="30">
        <f t="shared" ref="V13:V16" si="17">(T13-S13)*24*60</f>
        <v>77</v>
      </c>
      <c r="W13" s="21"/>
      <c r="X13" s="21"/>
      <c r="Y13" s="21"/>
      <c r="Z13" s="21"/>
      <c r="AA13" s="168"/>
      <c r="AB13" s="168"/>
      <c r="AC13" s="18">
        <v>4</v>
      </c>
      <c r="AD13" s="18"/>
      <c r="AE13" s="14">
        <f t="shared" si="8"/>
        <v>-69.350649350649519</v>
      </c>
      <c r="AF13" s="91">
        <f t="shared" si="9"/>
        <v>0.95376623376623371</v>
      </c>
      <c r="AG13" s="177">
        <f>AF17</f>
        <v>0.96654846885706658</v>
      </c>
    </row>
    <row r="14" spans="1:33" ht="16.5" customHeight="1">
      <c r="A14" s="198" t="s">
        <v>2784</v>
      </c>
      <c r="B14" s="88" t="s">
        <v>5</v>
      </c>
      <c r="C14" s="193" t="s">
        <v>20</v>
      </c>
      <c r="D14" s="193"/>
      <c r="E14" s="28">
        <v>53.68</v>
      </c>
      <c r="F14" s="88">
        <v>1115</v>
      </c>
      <c r="G14" s="88">
        <f t="shared" si="15"/>
        <v>59853.2</v>
      </c>
      <c r="H14" s="30" t="s">
        <v>53</v>
      </c>
      <c r="I14" s="95">
        <v>16</v>
      </c>
      <c r="J14" s="13">
        <v>1500</v>
      </c>
      <c r="K14" s="12">
        <f t="shared" si="1"/>
        <v>93.75</v>
      </c>
      <c r="L14" s="95">
        <v>16</v>
      </c>
      <c r="M14" s="13">
        <f t="shared" si="16"/>
        <v>1454.3478260869565</v>
      </c>
      <c r="N14" s="12">
        <f t="shared" si="3"/>
        <v>90.896739130434781</v>
      </c>
      <c r="O14" s="14">
        <f t="shared" si="4"/>
        <v>0</v>
      </c>
      <c r="P14" s="15">
        <f t="shared" si="5"/>
        <v>-2.8532608695652186</v>
      </c>
      <c r="Q14" s="91">
        <f t="shared" si="6"/>
        <v>0.9695652173913043</v>
      </c>
      <c r="R14" s="177"/>
      <c r="S14" s="21">
        <v>0.70833333333333337</v>
      </c>
      <c r="T14" s="21">
        <v>0.74027777777777781</v>
      </c>
      <c r="U14" s="88" t="str">
        <f t="shared" ref="U14:U16" si="18">IF(S14=TIME(17,0,0),"",(S14-T13)*24*60)</f>
        <v/>
      </c>
      <c r="V14" s="30">
        <f t="shared" si="17"/>
        <v>46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8"/>
        <v>-45.652173913043498</v>
      </c>
      <c r="AF14" s="91">
        <f t="shared" si="9"/>
        <v>0.9695652173913043</v>
      </c>
      <c r="AG14" s="177"/>
    </row>
    <row r="15" spans="1:33" ht="16.5" customHeight="1">
      <c r="A15" s="198" t="s">
        <v>2785</v>
      </c>
      <c r="B15" s="88" t="s">
        <v>5</v>
      </c>
      <c r="C15" s="193" t="s">
        <v>15</v>
      </c>
      <c r="D15" s="193"/>
      <c r="E15" s="28">
        <v>50.92</v>
      </c>
      <c r="F15" s="88">
        <v>1840</v>
      </c>
      <c r="G15" s="88">
        <f t="shared" si="15"/>
        <v>93692.800000000003</v>
      </c>
      <c r="H15" s="30" t="s">
        <v>53</v>
      </c>
      <c r="I15" s="95">
        <v>15</v>
      </c>
      <c r="J15" s="13">
        <v>2000</v>
      </c>
      <c r="K15" s="12">
        <f t="shared" si="1"/>
        <v>133.33333333333334</v>
      </c>
      <c r="L15" s="95">
        <v>15</v>
      </c>
      <c r="M15" s="13">
        <f t="shared" si="16"/>
        <v>1936.8421052631593</v>
      </c>
      <c r="N15" s="12">
        <f t="shared" si="3"/>
        <v>129.12280701754395</v>
      </c>
      <c r="O15" s="14">
        <f t="shared" si="4"/>
        <v>0</v>
      </c>
      <c r="P15" s="15">
        <f t="shared" si="5"/>
        <v>-4.2105263157893944</v>
      </c>
      <c r="Q15" s="91">
        <f t="shared" si="6"/>
        <v>0.96842105263157952</v>
      </c>
      <c r="R15" s="177"/>
      <c r="S15" s="21">
        <v>0.74513888888888891</v>
      </c>
      <c r="T15" s="21">
        <v>0.78472222222222221</v>
      </c>
      <c r="U15" s="88">
        <f t="shared" si="18"/>
        <v>6.9999999999999751</v>
      </c>
      <c r="V15" s="30">
        <f t="shared" si="17"/>
        <v>56.999999999999957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-63.157894736840717</v>
      </c>
      <c r="AF15" s="91">
        <f t="shared" si="9"/>
        <v>0.96842105263157963</v>
      </c>
      <c r="AG15" s="177"/>
    </row>
    <row r="16" spans="1:33" ht="16.5" customHeight="1">
      <c r="A16" s="198" t="s">
        <v>2785</v>
      </c>
      <c r="B16" s="88" t="s">
        <v>5</v>
      </c>
      <c r="C16" s="193" t="s">
        <v>21</v>
      </c>
      <c r="D16" s="193"/>
      <c r="E16" s="28">
        <v>57.3</v>
      </c>
      <c r="F16" s="88">
        <v>1296</v>
      </c>
      <c r="G16" s="88">
        <f t="shared" si="15"/>
        <v>74260.800000000003</v>
      </c>
      <c r="H16" s="30" t="s">
        <v>53</v>
      </c>
      <c r="I16" s="95">
        <v>13</v>
      </c>
      <c r="J16" s="13">
        <v>2000</v>
      </c>
      <c r="K16" s="12">
        <f t="shared" si="1"/>
        <v>153.84615384615384</v>
      </c>
      <c r="L16" s="95">
        <v>13</v>
      </c>
      <c r="M16" s="13">
        <f t="shared" si="16"/>
        <v>1943.9999999999995</v>
      </c>
      <c r="N16" s="12">
        <f t="shared" si="3"/>
        <v>149.53846153846149</v>
      </c>
      <c r="O16" s="14">
        <f t="shared" si="4"/>
        <v>0</v>
      </c>
      <c r="P16" s="15">
        <f t="shared" si="5"/>
        <v>-4.3076923076923492</v>
      </c>
      <c r="Q16" s="91">
        <f t="shared" si="6"/>
        <v>0.97199999999999975</v>
      </c>
      <c r="R16" s="177"/>
      <c r="S16" s="21">
        <v>0.79027777777777775</v>
      </c>
      <c r="T16" s="21">
        <v>0.81805555555555554</v>
      </c>
      <c r="U16" s="88">
        <f t="shared" si="18"/>
        <v>7.9999999999999716</v>
      </c>
      <c r="V16" s="30">
        <f t="shared" si="17"/>
        <v>40.000000000000014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-56.000000000000455</v>
      </c>
      <c r="AF16" s="91">
        <f t="shared" si="9"/>
        <v>0.97199999999999975</v>
      </c>
      <c r="AG16" s="177"/>
    </row>
    <row r="17" spans="1:33" ht="16.5" customHeight="1">
      <c r="A17" s="198" t="s">
        <v>2784</v>
      </c>
      <c r="B17" s="28" t="s">
        <v>2782</v>
      </c>
      <c r="C17" s="178"/>
      <c r="D17" s="178"/>
      <c r="E17" s="92"/>
      <c r="F17" s="12"/>
      <c r="G17" s="12"/>
      <c r="H17" s="88"/>
      <c r="I17" s="23">
        <v>17.5</v>
      </c>
      <c r="J17" s="13">
        <v>1750</v>
      </c>
      <c r="K17" s="12">
        <f t="shared" si="1"/>
        <v>100</v>
      </c>
      <c r="L17" s="23">
        <v>17.5</v>
      </c>
      <c r="M17" s="13">
        <f>AVERAGE(M13:M16)</f>
        <v>1691.4598204998665</v>
      </c>
      <c r="N17" s="12">
        <f t="shared" si="3"/>
        <v>96.654846885706661</v>
      </c>
      <c r="O17" s="14">
        <f t="shared" si="4"/>
        <v>0</v>
      </c>
      <c r="P17" s="15">
        <f t="shared" si="5"/>
        <v>-3.3451531142933391</v>
      </c>
      <c r="Q17" s="91">
        <f t="shared" si="6"/>
        <v>0.96654846885706658</v>
      </c>
      <c r="R17" s="177"/>
      <c r="S17" s="21"/>
      <c r="T17" s="21"/>
      <c r="U17" s="88"/>
      <c r="V17" s="30"/>
      <c r="W17" s="12"/>
      <c r="X17" s="12"/>
      <c r="Y17" s="24">
        <f>SUM(Y13:Y16)</f>
        <v>0</v>
      </c>
      <c r="Z17" s="24">
        <f>SUM(Z13:Z16)</f>
        <v>0</v>
      </c>
      <c r="AA17" s="167"/>
      <c r="AB17" s="167"/>
      <c r="AC17" s="24">
        <v>4</v>
      </c>
      <c r="AD17" s="24">
        <f>SUM(AD13:AD16)</f>
        <v>0</v>
      </c>
      <c r="AE17" s="14">
        <f t="shared" si="8"/>
        <v>-58.54017950013349</v>
      </c>
      <c r="AF17" s="91">
        <f t="shared" si="9"/>
        <v>0.96654846885706658</v>
      </c>
      <c r="AG17" s="177"/>
    </row>
    <row r="18" spans="1:33" ht="15.75" customHeight="1">
      <c r="A18" s="195" t="s">
        <v>2786</v>
      </c>
      <c r="B18" s="28" t="s">
        <v>5</v>
      </c>
      <c r="C18" s="193" t="s">
        <v>2710</v>
      </c>
      <c r="D18" s="193"/>
      <c r="E18" s="28">
        <v>59.04</v>
      </c>
      <c r="F18" s="88">
        <v>7910</v>
      </c>
      <c r="G18" s="88">
        <f t="shared" ref="G18:G22" si="19">E18*F18</f>
        <v>467006.39999999997</v>
      </c>
      <c r="H18" s="30" t="s">
        <v>53</v>
      </c>
      <c r="I18" s="95">
        <v>19</v>
      </c>
      <c r="J18" s="13">
        <v>2000</v>
      </c>
      <c r="K18" s="12">
        <f t="shared" si="1"/>
        <v>105.26315789473684</v>
      </c>
      <c r="L18" s="95">
        <v>19</v>
      </c>
      <c r="M18" s="13">
        <f t="shared" ref="M18:M22" si="20">F18/V18*60</f>
        <v>1906.024096385542</v>
      </c>
      <c r="N18" s="12">
        <f t="shared" si="3"/>
        <v>100.3170577045022</v>
      </c>
      <c r="O18" s="14">
        <f t="shared" si="4"/>
        <v>0</v>
      </c>
      <c r="P18" s="15">
        <f t="shared" si="5"/>
        <v>-4.9461001902346311</v>
      </c>
      <c r="Q18" s="91">
        <f t="shared" si="6"/>
        <v>0.95301204819277097</v>
      </c>
      <c r="R18" s="177">
        <f>Q23</f>
        <v>0.95774771122618341</v>
      </c>
      <c r="S18" s="21">
        <v>0.20833333333333334</v>
      </c>
      <c r="T18" s="21">
        <v>0.38125000000000003</v>
      </c>
      <c r="U18" s="88"/>
      <c r="V18" s="30">
        <f t="shared" ref="V18:V22" si="21">(T18-S18)*24*60</f>
        <v>249.00000000000003</v>
      </c>
      <c r="W18" s="21"/>
      <c r="X18" s="21"/>
      <c r="Y18" s="21"/>
      <c r="Z18" s="21"/>
      <c r="AA18" s="168"/>
      <c r="AB18" s="168"/>
      <c r="AC18" s="18">
        <v>5</v>
      </c>
      <c r="AD18" s="18"/>
      <c r="AE18" s="14">
        <f t="shared" si="8"/>
        <v>-93.975903614458048</v>
      </c>
      <c r="AF18" s="91">
        <f t="shared" si="9"/>
        <v>0.95301204819277097</v>
      </c>
      <c r="AG18" s="177">
        <f>AF23</f>
        <v>0.95774771122618352</v>
      </c>
    </row>
    <row r="19" spans="1:33" ht="15.75" customHeight="1">
      <c r="A19" s="196" t="s">
        <v>2786</v>
      </c>
      <c r="B19" s="28" t="s">
        <v>5</v>
      </c>
      <c r="C19" s="193" t="s">
        <v>73</v>
      </c>
      <c r="D19" s="193"/>
      <c r="E19" s="28">
        <v>50.67</v>
      </c>
      <c r="F19" s="88">
        <v>1973</v>
      </c>
      <c r="G19" s="88">
        <f t="shared" si="19"/>
        <v>99971.91</v>
      </c>
      <c r="H19" s="30" t="s">
        <v>53</v>
      </c>
      <c r="I19" s="95">
        <v>17</v>
      </c>
      <c r="J19" s="13">
        <v>2000</v>
      </c>
      <c r="K19" s="12">
        <f t="shared" si="1"/>
        <v>117.64705882352941</v>
      </c>
      <c r="L19" s="95">
        <v>17</v>
      </c>
      <c r="M19" s="13">
        <f t="shared" si="20"/>
        <v>1909.3548387096769</v>
      </c>
      <c r="N19" s="12">
        <f t="shared" si="3"/>
        <v>112.31499051233394</v>
      </c>
      <c r="O19" s="14">
        <f t="shared" si="4"/>
        <v>0</v>
      </c>
      <c r="P19" s="15">
        <f t="shared" si="5"/>
        <v>-5.3320683111954708</v>
      </c>
      <c r="Q19" s="91">
        <f t="shared" si="6"/>
        <v>0.95467741935483852</v>
      </c>
      <c r="R19" s="177"/>
      <c r="S19" s="21">
        <v>0.38472222222222224</v>
      </c>
      <c r="T19" s="21">
        <v>0.42777777777777781</v>
      </c>
      <c r="U19" s="88">
        <f t="shared" ref="U19:U22" si="22">IF(S19=TIME(17,0,0),"",(S19-T18)*24*60)</f>
        <v>4.9999999999999822</v>
      </c>
      <c r="V19" s="30">
        <f t="shared" si="21"/>
        <v>62.000000000000021</v>
      </c>
      <c r="W19" s="16"/>
      <c r="X19" s="88"/>
      <c r="Y19" s="88"/>
      <c r="Z19" s="88"/>
      <c r="AA19" s="168"/>
      <c r="AB19" s="168"/>
      <c r="AC19" s="18"/>
      <c r="AD19" s="18"/>
      <c r="AE19" s="14">
        <f t="shared" si="8"/>
        <v>-90.645161290323131</v>
      </c>
      <c r="AF19" s="91">
        <f t="shared" si="9"/>
        <v>0.95467741935483841</v>
      </c>
      <c r="AG19" s="177"/>
    </row>
    <row r="20" spans="1:33" ht="15.75" customHeight="1">
      <c r="A20" s="196" t="s">
        <v>2786</v>
      </c>
      <c r="B20" s="28" t="s">
        <v>5</v>
      </c>
      <c r="C20" s="193" t="s">
        <v>17</v>
      </c>
      <c r="D20" s="193"/>
      <c r="E20" s="28">
        <v>57.73</v>
      </c>
      <c r="F20" s="88">
        <v>1886</v>
      </c>
      <c r="G20" s="88">
        <f t="shared" si="19"/>
        <v>108878.78</v>
      </c>
      <c r="H20" s="30" t="s">
        <v>53</v>
      </c>
      <c r="I20" s="95">
        <v>14</v>
      </c>
      <c r="J20" s="13">
        <v>2000</v>
      </c>
      <c r="K20" s="12">
        <f t="shared" si="1"/>
        <v>142.85714285714286</v>
      </c>
      <c r="L20" s="95">
        <v>14</v>
      </c>
      <c r="M20" s="13">
        <f t="shared" si="20"/>
        <v>1917.9661016949144</v>
      </c>
      <c r="N20" s="12">
        <f t="shared" si="3"/>
        <v>136.99757869249387</v>
      </c>
      <c r="O20" s="14">
        <f t="shared" si="4"/>
        <v>0</v>
      </c>
      <c r="P20" s="15">
        <f t="shared" si="5"/>
        <v>-5.8595641646489867</v>
      </c>
      <c r="Q20" s="91">
        <f t="shared" si="6"/>
        <v>0.95898305084745705</v>
      </c>
      <c r="R20" s="177"/>
      <c r="S20" s="21">
        <v>0.43194444444444446</v>
      </c>
      <c r="T20" s="21">
        <v>0.47291666666666671</v>
      </c>
      <c r="U20" s="88">
        <f t="shared" si="22"/>
        <v>5.9999999999999787</v>
      </c>
      <c r="V20" s="30">
        <f t="shared" si="21"/>
        <v>59.000000000000028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-82.033898305085586</v>
      </c>
      <c r="AF20" s="91">
        <f t="shared" si="9"/>
        <v>0.95898305084745716</v>
      </c>
      <c r="AG20" s="177"/>
    </row>
    <row r="21" spans="1:33" ht="15.75" customHeight="1">
      <c r="A21" s="196" t="s">
        <v>2786</v>
      </c>
      <c r="B21" s="28" t="s">
        <v>5</v>
      </c>
      <c r="C21" s="193" t="s">
        <v>19</v>
      </c>
      <c r="D21" s="193"/>
      <c r="E21" s="28">
        <v>50.49</v>
      </c>
      <c r="F21" s="88">
        <v>1697</v>
      </c>
      <c r="G21" s="88">
        <f t="shared" si="19"/>
        <v>85681.53</v>
      </c>
      <c r="H21" s="30" t="s">
        <v>53</v>
      </c>
      <c r="I21" s="95">
        <v>15</v>
      </c>
      <c r="J21" s="13">
        <v>2000</v>
      </c>
      <c r="K21" s="12">
        <f t="shared" si="1"/>
        <v>133.33333333333334</v>
      </c>
      <c r="L21" s="95">
        <v>15</v>
      </c>
      <c r="M21" s="13">
        <f t="shared" si="20"/>
        <v>1921.1320754716994</v>
      </c>
      <c r="N21" s="12">
        <f t="shared" si="3"/>
        <v>128.07547169811329</v>
      </c>
      <c r="O21" s="14">
        <f t="shared" si="4"/>
        <v>0</v>
      </c>
      <c r="P21" s="15">
        <f t="shared" si="5"/>
        <v>-5.2578616352200527</v>
      </c>
      <c r="Q21" s="91">
        <f t="shared" si="6"/>
        <v>0.96056603773584959</v>
      </c>
      <c r="R21" s="177"/>
      <c r="S21" s="21">
        <v>0.70833333333333337</v>
      </c>
      <c r="T21" s="21">
        <v>0.74513888888888891</v>
      </c>
      <c r="U21" s="88" t="str">
        <f t="shared" si="22"/>
        <v/>
      </c>
      <c r="V21" s="30">
        <f t="shared" si="21"/>
        <v>52.999999999999972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8"/>
        <v>-78.867924528300591</v>
      </c>
      <c r="AF21" s="91">
        <f t="shared" si="9"/>
        <v>0.9605660377358497</v>
      </c>
      <c r="AG21" s="177"/>
    </row>
    <row r="22" spans="1:33" ht="15.75" customHeight="1">
      <c r="A22" s="196" t="s">
        <v>2786</v>
      </c>
      <c r="B22" s="28" t="s">
        <v>5</v>
      </c>
      <c r="C22" s="193" t="s">
        <v>14</v>
      </c>
      <c r="D22" s="193"/>
      <c r="E22" s="28">
        <v>50.98</v>
      </c>
      <c r="F22" s="88">
        <v>1923</v>
      </c>
      <c r="G22" s="88">
        <f t="shared" si="19"/>
        <v>98034.54</v>
      </c>
      <c r="H22" s="30" t="s">
        <v>53</v>
      </c>
      <c r="I22" s="95">
        <v>16</v>
      </c>
      <c r="J22" s="13">
        <v>2000</v>
      </c>
      <c r="K22" s="12">
        <f t="shared" si="1"/>
        <v>125</v>
      </c>
      <c r="L22" s="95">
        <v>16</v>
      </c>
      <c r="M22" s="13">
        <f t="shared" si="20"/>
        <v>1923.000000000002</v>
      </c>
      <c r="N22" s="12">
        <f t="shared" si="3"/>
        <v>120.18750000000013</v>
      </c>
      <c r="O22" s="14">
        <f t="shared" si="4"/>
        <v>0</v>
      </c>
      <c r="P22" s="15">
        <f t="shared" si="5"/>
        <v>-4.8124999999998721</v>
      </c>
      <c r="Q22" s="91">
        <f t="shared" si="6"/>
        <v>0.96150000000000102</v>
      </c>
      <c r="R22" s="177"/>
      <c r="S22" s="21">
        <v>0.75069444444444444</v>
      </c>
      <c r="T22" s="21">
        <v>0.79236111111111107</v>
      </c>
      <c r="U22" s="88">
        <f t="shared" si="22"/>
        <v>7.9999999999999716</v>
      </c>
      <c r="V22" s="30">
        <f t="shared" si="21"/>
        <v>59.999999999999943</v>
      </c>
      <c r="W22" s="16"/>
      <c r="X22" s="16"/>
      <c r="Y22" s="88"/>
      <c r="Z22" s="88"/>
      <c r="AA22" s="168"/>
      <c r="AB22" s="168"/>
      <c r="AC22" s="18"/>
      <c r="AD22" s="18"/>
      <c r="AE22" s="14">
        <f t="shared" si="8"/>
        <v>-76.999999999997954</v>
      </c>
      <c r="AF22" s="91">
        <f t="shared" si="9"/>
        <v>0.96150000000000102</v>
      </c>
      <c r="AG22" s="177"/>
    </row>
    <row r="23" spans="1:33" ht="15.75" customHeight="1">
      <c r="A23" s="196" t="s">
        <v>2786</v>
      </c>
      <c r="B23" s="28" t="s">
        <v>2782</v>
      </c>
      <c r="C23" s="178"/>
      <c r="D23" s="178"/>
      <c r="E23" s="92"/>
      <c r="F23" s="88"/>
      <c r="G23" s="88"/>
      <c r="H23" s="88"/>
      <c r="I23" s="23">
        <v>16.2</v>
      </c>
      <c r="J23" s="13">
        <v>2000</v>
      </c>
      <c r="K23" s="12">
        <f t="shared" si="1"/>
        <v>123.4567901234568</v>
      </c>
      <c r="L23" s="23">
        <v>16.2</v>
      </c>
      <c r="M23" s="13">
        <f>AVERAGE(M18:M22)</f>
        <v>1915.4954224523669</v>
      </c>
      <c r="N23" s="12">
        <f t="shared" si="3"/>
        <v>118.24045817607204</v>
      </c>
      <c r="O23" s="14">
        <f t="shared" si="4"/>
        <v>0</v>
      </c>
      <c r="P23" s="15">
        <f t="shared" si="5"/>
        <v>-5.2163319473847594</v>
      </c>
      <c r="Q23" s="91">
        <f t="shared" si="6"/>
        <v>0.95774771122618341</v>
      </c>
      <c r="R23" s="177"/>
      <c r="S23" s="21"/>
      <c r="T23" s="21"/>
      <c r="U23" s="12"/>
      <c r="V23" s="30"/>
      <c r="W23" s="12"/>
      <c r="X23" s="12"/>
      <c r="Y23" s="24">
        <f>SUM(Y18:Y22)</f>
        <v>0</v>
      </c>
      <c r="Z23" s="24">
        <f>SUM(Z18:Z22)</f>
        <v>0</v>
      </c>
      <c r="AA23" s="167"/>
      <c r="AB23" s="167"/>
      <c r="AC23" s="24">
        <v>5</v>
      </c>
      <c r="AD23" s="24">
        <f>SUM(AD18:AD22)</f>
        <v>0</v>
      </c>
      <c r="AE23" s="14">
        <f t="shared" si="8"/>
        <v>-84.504577547633062</v>
      </c>
      <c r="AF23" s="91">
        <f t="shared" si="9"/>
        <v>0.95774771122618352</v>
      </c>
      <c r="AG23" s="177"/>
    </row>
    <row r="24" spans="1:33" ht="15.75" customHeight="1">
      <c r="A24" s="194" t="s">
        <v>2787</v>
      </c>
      <c r="B24" s="28" t="s">
        <v>22</v>
      </c>
      <c r="C24" s="193" t="s">
        <v>23</v>
      </c>
      <c r="D24" s="193"/>
      <c r="E24" s="28">
        <v>31.29</v>
      </c>
      <c r="F24" s="88">
        <v>7000</v>
      </c>
      <c r="G24" s="88">
        <f t="shared" ref="G24:G30" si="23">E24*F24</f>
        <v>219030</v>
      </c>
      <c r="H24" s="30">
        <v>2</v>
      </c>
      <c r="I24" s="95">
        <v>18</v>
      </c>
      <c r="J24" s="13">
        <v>2400</v>
      </c>
      <c r="K24" s="12">
        <f t="shared" si="1"/>
        <v>133.33333333333334</v>
      </c>
      <c r="L24" s="95">
        <v>18</v>
      </c>
      <c r="M24" s="13">
        <f t="shared" ref="M24:M30" si="24">F24/V24*60</f>
        <v>2282.6086956521735</v>
      </c>
      <c r="N24" s="12">
        <f t="shared" si="3"/>
        <v>126.81159420289853</v>
      </c>
      <c r="O24" s="14">
        <f t="shared" si="4"/>
        <v>0</v>
      </c>
      <c r="P24" s="15">
        <f t="shared" si="5"/>
        <v>-6.5217391304348098</v>
      </c>
      <c r="Q24" s="91">
        <f t="shared" si="6"/>
        <v>0.95108695652173891</v>
      </c>
      <c r="R24" s="177">
        <f>Q31</f>
        <v>0.95377274469076478</v>
      </c>
      <c r="S24" s="21">
        <v>8.3333333333333329E-2</v>
      </c>
      <c r="T24" s="21">
        <v>0.21111111111111114</v>
      </c>
      <c r="U24" s="88"/>
      <c r="V24" s="30">
        <f t="shared" ref="V24:V30" si="25">(T24-S24)*24*60</f>
        <v>184.00000000000006</v>
      </c>
      <c r="W24" s="16">
        <f>T24</f>
        <v>0.21111111111111114</v>
      </c>
      <c r="X24" s="16">
        <f>S25</f>
        <v>0.23263888888888892</v>
      </c>
      <c r="Y24" s="16"/>
      <c r="Z24" s="16"/>
      <c r="AA24" s="168"/>
      <c r="AB24" s="168"/>
      <c r="AC24" s="18">
        <v>7</v>
      </c>
      <c r="AD24" s="18"/>
      <c r="AE24" s="14">
        <f t="shared" si="8"/>
        <v>-117.39130434782646</v>
      </c>
      <c r="AF24" s="91">
        <f t="shared" si="9"/>
        <v>0.95108695652173902</v>
      </c>
      <c r="AG24" s="177">
        <f>AF31</f>
        <v>0.95377274469076478</v>
      </c>
    </row>
    <row r="25" spans="1:33" ht="15.75" customHeight="1">
      <c r="A25" s="194" t="s">
        <v>2787</v>
      </c>
      <c r="B25" s="28" t="s">
        <v>22</v>
      </c>
      <c r="C25" s="193" t="s">
        <v>25</v>
      </c>
      <c r="D25" s="193"/>
      <c r="E25" s="28">
        <v>26.2</v>
      </c>
      <c r="F25" s="88">
        <v>3600</v>
      </c>
      <c r="G25" s="88">
        <f t="shared" si="23"/>
        <v>94320</v>
      </c>
      <c r="H25" s="30">
        <v>2</v>
      </c>
      <c r="I25" s="95">
        <v>20</v>
      </c>
      <c r="J25" s="13">
        <v>2400</v>
      </c>
      <c r="K25" s="12">
        <f t="shared" si="1"/>
        <v>120</v>
      </c>
      <c r="L25" s="95">
        <v>20</v>
      </c>
      <c r="M25" s="13">
        <f t="shared" si="24"/>
        <v>2297.8723404255311</v>
      </c>
      <c r="N25" s="12">
        <f t="shared" si="3"/>
        <v>114.89361702127655</v>
      </c>
      <c r="O25" s="14">
        <f t="shared" si="4"/>
        <v>0</v>
      </c>
      <c r="P25" s="15">
        <f t="shared" si="5"/>
        <v>-5.1063829787234454</v>
      </c>
      <c r="Q25" s="91">
        <f t="shared" si="6"/>
        <v>0.9574468085106379</v>
      </c>
      <c r="R25" s="177"/>
      <c r="S25" s="21">
        <v>0.23263888888888892</v>
      </c>
      <c r="T25" s="21">
        <v>0.29791666666666672</v>
      </c>
      <c r="U25" s="88">
        <f t="shared" ref="U25:U30" si="26">(S25-T24)*24*60</f>
        <v>31.000000000000011</v>
      </c>
      <c r="V25" s="30">
        <f t="shared" si="25"/>
        <v>94.000000000000028</v>
      </c>
      <c r="W25" s="16"/>
      <c r="X25" s="16"/>
      <c r="Y25" s="16"/>
      <c r="Z25" s="16"/>
      <c r="AA25" s="168"/>
      <c r="AB25" s="168"/>
      <c r="AC25" s="18"/>
      <c r="AD25" s="18"/>
      <c r="AE25" s="14">
        <f t="shared" si="8"/>
        <v>-102.12765957446891</v>
      </c>
      <c r="AF25" s="91">
        <f t="shared" si="9"/>
        <v>0.9574468085106379</v>
      </c>
      <c r="AG25" s="177"/>
    </row>
    <row r="26" spans="1:33" ht="15.75" customHeight="1">
      <c r="A26" s="194" t="s">
        <v>2787</v>
      </c>
      <c r="B26" s="28" t="s">
        <v>22</v>
      </c>
      <c r="C26" s="193" t="s">
        <v>2712</v>
      </c>
      <c r="D26" s="193"/>
      <c r="E26" s="28">
        <v>26.37</v>
      </c>
      <c r="F26" s="88">
        <v>5700</v>
      </c>
      <c r="G26" s="88">
        <f t="shared" si="23"/>
        <v>150309</v>
      </c>
      <c r="H26" s="30">
        <v>2</v>
      </c>
      <c r="I26" s="95">
        <v>19</v>
      </c>
      <c r="J26" s="13">
        <v>2400</v>
      </c>
      <c r="K26" s="12">
        <f t="shared" si="1"/>
        <v>126.31578947368421</v>
      </c>
      <c r="L26" s="95">
        <v>19</v>
      </c>
      <c r="M26" s="13">
        <f t="shared" si="24"/>
        <v>2295.3020134228182</v>
      </c>
      <c r="N26" s="12">
        <f t="shared" si="3"/>
        <v>120.80536912751674</v>
      </c>
      <c r="O26" s="14">
        <f t="shared" si="4"/>
        <v>0</v>
      </c>
      <c r="P26" s="15">
        <f t="shared" si="5"/>
        <v>-5.5104203461674643</v>
      </c>
      <c r="Q26" s="91">
        <f t="shared" si="6"/>
        <v>0.95637583892617428</v>
      </c>
      <c r="R26" s="177"/>
      <c r="S26" s="21">
        <v>0.30208333333333337</v>
      </c>
      <c r="T26" s="21">
        <v>0.40555555555555561</v>
      </c>
      <c r="U26" s="88">
        <f t="shared" si="26"/>
        <v>5.9999999999999787</v>
      </c>
      <c r="V26" s="30">
        <f t="shared" si="25"/>
        <v>149.00000000000003</v>
      </c>
      <c r="W26" s="16"/>
      <c r="X26" s="16"/>
      <c r="Y26" s="16"/>
      <c r="Z26" s="16"/>
      <c r="AA26" s="168"/>
      <c r="AB26" s="168"/>
      <c r="AC26" s="18"/>
      <c r="AD26" s="18"/>
      <c r="AE26" s="14">
        <f t="shared" si="8"/>
        <v>-104.69798657718184</v>
      </c>
      <c r="AF26" s="91">
        <f t="shared" si="9"/>
        <v>0.95637583892617428</v>
      </c>
      <c r="AG26" s="177"/>
    </row>
    <row r="27" spans="1:33" ht="15.75" customHeight="1">
      <c r="A27" s="194" t="s">
        <v>2787</v>
      </c>
      <c r="B27" s="28" t="s">
        <v>22</v>
      </c>
      <c r="C27" s="193" t="s">
        <v>26</v>
      </c>
      <c r="D27" s="193"/>
      <c r="E27" s="28">
        <v>25.99</v>
      </c>
      <c r="F27" s="88">
        <v>4911</v>
      </c>
      <c r="G27" s="88">
        <f t="shared" si="23"/>
        <v>127636.89</v>
      </c>
      <c r="H27" s="30" t="s">
        <v>53</v>
      </c>
      <c r="I27" s="95">
        <v>14</v>
      </c>
      <c r="J27" s="13">
        <v>2400</v>
      </c>
      <c r="K27" s="12">
        <f t="shared" si="1"/>
        <v>171.42857142857142</v>
      </c>
      <c r="L27" s="95">
        <v>14</v>
      </c>
      <c r="M27" s="13">
        <f t="shared" si="24"/>
        <v>2284.1860465116292</v>
      </c>
      <c r="N27" s="12">
        <f t="shared" si="3"/>
        <v>163.1561461794021</v>
      </c>
      <c r="O27" s="14">
        <f t="shared" si="4"/>
        <v>0</v>
      </c>
      <c r="P27" s="15">
        <f t="shared" si="5"/>
        <v>-8.2724252491693164</v>
      </c>
      <c r="Q27" s="91">
        <f t="shared" si="6"/>
        <v>0.95174418604651234</v>
      </c>
      <c r="R27" s="177"/>
      <c r="S27" s="21">
        <v>0.41111111111111115</v>
      </c>
      <c r="T27" s="21">
        <v>0.50069444444444444</v>
      </c>
      <c r="U27" s="88">
        <f t="shared" si="26"/>
        <v>7.9999999999999716</v>
      </c>
      <c r="V27" s="30">
        <f t="shared" si="25"/>
        <v>128.99999999999994</v>
      </c>
      <c r="W27" s="16">
        <f>T27</f>
        <v>0.50069444444444444</v>
      </c>
      <c r="X27" s="16">
        <f>S28</f>
        <v>0.54305555555555551</v>
      </c>
      <c r="Y27" s="16"/>
      <c r="Z27" s="16"/>
      <c r="AA27" s="168"/>
      <c r="AB27" s="168"/>
      <c r="AC27" s="18"/>
      <c r="AD27" s="18"/>
      <c r="AE27" s="14">
        <f t="shared" si="8"/>
        <v>-115.81395348837077</v>
      </c>
      <c r="AF27" s="91">
        <f t="shared" si="9"/>
        <v>0.95174418604651223</v>
      </c>
      <c r="AG27" s="177"/>
    </row>
    <row r="28" spans="1:33" ht="15.75" customHeight="1">
      <c r="A28" s="194" t="s">
        <v>2787</v>
      </c>
      <c r="B28" s="28" t="s">
        <v>22</v>
      </c>
      <c r="C28" s="193" t="s">
        <v>2712</v>
      </c>
      <c r="D28" s="193"/>
      <c r="E28" s="28">
        <v>26.37</v>
      </c>
      <c r="F28" s="88">
        <v>4003</v>
      </c>
      <c r="G28" s="88">
        <f t="shared" si="23"/>
        <v>105559.11</v>
      </c>
      <c r="H28" s="30" t="s">
        <v>53</v>
      </c>
      <c r="I28" s="95">
        <v>19</v>
      </c>
      <c r="J28" s="13">
        <v>2400</v>
      </c>
      <c r="K28" s="12">
        <f t="shared" si="1"/>
        <v>126.31578947368421</v>
      </c>
      <c r="L28" s="95">
        <v>19</v>
      </c>
      <c r="M28" s="13">
        <f t="shared" si="24"/>
        <v>2287.4285714285725</v>
      </c>
      <c r="N28" s="12">
        <f t="shared" si="3"/>
        <v>120.39097744360907</v>
      </c>
      <c r="O28" s="14">
        <f t="shared" si="4"/>
        <v>0</v>
      </c>
      <c r="P28" s="15">
        <f t="shared" si="5"/>
        <v>-5.924812030075131</v>
      </c>
      <c r="Q28" s="91">
        <f t="shared" si="6"/>
        <v>0.95309523809523855</v>
      </c>
      <c r="R28" s="177"/>
      <c r="S28" s="21">
        <v>0.54305555555555551</v>
      </c>
      <c r="T28" s="21">
        <v>0.61597222222222214</v>
      </c>
      <c r="U28" s="88">
        <f t="shared" si="26"/>
        <v>60.999999999999943</v>
      </c>
      <c r="V28" s="30">
        <f t="shared" si="25"/>
        <v>104.99999999999994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-112.57142857142753</v>
      </c>
      <c r="AF28" s="91">
        <f t="shared" si="9"/>
        <v>0.95309523809523855</v>
      </c>
      <c r="AG28" s="177"/>
    </row>
    <row r="29" spans="1:33" ht="15.75" customHeight="1">
      <c r="A29" s="194" t="s">
        <v>2787</v>
      </c>
      <c r="B29" s="28" t="s">
        <v>22</v>
      </c>
      <c r="C29" s="193" t="s">
        <v>23</v>
      </c>
      <c r="D29" s="193"/>
      <c r="E29" s="28">
        <v>31.29</v>
      </c>
      <c r="F29" s="88">
        <v>4616</v>
      </c>
      <c r="G29" s="88">
        <f t="shared" si="23"/>
        <v>144434.63999999998</v>
      </c>
      <c r="H29" s="30" t="s">
        <v>53</v>
      </c>
      <c r="I29" s="95">
        <v>18</v>
      </c>
      <c r="J29" s="13">
        <v>2400</v>
      </c>
      <c r="K29" s="12">
        <f t="shared" si="1"/>
        <v>133.33333333333334</v>
      </c>
      <c r="L29" s="95">
        <v>18</v>
      </c>
      <c r="M29" s="13">
        <f t="shared" si="24"/>
        <v>2288.9256198347098</v>
      </c>
      <c r="N29" s="12">
        <f t="shared" si="3"/>
        <v>127.16253443526165</v>
      </c>
      <c r="O29" s="14">
        <f t="shared" si="4"/>
        <v>0</v>
      </c>
      <c r="P29" s="15">
        <f t="shared" si="5"/>
        <v>-6.1707988980716948</v>
      </c>
      <c r="Q29" s="91">
        <f t="shared" si="6"/>
        <v>0.95371900826446232</v>
      </c>
      <c r="R29" s="177"/>
      <c r="S29" s="21">
        <v>0.62083333333333324</v>
      </c>
      <c r="T29" s="21">
        <v>0.70486111111111105</v>
      </c>
      <c r="U29" s="88">
        <f t="shared" si="26"/>
        <v>6.9999999999999751</v>
      </c>
      <c r="V29" s="30">
        <f t="shared" si="25"/>
        <v>121.00000000000006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8"/>
        <v>-111.07438016529022</v>
      </c>
      <c r="AF29" s="91">
        <f t="shared" si="9"/>
        <v>0.95371900826446243</v>
      </c>
      <c r="AG29" s="177"/>
    </row>
    <row r="30" spans="1:33" ht="15.75" customHeight="1">
      <c r="A30" s="194" t="s">
        <v>2787</v>
      </c>
      <c r="B30" s="28" t="s">
        <v>22</v>
      </c>
      <c r="C30" s="193" t="s">
        <v>25</v>
      </c>
      <c r="D30" s="193"/>
      <c r="E30" s="28">
        <v>26.2</v>
      </c>
      <c r="F30" s="88">
        <v>2592</v>
      </c>
      <c r="G30" s="88">
        <f t="shared" si="23"/>
        <v>67910.399999999994</v>
      </c>
      <c r="H30" s="30" t="s">
        <v>53</v>
      </c>
      <c r="I30" s="95">
        <v>20</v>
      </c>
      <c r="J30" s="13">
        <v>2400</v>
      </c>
      <c r="K30" s="12">
        <f t="shared" si="1"/>
        <v>120</v>
      </c>
      <c r="L30" s="95">
        <v>20</v>
      </c>
      <c r="M30" s="13">
        <f t="shared" si="24"/>
        <v>2287.0588235294149</v>
      </c>
      <c r="N30" s="12">
        <f t="shared" si="3"/>
        <v>114.35294117647075</v>
      </c>
      <c r="O30" s="14">
        <f t="shared" si="4"/>
        <v>0</v>
      </c>
      <c r="P30" s="15">
        <f t="shared" si="5"/>
        <v>-5.6470588235292496</v>
      </c>
      <c r="Q30" s="91">
        <f t="shared" si="6"/>
        <v>0.95294117647058962</v>
      </c>
      <c r="R30" s="177"/>
      <c r="S30" s="21">
        <v>0.71041666666666659</v>
      </c>
      <c r="T30" s="21">
        <v>0.75763888888888875</v>
      </c>
      <c r="U30" s="88">
        <f t="shared" si="26"/>
        <v>7.9999999999999716</v>
      </c>
      <c r="V30" s="30">
        <f t="shared" si="25"/>
        <v>67.999999999999915</v>
      </c>
      <c r="W30" s="16"/>
      <c r="X30" s="16"/>
      <c r="Y30" s="16"/>
      <c r="Z30" s="16"/>
      <c r="AA30" s="168"/>
      <c r="AB30" s="168"/>
      <c r="AC30" s="18"/>
      <c r="AD30" s="18"/>
      <c r="AE30" s="14">
        <f t="shared" si="8"/>
        <v>-112.94117647058511</v>
      </c>
      <c r="AF30" s="91">
        <f t="shared" si="9"/>
        <v>0.95294117647058951</v>
      </c>
      <c r="AG30" s="177"/>
    </row>
    <row r="31" spans="1:33" ht="15.75" customHeight="1">
      <c r="A31" s="194" t="s">
        <v>2787</v>
      </c>
      <c r="B31" s="28" t="s">
        <v>2782</v>
      </c>
      <c r="C31" s="178"/>
      <c r="D31" s="178"/>
      <c r="E31" s="92"/>
      <c r="F31" s="88"/>
      <c r="G31" s="88"/>
      <c r="H31" s="88"/>
      <c r="I31" s="23">
        <v>18.285714285714285</v>
      </c>
      <c r="J31" s="13">
        <v>2400</v>
      </c>
      <c r="K31" s="12">
        <f t="shared" si="1"/>
        <v>131.25</v>
      </c>
      <c r="L31" s="23">
        <v>18.285714285714285</v>
      </c>
      <c r="M31" s="13">
        <f>AVERAGE(M24:M30)</f>
        <v>2289.0545872578355</v>
      </c>
      <c r="N31" s="12">
        <f t="shared" si="3"/>
        <v>125.18267274066288</v>
      </c>
      <c r="O31" s="14">
        <f t="shared" si="4"/>
        <v>0</v>
      </c>
      <c r="P31" s="15">
        <f t="shared" si="5"/>
        <v>-6.0673272593371195</v>
      </c>
      <c r="Q31" s="91">
        <f t="shared" si="6"/>
        <v>0.95377274469076478</v>
      </c>
      <c r="R31" s="177"/>
      <c r="S31" s="21"/>
      <c r="T31" s="21"/>
      <c r="U31" s="88"/>
      <c r="V31" s="30"/>
      <c r="W31" s="88"/>
      <c r="X31" s="88"/>
      <c r="Y31" s="24">
        <f>SUM(Y24:Y30)</f>
        <v>0</v>
      </c>
      <c r="Z31" s="24">
        <f>SUM(Z24:Z30)</f>
        <v>0</v>
      </c>
      <c r="AA31" s="167"/>
      <c r="AB31" s="167"/>
      <c r="AC31" s="24">
        <v>7</v>
      </c>
      <c r="AD31" s="24">
        <f>SUM(AD24:AD30)</f>
        <v>0</v>
      </c>
      <c r="AE31" s="14">
        <f t="shared" si="8"/>
        <v>-110.94541274216454</v>
      </c>
      <c r="AF31" s="91">
        <f t="shared" si="9"/>
        <v>0.95377274469076478</v>
      </c>
      <c r="AG31" s="177"/>
    </row>
    <row r="32" spans="1:33" ht="15.75" customHeight="1">
      <c r="A32" s="191" t="s">
        <v>2788</v>
      </c>
      <c r="B32" s="28" t="s">
        <v>22</v>
      </c>
      <c r="C32" s="169" t="s">
        <v>2714</v>
      </c>
      <c r="D32" s="169"/>
      <c r="E32" s="28">
        <v>20.36</v>
      </c>
      <c r="F32" s="88">
        <v>4300</v>
      </c>
      <c r="G32" s="88">
        <f t="shared" ref="G32:G39" si="27">E32*F32</f>
        <v>87548</v>
      </c>
      <c r="H32" s="30">
        <v>2</v>
      </c>
      <c r="I32" s="95">
        <v>18</v>
      </c>
      <c r="J32" s="13">
        <v>2400</v>
      </c>
      <c r="K32" s="12">
        <f t="shared" si="1"/>
        <v>133.33333333333334</v>
      </c>
      <c r="L32" s="95">
        <v>18</v>
      </c>
      <c r="M32" s="13">
        <f t="shared" ref="M32:M39" si="28">F32/V32*60</f>
        <v>2283.1858407079653</v>
      </c>
      <c r="N32" s="12">
        <f t="shared" si="3"/>
        <v>126.84365781710919</v>
      </c>
      <c r="O32" s="14">
        <f t="shared" si="4"/>
        <v>0</v>
      </c>
      <c r="P32" s="15">
        <f t="shared" si="5"/>
        <v>-6.4896755162241533</v>
      </c>
      <c r="Q32" s="91">
        <f t="shared" si="6"/>
        <v>0.95132743362831884</v>
      </c>
      <c r="R32" s="177">
        <f>Q40</f>
        <v>0.95539022706951449</v>
      </c>
      <c r="S32" s="21">
        <v>8.3333333333333329E-2</v>
      </c>
      <c r="T32" s="21">
        <v>0.16180555555555554</v>
      </c>
      <c r="U32" s="88"/>
      <c r="V32" s="30">
        <f t="shared" ref="V32:V39" si="29">(T32-S32)*24*60</f>
        <v>112.99999999999997</v>
      </c>
      <c r="W32" s="21">
        <f>T32</f>
        <v>0.16180555555555554</v>
      </c>
      <c r="X32" s="21">
        <f>S33</f>
        <v>0.18055555555555555</v>
      </c>
      <c r="Y32" s="21"/>
      <c r="Z32" s="21"/>
      <c r="AA32" s="168"/>
      <c r="AB32" s="168"/>
      <c r="AC32" s="18">
        <v>8</v>
      </c>
      <c r="AD32" s="18"/>
      <c r="AE32" s="14">
        <f t="shared" si="8"/>
        <v>-116.81415929203467</v>
      </c>
      <c r="AF32" s="91">
        <f t="shared" si="9"/>
        <v>0.95132743362831884</v>
      </c>
      <c r="AG32" s="177">
        <f>AF40</f>
        <v>0.95539022706951449</v>
      </c>
    </row>
    <row r="33" spans="1:33" ht="15.75" customHeight="1">
      <c r="A33" s="191" t="s">
        <v>2788</v>
      </c>
      <c r="B33" s="28" t="s">
        <v>22</v>
      </c>
      <c r="C33" s="169" t="s">
        <v>51</v>
      </c>
      <c r="D33" s="169"/>
      <c r="E33" s="28">
        <v>24.43</v>
      </c>
      <c r="F33" s="88">
        <v>4300</v>
      </c>
      <c r="G33" s="88">
        <f t="shared" si="27"/>
        <v>105049</v>
      </c>
      <c r="H33" s="30">
        <v>2</v>
      </c>
      <c r="I33" s="95">
        <v>14</v>
      </c>
      <c r="J33" s="13">
        <v>2400</v>
      </c>
      <c r="K33" s="12">
        <f t="shared" si="1"/>
        <v>171.42857142857142</v>
      </c>
      <c r="L33" s="95">
        <v>14</v>
      </c>
      <c r="M33" s="13">
        <f t="shared" si="28"/>
        <v>2283.1858407079653</v>
      </c>
      <c r="N33" s="12">
        <f t="shared" si="3"/>
        <v>163.0847029077118</v>
      </c>
      <c r="O33" s="14">
        <f t="shared" si="4"/>
        <v>0</v>
      </c>
      <c r="P33" s="15">
        <f t="shared" si="5"/>
        <v>-8.3438685208596155</v>
      </c>
      <c r="Q33" s="91">
        <f t="shared" si="6"/>
        <v>0.95132743362831895</v>
      </c>
      <c r="R33" s="177"/>
      <c r="S33" s="21">
        <v>0.18055555555555555</v>
      </c>
      <c r="T33" s="21">
        <v>0.25902777777777775</v>
      </c>
      <c r="U33" s="88">
        <f t="shared" ref="U33:U39" si="30">(S33-T32)*24*60</f>
        <v>27.000000000000025</v>
      </c>
      <c r="V33" s="30">
        <f t="shared" si="29"/>
        <v>112.99999999999996</v>
      </c>
      <c r="W33" s="88"/>
      <c r="X33" s="88"/>
      <c r="Y33" s="88"/>
      <c r="Z33" s="88"/>
      <c r="AA33" s="168"/>
      <c r="AB33" s="168"/>
      <c r="AC33" s="18"/>
      <c r="AD33" s="18"/>
      <c r="AE33" s="14">
        <f t="shared" si="8"/>
        <v>-116.81415929203467</v>
      </c>
      <c r="AF33" s="91">
        <f t="shared" si="9"/>
        <v>0.95132743362831884</v>
      </c>
      <c r="AG33" s="177"/>
    </row>
    <row r="34" spans="1:33">
      <c r="A34" s="192" t="s">
        <v>2788</v>
      </c>
      <c r="B34" s="28" t="s">
        <v>22</v>
      </c>
      <c r="C34" s="169" t="s">
        <v>24</v>
      </c>
      <c r="D34" s="169"/>
      <c r="E34" s="28">
        <v>25.98</v>
      </c>
      <c r="F34" s="88">
        <v>3418</v>
      </c>
      <c r="G34" s="88">
        <f t="shared" si="27"/>
        <v>88799.64</v>
      </c>
      <c r="H34" s="30" t="s">
        <v>53</v>
      </c>
      <c r="I34" s="95">
        <v>21</v>
      </c>
      <c r="J34" s="13">
        <v>2400</v>
      </c>
      <c r="K34" s="12">
        <f t="shared" si="1"/>
        <v>114.28571428571429</v>
      </c>
      <c r="L34" s="95">
        <v>21</v>
      </c>
      <c r="M34" s="13">
        <f t="shared" si="28"/>
        <v>2304.2696629213483</v>
      </c>
      <c r="N34" s="12">
        <f t="shared" si="3"/>
        <v>109.7271268057785</v>
      </c>
      <c r="O34" s="14">
        <f t="shared" si="4"/>
        <v>0</v>
      </c>
      <c r="P34" s="15">
        <f t="shared" si="5"/>
        <v>-4.5585874799357953</v>
      </c>
      <c r="Q34" s="91">
        <f t="shared" si="6"/>
        <v>0.96011235955056184</v>
      </c>
      <c r="R34" s="177"/>
      <c r="S34" s="21">
        <v>0.26458333333333328</v>
      </c>
      <c r="T34" s="21">
        <v>0.32638888888888884</v>
      </c>
      <c r="U34" s="88">
        <f t="shared" si="30"/>
        <v>7.9999999999999716</v>
      </c>
      <c r="V34" s="30">
        <f t="shared" si="29"/>
        <v>89</v>
      </c>
      <c r="W34" s="88"/>
      <c r="X34" s="88"/>
      <c r="Y34" s="88"/>
      <c r="Z34" s="88"/>
      <c r="AA34" s="168"/>
      <c r="AB34" s="168"/>
      <c r="AC34" s="18"/>
      <c r="AD34" s="18"/>
      <c r="AE34" s="14">
        <f t="shared" si="8"/>
        <v>-95.730337078651701</v>
      </c>
      <c r="AF34" s="91">
        <f t="shared" si="9"/>
        <v>0.96011235955056184</v>
      </c>
      <c r="AG34" s="177"/>
    </row>
    <row r="35" spans="1:33">
      <c r="A35" s="192" t="s">
        <v>2788</v>
      </c>
      <c r="B35" s="28" t="s">
        <v>22</v>
      </c>
      <c r="C35" s="169" t="s">
        <v>2715</v>
      </c>
      <c r="D35" s="169"/>
      <c r="E35" s="28">
        <v>34.1</v>
      </c>
      <c r="F35" s="88">
        <v>4300</v>
      </c>
      <c r="G35" s="88">
        <f t="shared" si="27"/>
        <v>146630</v>
      </c>
      <c r="H35" s="30">
        <v>2</v>
      </c>
      <c r="I35" s="95">
        <v>17</v>
      </c>
      <c r="J35" s="13">
        <v>1600</v>
      </c>
      <c r="K35" s="12">
        <f t="shared" si="1"/>
        <v>94.117647058823536</v>
      </c>
      <c r="L35" s="95">
        <v>17</v>
      </c>
      <c r="M35" s="13">
        <f t="shared" si="28"/>
        <v>1526.6272189349108</v>
      </c>
      <c r="N35" s="12">
        <f t="shared" si="3"/>
        <v>89.801601113818279</v>
      </c>
      <c r="O35" s="14">
        <f t="shared" si="4"/>
        <v>0</v>
      </c>
      <c r="P35" s="15">
        <f t="shared" si="5"/>
        <v>-4.3160459450052571</v>
      </c>
      <c r="Q35" s="91">
        <f t="shared" si="6"/>
        <v>0.95414201183431913</v>
      </c>
      <c r="R35" s="177"/>
      <c r="S35" s="21">
        <v>0.32986111111111105</v>
      </c>
      <c r="T35" s="21">
        <v>0.44722222222222219</v>
      </c>
      <c r="U35" s="88">
        <f t="shared" si="30"/>
        <v>4.9999999999999822</v>
      </c>
      <c r="V35" s="30">
        <f t="shared" si="29"/>
        <v>169.00000000000003</v>
      </c>
      <c r="W35" s="16"/>
      <c r="X35" s="16"/>
      <c r="Y35" s="16"/>
      <c r="Z35" s="16"/>
      <c r="AA35" s="168"/>
      <c r="AB35" s="168"/>
      <c r="AC35" s="18"/>
      <c r="AD35" s="18"/>
      <c r="AE35" s="14">
        <f t="shared" si="8"/>
        <v>-73.372781065089157</v>
      </c>
      <c r="AF35" s="91">
        <f t="shared" si="9"/>
        <v>0.95414201183431924</v>
      </c>
      <c r="AG35" s="177"/>
    </row>
    <row r="36" spans="1:33">
      <c r="A36" s="192" t="s">
        <v>2788</v>
      </c>
      <c r="B36" s="28" t="s">
        <v>22</v>
      </c>
      <c r="C36" s="169" t="s">
        <v>49</v>
      </c>
      <c r="D36" s="169"/>
      <c r="E36" s="28">
        <v>20.2</v>
      </c>
      <c r="F36" s="88">
        <v>2279</v>
      </c>
      <c r="G36" s="88">
        <f t="shared" si="27"/>
        <v>46035.799999999996</v>
      </c>
      <c r="H36" s="30" t="s">
        <v>53</v>
      </c>
      <c r="I36" s="95">
        <v>15</v>
      </c>
      <c r="J36" s="13">
        <v>2400</v>
      </c>
      <c r="K36" s="12">
        <f t="shared" si="1"/>
        <v>160</v>
      </c>
      <c r="L36" s="95">
        <v>15</v>
      </c>
      <c r="M36" s="13">
        <f t="shared" si="28"/>
        <v>2317.6271186440667</v>
      </c>
      <c r="N36" s="12">
        <f t="shared" si="3"/>
        <v>154.50847457627111</v>
      </c>
      <c r="O36" s="14">
        <f t="shared" si="4"/>
        <v>0</v>
      </c>
      <c r="P36" s="15">
        <f t="shared" si="5"/>
        <v>-5.4915254237288877</v>
      </c>
      <c r="Q36" s="91">
        <f t="shared" si="6"/>
        <v>0.96567796610169443</v>
      </c>
      <c r="R36" s="177"/>
      <c r="S36" s="21">
        <v>0.45138888888888884</v>
      </c>
      <c r="T36" s="21">
        <v>0.49236111111111108</v>
      </c>
      <c r="U36" s="88">
        <f t="shared" si="30"/>
        <v>5.9999999999999787</v>
      </c>
      <c r="V36" s="30">
        <f t="shared" si="29"/>
        <v>59.000000000000028</v>
      </c>
      <c r="W36" s="16">
        <f>T36</f>
        <v>0.49236111111111108</v>
      </c>
      <c r="X36" s="16">
        <f>S37</f>
        <v>0.53194444444444444</v>
      </c>
      <c r="Y36" s="16"/>
      <c r="Z36" s="16"/>
      <c r="AA36" s="168"/>
      <c r="AB36" s="168"/>
      <c r="AC36" s="18"/>
      <c r="AD36" s="18"/>
      <c r="AE36" s="14">
        <f t="shared" si="8"/>
        <v>-82.372881355933259</v>
      </c>
      <c r="AF36" s="91">
        <f t="shared" si="9"/>
        <v>0.96567796610169443</v>
      </c>
      <c r="AG36" s="177"/>
    </row>
    <row r="37" spans="1:33">
      <c r="A37" s="192" t="s">
        <v>2788</v>
      </c>
      <c r="B37" s="28" t="s">
        <v>22</v>
      </c>
      <c r="C37" s="169" t="s">
        <v>2715</v>
      </c>
      <c r="D37" s="169"/>
      <c r="E37" s="28">
        <v>34.1</v>
      </c>
      <c r="F37" s="88">
        <v>3197</v>
      </c>
      <c r="G37" s="88">
        <f t="shared" si="27"/>
        <v>109017.70000000001</v>
      </c>
      <c r="H37" s="30" t="s">
        <v>53</v>
      </c>
      <c r="I37" s="95">
        <v>17</v>
      </c>
      <c r="J37" s="13">
        <v>1600</v>
      </c>
      <c r="K37" s="12">
        <f t="shared" si="1"/>
        <v>94.117647058823536</v>
      </c>
      <c r="L37" s="95">
        <v>17</v>
      </c>
      <c r="M37" s="13">
        <f t="shared" si="28"/>
        <v>1522.3809523809521</v>
      </c>
      <c r="N37" s="12">
        <f t="shared" si="3"/>
        <v>89.551820728291304</v>
      </c>
      <c r="O37" s="14">
        <f t="shared" si="4"/>
        <v>0</v>
      </c>
      <c r="P37" s="15">
        <f t="shared" si="5"/>
        <v>-4.5658263305322322</v>
      </c>
      <c r="Q37" s="91">
        <f t="shared" si="6"/>
        <v>0.95148809523809508</v>
      </c>
      <c r="R37" s="177"/>
      <c r="S37" s="21">
        <v>0.53194444444444444</v>
      </c>
      <c r="T37" s="21">
        <v>0.61944444444444446</v>
      </c>
      <c r="U37" s="88">
        <f t="shared" si="30"/>
        <v>57.000000000000036</v>
      </c>
      <c r="V37" s="30">
        <f t="shared" si="29"/>
        <v>126.00000000000003</v>
      </c>
      <c r="W37" s="16"/>
      <c r="X37" s="16"/>
      <c r="Y37" s="16"/>
      <c r="Z37" s="16"/>
      <c r="AA37" s="168"/>
      <c r="AB37" s="168"/>
      <c r="AC37" s="18"/>
      <c r="AD37" s="18"/>
      <c r="AE37" s="14">
        <f t="shared" si="8"/>
        <v>-77.619047619047933</v>
      </c>
      <c r="AF37" s="91">
        <f t="shared" si="9"/>
        <v>0.95148809523809508</v>
      </c>
      <c r="AG37" s="177"/>
    </row>
    <row r="38" spans="1:33">
      <c r="A38" s="192" t="s">
        <v>2788</v>
      </c>
      <c r="B38" s="28" t="s">
        <v>22</v>
      </c>
      <c r="C38" s="169" t="s">
        <v>2714</v>
      </c>
      <c r="D38" s="169"/>
      <c r="E38" s="28">
        <v>20.36</v>
      </c>
      <c r="F38" s="88">
        <v>3284</v>
      </c>
      <c r="G38" s="88">
        <f t="shared" si="27"/>
        <v>66862.240000000005</v>
      </c>
      <c r="H38" s="30" t="s">
        <v>53</v>
      </c>
      <c r="I38" s="95">
        <v>18</v>
      </c>
      <c r="J38" s="13">
        <v>2400</v>
      </c>
      <c r="K38" s="12">
        <f t="shared" si="1"/>
        <v>133.33333333333334</v>
      </c>
      <c r="L38" s="95">
        <v>18</v>
      </c>
      <c r="M38" s="13">
        <f t="shared" si="28"/>
        <v>2291.1627906976742</v>
      </c>
      <c r="N38" s="12">
        <f t="shared" si="3"/>
        <v>127.28682170542635</v>
      </c>
      <c r="O38" s="14">
        <f t="shared" si="4"/>
        <v>0</v>
      </c>
      <c r="P38" s="15">
        <f t="shared" si="5"/>
        <v>-6.0465116279069946</v>
      </c>
      <c r="Q38" s="91">
        <f t="shared" si="6"/>
        <v>0.95465116279069751</v>
      </c>
      <c r="R38" s="177"/>
      <c r="S38" s="21">
        <v>0.625</v>
      </c>
      <c r="T38" s="21">
        <v>0.68472222222222223</v>
      </c>
      <c r="U38" s="88">
        <f t="shared" si="30"/>
        <v>7.9999999999999716</v>
      </c>
      <c r="V38" s="30">
        <f t="shared" si="29"/>
        <v>86.000000000000014</v>
      </c>
      <c r="W38" s="16"/>
      <c r="X38" s="16"/>
      <c r="Y38" s="19"/>
      <c r="Z38" s="19"/>
      <c r="AA38" s="172"/>
      <c r="AB38" s="173"/>
      <c r="AC38" s="18"/>
      <c r="AD38" s="18"/>
      <c r="AE38" s="14">
        <f t="shared" si="8"/>
        <v>-108.83720930232585</v>
      </c>
      <c r="AF38" s="91">
        <f t="shared" si="9"/>
        <v>0.95465116279069762</v>
      </c>
      <c r="AG38" s="177"/>
    </row>
    <row r="39" spans="1:33">
      <c r="A39" s="192" t="s">
        <v>2788</v>
      </c>
      <c r="B39" s="28" t="s">
        <v>22</v>
      </c>
      <c r="C39" s="169" t="s">
        <v>51</v>
      </c>
      <c r="D39" s="169"/>
      <c r="E39" s="28">
        <v>24.43</v>
      </c>
      <c r="F39" s="88">
        <v>3201</v>
      </c>
      <c r="G39" s="88">
        <f t="shared" si="27"/>
        <v>78200.429999999993</v>
      </c>
      <c r="H39" s="30" t="s">
        <v>53</v>
      </c>
      <c r="I39" s="95">
        <v>14</v>
      </c>
      <c r="J39" s="13">
        <v>2400</v>
      </c>
      <c r="K39" s="12">
        <f t="shared" si="1"/>
        <v>171.42857142857142</v>
      </c>
      <c r="L39" s="95">
        <v>14</v>
      </c>
      <c r="M39" s="13">
        <f t="shared" si="28"/>
        <v>2286.4285714285706</v>
      </c>
      <c r="N39" s="12">
        <f t="shared" si="3"/>
        <v>163.3163265306122</v>
      </c>
      <c r="O39" s="14">
        <f t="shared" si="4"/>
        <v>0</v>
      </c>
      <c r="P39" s="15">
        <f t="shared" si="5"/>
        <v>-8.112244897959215</v>
      </c>
      <c r="Q39" s="91">
        <f t="shared" si="6"/>
        <v>0.95267857142857126</v>
      </c>
      <c r="R39" s="177"/>
      <c r="S39" s="21">
        <v>0.68888888888888888</v>
      </c>
      <c r="T39" s="21">
        <v>0.74722222222222223</v>
      </c>
      <c r="U39" s="88">
        <f t="shared" si="30"/>
        <v>5.9999999999999787</v>
      </c>
      <c r="V39" s="30">
        <f t="shared" si="29"/>
        <v>84.000000000000028</v>
      </c>
      <c r="W39" s="16"/>
      <c r="X39" s="16"/>
      <c r="Y39" s="19"/>
      <c r="Z39" s="19"/>
      <c r="AA39" s="172"/>
      <c r="AB39" s="173"/>
      <c r="AC39" s="18"/>
      <c r="AD39" s="18"/>
      <c r="AE39" s="14">
        <f t="shared" si="8"/>
        <v>-113.57142857142935</v>
      </c>
      <c r="AF39" s="91">
        <f t="shared" si="9"/>
        <v>0.95267857142857115</v>
      </c>
      <c r="AG39" s="177"/>
    </row>
    <row r="40" spans="1:33">
      <c r="A40" s="192" t="s">
        <v>2788</v>
      </c>
      <c r="B40" s="12" t="s">
        <v>2789</v>
      </c>
      <c r="C40" s="178"/>
      <c r="D40" s="178"/>
      <c r="E40" s="92"/>
      <c r="F40" s="12"/>
      <c r="G40" s="12"/>
      <c r="H40" s="88"/>
      <c r="I40" s="23">
        <v>16.75</v>
      </c>
      <c r="J40" s="13">
        <v>2200</v>
      </c>
      <c r="K40" s="12">
        <f t="shared" si="1"/>
        <v>131.34328358208955</v>
      </c>
      <c r="L40" s="23">
        <v>16.75</v>
      </c>
      <c r="M40" s="13">
        <f>AVERAGE(M32:M39)</f>
        <v>2101.8584995529318</v>
      </c>
      <c r="N40" s="12">
        <f t="shared" si="3"/>
        <v>125.48408952554817</v>
      </c>
      <c r="O40" s="14">
        <f t="shared" si="4"/>
        <v>0</v>
      </c>
      <c r="P40" s="15">
        <f t="shared" si="5"/>
        <v>-5.8591940565413836</v>
      </c>
      <c r="Q40" s="91">
        <f t="shared" si="6"/>
        <v>0.95539022706951449</v>
      </c>
      <c r="R40" s="177"/>
      <c r="S40" s="21"/>
      <c r="T40" s="21"/>
      <c r="U40" s="12"/>
      <c r="V40" s="30"/>
      <c r="W40" s="12"/>
      <c r="X40" s="12"/>
      <c r="Y40" s="24">
        <f>SUM(Y32:Y39)</f>
        <v>0</v>
      </c>
      <c r="Z40" s="24">
        <f>SUM(Z32:Z39)</f>
        <v>0</v>
      </c>
      <c r="AA40" s="167"/>
      <c r="AB40" s="167"/>
      <c r="AC40" s="24">
        <v>8</v>
      </c>
      <c r="AD40" s="24">
        <f>SUM(AD32:AD39)</f>
        <v>0</v>
      </c>
      <c r="AE40" s="14">
        <f t="shared" si="8"/>
        <v>-98.141500447068211</v>
      </c>
      <c r="AF40" s="91">
        <f t="shared" si="9"/>
        <v>0.95539022706951449</v>
      </c>
      <c r="AG40" s="177"/>
    </row>
    <row r="41" spans="1:33" ht="15.75" customHeight="1">
      <c r="A41" s="188" t="s">
        <v>2790</v>
      </c>
      <c r="B41" s="28" t="s">
        <v>33</v>
      </c>
      <c r="C41" s="170" t="s">
        <v>2717</v>
      </c>
      <c r="D41" s="171"/>
      <c r="E41" s="28">
        <v>37.880000000000003</v>
      </c>
      <c r="F41" s="88">
        <v>5815</v>
      </c>
      <c r="G41" s="88">
        <f t="shared" ref="G41:G44" si="31">E41*F41</f>
        <v>220272.2</v>
      </c>
      <c r="H41" s="30" t="s">
        <v>53</v>
      </c>
      <c r="I41" s="95">
        <v>13</v>
      </c>
      <c r="J41" s="13">
        <v>2000</v>
      </c>
      <c r="K41" s="12">
        <f t="shared" si="1"/>
        <v>153.84615384615384</v>
      </c>
      <c r="L41" s="95">
        <v>13</v>
      </c>
      <c r="M41" s="13">
        <f t="shared" ref="M41:M44" si="32">F41/V41*60</f>
        <v>1906.5573770491803</v>
      </c>
      <c r="N41" s="13">
        <f t="shared" si="3"/>
        <v>146.65825977301387</v>
      </c>
      <c r="O41" s="14">
        <f t="shared" si="4"/>
        <v>0</v>
      </c>
      <c r="P41" s="15">
        <f t="shared" si="5"/>
        <v>-7.1878940731399723</v>
      </c>
      <c r="Q41" s="91">
        <f t="shared" si="6"/>
        <v>0.95327868852459019</v>
      </c>
      <c r="R41" s="183">
        <f>Q45</f>
        <v>0.95450045814630424</v>
      </c>
      <c r="S41" s="21">
        <v>8.3333333333333329E-2</v>
      </c>
      <c r="T41" s="21">
        <v>0.21041666666666664</v>
      </c>
      <c r="U41" s="21"/>
      <c r="V41" s="30">
        <f t="shared" ref="V41:V44" si="33">(T41-S41)*24*60</f>
        <v>183</v>
      </c>
      <c r="W41" s="16">
        <f>T41</f>
        <v>0.21041666666666664</v>
      </c>
      <c r="X41" s="16">
        <f>S42</f>
        <v>0.22986111111111107</v>
      </c>
      <c r="Y41" s="19"/>
      <c r="Z41" s="19"/>
      <c r="AA41" s="172"/>
      <c r="AB41" s="173"/>
      <c r="AC41" s="18">
        <v>4</v>
      </c>
      <c r="AD41" s="18"/>
      <c r="AE41" s="14">
        <f t="shared" si="8"/>
        <v>-93.442622950819668</v>
      </c>
      <c r="AF41" s="91">
        <f t="shared" si="9"/>
        <v>0.95327868852459019</v>
      </c>
      <c r="AG41" s="183">
        <f>AF45</f>
        <v>0.95450045814630435</v>
      </c>
    </row>
    <row r="42" spans="1:33" ht="15.75" customHeight="1">
      <c r="A42" s="189" t="s">
        <v>2790</v>
      </c>
      <c r="B42" s="28" t="s">
        <v>33</v>
      </c>
      <c r="C42" s="170" t="s">
        <v>48</v>
      </c>
      <c r="D42" s="171"/>
      <c r="E42" s="28">
        <v>35.119999999999997</v>
      </c>
      <c r="F42" s="88">
        <v>5003</v>
      </c>
      <c r="G42" s="88">
        <f t="shared" si="31"/>
        <v>175705.36</v>
      </c>
      <c r="H42" s="30" t="s">
        <v>53</v>
      </c>
      <c r="I42" s="95">
        <v>10</v>
      </c>
      <c r="J42" s="13">
        <v>3000</v>
      </c>
      <c r="K42" s="12">
        <f t="shared" si="1"/>
        <v>300</v>
      </c>
      <c r="L42" s="95">
        <v>10</v>
      </c>
      <c r="M42" s="13">
        <f t="shared" si="32"/>
        <v>2858.8571428571422</v>
      </c>
      <c r="N42" s="13">
        <f t="shared" si="3"/>
        <v>285.88571428571424</v>
      </c>
      <c r="O42" s="14">
        <f t="shared" si="4"/>
        <v>0</v>
      </c>
      <c r="P42" s="15">
        <f t="shared" si="5"/>
        <v>-14.114285714285757</v>
      </c>
      <c r="Q42" s="91">
        <f t="shared" si="6"/>
        <v>0.95295238095238077</v>
      </c>
      <c r="R42" s="184"/>
      <c r="S42" s="21">
        <v>0.22986111111111107</v>
      </c>
      <c r="T42" s="21">
        <v>0.30277777777777776</v>
      </c>
      <c r="U42" s="88">
        <f t="shared" ref="U42:U44" si="34">(S42-T41)*24*60</f>
        <v>27.999999999999979</v>
      </c>
      <c r="V42" s="30">
        <f t="shared" si="33"/>
        <v>105.00000000000003</v>
      </c>
      <c r="W42" s="16"/>
      <c r="X42" s="16"/>
      <c r="Y42" s="19"/>
      <c r="Z42" s="19"/>
      <c r="AA42" s="172"/>
      <c r="AB42" s="173"/>
      <c r="AC42" s="18"/>
      <c r="AD42" s="18"/>
      <c r="AE42" s="14">
        <f t="shared" si="8"/>
        <v>-141.14285714285779</v>
      </c>
      <c r="AF42" s="91">
        <f t="shared" si="9"/>
        <v>0.95295238095238077</v>
      </c>
      <c r="AG42" s="184"/>
    </row>
    <row r="43" spans="1:33" ht="15.75" customHeight="1">
      <c r="A43" s="189" t="s">
        <v>2790</v>
      </c>
      <c r="B43" s="28" t="s">
        <v>33</v>
      </c>
      <c r="C43" s="170" t="s">
        <v>36</v>
      </c>
      <c r="D43" s="171"/>
      <c r="E43" s="28">
        <v>21.13</v>
      </c>
      <c r="F43" s="88">
        <v>4923</v>
      </c>
      <c r="G43" s="88">
        <f t="shared" si="31"/>
        <v>104022.98999999999</v>
      </c>
      <c r="H43" s="30" t="s">
        <v>53</v>
      </c>
      <c r="I43" s="95">
        <v>10</v>
      </c>
      <c r="J43" s="13">
        <v>3000</v>
      </c>
      <c r="K43" s="12">
        <f t="shared" si="1"/>
        <v>300</v>
      </c>
      <c r="L43" s="95">
        <v>10</v>
      </c>
      <c r="M43" s="13">
        <f t="shared" si="32"/>
        <v>2867.7669902912612</v>
      </c>
      <c r="N43" s="13">
        <f t="shared" si="3"/>
        <v>286.77669902912612</v>
      </c>
      <c r="O43" s="14">
        <f t="shared" si="4"/>
        <v>0</v>
      </c>
      <c r="P43" s="15">
        <f t="shared" si="5"/>
        <v>-13.223300970873879</v>
      </c>
      <c r="Q43" s="91">
        <f t="shared" si="6"/>
        <v>0.95592233009708705</v>
      </c>
      <c r="R43" s="184"/>
      <c r="S43" s="21">
        <v>0.30624999999999997</v>
      </c>
      <c r="T43" s="21">
        <v>0.37777777777777777</v>
      </c>
      <c r="U43" s="88">
        <f t="shared" si="34"/>
        <v>4.9999999999999822</v>
      </c>
      <c r="V43" s="30">
        <f t="shared" si="33"/>
        <v>103.00000000000003</v>
      </c>
      <c r="W43" s="16"/>
      <c r="X43" s="16"/>
      <c r="Y43" s="19"/>
      <c r="Z43" s="19"/>
      <c r="AA43" s="172"/>
      <c r="AB43" s="173"/>
      <c r="AC43" s="18"/>
      <c r="AD43" s="18"/>
      <c r="AE43" s="14">
        <f t="shared" si="8"/>
        <v>-132.23300970873879</v>
      </c>
      <c r="AF43" s="91">
        <f t="shared" si="9"/>
        <v>0.95592233009708705</v>
      </c>
      <c r="AG43" s="184"/>
    </row>
    <row r="44" spans="1:33" ht="15.75" customHeight="1">
      <c r="A44" s="189" t="s">
        <v>2790</v>
      </c>
      <c r="B44" s="28" t="s">
        <v>33</v>
      </c>
      <c r="C44" s="170" t="s">
        <v>37</v>
      </c>
      <c r="D44" s="171"/>
      <c r="E44" s="28">
        <v>27.17</v>
      </c>
      <c r="F44" s="88">
        <v>6497</v>
      </c>
      <c r="G44" s="88">
        <f t="shared" si="31"/>
        <v>176523.49000000002</v>
      </c>
      <c r="H44" s="30" t="s">
        <v>53</v>
      </c>
      <c r="I44" s="95">
        <v>10</v>
      </c>
      <c r="J44" s="13">
        <v>3000</v>
      </c>
      <c r="K44" s="12">
        <f t="shared" si="1"/>
        <v>300</v>
      </c>
      <c r="L44" s="95">
        <v>10</v>
      </c>
      <c r="M44" s="13">
        <f t="shared" si="32"/>
        <v>2866.3235294117649</v>
      </c>
      <c r="N44" s="13">
        <f t="shared" si="3"/>
        <v>286.63235294117646</v>
      </c>
      <c r="O44" s="14">
        <f t="shared" si="4"/>
        <v>0</v>
      </c>
      <c r="P44" s="15">
        <f t="shared" si="5"/>
        <v>-13.367647058823536</v>
      </c>
      <c r="Q44" s="91">
        <f t="shared" si="6"/>
        <v>0.95544117647058824</v>
      </c>
      <c r="R44" s="184"/>
      <c r="S44" s="21">
        <v>0.38124999999999998</v>
      </c>
      <c r="T44" s="21">
        <v>0.47569444444444442</v>
      </c>
      <c r="U44" s="88">
        <f t="shared" si="34"/>
        <v>4.9999999999999822</v>
      </c>
      <c r="V44" s="30">
        <f t="shared" si="33"/>
        <v>136</v>
      </c>
      <c r="W44" s="16"/>
      <c r="X44" s="16"/>
      <c r="Y44" s="19"/>
      <c r="Z44" s="19"/>
      <c r="AA44" s="172"/>
      <c r="AB44" s="173"/>
      <c r="AC44" s="18"/>
      <c r="AD44" s="18"/>
      <c r="AE44" s="14">
        <f t="shared" si="8"/>
        <v>-133.67647058823513</v>
      </c>
      <c r="AF44" s="91">
        <f t="shared" si="9"/>
        <v>0.95544117647058824</v>
      </c>
      <c r="AG44" s="184"/>
    </row>
    <row r="45" spans="1:33" ht="15.75" customHeight="1">
      <c r="A45" s="190" t="s">
        <v>2790</v>
      </c>
      <c r="B45" s="28" t="s">
        <v>2789</v>
      </c>
      <c r="C45" s="165"/>
      <c r="D45" s="166"/>
      <c r="E45" s="89"/>
      <c r="F45" s="88"/>
      <c r="G45" s="88"/>
      <c r="H45" s="88"/>
      <c r="I45" s="23">
        <v>10.75</v>
      </c>
      <c r="J45" s="13">
        <v>2750</v>
      </c>
      <c r="K45" s="12">
        <f t="shared" si="1"/>
        <v>255.81395348837211</v>
      </c>
      <c r="L45" s="23">
        <v>10.75</v>
      </c>
      <c r="M45" s="13">
        <f>AVERAGE(M41:M44)</f>
        <v>2624.8762599023371</v>
      </c>
      <c r="N45" s="12">
        <f t="shared" si="3"/>
        <v>244.17453580486855</v>
      </c>
      <c r="O45" s="14">
        <f t="shared" si="4"/>
        <v>0</v>
      </c>
      <c r="P45" s="15">
        <f t="shared" si="5"/>
        <v>-11.639417683503552</v>
      </c>
      <c r="Q45" s="91">
        <f t="shared" si="6"/>
        <v>0.95450045814630424</v>
      </c>
      <c r="R45" s="185"/>
      <c r="S45" s="21"/>
      <c r="T45" s="21"/>
      <c r="U45" s="88"/>
      <c r="V45" s="30"/>
      <c r="W45" s="16"/>
      <c r="X45" s="16"/>
      <c r="Y45" s="24">
        <f>SUM(Y41:Y44)</f>
        <v>0</v>
      </c>
      <c r="Z45" s="24">
        <f>SUM(Z41:Z44)</f>
        <v>0</v>
      </c>
      <c r="AA45" s="186"/>
      <c r="AB45" s="187"/>
      <c r="AC45" s="24">
        <v>4</v>
      </c>
      <c r="AD45" s="24">
        <f>SUM(AD41:AD44)</f>
        <v>0</v>
      </c>
      <c r="AE45" s="14">
        <f t="shared" si="8"/>
        <v>-125.1237400976629</v>
      </c>
      <c r="AF45" s="91">
        <f t="shared" si="9"/>
        <v>0.95450045814630435</v>
      </c>
      <c r="AG45" s="185"/>
    </row>
    <row r="46" spans="1:33" ht="15.75" customHeight="1">
      <c r="A46" s="181" t="s">
        <v>2791</v>
      </c>
      <c r="B46" s="28" t="s">
        <v>9</v>
      </c>
      <c r="C46" s="169" t="s">
        <v>39</v>
      </c>
      <c r="D46" s="169"/>
      <c r="E46" s="28">
        <v>46</v>
      </c>
      <c r="F46" s="29">
        <v>2078</v>
      </c>
      <c r="G46" s="88">
        <f t="shared" ref="G46:G53" si="35">E46*F46</f>
        <v>95588</v>
      </c>
      <c r="H46" s="30" t="s">
        <v>53</v>
      </c>
      <c r="I46" s="95">
        <v>17</v>
      </c>
      <c r="J46" s="13">
        <v>2000</v>
      </c>
      <c r="K46" s="12">
        <f t="shared" si="1"/>
        <v>117.64705882352941</v>
      </c>
      <c r="L46" s="95">
        <v>17</v>
      </c>
      <c r="M46" s="13">
        <f t="shared" ref="M46" si="36">F46/V46*60</f>
        <v>1918.1538461538471</v>
      </c>
      <c r="N46" s="13">
        <f t="shared" si="3"/>
        <v>112.83257918552042</v>
      </c>
      <c r="O46" s="14">
        <f t="shared" si="4"/>
        <v>0</v>
      </c>
      <c r="P46" s="15">
        <f t="shared" si="5"/>
        <v>-4.81447963800899</v>
      </c>
      <c r="Q46" s="91">
        <f t="shared" si="6"/>
        <v>0.9590769230769236</v>
      </c>
      <c r="R46" s="177">
        <f>Q54</f>
        <v>0.96630753261217084</v>
      </c>
      <c r="S46" s="21">
        <v>0.20833333333333334</v>
      </c>
      <c r="T46" s="21">
        <v>0.25347222222222221</v>
      </c>
      <c r="U46" s="21"/>
      <c r="V46" s="30">
        <f t="shared" ref="V46:V53" si="37">(T46-S46)*24*60</f>
        <v>64.999999999999972</v>
      </c>
      <c r="W46" s="21"/>
      <c r="X46" s="21"/>
      <c r="Y46" s="21"/>
      <c r="Z46" s="21"/>
      <c r="AA46" s="168"/>
      <c r="AB46" s="168"/>
      <c r="AC46" s="18">
        <v>8</v>
      </c>
      <c r="AD46" s="18"/>
      <c r="AE46" s="14">
        <f t="shared" si="8"/>
        <v>-81.846153846152902</v>
      </c>
      <c r="AF46" s="91">
        <f t="shared" si="9"/>
        <v>0.9590769230769236</v>
      </c>
      <c r="AG46" s="177">
        <f>AF54</f>
        <v>0.96630753261217073</v>
      </c>
    </row>
    <row r="47" spans="1:33" ht="15.75" customHeight="1">
      <c r="A47" s="181" t="s">
        <v>2791</v>
      </c>
      <c r="B47" s="28" t="s">
        <v>5</v>
      </c>
      <c r="C47" s="169" t="s">
        <v>40</v>
      </c>
      <c r="D47" s="169"/>
      <c r="E47" s="28">
        <v>56.43</v>
      </c>
      <c r="F47" s="29">
        <v>1296</v>
      </c>
      <c r="G47" s="88">
        <f t="shared" si="35"/>
        <v>73133.279999999999</v>
      </c>
      <c r="H47" s="30" t="s">
        <v>53</v>
      </c>
      <c r="I47" s="95">
        <v>22</v>
      </c>
      <c r="J47" s="13">
        <v>2000</v>
      </c>
      <c r="K47" s="12">
        <f t="shared" si="1"/>
        <v>90.909090909090907</v>
      </c>
      <c r="L47" s="95">
        <v>22</v>
      </c>
      <c r="M47" s="13">
        <f>F47/V47*60</f>
        <v>1943.9999999999995</v>
      </c>
      <c r="N47" s="13">
        <f t="shared" si="3"/>
        <v>88.363636363636346</v>
      </c>
      <c r="O47" s="14">
        <f t="shared" si="4"/>
        <v>0</v>
      </c>
      <c r="P47" s="15">
        <f t="shared" si="5"/>
        <v>-2.545454545454561</v>
      </c>
      <c r="Q47" s="91">
        <f t="shared" si="6"/>
        <v>0.97199999999999986</v>
      </c>
      <c r="R47" s="177"/>
      <c r="S47" s="21">
        <v>0.25694444444444442</v>
      </c>
      <c r="T47" s="21">
        <v>0.28472222222222221</v>
      </c>
      <c r="U47" s="88">
        <f t="shared" ref="U47:U53" si="38">IF(S47=TIME(17,0,0),"",(S47-T46)*24*60)</f>
        <v>4.9999999999999822</v>
      </c>
      <c r="V47" s="30">
        <f t="shared" si="37"/>
        <v>40.000000000000014</v>
      </c>
      <c r="W47" s="16"/>
      <c r="X47" s="16"/>
      <c r="Y47" s="16"/>
      <c r="Z47" s="16"/>
      <c r="AA47" s="168"/>
      <c r="AB47" s="168"/>
      <c r="AC47" s="18"/>
      <c r="AD47" s="18"/>
      <c r="AE47" s="14">
        <f t="shared" si="8"/>
        <v>-56.000000000000455</v>
      </c>
      <c r="AF47" s="91">
        <f t="shared" si="9"/>
        <v>0.97199999999999975</v>
      </c>
      <c r="AG47" s="177"/>
    </row>
    <row r="48" spans="1:33" ht="15.75" customHeight="1">
      <c r="A48" s="181" t="s">
        <v>2791</v>
      </c>
      <c r="B48" s="28" t="s">
        <v>5</v>
      </c>
      <c r="C48" s="170" t="s">
        <v>41</v>
      </c>
      <c r="D48" s="171"/>
      <c r="E48" s="28">
        <v>51.75</v>
      </c>
      <c r="F48" s="29">
        <v>740</v>
      </c>
      <c r="G48" s="88">
        <f t="shared" si="35"/>
        <v>38295</v>
      </c>
      <c r="H48" s="30" t="s">
        <v>53</v>
      </c>
      <c r="I48" s="95">
        <v>25</v>
      </c>
      <c r="J48" s="13">
        <v>2000</v>
      </c>
      <c r="K48" s="12">
        <f t="shared" si="1"/>
        <v>80</v>
      </c>
      <c r="L48" s="95">
        <v>25</v>
      </c>
      <c r="M48" s="13">
        <f t="shared" ref="M48:M53" si="39">F48/V48*60</f>
        <v>1930.4347826086955</v>
      </c>
      <c r="N48" s="13">
        <f t="shared" si="3"/>
        <v>77.217391304347814</v>
      </c>
      <c r="O48" s="14">
        <f t="shared" si="4"/>
        <v>0</v>
      </c>
      <c r="P48" s="15">
        <f t="shared" si="5"/>
        <v>-2.7826086956521863</v>
      </c>
      <c r="Q48" s="91">
        <f t="shared" si="6"/>
        <v>0.96521739130434769</v>
      </c>
      <c r="R48" s="177"/>
      <c r="S48" s="21">
        <v>0.28819444444444442</v>
      </c>
      <c r="T48" s="21">
        <v>0.30416666666666664</v>
      </c>
      <c r="U48" s="88">
        <f t="shared" si="38"/>
        <v>4.9999999999999822</v>
      </c>
      <c r="V48" s="30">
        <f t="shared" si="37"/>
        <v>23</v>
      </c>
      <c r="W48" s="16"/>
      <c r="X48" s="16"/>
      <c r="Y48" s="19"/>
      <c r="Z48" s="19"/>
      <c r="AA48" s="168"/>
      <c r="AB48" s="168"/>
      <c r="AC48" s="18"/>
      <c r="AD48" s="18"/>
      <c r="AE48" s="14">
        <f t="shared" si="8"/>
        <v>-69.565217391304486</v>
      </c>
      <c r="AF48" s="91">
        <f t="shared" si="9"/>
        <v>0.9652173913043478</v>
      </c>
      <c r="AG48" s="177"/>
    </row>
    <row r="49" spans="1:33" ht="15.75" customHeight="1">
      <c r="A49" s="181" t="s">
        <v>2791</v>
      </c>
      <c r="B49" s="28" t="s">
        <v>5</v>
      </c>
      <c r="C49" s="93" t="s">
        <v>18</v>
      </c>
      <c r="D49" s="94"/>
      <c r="E49" s="28">
        <v>53.68</v>
      </c>
      <c r="F49" s="29">
        <v>937</v>
      </c>
      <c r="G49" s="88">
        <f t="shared" si="35"/>
        <v>50298.159999999996</v>
      </c>
      <c r="H49" s="30" t="s">
        <v>53</v>
      </c>
      <c r="I49" s="95">
        <v>16</v>
      </c>
      <c r="J49" s="13">
        <v>2000</v>
      </c>
      <c r="K49" s="12">
        <f t="shared" si="1"/>
        <v>125</v>
      </c>
      <c r="L49" s="95">
        <v>16</v>
      </c>
      <c r="M49" s="13">
        <f t="shared" si="39"/>
        <v>1938.6206896551737</v>
      </c>
      <c r="N49" s="13">
        <f t="shared" si="3"/>
        <v>121.16379310344836</v>
      </c>
      <c r="O49" s="14">
        <f t="shared" si="4"/>
        <v>0</v>
      </c>
      <c r="P49" s="15">
        <f t="shared" si="5"/>
        <v>-3.8362068965516443</v>
      </c>
      <c r="Q49" s="91">
        <f t="shared" si="6"/>
        <v>0.96931034482758682</v>
      </c>
      <c r="R49" s="177"/>
      <c r="S49" s="21">
        <v>0.30833333333333329</v>
      </c>
      <c r="T49" s="21">
        <v>0.32847222222222217</v>
      </c>
      <c r="U49" s="88">
        <f t="shared" si="38"/>
        <v>5.9999999999999787</v>
      </c>
      <c r="V49" s="30">
        <f t="shared" si="37"/>
        <v>28.999999999999979</v>
      </c>
      <c r="W49" s="16"/>
      <c r="X49" s="16"/>
      <c r="Y49" s="19"/>
      <c r="Z49" s="19"/>
      <c r="AA49" s="168"/>
      <c r="AB49" s="168"/>
      <c r="AC49" s="18"/>
      <c r="AD49" s="18"/>
      <c r="AE49" s="14">
        <f t="shared" si="8"/>
        <v>-61.379310344826308</v>
      </c>
      <c r="AF49" s="91">
        <f t="shared" si="9"/>
        <v>0.96931034482758682</v>
      </c>
      <c r="AG49" s="177"/>
    </row>
    <row r="50" spans="1:33" ht="15.75" customHeight="1">
      <c r="A50" s="181" t="s">
        <v>2791</v>
      </c>
      <c r="B50" s="28" t="s">
        <v>5</v>
      </c>
      <c r="C50" s="93" t="s">
        <v>2720</v>
      </c>
      <c r="D50" s="94"/>
      <c r="E50" s="28">
        <v>54.09</v>
      </c>
      <c r="F50" s="29">
        <v>3302</v>
      </c>
      <c r="G50" s="88">
        <f t="shared" si="35"/>
        <v>178605.18000000002</v>
      </c>
      <c r="H50" s="30" t="s">
        <v>53</v>
      </c>
      <c r="I50" s="95">
        <v>17</v>
      </c>
      <c r="J50" s="13">
        <v>1500</v>
      </c>
      <c r="K50" s="12">
        <f t="shared" si="1"/>
        <v>88.235294117647058</v>
      </c>
      <c r="L50" s="95">
        <v>17</v>
      </c>
      <c r="M50" s="13">
        <f t="shared" si="39"/>
        <v>1435.6521739130435</v>
      </c>
      <c r="N50" s="13">
        <f t="shared" si="3"/>
        <v>84.450127877237847</v>
      </c>
      <c r="O50" s="14">
        <f t="shared" si="4"/>
        <v>0</v>
      </c>
      <c r="P50" s="15">
        <f t="shared" si="5"/>
        <v>-3.785166240409211</v>
      </c>
      <c r="Q50" s="91">
        <f t="shared" si="6"/>
        <v>0.95710144927536223</v>
      </c>
      <c r="R50" s="177"/>
      <c r="S50" s="21">
        <v>0.33333333333333326</v>
      </c>
      <c r="T50" s="21">
        <v>0.42916666666666659</v>
      </c>
      <c r="U50" s="88">
        <f t="shared" si="38"/>
        <v>6.9999999999999751</v>
      </c>
      <c r="V50" s="30">
        <f t="shared" si="37"/>
        <v>138</v>
      </c>
      <c r="W50" s="16"/>
      <c r="X50" s="16"/>
      <c r="Y50" s="19"/>
      <c r="Z50" s="19"/>
      <c r="AA50" s="168"/>
      <c r="AB50" s="168"/>
      <c r="AC50" s="18"/>
      <c r="AD50" s="18"/>
      <c r="AE50" s="14">
        <f t="shared" si="8"/>
        <v>-64.347826086956502</v>
      </c>
      <c r="AF50" s="91">
        <f t="shared" si="9"/>
        <v>0.95710144927536234</v>
      </c>
      <c r="AG50" s="177"/>
    </row>
    <row r="51" spans="1:33" ht="15.75" customHeight="1">
      <c r="A51" s="181" t="s">
        <v>2791</v>
      </c>
      <c r="B51" s="28" t="s">
        <v>5</v>
      </c>
      <c r="C51" s="170" t="s">
        <v>45</v>
      </c>
      <c r="D51" s="171"/>
      <c r="E51" s="28">
        <v>55.32</v>
      </c>
      <c r="F51" s="29">
        <v>1230</v>
      </c>
      <c r="G51" s="88">
        <f t="shared" si="35"/>
        <v>68043.600000000006</v>
      </c>
      <c r="H51" s="30" t="s">
        <v>53</v>
      </c>
      <c r="I51" s="95">
        <v>15</v>
      </c>
      <c r="J51" s="13">
        <v>2000</v>
      </c>
      <c r="K51" s="12">
        <f t="shared" si="1"/>
        <v>133.33333333333334</v>
      </c>
      <c r="L51" s="95">
        <v>15</v>
      </c>
      <c r="M51" s="13">
        <f t="shared" si="39"/>
        <v>1942.1052631578932</v>
      </c>
      <c r="N51" s="13">
        <f t="shared" si="3"/>
        <v>129.47368421052622</v>
      </c>
      <c r="O51" s="14">
        <f t="shared" si="4"/>
        <v>0</v>
      </c>
      <c r="P51" s="15">
        <f t="shared" si="5"/>
        <v>-3.8596491228071272</v>
      </c>
      <c r="Q51" s="91">
        <f t="shared" si="6"/>
        <v>0.9710526315789465</v>
      </c>
      <c r="R51" s="177"/>
      <c r="S51" s="21">
        <v>0.70833333333333337</v>
      </c>
      <c r="T51" s="21">
        <v>0.73472222222222228</v>
      </c>
      <c r="U51" s="88" t="str">
        <f t="shared" si="38"/>
        <v/>
      </c>
      <c r="V51" s="30">
        <f t="shared" si="37"/>
        <v>38.000000000000028</v>
      </c>
      <c r="W51" s="16"/>
      <c r="X51" s="16"/>
      <c r="Y51" s="19"/>
      <c r="Z51" s="19"/>
      <c r="AA51" s="172"/>
      <c r="AB51" s="173"/>
      <c r="AC51" s="18"/>
      <c r="AD51" s="18"/>
      <c r="AE51" s="14">
        <f t="shared" si="8"/>
        <v>-57.894736842106795</v>
      </c>
      <c r="AF51" s="91">
        <f t="shared" si="9"/>
        <v>0.97105263157894661</v>
      </c>
      <c r="AG51" s="177"/>
    </row>
    <row r="52" spans="1:33" ht="15.75" customHeight="1">
      <c r="A52" s="181" t="s">
        <v>2791</v>
      </c>
      <c r="B52" s="28" t="s">
        <v>5</v>
      </c>
      <c r="C52" s="170" t="s">
        <v>44</v>
      </c>
      <c r="D52" s="171"/>
      <c r="E52" s="28">
        <v>55.56</v>
      </c>
      <c r="F52" s="29">
        <v>1590</v>
      </c>
      <c r="G52" s="88">
        <f t="shared" si="35"/>
        <v>88340.400000000009</v>
      </c>
      <c r="H52" s="30" t="s">
        <v>53</v>
      </c>
      <c r="I52" s="95">
        <v>17</v>
      </c>
      <c r="J52" s="13">
        <v>2000</v>
      </c>
      <c r="K52" s="12">
        <f t="shared" si="1"/>
        <v>117.64705882352941</v>
      </c>
      <c r="L52" s="95">
        <v>17</v>
      </c>
      <c r="M52" s="13">
        <f t="shared" si="39"/>
        <v>1908.0000000000005</v>
      </c>
      <c r="N52" s="13">
        <f t="shared" si="3"/>
        <v>112.23529411764709</v>
      </c>
      <c r="O52" s="14">
        <f t="shared" si="4"/>
        <v>0</v>
      </c>
      <c r="P52" s="15">
        <f t="shared" si="5"/>
        <v>-5.4117647058823195</v>
      </c>
      <c r="Q52" s="91">
        <f t="shared" si="6"/>
        <v>0.95400000000000029</v>
      </c>
      <c r="R52" s="177"/>
      <c r="S52" s="21">
        <v>0.73888888888888893</v>
      </c>
      <c r="T52" s="21">
        <v>0.77361111111111114</v>
      </c>
      <c r="U52" s="88">
        <f t="shared" si="38"/>
        <v>5.9999999999999787</v>
      </c>
      <c r="V52" s="30">
        <f t="shared" si="37"/>
        <v>49.999999999999986</v>
      </c>
      <c r="W52" s="16"/>
      <c r="X52" s="16"/>
      <c r="Y52" s="19"/>
      <c r="Z52" s="19"/>
      <c r="AA52" s="172"/>
      <c r="AB52" s="173"/>
      <c r="AC52" s="18"/>
      <c r="AD52" s="18"/>
      <c r="AE52" s="14">
        <f t="shared" si="8"/>
        <v>-91.999999999999545</v>
      </c>
      <c r="AF52" s="91">
        <f t="shared" si="9"/>
        <v>0.95400000000000018</v>
      </c>
      <c r="AG52" s="177"/>
    </row>
    <row r="53" spans="1:33" ht="15.75" customHeight="1">
      <c r="A53" s="181" t="s">
        <v>2791</v>
      </c>
      <c r="B53" s="28" t="s">
        <v>5</v>
      </c>
      <c r="C53" s="170" t="s">
        <v>43</v>
      </c>
      <c r="D53" s="171"/>
      <c r="E53" s="28">
        <v>54.29</v>
      </c>
      <c r="F53" s="29">
        <v>817</v>
      </c>
      <c r="G53" s="88">
        <f t="shared" si="35"/>
        <v>44354.93</v>
      </c>
      <c r="H53" s="30" t="s">
        <v>53</v>
      </c>
      <c r="I53" s="95">
        <v>20</v>
      </c>
      <c r="J53" s="13">
        <v>2000</v>
      </c>
      <c r="K53" s="12">
        <f t="shared" si="1"/>
        <v>100</v>
      </c>
      <c r="L53" s="95">
        <v>20</v>
      </c>
      <c r="M53" s="13">
        <f t="shared" si="39"/>
        <v>1960.7999999999945</v>
      </c>
      <c r="N53" s="13">
        <f t="shared" si="3"/>
        <v>98.039999999999722</v>
      </c>
      <c r="O53" s="14">
        <f t="shared" si="4"/>
        <v>0</v>
      </c>
      <c r="P53" s="15">
        <f t="shared" si="5"/>
        <v>-1.960000000000278</v>
      </c>
      <c r="Q53" s="91">
        <f t="shared" si="6"/>
        <v>0.98039999999999727</v>
      </c>
      <c r="R53" s="177"/>
      <c r="S53" s="21">
        <v>0.77708333333333335</v>
      </c>
      <c r="T53" s="21">
        <v>0.79444444444444451</v>
      </c>
      <c r="U53" s="88">
        <f t="shared" si="38"/>
        <v>4.9999999999999822</v>
      </c>
      <c r="V53" s="30">
        <f t="shared" si="37"/>
        <v>25.000000000000071</v>
      </c>
      <c r="W53" s="16"/>
      <c r="X53" s="16"/>
      <c r="Y53" s="19"/>
      <c r="Z53" s="19"/>
      <c r="AA53" s="172"/>
      <c r="AB53" s="173"/>
      <c r="AC53" s="18"/>
      <c r="AD53" s="18"/>
      <c r="AE53" s="14">
        <f t="shared" si="8"/>
        <v>-39.200000000005502</v>
      </c>
      <c r="AF53" s="91">
        <f t="shared" si="9"/>
        <v>0.98039999999999727</v>
      </c>
      <c r="AG53" s="177"/>
    </row>
    <row r="54" spans="1:33">
      <c r="A54" s="182" t="s">
        <v>2791</v>
      </c>
      <c r="B54" s="28" t="s">
        <v>2789</v>
      </c>
      <c r="C54" s="178"/>
      <c r="D54" s="178"/>
      <c r="E54" s="92"/>
      <c r="F54" s="12"/>
      <c r="G54" s="12"/>
      <c r="H54" s="88"/>
      <c r="I54" s="23">
        <v>18.625</v>
      </c>
      <c r="J54" s="13">
        <v>1937.5</v>
      </c>
      <c r="K54" s="12">
        <f t="shared" si="1"/>
        <v>104.02684563758389</v>
      </c>
      <c r="L54" s="23">
        <v>18.625</v>
      </c>
      <c r="M54" s="13">
        <f>AVERAGE(M46:M53)</f>
        <v>1872.2208444360808</v>
      </c>
      <c r="N54" s="12">
        <f t="shared" si="3"/>
        <v>100.52192453348086</v>
      </c>
      <c r="O54" s="14">
        <f t="shared" si="4"/>
        <v>0</v>
      </c>
      <c r="P54" s="15">
        <f t="shared" si="5"/>
        <v>-3.5049211041030333</v>
      </c>
      <c r="Q54" s="91">
        <f t="shared" si="6"/>
        <v>0.96630753261217084</v>
      </c>
      <c r="R54" s="177"/>
      <c r="S54" s="21"/>
      <c r="T54" s="21"/>
      <c r="U54" s="88"/>
      <c r="V54" s="30"/>
      <c r="W54" s="12"/>
      <c r="X54" s="12"/>
      <c r="Y54" s="24">
        <f>SUM(Y46:Y53)</f>
        <v>0</v>
      </c>
      <c r="Z54" s="24">
        <f>SUM(Z46:Z53)</f>
        <v>0</v>
      </c>
      <c r="AA54" s="167"/>
      <c r="AB54" s="167"/>
      <c r="AC54" s="24">
        <v>8</v>
      </c>
      <c r="AD54" s="24">
        <f>SUM(AD46:AD53)</f>
        <v>0</v>
      </c>
      <c r="AE54" s="14">
        <f>M54-J54</f>
        <v>-65.279155563919176</v>
      </c>
      <c r="AF54" s="91">
        <f t="shared" si="9"/>
        <v>0.96630753261217073</v>
      </c>
      <c r="AG54" s="177"/>
    </row>
    <row r="55" spans="1:33" ht="15.75" customHeight="1">
      <c r="A55" s="179" t="s">
        <v>2792</v>
      </c>
      <c r="B55" s="88" t="s">
        <v>33</v>
      </c>
      <c r="C55" s="169" t="s">
        <v>47</v>
      </c>
      <c r="D55" s="169"/>
      <c r="E55" s="28">
        <v>34.36</v>
      </c>
      <c r="F55" s="29">
        <v>1931</v>
      </c>
      <c r="G55" s="88">
        <f t="shared" ref="G55:G60" si="40">E55*F55</f>
        <v>66349.16</v>
      </c>
      <c r="H55" s="30" t="s">
        <v>53</v>
      </c>
      <c r="I55" s="95">
        <v>10</v>
      </c>
      <c r="J55" s="13">
        <v>3000</v>
      </c>
      <c r="K55" s="12">
        <f t="shared" si="1"/>
        <v>300</v>
      </c>
      <c r="L55" s="95">
        <v>10</v>
      </c>
      <c r="M55" s="13">
        <f t="shared" ref="M55:M60" si="41">F55/V55*60</f>
        <v>2896.5000000000018</v>
      </c>
      <c r="N55" s="12">
        <f t="shared" si="3"/>
        <v>289.6500000000002</v>
      </c>
      <c r="O55" s="14">
        <f t="shared" si="4"/>
        <v>0</v>
      </c>
      <c r="P55" s="15">
        <f t="shared" si="5"/>
        <v>-10.349999999999795</v>
      </c>
      <c r="Q55" s="91">
        <f t="shared" si="6"/>
        <v>0.96550000000000069</v>
      </c>
      <c r="R55" s="177">
        <f>Q61</f>
        <v>0.9629060882388345</v>
      </c>
      <c r="S55" s="21">
        <v>0.20833333333333334</v>
      </c>
      <c r="T55" s="21">
        <v>0.2361111111111111</v>
      </c>
      <c r="U55" s="88"/>
      <c r="V55" s="30">
        <f t="shared" ref="V55:V60" si="42">(T55-S55)*24*60</f>
        <v>39.999999999999979</v>
      </c>
      <c r="W55" s="21"/>
      <c r="X55" s="21"/>
      <c r="Y55" s="21"/>
      <c r="Z55" s="21"/>
      <c r="AA55" s="168"/>
      <c r="AB55" s="168"/>
      <c r="AC55" s="18">
        <v>6</v>
      </c>
      <c r="AD55" s="18"/>
      <c r="AE55" s="14">
        <f t="shared" ref="AE55:AE72" si="43">M55-J55</f>
        <v>-103.49999999999818</v>
      </c>
      <c r="AF55" s="91">
        <f t="shared" si="9"/>
        <v>0.96550000000000058</v>
      </c>
      <c r="AG55" s="177">
        <f>AF61</f>
        <v>0.96290608823883439</v>
      </c>
    </row>
    <row r="56" spans="1:33" ht="15.75" customHeight="1">
      <c r="A56" s="179" t="s">
        <v>2792</v>
      </c>
      <c r="B56" s="88" t="s">
        <v>33</v>
      </c>
      <c r="C56" s="169" t="s">
        <v>34</v>
      </c>
      <c r="D56" s="169"/>
      <c r="E56" s="28">
        <v>34.36</v>
      </c>
      <c r="F56" s="29">
        <v>1168</v>
      </c>
      <c r="G56" s="88">
        <f t="shared" si="40"/>
        <v>40132.479999999996</v>
      </c>
      <c r="H56" s="30" t="s">
        <v>53</v>
      </c>
      <c r="I56" s="95">
        <v>10</v>
      </c>
      <c r="J56" s="13">
        <v>3000</v>
      </c>
      <c r="K56" s="12">
        <f t="shared" si="1"/>
        <v>300</v>
      </c>
      <c r="L56" s="95">
        <v>10</v>
      </c>
      <c r="M56" s="13">
        <f t="shared" si="41"/>
        <v>2919.9999999999955</v>
      </c>
      <c r="N56" s="12">
        <f t="shared" si="3"/>
        <v>291.99999999999955</v>
      </c>
      <c r="O56" s="14">
        <f t="shared" si="4"/>
        <v>0</v>
      </c>
      <c r="P56" s="15">
        <f t="shared" si="5"/>
        <v>-8.0000000000004547</v>
      </c>
      <c r="Q56" s="91">
        <f t="shared" si="6"/>
        <v>0.97333333333333183</v>
      </c>
      <c r="R56" s="177"/>
      <c r="S56" s="21">
        <v>0.24027777777777778</v>
      </c>
      <c r="T56" s="21">
        <v>0.25694444444444448</v>
      </c>
      <c r="U56" s="88">
        <f t="shared" ref="U56:U60" si="44">(S56-T55)*24*60</f>
        <v>6.0000000000000187</v>
      </c>
      <c r="V56" s="30">
        <f t="shared" si="42"/>
        <v>24.000000000000036</v>
      </c>
      <c r="W56" s="88"/>
      <c r="X56" s="88"/>
      <c r="Y56" s="88"/>
      <c r="Z56" s="88"/>
      <c r="AA56" s="168"/>
      <c r="AB56" s="168"/>
      <c r="AC56" s="18"/>
      <c r="AD56" s="18"/>
      <c r="AE56" s="14">
        <f t="shared" si="43"/>
        <v>-80.000000000004547</v>
      </c>
      <c r="AF56" s="91">
        <f t="shared" si="9"/>
        <v>0.97333333333333183</v>
      </c>
      <c r="AG56" s="177"/>
    </row>
    <row r="57" spans="1:33" ht="15.75" customHeight="1">
      <c r="A57" s="179" t="s">
        <v>2792</v>
      </c>
      <c r="B57" s="88" t="s">
        <v>33</v>
      </c>
      <c r="C57" s="169" t="s">
        <v>35</v>
      </c>
      <c r="D57" s="169"/>
      <c r="E57" s="28">
        <v>26.78</v>
      </c>
      <c r="F57" s="29">
        <v>2139</v>
      </c>
      <c r="G57" s="88">
        <f t="shared" si="40"/>
        <v>57282.420000000006</v>
      </c>
      <c r="H57" s="30" t="s">
        <v>53</v>
      </c>
      <c r="I57" s="95">
        <v>10</v>
      </c>
      <c r="J57" s="13">
        <v>3000</v>
      </c>
      <c r="K57" s="12">
        <f t="shared" si="1"/>
        <v>300</v>
      </c>
      <c r="L57" s="95">
        <v>10</v>
      </c>
      <c r="M57" s="13">
        <f t="shared" si="41"/>
        <v>2852</v>
      </c>
      <c r="N57" s="12">
        <f t="shared" si="3"/>
        <v>285.2</v>
      </c>
      <c r="O57" s="14">
        <f t="shared" si="4"/>
        <v>0</v>
      </c>
      <c r="P57" s="15">
        <f t="shared" si="5"/>
        <v>-14.800000000000011</v>
      </c>
      <c r="Q57" s="91">
        <f t="shared" si="6"/>
        <v>0.95066666666666666</v>
      </c>
      <c r="R57" s="177"/>
      <c r="S57" s="21">
        <v>0.26111111111111113</v>
      </c>
      <c r="T57" s="21">
        <v>0.29236111111111113</v>
      </c>
      <c r="U57" s="88">
        <f t="shared" si="44"/>
        <v>5.9999999999999787</v>
      </c>
      <c r="V57" s="30">
        <f t="shared" si="42"/>
        <v>45</v>
      </c>
      <c r="W57" s="88"/>
      <c r="X57" s="88"/>
      <c r="Y57" s="88"/>
      <c r="Z57" s="88"/>
      <c r="AA57" s="168"/>
      <c r="AB57" s="168"/>
      <c r="AC57" s="18"/>
      <c r="AD57" s="18"/>
      <c r="AE57" s="14">
        <f t="shared" si="43"/>
        <v>-148</v>
      </c>
      <c r="AF57" s="91">
        <f t="shared" si="9"/>
        <v>0.95066666666666666</v>
      </c>
      <c r="AG57" s="177"/>
    </row>
    <row r="58" spans="1:33" ht="15.75" customHeight="1">
      <c r="A58" s="179" t="s">
        <v>2792</v>
      </c>
      <c r="B58" s="88" t="s">
        <v>33</v>
      </c>
      <c r="C58" s="169" t="s">
        <v>756</v>
      </c>
      <c r="D58" s="169"/>
      <c r="E58" s="28">
        <v>37.880000000000003</v>
      </c>
      <c r="F58" s="29">
        <v>1873</v>
      </c>
      <c r="G58" s="88">
        <f t="shared" si="40"/>
        <v>70949.240000000005</v>
      </c>
      <c r="H58" s="30" t="s">
        <v>53</v>
      </c>
      <c r="I58" s="95">
        <v>10</v>
      </c>
      <c r="J58" s="13">
        <v>3000</v>
      </c>
      <c r="K58" s="12">
        <f t="shared" si="1"/>
        <v>300</v>
      </c>
      <c r="L58" s="95">
        <v>10</v>
      </c>
      <c r="M58" s="13">
        <f t="shared" si="41"/>
        <v>2881.5384615384601</v>
      </c>
      <c r="N58" s="12">
        <f t="shared" si="3"/>
        <v>288.15384615384602</v>
      </c>
      <c r="O58" s="14">
        <f t="shared" si="4"/>
        <v>0</v>
      </c>
      <c r="P58" s="15">
        <f t="shared" si="5"/>
        <v>-11.846153846153982</v>
      </c>
      <c r="Q58" s="91">
        <f t="shared" si="6"/>
        <v>0.96051282051282005</v>
      </c>
      <c r="R58" s="177"/>
      <c r="S58" s="21">
        <v>0.29652777777777778</v>
      </c>
      <c r="T58" s="21">
        <v>0.32361111111111113</v>
      </c>
      <c r="U58" s="88">
        <f t="shared" si="44"/>
        <v>5.9999999999999787</v>
      </c>
      <c r="V58" s="30">
        <f t="shared" si="42"/>
        <v>39.000000000000021</v>
      </c>
      <c r="W58" s="88"/>
      <c r="X58" s="88"/>
      <c r="Y58" s="88"/>
      <c r="Z58" s="88"/>
      <c r="AA58" s="168"/>
      <c r="AB58" s="168"/>
      <c r="AC58" s="18"/>
      <c r="AD58" s="18"/>
      <c r="AE58" s="14">
        <f t="shared" si="43"/>
        <v>-118.46153846153993</v>
      </c>
      <c r="AF58" s="91">
        <f t="shared" si="9"/>
        <v>0.96051282051282005</v>
      </c>
      <c r="AG58" s="177"/>
    </row>
    <row r="59" spans="1:33">
      <c r="A59" s="180" t="s">
        <v>2792</v>
      </c>
      <c r="B59" s="88" t="s">
        <v>33</v>
      </c>
      <c r="C59" s="169" t="s">
        <v>38</v>
      </c>
      <c r="D59" s="169"/>
      <c r="E59" s="28">
        <v>35.869999999999997</v>
      </c>
      <c r="F59" s="29">
        <v>3424</v>
      </c>
      <c r="G59" s="88">
        <f t="shared" si="40"/>
        <v>122818.87999999999</v>
      </c>
      <c r="H59" s="30" t="s">
        <v>53</v>
      </c>
      <c r="I59" s="95">
        <v>9</v>
      </c>
      <c r="J59" s="13">
        <v>3000</v>
      </c>
      <c r="K59" s="12">
        <f t="shared" si="1"/>
        <v>333.33333333333331</v>
      </c>
      <c r="L59" s="95">
        <v>9</v>
      </c>
      <c r="M59" s="13">
        <f t="shared" si="41"/>
        <v>2893.5211267605637</v>
      </c>
      <c r="N59" s="12">
        <f t="shared" si="3"/>
        <v>321.50234741784038</v>
      </c>
      <c r="O59" s="14">
        <f t="shared" si="4"/>
        <v>0</v>
      </c>
      <c r="P59" s="15">
        <f t="shared" si="5"/>
        <v>-11.830985915492931</v>
      </c>
      <c r="Q59" s="91">
        <f t="shared" si="6"/>
        <v>0.96450704225352124</v>
      </c>
      <c r="R59" s="177"/>
      <c r="S59" s="21">
        <v>0.32847222222222222</v>
      </c>
      <c r="T59" s="21">
        <v>0.37777777777777777</v>
      </c>
      <c r="U59" s="88">
        <f t="shared" si="44"/>
        <v>6.9999999999999751</v>
      </c>
      <c r="V59" s="30">
        <f t="shared" si="42"/>
        <v>70.999999999999986</v>
      </c>
      <c r="W59" s="16"/>
      <c r="X59" s="16"/>
      <c r="Y59" s="16"/>
      <c r="Z59" s="16"/>
      <c r="AA59" s="168"/>
      <c r="AB59" s="168"/>
      <c r="AC59" s="18"/>
      <c r="AD59" s="18"/>
      <c r="AE59" s="14">
        <f t="shared" si="43"/>
        <v>-106.47887323943633</v>
      </c>
      <c r="AF59" s="91">
        <f t="shared" si="9"/>
        <v>0.96450704225352124</v>
      </c>
      <c r="AG59" s="177"/>
    </row>
    <row r="60" spans="1:33" ht="15" customHeight="1">
      <c r="A60" s="180" t="s">
        <v>2792</v>
      </c>
      <c r="B60" s="88" t="s">
        <v>33</v>
      </c>
      <c r="C60" s="170" t="s">
        <v>72</v>
      </c>
      <c r="D60" s="171"/>
      <c r="E60" s="28">
        <v>34.35</v>
      </c>
      <c r="F60" s="29">
        <v>2311</v>
      </c>
      <c r="G60" s="88">
        <f t="shared" si="40"/>
        <v>79382.850000000006</v>
      </c>
      <c r="H60" s="30" t="s">
        <v>53</v>
      </c>
      <c r="I60" s="95">
        <v>8</v>
      </c>
      <c r="J60" s="13">
        <v>3000</v>
      </c>
      <c r="K60" s="12">
        <f t="shared" si="1"/>
        <v>375</v>
      </c>
      <c r="L60" s="95">
        <v>8</v>
      </c>
      <c r="M60" s="13">
        <f t="shared" si="41"/>
        <v>2888.7500000000009</v>
      </c>
      <c r="N60" s="12">
        <f t="shared" si="3"/>
        <v>361.09375000000011</v>
      </c>
      <c r="O60" s="14">
        <f t="shared" si="4"/>
        <v>0</v>
      </c>
      <c r="P60" s="15">
        <f t="shared" si="5"/>
        <v>-13.906249999999886</v>
      </c>
      <c r="Q60" s="91">
        <f t="shared" si="6"/>
        <v>0.96291666666666698</v>
      </c>
      <c r="R60" s="177"/>
      <c r="S60" s="21">
        <v>0.38263888888888886</v>
      </c>
      <c r="T60" s="21">
        <v>0.41597222222222219</v>
      </c>
      <c r="U60" s="88">
        <f t="shared" si="44"/>
        <v>6.9999999999999751</v>
      </c>
      <c r="V60" s="30">
        <f t="shared" si="42"/>
        <v>47.999999999999986</v>
      </c>
      <c r="W60" s="88"/>
      <c r="X60" s="88"/>
      <c r="Y60" s="98"/>
      <c r="Z60" s="98"/>
      <c r="AA60" s="172"/>
      <c r="AB60" s="173"/>
      <c r="AC60" s="18"/>
      <c r="AD60" s="18"/>
      <c r="AE60" s="14">
        <f t="shared" si="43"/>
        <v>-111.24999999999909</v>
      </c>
      <c r="AF60" s="91">
        <f t="shared" si="9"/>
        <v>0.96291666666666698</v>
      </c>
      <c r="AG60" s="177"/>
    </row>
    <row r="61" spans="1:33">
      <c r="A61" s="180" t="s">
        <v>2792</v>
      </c>
      <c r="B61" s="28" t="s">
        <v>2789</v>
      </c>
      <c r="C61" s="178"/>
      <c r="D61" s="178"/>
      <c r="E61" s="92"/>
      <c r="F61" s="12"/>
      <c r="G61" s="12"/>
      <c r="H61" s="88"/>
      <c r="I61" s="23">
        <v>9.5</v>
      </c>
      <c r="J61" s="13">
        <v>3000</v>
      </c>
      <c r="K61" s="12">
        <f t="shared" si="1"/>
        <v>315.78947368421052</v>
      </c>
      <c r="L61" s="23">
        <v>9.5</v>
      </c>
      <c r="M61" s="13">
        <f>AVERAGE(M55:M60)</f>
        <v>2888.7182647165032</v>
      </c>
      <c r="N61" s="12">
        <f t="shared" si="3"/>
        <v>304.07560681226352</v>
      </c>
      <c r="O61" s="14">
        <f t="shared" si="4"/>
        <v>0</v>
      </c>
      <c r="P61" s="15">
        <f t="shared" si="5"/>
        <v>-11.713866871947005</v>
      </c>
      <c r="Q61" s="91">
        <f t="shared" si="6"/>
        <v>0.9629060882388345</v>
      </c>
      <c r="R61" s="177"/>
      <c r="S61" s="21"/>
      <c r="T61" s="21"/>
      <c r="U61" s="12"/>
      <c r="V61" s="30"/>
      <c r="W61" s="12"/>
      <c r="X61" s="12"/>
      <c r="Y61" s="24">
        <f>SUM(Y55:Y60)</f>
        <v>0</v>
      </c>
      <c r="Z61" s="24">
        <f>SUM(Z55:Z60)</f>
        <v>0</v>
      </c>
      <c r="AA61" s="167"/>
      <c r="AB61" s="167"/>
      <c r="AC61" s="24">
        <v>6</v>
      </c>
      <c r="AD61" s="24">
        <f>SUM(AD55:AD60)</f>
        <v>0</v>
      </c>
      <c r="AE61" s="14">
        <f t="shared" si="43"/>
        <v>-111.2817352834968</v>
      </c>
      <c r="AF61" s="91">
        <f t="shared" si="9"/>
        <v>0.96290608823883439</v>
      </c>
      <c r="AG61" s="177"/>
    </row>
    <row r="62" spans="1:33" ht="15.75" customHeight="1">
      <c r="A62" s="174" t="s">
        <v>2793</v>
      </c>
      <c r="B62" s="88" t="s">
        <v>22</v>
      </c>
      <c r="C62" s="169" t="s">
        <v>28</v>
      </c>
      <c r="D62" s="169"/>
      <c r="E62" s="28">
        <v>26.2</v>
      </c>
      <c r="F62" s="88">
        <v>4700</v>
      </c>
      <c r="G62" s="88">
        <f t="shared" ref="G62:G71" si="45">E62*F62</f>
        <v>123140</v>
      </c>
      <c r="H62" s="30">
        <v>2</v>
      </c>
      <c r="I62" s="95">
        <v>18</v>
      </c>
      <c r="J62" s="13">
        <v>2400</v>
      </c>
      <c r="K62" s="12">
        <f t="shared" si="1"/>
        <v>133.33333333333334</v>
      </c>
      <c r="L62" s="95">
        <v>18</v>
      </c>
      <c r="M62" s="13">
        <f t="shared" ref="M62:M71" si="46">F62/V62*60</f>
        <v>2292.6829268292686</v>
      </c>
      <c r="N62" s="12">
        <f t="shared" si="3"/>
        <v>127.37127371273715</v>
      </c>
      <c r="O62" s="14">
        <f t="shared" si="4"/>
        <v>0</v>
      </c>
      <c r="P62" s="15">
        <f t="shared" si="5"/>
        <v>-5.9620596205961931</v>
      </c>
      <c r="Q62" s="91">
        <f t="shared" si="6"/>
        <v>0.9552845528455286</v>
      </c>
      <c r="R62" s="177">
        <f>Q72</f>
        <v>0.95929196855780441</v>
      </c>
      <c r="S62" s="21">
        <v>8.3333333333333329E-2</v>
      </c>
      <c r="T62" s="21">
        <v>0.16874999999999998</v>
      </c>
      <c r="U62" s="21"/>
      <c r="V62" s="30">
        <f t="shared" ref="V62:V71" si="47">(T62-S62)*24*60</f>
        <v>122.99999999999999</v>
      </c>
      <c r="W62" s="16">
        <f>T62</f>
        <v>0.16874999999999998</v>
      </c>
      <c r="X62" s="16">
        <f>S63</f>
        <v>0.18819444444444444</v>
      </c>
      <c r="Y62" s="16"/>
      <c r="Z62" s="16"/>
      <c r="AA62" s="168"/>
      <c r="AB62" s="168"/>
      <c r="AC62" s="18">
        <v>10</v>
      </c>
      <c r="AD62" s="18"/>
      <c r="AE62" s="14">
        <f t="shared" si="43"/>
        <v>-107.31707317073142</v>
      </c>
      <c r="AF62" s="91">
        <f t="shared" si="9"/>
        <v>0.9552845528455286</v>
      </c>
      <c r="AG62" s="177">
        <f>AF72</f>
        <v>0.9592919685578043</v>
      </c>
    </row>
    <row r="63" spans="1:33" ht="15.75" customHeight="1">
      <c r="A63" s="175" t="s">
        <v>2793</v>
      </c>
      <c r="B63" s="88" t="s">
        <v>22</v>
      </c>
      <c r="C63" s="169" t="s">
        <v>32</v>
      </c>
      <c r="D63" s="169"/>
      <c r="E63" s="28">
        <v>20.52</v>
      </c>
      <c r="F63" s="88">
        <v>2000</v>
      </c>
      <c r="G63" s="88">
        <f t="shared" si="45"/>
        <v>41040</v>
      </c>
      <c r="H63" s="30">
        <v>2</v>
      </c>
      <c r="I63" s="95">
        <v>18</v>
      </c>
      <c r="J63" s="13">
        <v>2400</v>
      </c>
      <c r="K63" s="12">
        <f t="shared" si="1"/>
        <v>133.33333333333334</v>
      </c>
      <c r="L63" s="95">
        <v>18</v>
      </c>
      <c r="M63" s="13">
        <f t="shared" si="46"/>
        <v>2307.6923076923072</v>
      </c>
      <c r="N63" s="12">
        <f t="shared" si="3"/>
        <v>128.20512820512818</v>
      </c>
      <c r="O63" s="14">
        <f t="shared" si="4"/>
        <v>0</v>
      </c>
      <c r="P63" s="15">
        <f t="shared" si="5"/>
        <v>-5.1282051282051668</v>
      </c>
      <c r="Q63" s="91">
        <f t="shared" si="6"/>
        <v>0.96153846153846123</v>
      </c>
      <c r="R63" s="177"/>
      <c r="S63" s="21">
        <v>0.18819444444444444</v>
      </c>
      <c r="T63" s="21">
        <v>0.22430555555555556</v>
      </c>
      <c r="U63" s="88">
        <f t="shared" ref="U63:U71" si="48">(S63-T62)*24*60</f>
        <v>28.000000000000021</v>
      </c>
      <c r="V63" s="30">
        <f t="shared" si="47"/>
        <v>52.000000000000014</v>
      </c>
      <c r="W63" s="16"/>
      <c r="X63" s="16"/>
      <c r="Y63" s="16"/>
      <c r="Z63" s="16"/>
      <c r="AA63" s="168"/>
      <c r="AB63" s="168"/>
      <c r="AC63" s="18"/>
      <c r="AD63" s="18"/>
      <c r="AE63" s="14">
        <f t="shared" si="43"/>
        <v>-92.307692307692832</v>
      </c>
      <c r="AF63" s="91">
        <f t="shared" si="9"/>
        <v>0.96153846153846134</v>
      </c>
      <c r="AG63" s="177"/>
    </row>
    <row r="64" spans="1:33" ht="15.75" customHeight="1">
      <c r="A64" s="175" t="s">
        <v>2793</v>
      </c>
      <c r="B64" s="88" t="s">
        <v>22</v>
      </c>
      <c r="C64" s="169" t="s">
        <v>50</v>
      </c>
      <c r="D64" s="169"/>
      <c r="E64" s="28">
        <v>24.45</v>
      </c>
      <c r="F64" s="88">
        <v>2735</v>
      </c>
      <c r="G64" s="88">
        <f t="shared" si="45"/>
        <v>66870.75</v>
      </c>
      <c r="H64" s="30" t="s">
        <v>53</v>
      </c>
      <c r="I64" s="95">
        <v>19</v>
      </c>
      <c r="J64" s="13">
        <v>2400</v>
      </c>
      <c r="K64" s="12">
        <f t="shared" si="1"/>
        <v>126.31578947368421</v>
      </c>
      <c r="L64" s="95">
        <v>19</v>
      </c>
      <c r="M64" s="13">
        <f t="shared" si="46"/>
        <v>2311.2676056338032</v>
      </c>
      <c r="N64" s="12">
        <f t="shared" si="3"/>
        <v>121.64566345441069</v>
      </c>
      <c r="O64" s="14">
        <f t="shared" si="4"/>
        <v>0</v>
      </c>
      <c r="P64" s="15">
        <f t="shared" si="5"/>
        <v>-4.6701260192735106</v>
      </c>
      <c r="Q64" s="91">
        <f t="shared" si="6"/>
        <v>0.96302816901408472</v>
      </c>
      <c r="R64" s="177"/>
      <c r="S64" s="21">
        <v>0.22916666666666669</v>
      </c>
      <c r="T64" s="21">
        <v>0.27847222222222223</v>
      </c>
      <c r="U64" s="88">
        <f t="shared" si="48"/>
        <v>7.0000000000000151</v>
      </c>
      <c r="V64" s="30">
        <f t="shared" si="47"/>
        <v>70.999999999999986</v>
      </c>
      <c r="W64" s="16"/>
      <c r="X64" s="16"/>
      <c r="Y64" s="16"/>
      <c r="Z64" s="16"/>
      <c r="AA64" s="168"/>
      <c r="AB64" s="168"/>
      <c r="AC64" s="18"/>
      <c r="AD64" s="18"/>
      <c r="AE64" s="14">
        <f t="shared" si="43"/>
        <v>-88.732394366196786</v>
      </c>
      <c r="AF64" s="91">
        <f t="shared" si="9"/>
        <v>0.96302816901408472</v>
      </c>
      <c r="AG64" s="177"/>
    </row>
    <row r="65" spans="1:33" ht="15.75" customHeight="1">
      <c r="A65" s="175" t="s">
        <v>2793</v>
      </c>
      <c r="B65" s="88" t="s">
        <v>22</v>
      </c>
      <c r="C65" s="169" t="s">
        <v>31</v>
      </c>
      <c r="D65" s="169"/>
      <c r="E65" s="28">
        <v>20.21</v>
      </c>
      <c r="F65" s="88">
        <v>3171</v>
      </c>
      <c r="G65" s="88">
        <f t="shared" si="45"/>
        <v>64085.91</v>
      </c>
      <c r="H65" s="30" t="s">
        <v>53</v>
      </c>
      <c r="I65" s="95">
        <v>15</v>
      </c>
      <c r="J65" s="13">
        <v>2400</v>
      </c>
      <c r="K65" s="12">
        <f t="shared" si="1"/>
        <v>160</v>
      </c>
      <c r="L65" s="95">
        <v>15</v>
      </c>
      <c r="M65" s="13">
        <f t="shared" si="46"/>
        <v>2292.2891566265052</v>
      </c>
      <c r="N65" s="12">
        <f t="shared" si="3"/>
        <v>152.81927710843368</v>
      </c>
      <c r="O65" s="14">
        <f t="shared" si="4"/>
        <v>0</v>
      </c>
      <c r="P65" s="15">
        <f t="shared" si="5"/>
        <v>-7.1807228915663188</v>
      </c>
      <c r="Q65" s="91">
        <f t="shared" si="6"/>
        <v>0.95512048192771049</v>
      </c>
      <c r="R65" s="177"/>
      <c r="S65" s="21">
        <v>0.28333333333333333</v>
      </c>
      <c r="T65" s="21">
        <v>0.34097222222222223</v>
      </c>
      <c r="U65" s="88">
        <f t="shared" si="48"/>
        <v>6.9999999999999751</v>
      </c>
      <c r="V65" s="30">
        <f t="shared" si="47"/>
        <v>83.000000000000028</v>
      </c>
      <c r="W65" s="16"/>
      <c r="X65" s="16"/>
      <c r="Y65" s="16"/>
      <c r="Z65" s="16"/>
      <c r="AA65" s="168"/>
      <c r="AB65" s="168"/>
      <c r="AC65" s="18"/>
      <c r="AD65" s="18"/>
      <c r="AE65" s="14">
        <f t="shared" si="43"/>
        <v>-107.71084337349475</v>
      </c>
      <c r="AF65" s="91">
        <f t="shared" si="9"/>
        <v>0.95512048192771049</v>
      </c>
      <c r="AG65" s="177"/>
    </row>
    <row r="66" spans="1:33" ht="15.75" customHeight="1">
      <c r="A66" s="175" t="s">
        <v>2793</v>
      </c>
      <c r="B66" s="88" t="s">
        <v>22</v>
      </c>
      <c r="C66" s="169" t="s">
        <v>70</v>
      </c>
      <c r="D66" s="169"/>
      <c r="E66" s="28">
        <v>22.69</v>
      </c>
      <c r="F66" s="88">
        <v>3000</v>
      </c>
      <c r="G66" s="88">
        <f t="shared" si="45"/>
        <v>68070</v>
      </c>
      <c r="H66" s="30">
        <v>2</v>
      </c>
      <c r="I66" s="95">
        <v>15</v>
      </c>
      <c r="J66" s="13">
        <v>2400</v>
      </c>
      <c r="K66" s="12">
        <f t="shared" si="1"/>
        <v>160</v>
      </c>
      <c r="L66" s="95">
        <v>15</v>
      </c>
      <c r="M66" s="13">
        <f t="shared" si="46"/>
        <v>2307.6923076923063</v>
      </c>
      <c r="N66" s="12">
        <f t="shared" si="3"/>
        <v>153.84615384615375</v>
      </c>
      <c r="O66" s="14">
        <f t="shared" si="4"/>
        <v>0</v>
      </c>
      <c r="P66" s="15">
        <f t="shared" si="5"/>
        <v>-6.1538461538462457</v>
      </c>
      <c r="Q66" s="91">
        <f t="shared" si="6"/>
        <v>0.96153846153846101</v>
      </c>
      <c r="R66" s="177"/>
      <c r="S66" s="21">
        <v>0.34583333333333333</v>
      </c>
      <c r="T66" s="21">
        <v>0.4</v>
      </c>
      <c r="U66" s="88">
        <f t="shared" si="48"/>
        <v>6.9999999999999751</v>
      </c>
      <c r="V66" s="30">
        <f t="shared" si="47"/>
        <v>78.000000000000043</v>
      </c>
      <c r="W66" s="16"/>
      <c r="X66" s="16"/>
      <c r="Y66" s="16"/>
      <c r="Z66" s="16"/>
      <c r="AA66" s="168"/>
      <c r="AB66" s="168"/>
      <c r="AC66" s="18"/>
      <c r="AD66" s="18"/>
      <c r="AE66" s="14">
        <f t="shared" si="43"/>
        <v>-92.307692307693742</v>
      </c>
      <c r="AF66" s="91">
        <f t="shared" si="9"/>
        <v>0.9615384615384609</v>
      </c>
      <c r="AG66" s="177"/>
    </row>
    <row r="67" spans="1:33" ht="15.75" customHeight="1">
      <c r="A67" s="175" t="s">
        <v>2793</v>
      </c>
      <c r="B67" s="88" t="s">
        <v>22</v>
      </c>
      <c r="C67" s="169" t="s">
        <v>52</v>
      </c>
      <c r="D67" s="169"/>
      <c r="E67" s="28">
        <v>19.02</v>
      </c>
      <c r="F67" s="88">
        <v>4700</v>
      </c>
      <c r="G67" s="88">
        <f t="shared" si="45"/>
        <v>89394</v>
      </c>
      <c r="H67" s="30">
        <v>2</v>
      </c>
      <c r="I67" s="95">
        <v>14</v>
      </c>
      <c r="J67" s="13">
        <v>2400</v>
      </c>
      <c r="K67" s="12">
        <f t="shared" si="1"/>
        <v>171.42857142857142</v>
      </c>
      <c r="L67" s="95">
        <v>14</v>
      </c>
      <c r="M67" s="13">
        <f t="shared" si="46"/>
        <v>2292.682926829269</v>
      </c>
      <c r="N67" s="12">
        <f t="shared" si="3"/>
        <v>163.76306620209064</v>
      </c>
      <c r="O67" s="14">
        <f t="shared" si="4"/>
        <v>0</v>
      </c>
      <c r="P67" s="15">
        <f t="shared" si="5"/>
        <v>-7.665505226480775</v>
      </c>
      <c r="Q67" s="91">
        <f t="shared" si="6"/>
        <v>0.95528455284552882</v>
      </c>
      <c r="R67" s="177"/>
      <c r="S67" s="21">
        <v>0.40555555555555556</v>
      </c>
      <c r="T67" s="21">
        <v>0.4909722222222222</v>
      </c>
      <c r="U67" s="88">
        <f t="shared" si="48"/>
        <v>7.9999999999999716</v>
      </c>
      <c r="V67" s="30">
        <f t="shared" si="47"/>
        <v>122.99999999999996</v>
      </c>
      <c r="W67" s="16">
        <f>T67</f>
        <v>0.4909722222222222</v>
      </c>
      <c r="X67" s="16">
        <f>S68</f>
        <v>0.52916666666666667</v>
      </c>
      <c r="Y67" s="16"/>
      <c r="Z67" s="16"/>
      <c r="AA67" s="168"/>
      <c r="AB67" s="168"/>
      <c r="AC67" s="18"/>
      <c r="AD67" s="18"/>
      <c r="AE67" s="14">
        <f t="shared" si="43"/>
        <v>-107.31707317073096</v>
      </c>
      <c r="AF67" s="91">
        <f t="shared" si="9"/>
        <v>0.95528455284552871</v>
      </c>
      <c r="AG67" s="177"/>
    </row>
    <row r="68" spans="1:33" ht="15.75" customHeight="1">
      <c r="A68" s="175" t="s">
        <v>2793</v>
      </c>
      <c r="B68" s="88" t="s">
        <v>22</v>
      </c>
      <c r="C68" s="170" t="s">
        <v>52</v>
      </c>
      <c r="D68" s="171"/>
      <c r="E68" s="28">
        <v>19.02</v>
      </c>
      <c r="F68" s="88">
        <v>6853</v>
      </c>
      <c r="G68" s="88">
        <f t="shared" si="45"/>
        <v>130344.06</v>
      </c>
      <c r="H68" s="30" t="s">
        <v>53</v>
      </c>
      <c r="I68" s="95">
        <v>14</v>
      </c>
      <c r="J68" s="13">
        <v>2400</v>
      </c>
      <c r="K68" s="12">
        <f t="shared" si="1"/>
        <v>171.42857142857142</v>
      </c>
      <c r="L68" s="95">
        <v>14</v>
      </c>
      <c r="M68" s="13">
        <f t="shared" si="46"/>
        <v>2297.0949720670392</v>
      </c>
      <c r="N68" s="12">
        <f t="shared" si="3"/>
        <v>164.07821229050279</v>
      </c>
      <c r="O68" s="14">
        <f t="shared" si="4"/>
        <v>0</v>
      </c>
      <c r="P68" s="15">
        <f t="shared" si="5"/>
        <v>-7.350359138068626</v>
      </c>
      <c r="Q68" s="91">
        <f t="shared" si="6"/>
        <v>0.95712290502793296</v>
      </c>
      <c r="R68" s="177"/>
      <c r="S68" s="21">
        <v>0.52916666666666667</v>
      </c>
      <c r="T68" s="21">
        <v>0.65347222222222223</v>
      </c>
      <c r="U68" s="88">
        <f t="shared" si="48"/>
        <v>55.000000000000043</v>
      </c>
      <c r="V68" s="30">
        <f t="shared" si="47"/>
        <v>179</v>
      </c>
      <c r="W68" s="16"/>
      <c r="X68" s="16"/>
      <c r="Y68" s="19"/>
      <c r="Z68" s="19"/>
      <c r="AA68" s="172"/>
      <c r="AB68" s="173"/>
      <c r="AC68" s="18"/>
      <c r="AD68" s="18"/>
      <c r="AE68" s="14">
        <f t="shared" si="43"/>
        <v>-102.90502793296082</v>
      </c>
      <c r="AF68" s="91">
        <f t="shared" si="9"/>
        <v>0.95712290502793296</v>
      </c>
      <c r="AG68" s="177"/>
    </row>
    <row r="69" spans="1:33" ht="15.75" customHeight="1">
      <c r="A69" s="175" t="s">
        <v>2793</v>
      </c>
      <c r="B69" s="88" t="s">
        <v>22</v>
      </c>
      <c r="C69" s="170" t="s">
        <v>70</v>
      </c>
      <c r="D69" s="171"/>
      <c r="E69" s="28">
        <v>22.69</v>
      </c>
      <c r="F69" s="88">
        <v>1939</v>
      </c>
      <c r="G69" s="88">
        <f t="shared" si="45"/>
        <v>43995.91</v>
      </c>
      <c r="H69" s="30" t="s">
        <v>53</v>
      </c>
      <c r="I69" s="95">
        <v>15</v>
      </c>
      <c r="J69" s="13">
        <v>2400</v>
      </c>
      <c r="K69" s="12">
        <f t="shared" ref="K69:K72" si="49">J69/I69</f>
        <v>160</v>
      </c>
      <c r="L69" s="95">
        <v>15</v>
      </c>
      <c r="M69" s="13">
        <f t="shared" si="46"/>
        <v>2281.1764705882365</v>
      </c>
      <c r="N69" s="12">
        <f t="shared" ref="N69:N72" si="50">M69/L69</f>
        <v>152.07843137254909</v>
      </c>
      <c r="O69" s="14">
        <f t="shared" ref="O69:O72" si="51">L69-I69</f>
        <v>0</v>
      </c>
      <c r="P69" s="15">
        <f t="shared" ref="P69:P72" si="52">N69-K69</f>
        <v>-7.9215686274509096</v>
      </c>
      <c r="Q69" s="91">
        <f t="shared" ref="Q69:Q72" si="53">N69/K69</f>
        <v>0.95049019607843177</v>
      </c>
      <c r="R69" s="177"/>
      <c r="S69" s="21">
        <v>0.65833333333333333</v>
      </c>
      <c r="T69" s="21">
        <v>0.69374999999999998</v>
      </c>
      <c r="U69" s="88">
        <f t="shared" si="48"/>
        <v>6.9999999999999751</v>
      </c>
      <c r="V69" s="30">
        <f t="shared" si="47"/>
        <v>50.999999999999979</v>
      </c>
      <c r="W69" s="16"/>
      <c r="X69" s="16"/>
      <c r="Y69" s="19"/>
      <c r="Z69" s="19"/>
      <c r="AA69" s="172"/>
      <c r="AB69" s="173"/>
      <c r="AC69" s="18"/>
      <c r="AD69" s="18"/>
      <c r="AE69" s="14">
        <f t="shared" si="43"/>
        <v>-118.8235294117635</v>
      </c>
      <c r="AF69" s="91">
        <f t="shared" ref="AF69:AF72" si="54">M69/J69</f>
        <v>0.95049019607843188</v>
      </c>
      <c r="AG69" s="177"/>
    </row>
    <row r="70" spans="1:33" ht="15.75" customHeight="1">
      <c r="A70" s="175" t="s">
        <v>2793</v>
      </c>
      <c r="B70" s="88" t="s">
        <v>22</v>
      </c>
      <c r="C70" s="170" t="s">
        <v>28</v>
      </c>
      <c r="D70" s="171"/>
      <c r="E70" s="28">
        <v>26.2</v>
      </c>
      <c r="F70" s="88">
        <v>3229</v>
      </c>
      <c r="G70" s="88">
        <f t="shared" si="45"/>
        <v>84599.8</v>
      </c>
      <c r="H70" s="30" t="s">
        <v>53</v>
      </c>
      <c r="I70" s="95">
        <v>18</v>
      </c>
      <c r="J70" s="13">
        <v>2400</v>
      </c>
      <c r="K70" s="12">
        <f t="shared" si="49"/>
        <v>133.33333333333334</v>
      </c>
      <c r="L70" s="95">
        <v>18</v>
      </c>
      <c r="M70" s="13">
        <f t="shared" si="46"/>
        <v>2306.4285714285706</v>
      </c>
      <c r="N70" s="12">
        <f t="shared" si="50"/>
        <v>128.1349206349206</v>
      </c>
      <c r="O70" s="14">
        <f t="shared" si="51"/>
        <v>0</v>
      </c>
      <c r="P70" s="15">
        <f t="shared" si="52"/>
        <v>-5.1984126984127386</v>
      </c>
      <c r="Q70" s="91">
        <f t="shared" si="53"/>
        <v>0.96101190476190446</v>
      </c>
      <c r="R70" s="177"/>
      <c r="S70" s="21">
        <v>0.69930555555555551</v>
      </c>
      <c r="T70" s="21">
        <v>0.75763888888888886</v>
      </c>
      <c r="U70" s="88">
        <f t="shared" si="48"/>
        <v>7.9999999999999716</v>
      </c>
      <c r="V70" s="30">
        <f t="shared" si="47"/>
        <v>84.000000000000028</v>
      </c>
      <c r="W70" s="16"/>
      <c r="X70" s="16"/>
      <c r="Y70" s="19"/>
      <c r="Z70" s="19"/>
      <c r="AA70" s="172"/>
      <c r="AB70" s="173"/>
      <c r="AC70" s="18"/>
      <c r="AD70" s="18"/>
      <c r="AE70" s="14">
        <f t="shared" si="43"/>
        <v>-93.571428571429351</v>
      </c>
      <c r="AF70" s="91">
        <f t="shared" si="54"/>
        <v>0.96101190476190446</v>
      </c>
      <c r="AG70" s="177"/>
    </row>
    <row r="71" spans="1:33" ht="15.75" customHeight="1">
      <c r="A71" s="175" t="s">
        <v>2793</v>
      </c>
      <c r="B71" s="88" t="s">
        <v>22</v>
      </c>
      <c r="C71" s="170" t="s">
        <v>32</v>
      </c>
      <c r="D71" s="171"/>
      <c r="E71" s="28">
        <v>20.52</v>
      </c>
      <c r="F71" s="88">
        <v>1167</v>
      </c>
      <c r="G71" s="88">
        <f t="shared" si="45"/>
        <v>23946.84</v>
      </c>
      <c r="H71" s="30" t="s">
        <v>53</v>
      </c>
      <c r="I71" s="95">
        <v>18</v>
      </c>
      <c r="J71" s="13">
        <v>2400</v>
      </c>
      <c r="K71" s="12">
        <f t="shared" si="49"/>
        <v>133.33333333333334</v>
      </c>
      <c r="L71" s="95">
        <v>18</v>
      </c>
      <c r="M71" s="13">
        <f t="shared" si="46"/>
        <v>2333.9999999999955</v>
      </c>
      <c r="N71" s="12">
        <f t="shared" si="50"/>
        <v>129.6666666666664</v>
      </c>
      <c r="O71" s="14">
        <f t="shared" si="51"/>
        <v>0</v>
      </c>
      <c r="P71" s="15">
        <f t="shared" si="52"/>
        <v>-3.6666666666669414</v>
      </c>
      <c r="Q71" s="91">
        <f t="shared" si="53"/>
        <v>0.97249999999999792</v>
      </c>
      <c r="R71" s="177"/>
      <c r="S71" s="21">
        <v>0.76180555555555551</v>
      </c>
      <c r="T71" s="21">
        <v>0.78263888888888888</v>
      </c>
      <c r="U71" s="88">
        <f t="shared" si="48"/>
        <v>5.9999999999999787</v>
      </c>
      <c r="V71" s="30">
        <f t="shared" si="47"/>
        <v>30.000000000000053</v>
      </c>
      <c r="W71" s="16"/>
      <c r="X71" s="16"/>
      <c r="Y71" s="19"/>
      <c r="Z71" s="19"/>
      <c r="AA71" s="172"/>
      <c r="AB71" s="173"/>
      <c r="AC71" s="18"/>
      <c r="AD71" s="18"/>
      <c r="AE71" s="14">
        <f t="shared" si="43"/>
        <v>-66.000000000004547</v>
      </c>
      <c r="AF71" s="91">
        <f t="shared" si="54"/>
        <v>0.97249999999999814</v>
      </c>
      <c r="AG71" s="177"/>
    </row>
    <row r="72" spans="1:33" ht="16.5" customHeight="1">
      <c r="A72" s="176" t="s">
        <v>2793</v>
      </c>
      <c r="B72" s="28" t="s">
        <v>2789</v>
      </c>
      <c r="C72" s="165"/>
      <c r="D72" s="166"/>
      <c r="E72" s="92"/>
      <c r="F72" s="12"/>
      <c r="G72" s="12"/>
      <c r="H72" s="88"/>
      <c r="I72" s="23">
        <v>16.399999999999999</v>
      </c>
      <c r="J72" s="13">
        <v>2400</v>
      </c>
      <c r="K72" s="12">
        <f t="shared" si="49"/>
        <v>146.34146341463415</v>
      </c>
      <c r="L72" s="23">
        <v>16.399999999999999</v>
      </c>
      <c r="M72" s="13">
        <f>AVERAGE(M62:M71)</f>
        <v>2302.3007245387303</v>
      </c>
      <c r="N72" s="12">
        <f t="shared" si="50"/>
        <v>140.3841905206543</v>
      </c>
      <c r="O72" s="14">
        <f t="shared" si="51"/>
        <v>0</v>
      </c>
      <c r="P72" s="15">
        <f t="shared" si="52"/>
        <v>-5.957272893979848</v>
      </c>
      <c r="Q72" s="91">
        <f t="shared" si="53"/>
        <v>0.95929196855780441</v>
      </c>
      <c r="R72" s="177"/>
      <c r="S72" s="21"/>
      <c r="T72" s="21"/>
      <c r="U72" s="12"/>
      <c r="V72" s="30"/>
      <c r="W72" s="12"/>
      <c r="X72" s="12"/>
      <c r="Y72" s="24">
        <f>SUM(Y62:Y71)</f>
        <v>0</v>
      </c>
      <c r="Z72" s="24">
        <f>SUM(Z62:Z71)</f>
        <v>0</v>
      </c>
      <c r="AA72" s="167"/>
      <c r="AB72" s="167"/>
      <c r="AC72" s="24">
        <v>10</v>
      </c>
      <c r="AD72" s="24">
        <f>SUM(AD62:AD71)</f>
        <v>0</v>
      </c>
      <c r="AE72" s="14">
        <f t="shared" si="43"/>
        <v>-97.699275461269735</v>
      </c>
      <c r="AF72" s="91">
        <f t="shared" si="54"/>
        <v>0.9592919685578043</v>
      </c>
      <c r="AG72" s="177"/>
    </row>
    <row r="73" spans="1:33">
      <c r="D73" s="87"/>
      <c r="E73" s="87"/>
    </row>
  </sheetData>
  <mergeCells count="197">
    <mergeCell ref="AA68:AB68"/>
    <mergeCell ref="A62:A72"/>
    <mergeCell ref="C62:D62"/>
    <mergeCell ref="R62:R72"/>
    <mergeCell ref="AA62:AB62"/>
    <mergeCell ref="AG62:AG72"/>
    <mergeCell ref="C63:D63"/>
    <mergeCell ref="AA63:AB63"/>
    <mergeCell ref="C64:D64"/>
    <mergeCell ref="AA64:AB64"/>
    <mergeCell ref="C65:D65"/>
    <mergeCell ref="C72:D72"/>
    <mergeCell ref="AA72:AB72"/>
    <mergeCell ref="C69:D69"/>
    <mergeCell ref="AA69:AB69"/>
    <mergeCell ref="C70:D70"/>
    <mergeCell ref="AA70:AB70"/>
    <mergeCell ref="C71:D71"/>
    <mergeCell ref="AA71:AB71"/>
    <mergeCell ref="AA65:AB65"/>
    <mergeCell ref="C66:D66"/>
    <mergeCell ref="AA66:AB66"/>
    <mergeCell ref="C67:D67"/>
    <mergeCell ref="AA67:AB67"/>
    <mergeCell ref="C68:D68"/>
    <mergeCell ref="AG55:AG61"/>
    <mergeCell ref="C56:D56"/>
    <mergeCell ref="AA56:AB56"/>
    <mergeCell ref="C57:D57"/>
    <mergeCell ref="AA57:AB57"/>
    <mergeCell ref="C58:D58"/>
    <mergeCell ref="AA58:AB58"/>
    <mergeCell ref="C59:D59"/>
    <mergeCell ref="AA59:AB59"/>
    <mergeCell ref="C60:D60"/>
    <mergeCell ref="A46:A54"/>
    <mergeCell ref="C46:D46"/>
    <mergeCell ref="R46:R54"/>
    <mergeCell ref="AA46:AB46"/>
    <mergeCell ref="C54:D54"/>
    <mergeCell ref="AA54:AB54"/>
    <mergeCell ref="A55:A61"/>
    <mergeCell ref="C55:D55"/>
    <mergeCell ref="R55:R61"/>
    <mergeCell ref="AA55:AB55"/>
    <mergeCell ref="AA60:AB60"/>
    <mergeCell ref="C61:D61"/>
    <mergeCell ref="AA61:AB61"/>
    <mergeCell ref="AG46:AG54"/>
    <mergeCell ref="C47:D47"/>
    <mergeCell ref="AA47:AB47"/>
    <mergeCell ref="C48:D48"/>
    <mergeCell ref="AA48:AB48"/>
    <mergeCell ref="AA49:AB49"/>
    <mergeCell ref="AG41:AG45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AA50:AB50"/>
    <mergeCell ref="C51:D51"/>
    <mergeCell ref="AA51:AB51"/>
    <mergeCell ref="C52:D52"/>
    <mergeCell ref="AA52:AB52"/>
    <mergeCell ref="C53:D53"/>
    <mergeCell ref="AA53:AB53"/>
    <mergeCell ref="A41:A45"/>
    <mergeCell ref="C41:D41"/>
    <mergeCell ref="R41:R45"/>
    <mergeCell ref="AA41:AB41"/>
    <mergeCell ref="AG32:AG40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A24:A31"/>
    <mergeCell ref="C24:D24"/>
    <mergeCell ref="R24:R31"/>
    <mergeCell ref="AA24:AB24"/>
    <mergeCell ref="C31:D31"/>
    <mergeCell ref="AA31:AB31"/>
    <mergeCell ref="A32:A40"/>
    <mergeCell ref="C32:D32"/>
    <mergeCell ref="R32:R40"/>
    <mergeCell ref="AA32:AB32"/>
    <mergeCell ref="AA37:AB37"/>
    <mergeCell ref="C38:D38"/>
    <mergeCell ref="AA38:AB38"/>
    <mergeCell ref="C39:D39"/>
    <mergeCell ref="AA39:AB39"/>
    <mergeCell ref="C40:D40"/>
    <mergeCell ref="AA40:AB40"/>
    <mergeCell ref="AG24:AG31"/>
    <mergeCell ref="C25:D25"/>
    <mergeCell ref="AA25:AB25"/>
    <mergeCell ref="C26:D26"/>
    <mergeCell ref="AA26:AB26"/>
    <mergeCell ref="C27:D27"/>
    <mergeCell ref="AG18:AG23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A27:AB27"/>
    <mergeCell ref="C28:D28"/>
    <mergeCell ref="AA28:AB28"/>
    <mergeCell ref="C29:D29"/>
    <mergeCell ref="AA29:AB29"/>
    <mergeCell ref="C30:D30"/>
    <mergeCell ref="AA30:AB30"/>
    <mergeCell ref="A18:A23"/>
    <mergeCell ref="C18:D18"/>
    <mergeCell ref="R18:R23"/>
    <mergeCell ref="AA18:AB18"/>
    <mergeCell ref="AA23:AB23"/>
    <mergeCell ref="A13:A17"/>
    <mergeCell ref="C13:D13"/>
    <mergeCell ref="R13:R17"/>
    <mergeCell ref="AA13:AB13"/>
    <mergeCell ref="AG13:AG17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:O72">
    <cfRule type="cellIs" dxfId="242" priority="1" operator="greaterThan">
      <formula>0</formula>
    </cfRule>
  </conditionalFormatting>
  <conditionalFormatting sqref="P5:P72">
    <cfRule type="cellIs" dxfId="241" priority="4" operator="lessThan">
      <formula>0</formula>
    </cfRule>
  </conditionalFormatting>
  <conditionalFormatting sqref="Q5:Q72">
    <cfRule type="cellIs" dxfId="240" priority="2" operator="greaterThan">
      <formula>1</formula>
    </cfRule>
    <cfRule type="cellIs" dxfId="239" priority="3" operator="lessThan">
      <formula>0.8</formula>
    </cfRule>
  </conditionalFormatting>
  <conditionalFormatting sqref="R5:R10 AG5:AG10">
    <cfRule type="cellIs" dxfId="238" priority="67" operator="lessThan">
      <formula>0.8</formula>
    </cfRule>
  </conditionalFormatting>
  <conditionalFormatting sqref="R13:R72">
    <cfRule type="cellIs" dxfId="237" priority="5" operator="lessThan">
      <formula>0.8</formula>
    </cfRule>
  </conditionalFormatting>
  <conditionalFormatting sqref="AE5:AE72">
    <cfRule type="cellIs" dxfId="236" priority="27" operator="lessThan">
      <formula>0</formula>
    </cfRule>
  </conditionalFormatting>
  <conditionalFormatting sqref="AF5:AF72">
    <cfRule type="cellIs" dxfId="235" priority="26" operator="lessThan">
      <formula>0.8</formula>
    </cfRule>
    <cfRule type="cellIs" dxfId="234" priority="25" operator="greaterThan">
      <formula>1</formula>
    </cfRule>
  </conditionalFormatting>
  <conditionalFormatting sqref="AG13:AG58">
    <cfRule type="cellIs" dxfId="233" priority="28" operator="lessThan">
      <formula>0.8</formula>
    </cfRule>
  </conditionalFormatting>
  <dataValidations count="1">
    <dataValidation type="list" allowBlank="1" showInputMessage="1" showErrorMessage="1" sqref="AB9 AA5:AB8 AB59:AB60 AB11:AB55 AA9:AA60 AA61:AB72" xr:uid="{00000000-0002-0000-03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32"/>
  <sheetViews>
    <sheetView zoomScale="85" zoomScaleNormal="85" workbookViewId="0">
      <selection activeCell="K10" sqref="K10:M10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2633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2634</v>
      </c>
      <c r="C3" s="154" t="str">
        <f>TEXT('0428 4度C'!A2,"yyyy.mm.ddaaaa")</f>
        <v>2026.04.28星期二</v>
      </c>
      <c r="D3" s="155"/>
      <c r="E3" s="33" t="s">
        <v>2635</v>
      </c>
      <c r="F3" s="156">
        <f>'0428 4度C'!D1</f>
        <v>223497</v>
      </c>
      <c r="G3" s="157"/>
      <c r="H3" s="33" t="s">
        <v>2636</v>
      </c>
      <c r="I3" s="158">
        <f>'0428 4度C'!F1</f>
        <v>7569445.1499999985</v>
      </c>
      <c r="J3" s="159"/>
      <c r="K3" s="34"/>
      <c r="L3" s="35"/>
      <c r="M3" s="35"/>
      <c r="N3" s="35"/>
    </row>
    <row r="4" spans="2:17" ht="28.5" customHeight="1">
      <c r="B4" s="160" t="s">
        <v>2637</v>
      </c>
      <c r="C4" s="146" t="s">
        <v>2638</v>
      </c>
      <c r="D4" s="147"/>
      <c r="E4" s="163" t="s">
        <v>2639</v>
      </c>
      <c r="F4" s="164"/>
      <c r="G4" s="163" t="s">
        <v>2640</v>
      </c>
      <c r="H4" s="164"/>
      <c r="I4" s="163" t="s">
        <v>2641</v>
      </c>
      <c r="J4" s="164"/>
      <c r="K4" s="144" t="s">
        <v>2642</v>
      </c>
      <c r="L4" s="145"/>
      <c r="M4" s="145" t="s">
        <v>2643</v>
      </c>
      <c r="N4" s="145"/>
    </row>
    <row r="5" spans="2:17" ht="28.5" customHeight="1">
      <c r="B5" s="161"/>
      <c r="C5" s="146" t="s">
        <v>2644</v>
      </c>
      <c r="D5" s="147"/>
      <c r="E5" s="146" t="s">
        <v>2645</v>
      </c>
      <c r="F5" s="147"/>
      <c r="G5" s="148" t="s">
        <v>2646</v>
      </c>
      <c r="H5" s="149"/>
      <c r="I5" s="150" t="s">
        <v>2647</v>
      </c>
      <c r="J5" s="151"/>
      <c r="K5" s="36" t="s">
        <v>2648</v>
      </c>
      <c r="L5" s="37" t="s">
        <v>2649</v>
      </c>
      <c r="M5" s="36" t="s">
        <v>2648</v>
      </c>
      <c r="N5" s="37" t="s">
        <v>2650</v>
      </c>
    </row>
    <row r="6" spans="2:17" ht="28.5" customHeight="1">
      <c r="B6" s="161"/>
      <c r="C6" s="146" t="s">
        <v>54</v>
      </c>
      <c r="D6" s="147"/>
      <c r="E6" s="138">
        <f>AVERAGE(D13:M13)</f>
        <v>149.98611180620449</v>
      </c>
      <c r="F6" s="139">
        <f>AVERAGE(D31:O31,D13:J13)</f>
        <v>157.59939951462937</v>
      </c>
      <c r="G6" s="140">
        <f>AVERAGE(D13:J13)</f>
        <v>157.59939951462937</v>
      </c>
      <c r="H6" s="141"/>
      <c r="I6" s="140">
        <f>AVERAGE(K13:M13)</f>
        <v>132.22177381987976</v>
      </c>
      <c r="J6" s="141"/>
      <c r="K6" s="142">
        <f>'0428 4度C'!Y2</f>
        <v>0</v>
      </c>
      <c r="L6" s="127">
        <f>'0428 4度C'!Z2</f>
        <v>0</v>
      </c>
      <c r="M6" s="143">
        <f>'0428 4度C'!AC2</f>
        <v>62</v>
      </c>
      <c r="N6" s="127">
        <f>'0428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143.7198257659995</v>
      </c>
      <c r="F7" s="131">
        <f>AVERAGE(D32:O32,D14:J14)</f>
        <v>151.19283231897694</v>
      </c>
      <c r="G7" s="132">
        <f>AVERAGE(D14:J14)</f>
        <v>151.19283231897694</v>
      </c>
      <c r="H7" s="133"/>
      <c r="I7" s="132">
        <f>AVERAGE(K14:M14)</f>
        <v>126.2828104757189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0.95767833388461021</v>
      </c>
      <c r="F8" s="135">
        <f>AVERAGE(D15:J15,D33:O33)</f>
        <v>0.95887796528052649</v>
      </c>
      <c r="G8" s="136">
        <f>AVERAGE(D15:J15)</f>
        <v>0.95887796528052649</v>
      </c>
      <c r="H8" s="137"/>
      <c r="I8" s="136">
        <f>AVERAGE(K15:M15)</f>
        <v>0.95487919396080556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2651</v>
      </c>
      <c r="N9" s="35"/>
      <c r="O9" s="35"/>
      <c r="P9" s="35"/>
      <c r="Q9" s="35"/>
    </row>
    <row r="10" spans="2:17" ht="30" customHeight="1">
      <c r="B10" s="110" t="s">
        <v>2652</v>
      </c>
      <c r="C10" s="111"/>
      <c r="D10" s="112" t="s">
        <v>2653</v>
      </c>
      <c r="E10" s="113"/>
      <c r="F10" s="113"/>
      <c r="G10" s="113"/>
      <c r="H10" s="113"/>
      <c r="I10" s="113"/>
      <c r="J10" s="114"/>
      <c r="K10" s="115" t="s">
        <v>95</v>
      </c>
      <c r="L10" s="116"/>
      <c r="M10" s="117"/>
      <c r="P10" s="41"/>
      <c r="Q10" s="41"/>
    </row>
    <row r="11" spans="2:17" ht="17.25" customHeight="1">
      <c r="B11" s="118" t="s">
        <v>199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2654</v>
      </c>
      <c r="C13" s="48" t="s">
        <v>98</v>
      </c>
      <c r="D13" s="49">
        <f>SUMIFS('0428 4度C'!$K:$K,'0428 4度C'!$A:$A,"新豐6線",'0428 4度C'!$B:$B,"平均")</f>
        <v>119.40298507462687</v>
      </c>
      <c r="E13" s="50">
        <f>SUMIFS('0428 4度C'!$K:$K,'0428 4度C'!$A:$A,"新豐2線",'0428 4度C'!$B:$B,"平均")</f>
        <v>83.333333333333329</v>
      </c>
      <c r="F13" s="51">
        <f>SUMIFS('0428 4度C'!$K:$K,'0428 4度C'!$A:$A,"新豐5線",'0428 4度C'!$B:$B,"平均")</f>
        <v>128.37837837837841</v>
      </c>
      <c r="G13" s="51">
        <f>SUMIFS('0428 4度C'!$K:$K,'0428 4度C'!$A:$A,"新豐7線",'0428 4度C'!$B:$B,"平均")</f>
        <v>121.73913043478262</v>
      </c>
      <c r="H13" s="51">
        <f>SUMIFS('0428 4度C'!$K:$K,'0428 4度C'!$A:$A,"新豐3線",'0428 4度C'!$B:$B,"平均")</f>
        <v>232.14285714285717</v>
      </c>
      <c r="I13" s="51">
        <f>SUMIFS('0428 4度C'!$K:$K,'0428 4度C'!$A:$A,"新豐1線",'0428 4度C'!$B:$B,"平均")</f>
        <v>102.40963855421688</v>
      </c>
      <c r="J13" s="52">
        <f>SUMIFS('0428 4度C'!$K:$K,'0428 4度C'!$A:$A,"新豐10線",'0428 4度C'!$B:$B,"平均")</f>
        <v>315.78947368421052</v>
      </c>
      <c r="K13" s="53">
        <f>SUMIFS('0428 4度C'!$K:$K,'0428 4度C'!$A:$A,"新豐8線",'0428 4度C'!$B:$B,"平均")</f>
        <v>132.11009174311926</v>
      </c>
      <c r="L13" s="54">
        <f>SUMIFS('0428 4度C'!$K:$K,'0428 4度C'!$A:$A,"新豐9線",'0428 4度C'!$B:$B,"平均")</f>
        <v>111.8279569892473</v>
      </c>
      <c r="M13" s="52">
        <f>SUMIFS('0428 4度C'!$K:$K,'0428 4度C'!$A:$A,"新豐4線",'0428 4度C'!$B:$B,"平均")</f>
        <v>152.72727272727275</v>
      </c>
    </row>
    <row r="14" spans="2:17" ht="39.6" customHeight="1">
      <c r="B14" s="123"/>
      <c r="C14" s="55" t="s">
        <v>2655</v>
      </c>
      <c r="D14" s="56">
        <f>SUMIFS('0428 4度C'!$N:$N,'0428 4度C'!$A:$A,"新豐6線",'0428 4度C'!$B:$B,"平均")</f>
        <v>115.06371846491894</v>
      </c>
      <c r="E14" s="57">
        <f>SUMIFS('0428 4度C'!$N:$N,'0428 4度C'!$A:$A,"新豐2線",'0428 4度C'!$B:$B,"平均")</f>
        <v>79.651332007743932</v>
      </c>
      <c r="F14" s="57">
        <f>SUMIFS('0428 4度C'!$N:$N,'0428 4度C'!$A:$A,"新豐5線",'0428 4度C'!$B:$B,"平均")</f>
        <v>122.81704284772067</v>
      </c>
      <c r="G14" s="57">
        <f>SUMIFS('0428 4度C'!$N:$N,'0428 4度C'!$A:$A,"新豐7線",'0428 4度C'!$B:$B,"平均")</f>
        <v>116.32188546769781</v>
      </c>
      <c r="H14" s="57">
        <f>SUMIFS('0428 4度C'!$N:$N,'0428 4度C'!$A:$A,"新豐3線",'0428 4度C'!$B:$B,"平均")</f>
        <v>221.73743752891383</v>
      </c>
      <c r="I14" s="57">
        <f>SUMIFS('0428 4度C'!$N:$N,'0428 4度C'!$A:$A,"新豐1線",'0428 4度C'!$B:$B,"平均")</f>
        <v>98.500705864268213</v>
      </c>
      <c r="J14" s="58">
        <f>SUMIFS('0428 4度C'!$N:$N,'0428 4度C'!$A:$A,"新豐10線",'0428 4度C'!$B:$B,"平均")</f>
        <v>304.2577040515751</v>
      </c>
      <c r="K14" s="59">
        <f>SUMIFS('0428 4度C'!$N:$N,'0428 4度C'!$A:$A,"新豐8線",'0428 4度C'!$B:$B,"平均")</f>
        <v>126.21782087102258</v>
      </c>
      <c r="L14" s="60">
        <f>SUMIFS('0428 4度C'!$N:$N,'0428 4度C'!$A:$A,"新豐9線",'0428 4度C'!$B:$B,"平均")</f>
        <v>106.53151163397531</v>
      </c>
      <c r="M14" s="58">
        <f>SUMIFS('0428 4度C'!$N:$N,'0428 4度C'!$A:$A,"新豐4線",'0428 4度C'!$B:$B,"平均")</f>
        <v>146.09909892215884</v>
      </c>
    </row>
    <row r="15" spans="2:17" ht="40.15" customHeight="1">
      <c r="B15" s="124"/>
      <c r="C15" s="61" t="s">
        <v>2656</v>
      </c>
      <c r="D15" s="62">
        <f t="shared" ref="D15:M15" si="0">D14/D13</f>
        <v>0.96365864214369601</v>
      </c>
      <c r="E15" s="63">
        <f t="shared" si="0"/>
        <v>0.95581598409292723</v>
      </c>
      <c r="F15" s="63">
        <f t="shared" si="0"/>
        <v>0.9566801232348765</v>
      </c>
      <c r="G15" s="63">
        <f t="shared" si="0"/>
        <v>0.95550120205608902</v>
      </c>
      <c r="H15" s="63">
        <f t="shared" si="0"/>
        <v>0.95517665397070561</v>
      </c>
      <c r="I15" s="63">
        <f t="shared" si="0"/>
        <v>0.96183042196873647</v>
      </c>
      <c r="J15" s="64">
        <f t="shared" si="0"/>
        <v>0.96348272949665448</v>
      </c>
      <c r="K15" s="62">
        <f t="shared" si="0"/>
        <v>0.95539878298204606</v>
      </c>
      <c r="L15" s="63">
        <f t="shared" si="0"/>
        <v>0.95263755595766397</v>
      </c>
      <c r="M15" s="64">
        <f t="shared" si="0"/>
        <v>0.95660124294270654</v>
      </c>
    </row>
    <row r="16" spans="2:17" ht="17.25" customHeight="1">
      <c r="B16" s="125" t="s">
        <v>2657</v>
      </c>
      <c r="C16" s="65" t="s">
        <v>2658</v>
      </c>
      <c r="D16" s="66">
        <f>VLOOKUP("新豐6線",'0428 4度C'!$A:$T,19,0)</f>
        <v>0.70833333333333337</v>
      </c>
      <c r="E16" s="67">
        <f>VLOOKUP("新豐2線",'0428 4度C'!$A:$T,19,0)</f>
        <v>0.20833333333333334</v>
      </c>
      <c r="F16" s="67">
        <f>VLOOKUP("新豐5線",'0428 4度C'!$A:$T,19,0)</f>
        <v>8.3333333333333329E-2</v>
      </c>
      <c r="G16" s="67">
        <f>VLOOKUP("新豐7線",'0428 4度C'!$A:$T,19,0)</f>
        <v>0.20833333333333334</v>
      </c>
      <c r="H16" s="67">
        <f>VLOOKUP("新豐3線",'0428 4度C'!$A:$T,19,0)</f>
        <v>8.3333333333333329E-2</v>
      </c>
      <c r="I16" s="67">
        <f>VLOOKUP("新豐1線",'0428 4度C'!$A:$T,19,0)</f>
        <v>0.20833333333333334</v>
      </c>
      <c r="J16" s="68">
        <f>VLOOKUP("新豐10線",'0428 4度C'!$A:$T,19,0)</f>
        <v>0.20833333333333334</v>
      </c>
      <c r="K16" s="69">
        <f>VLOOKUP("新豐8線",'0428 4度C'!$A:$T,19,0)</f>
        <v>8.3333333333333329E-2</v>
      </c>
      <c r="L16" s="70">
        <f>VLOOKUP("新豐9線",'0428 4度C'!$A:$T,19,0)</f>
        <v>8.3333333333333329E-2</v>
      </c>
      <c r="M16" s="71">
        <f>VLOOKUP("新豐4線",'0428 4度C'!$A:$T,19,0)</f>
        <v>8.3333333333333329E-2</v>
      </c>
    </row>
    <row r="17" spans="2:13" ht="17.25" customHeight="1">
      <c r="B17" s="126"/>
      <c r="C17" s="65" t="s">
        <v>2659</v>
      </c>
      <c r="D17" s="69">
        <f>LOOKUP(2,1/(('0428 4度C'!$A:$A="新豐6線")*('0428 4度C'!$T:$T&lt;&gt;"")),'0428 4度C'!$T:$T)</f>
        <v>0.84444444444444444</v>
      </c>
      <c r="E17" s="67">
        <f>LOOKUP(2,1/(('0428 4度C'!$A:$A="新豐2線")*('0428 4度C'!$T:$T&lt;&gt;"")),'0428 4度C'!$T:$T)</f>
        <v>0.6430555555555556</v>
      </c>
      <c r="F17" s="67">
        <f>LOOKUP(2,1/(('0428 4度C'!$A:$A="新豐5線")*('0428 4度C'!$T:$T&lt;&gt;"")),'0428 4度C'!$T:$T)</f>
        <v>0.84027777777777779</v>
      </c>
      <c r="G17" s="67">
        <f>LOOKUP(2,1/(('0428 4度C'!$A:$A="新豐7線")*('0428 4度C'!$T:$T&lt;&gt;"")),'0428 4度C'!$T:$T)</f>
        <v>0.83263888888888893</v>
      </c>
      <c r="H17" s="67">
        <f>LOOKUP(2,1/(('0428 4度C'!$A:$A="新豐3線")*('0428 4度C'!$T:$T&lt;&gt;"")),'0428 4度C'!$T:$T)</f>
        <v>0.64583333333333326</v>
      </c>
      <c r="I17" s="67">
        <f>LOOKUP(2,1/(('0428 4度C'!$A:$A="新豐1線")*('0428 4度C'!$T:$T&lt;&gt;"")),'0428 4度C'!$T:$T)</f>
        <v>0.81944444444444453</v>
      </c>
      <c r="J17" s="68">
        <f>LOOKUP(2,1/(('0428 4度C'!$A:$A="新豐10線")*('0428 4度C'!$T:$T&lt;&gt;"")),'0428 4度C'!$T:$T)</f>
        <v>0.44861111111111107</v>
      </c>
      <c r="K17" s="66">
        <f>LOOKUP(2,1/(('0428 4度C'!$A:$A="新豐8線")*('0428 4度C'!$T:$T&lt;&gt;"")),'0428 4度C'!$T:$T)</f>
        <v>0.74722222222222201</v>
      </c>
      <c r="L17" s="67">
        <f>LOOKUP(2,1/(('0428 4度C'!$A:$A="新豐9線")*('0428 4度C'!$T:$T&lt;&gt;"")),'0428 4度C'!$T:$T)</f>
        <v>0.75763888888888875</v>
      </c>
      <c r="M17" s="68">
        <f>LOOKUP(2,1/(('0428 4度C'!$A:$A="新豐4線")*('0428 4度C'!$T:$T&lt;&gt;"")),'0428 4度C'!$T:$T)</f>
        <v>0.72013888888888877</v>
      </c>
    </row>
    <row r="18" spans="2:13" ht="17.25" customHeight="1">
      <c r="B18" s="104" t="s">
        <v>104</v>
      </c>
      <c r="C18" s="72" t="s">
        <v>105</v>
      </c>
      <c r="D18" s="73">
        <f>SUMIFS('0428 4度C'!$Y:$Y,'0428 4度C'!$A:$A,"新豐6線",'0428 4度C'!$B:$B,"平均")</f>
        <v>0</v>
      </c>
      <c r="E18" s="74">
        <f>SUMIFS('0428 4度C'!$Y:$Y,'0428 4度C'!$A:$A,"新豐2線",'0428 4度C'!$B:$B,"平均")</f>
        <v>0</v>
      </c>
      <c r="F18" s="74">
        <f>SUMIFS('0428 4度C'!$Y:$Y,'0428 4度C'!$A:$A,"新豐5線",'0428 4度C'!$B:$B,"平均")</f>
        <v>0</v>
      </c>
      <c r="G18" s="74">
        <f>SUMIFS('0428 4度C'!$Y:$Y,'0428 4度C'!$A:$A,"新豐7線",'0428 4度C'!$B:$B,"平均")</f>
        <v>0</v>
      </c>
      <c r="H18" s="74">
        <f>SUMIFS('0428 4度C'!$Y:$Y,'0428 4度C'!$A:$A,"新豐3線",'0428 4度C'!$B:$B,"平均")</f>
        <v>0</v>
      </c>
      <c r="I18" s="74">
        <f>SUMIFS('0428 4度C'!$Y:$Y,'0428 4度C'!$A:$A,"新豐1線",'0428 4度C'!$B:$B,"平均")</f>
        <v>0</v>
      </c>
      <c r="J18" s="75">
        <f>SUMIFS('0428 4度C'!$Y:$Y,'0428 4度C'!$A:$A,"新豐10線",'0428 4度C'!$B:$B,"平均")</f>
        <v>0</v>
      </c>
      <c r="K18" s="76">
        <f>SUMIFS('0428 4度C'!$Y:$Y,'0428 4度C'!$A:$A,"新豐8線",'0428 4度C'!$B:$B,"平均")</f>
        <v>0</v>
      </c>
      <c r="L18" s="74">
        <f>SUMIFS('0428 4度C'!$Y:$Y,'0428 4度C'!$A:$A,"新豐9線",'0428 4度C'!$B:$B,"平均")</f>
        <v>0</v>
      </c>
      <c r="M18" s="75">
        <f>SUMIFS('0428 4度C'!$Y:$Y,'0428 4度C'!$A:$A,"新豐4線",'0428 4度C'!$B:$B,"平均")</f>
        <v>0</v>
      </c>
    </row>
    <row r="19" spans="2:13" ht="17.25" customHeight="1">
      <c r="B19" s="105"/>
      <c r="C19" s="72" t="s">
        <v>2660</v>
      </c>
      <c r="D19" s="73">
        <f>SUMIFS('0428 4度C'!$Z:$Z,'0428 4度C'!$A:$A,"新豐6線",'0428 4度C'!$B:$B,"平均")</f>
        <v>0</v>
      </c>
      <c r="E19" s="74">
        <f>SUMIFS('0428 4度C'!$Z:$Z,'0428 4度C'!$A:$A,"新豐2線",'0428 4度C'!$B:$B,"平均")</f>
        <v>0</v>
      </c>
      <c r="F19" s="74">
        <f>SUMIFS('0428 4度C'!$Z:$Z,'0428 4度C'!$A:$A,"新豐5線",'0428 4度C'!$B:$B,"平均")</f>
        <v>0</v>
      </c>
      <c r="G19" s="74">
        <f>SUMIFS('0428 4度C'!$Z:$Z,'0428 4度C'!$A:$A,"新豐7線",'0428 4度C'!$B:$B,"平均")</f>
        <v>0</v>
      </c>
      <c r="H19" s="74">
        <f>SUMIFS('0428 4度C'!$Z:$Z,'0428 4度C'!$A:$A,"新豐3線",'0428 4度C'!$B:$B,"平均")</f>
        <v>0</v>
      </c>
      <c r="I19" s="74">
        <f>SUMIFS('0428 4度C'!$Z:$Z,'0428 4度C'!$A:$A,"新豐1線",'0428 4度C'!$B:$B,"平均")</f>
        <v>0</v>
      </c>
      <c r="J19" s="75">
        <f>SUMIFS('0428 4度C'!$Z:$Z,'0428 4度C'!$A:$A,"新豐10線",'0428 4度C'!$B:$B,"平均")</f>
        <v>0</v>
      </c>
      <c r="K19" s="76">
        <f>SUMIFS('0428 4度C'!$Z:$Z,'0428 4度C'!$A:$A,"新豐8線",'0428 4度C'!$B:$B,"平均")</f>
        <v>0</v>
      </c>
      <c r="L19" s="74">
        <f>SUMIFS('0428 4度C'!$Z:$Z,'0428 4度C'!$A:$A,"新豐9線",'0428 4度C'!$B:$B,"平均")</f>
        <v>0</v>
      </c>
      <c r="M19" s="75">
        <f>SUMIFS('0428 4度C'!$Z:$Z,'0428 4度C'!$A:$A,"新豐4線",'0428 4度C'!$B:$B,"平均")</f>
        <v>0</v>
      </c>
    </row>
    <row r="20" spans="2:13" ht="17.25" customHeight="1">
      <c r="B20" s="104" t="s">
        <v>2661</v>
      </c>
      <c r="C20" s="72" t="s">
        <v>2662</v>
      </c>
      <c r="D20" s="73">
        <f>SUMIFS('0428 4度C'!$AC:$AC,'0428 4度C'!$A:$A,"新豐6線",'0428 4度C'!$B:$B,"平均")</f>
        <v>4</v>
      </c>
      <c r="E20" s="74">
        <f>SUMIFS('0428 4度C'!$AC:$AC,'0428 4度C'!$A:$A,"新豐2線",'0428 4度C'!$B:$B,"平均")</f>
        <v>4</v>
      </c>
      <c r="F20" s="74">
        <f>SUMIFS('0428 4度C'!$AC:$AC,'0428 4度C'!$A:$A,"新豐5線",'0428 4度C'!$B:$B,"平均")</f>
        <v>9</v>
      </c>
      <c r="G20" s="74">
        <f>SUMIFS('0428 4度C'!$AC:$AC,'0428 4度C'!$A:$A,"新豐7線",'0428 4度C'!$B:$B,"平均")</f>
        <v>7</v>
      </c>
      <c r="H20" s="74">
        <f>SUMIFS('0428 4度C'!$AC:$AC,'0428 4度C'!$A:$A,"新豐3線",'0428 4度C'!$B:$B,"平均")</f>
        <v>5</v>
      </c>
      <c r="I20" s="74">
        <f>SUMIFS('0428 4度C'!$AC:$AC,'0428 4度C'!$A:$A,"新豐1線",'0428 4度C'!$B:$B,"平均")</f>
        <v>9</v>
      </c>
      <c r="J20" s="75">
        <f>SUMIFS('0428 4度C'!$AC:$AC,'0428 4度C'!$A:$A,"新豐10線",'0428 4度C'!$B:$B,"平均")</f>
        <v>6</v>
      </c>
      <c r="K20" s="76">
        <f>SUMIFS('0428 4度C'!$AC:$AC,'0428 4度C'!$A:$A,"新豐8線",'0428 4度C'!$B:$B,"平均")</f>
        <v>6</v>
      </c>
      <c r="L20" s="74">
        <f>SUMIFS('0428 4度C'!$AC:$AC,'0428 4度C'!$A:$A,"新豐9線",'0428 4度C'!$B:$B,"平均")</f>
        <v>5</v>
      </c>
      <c r="M20" s="75">
        <f>SUMIFS('0428 4度C'!$AC:$AC,'0428 4度C'!$A:$A,"新豐4線",'0428 4度C'!$B:$B,"平均")</f>
        <v>7</v>
      </c>
    </row>
    <row r="21" spans="2:13" ht="17.25" customHeight="1">
      <c r="B21" s="105"/>
      <c r="C21" s="72" t="s">
        <v>2663</v>
      </c>
      <c r="D21" s="73">
        <f>SUMIFS('0428 4度C'!$AD:$AD,'0428 4度C'!$A:$A,"新豐6線",'0428 4度C'!$B:$B,"平均")</f>
        <v>0</v>
      </c>
      <c r="E21" s="74">
        <f>SUMIFS('0428 4度C'!$AD:$AD,'0428 4度C'!$A:$A,"新豐2線",'0428 4度C'!$B:$B,"平均")</f>
        <v>0</v>
      </c>
      <c r="F21" s="74">
        <f>SUMIFS('0428 4度C'!$AD:$AD,'0428 4度C'!$A:$A,"新豐5線",'0428 4度C'!$B:$B,"平均")</f>
        <v>0</v>
      </c>
      <c r="G21" s="74">
        <f>SUMIFS('0428 4度C'!$AD:$AD,'0428 4度C'!$A:$A,"新豐7線",'0428 4度C'!$B:$B,"平均")</f>
        <v>0</v>
      </c>
      <c r="H21" s="74">
        <f>SUMIFS('0428 4度C'!$AD:$AD,'0428 4度C'!$A:$A,"新豐3線",'0428 4度C'!$B:$B,"平均")</f>
        <v>0</v>
      </c>
      <c r="I21" s="74">
        <f>SUMIFS('0428 4度C'!$AD:$AD,'0428 4度C'!$A:$A,"新豐1線",'0428 4度C'!$B:$B,"平均")</f>
        <v>0</v>
      </c>
      <c r="J21" s="75">
        <f>SUMIFS('0428 4度C'!$AD:$AD,'0428 4度C'!$A:$A,"新豐10線",'0428 4度C'!$B:$B,"平均")</f>
        <v>0</v>
      </c>
      <c r="K21" s="76">
        <f>SUMIFS('0428 4度C'!$AD:$AD,'0428 4度C'!$A:$A,"新豐8線",'0428 4度C'!$B:$B,"平均")</f>
        <v>0</v>
      </c>
      <c r="L21" s="74">
        <f>SUMIFS('0428 4度C'!$AD:$AD,'0428 4度C'!$A:$A,"新豐9線",'0428 4度C'!$B:$B,"平均")</f>
        <v>0</v>
      </c>
      <c r="M21" s="75">
        <f>SUMIFS('0428 4度C'!$AD:$AD,'0428 4度C'!$A:$A,"新豐4線",'0428 4度C'!$B:$B,"平均")</f>
        <v>0</v>
      </c>
    </row>
    <row r="22" spans="2:13" ht="17.25" customHeight="1">
      <c r="B22" s="106" t="s">
        <v>2664</v>
      </c>
      <c r="C22" s="107"/>
      <c r="D22" s="77">
        <f>SUMIFS('0428 4度C'!$I:$I,'0428 4度C'!$A:$A,"新豐6線",'0428 4度C'!$B:$B,"平均")</f>
        <v>16.75</v>
      </c>
      <c r="E22" s="78">
        <f>SUMIFS('0428 4度C'!$I:$I,'0428 4度C'!$A:$A,"新豐2線",'0428 4度C'!$B:$B,"平均")</f>
        <v>18</v>
      </c>
      <c r="F22" s="78">
        <f>SUMIFS('0428 4度C'!$I:$I,'0428 4度C'!$A:$A,"新豐5線",'0428 4度C'!$B:$B,"平均")</f>
        <v>16.444444444444443</v>
      </c>
      <c r="G22" s="78">
        <f>SUMIFS('0428 4度C'!$I:$I,'0428 4度C'!$A:$A,"新豐7線",'0428 4度C'!$B:$B,"平均")</f>
        <v>16.428571428571427</v>
      </c>
      <c r="H22" s="78">
        <f>SUMIFS('0428 4度C'!$I:$I,'0428 4度C'!$A:$A,"新豐3線",'0428 4度C'!$B:$B,"平均")</f>
        <v>11.2</v>
      </c>
      <c r="I22" s="78">
        <f>SUMIFS('0428 4度C'!$I:$I,'0428 4度C'!$A:$A,"新豐1線",'0428 4度C'!$B:$B,"平均")</f>
        <v>18.444444444444443</v>
      </c>
      <c r="J22" s="79">
        <f>SUMIFS('0428 4度C'!$I:$I,'0428 4度C'!$A:$A,"新豐10線",'0428 4度C'!$B:$B,"平均")</f>
        <v>9.5</v>
      </c>
      <c r="K22" s="77">
        <f>SUMIFS('0428 4度C'!$I:$I,'0428 4度C'!$A:$A,"新豐8線",'0428 4度C'!$B:$B,"平均")</f>
        <v>18.166666666666668</v>
      </c>
      <c r="L22" s="78">
        <f>SUMIFS('0428 4度C'!$I:$I,'0428 4度C'!$A:$A,"新豐9線",'0428 4度C'!$B:$B,"平均")</f>
        <v>18.600000000000001</v>
      </c>
      <c r="M22" s="79">
        <f>SUMIFS('0428 4度C'!$I:$I,'0428 4度C'!$A:$A,"新豐4線",'0428 4度C'!$B:$B,"平均")</f>
        <v>15.714285714285714</v>
      </c>
    </row>
    <row r="23" spans="2:13" ht="17.25" customHeight="1">
      <c r="B23" s="106" t="s">
        <v>213</v>
      </c>
      <c r="C23" s="107"/>
      <c r="D23" s="80" t="s">
        <v>67</v>
      </c>
      <c r="E23" s="81" t="s">
        <v>68</v>
      </c>
      <c r="F23" s="81" t="s">
        <v>111</v>
      </c>
      <c r="G23" s="81" t="s">
        <v>2665</v>
      </c>
      <c r="H23" s="81" t="s">
        <v>69</v>
      </c>
      <c r="I23" s="81" t="s">
        <v>67</v>
      </c>
      <c r="J23" s="82" t="s">
        <v>69</v>
      </c>
      <c r="K23" s="80" t="s">
        <v>2666</v>
      </c>
      <c r="L23" s="81" t="s">
        <v>112</v>
      </c>
      <c r="M23" s="82" t="s">
        <v>2666</v>
      </c>
    </row>
    <row r="24" spans="2:13" ht="17.25" customHeight="1">
      <c r="B24" s="106" t="s">
        <v>2667</v>
      </c>
      <c r="C24" s="107"/>
      <c r="D24" s="80"/>
      <c r="E24" s="81"/>
      <c r="F24" s="81" t="s">
        <v>2668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115</v>
      </c>
      <c r="C25" s="109"/>
      <c r="D25" s="83"/>
      <c r="E25" s="84" t="s">
        <v>2669</v>
      </c>
      <c r="F25" s="102" t="s">
        <v>117</v>
      </c>
      <c r="G25" s="103"/>
      <c r="H25" s="84" t="s">
        <v>2670</v>
      </c>
      <c r="I25" s="84" t="s">
        <v>119</v>
      </c>
      <c r="J25" s="85" t="s">
        <v>2670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3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G77"/>
  <sheetViews>
    <sheetView zoomScale="80" zoomScaleNormal="80" workbookViewId="0">
      <pane ySplit="4" topLeftCell="A5" activePane="bottomLeft" state="frozen"/>
      <selection activeCell="K10" sqref="K10:M10"/>
      <selection pane="bottomLeft" activeCell="N18" sqref="N18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2671</v>
      </c>
      <c r="B1" s="1"/>
      <c r="C1" s="2" t="s">
        <v>121</v>
      </c>
      <c r="D1" s="3">
        <f>SUM(F5:F76)</f>
        <v>223497</v>
      </c>
      <c r="E1" s="88" t="s">
        <v>122</v>
      </c>
      <c r="F1" s="1">
        <f>SUM(G5:G76)</f>
        <v>7569445.1499999985</v>
      </c>
      <c r="G1" s="1" t="s">
        <v>123</v>
      </c>
      <c r="H1" s="4">
        <f>L9+L14+L51+L61+L24+L68+L39+L45+L32+L76</f>
        <v>159.24841269841269</v>
      </c>
      <c r="I1" s="215" t="s">
        <v>2672</v>
      </c>
      <c r="J1" s="215"/>
      <c r="K1" s="215"/>
      <c r="L1" s="215" t="s">
        <v>2673</v>
      </c>
      <c r="M1" s="215"/>
      <c r="N1" s="215"/>
      <c r="O1" s="215" t="s">
        <v>126</v>
      </c>
      <c r="P1" s="215"/>
      <c r="Q1" s="215"/>
      <c r="R1" s="215"/>
      <c r="S1" s="215" t="s">
        <v>2674</v>
      </c>
      <c r="T1" s="215"/>
      <c r="U1" s="215"/>
      <c r="V1" s="215"/>
      <c r="W1" s="215"/>
      <c r="X1" s="215"/>
      <c r="Y1" s="5" t="s">
        <v>128</v>
      </c>
      <c r="Z1" s="6" t="s">
        <v>2675</v>
      </c>
      <c r="AA1" s="216" t="s">
        <v>2676</v>
      </c>
      <c r="AB1" s="216"/>
      <c r="AC1" s="97" t="s">
        <v>2677</v>
      </c>
      <c r="AD1" s="6" t="s">
        <v>2678</v>
      </c>
      <c r="AE1" s="215" t="s">
        <v>2679</v>
      </c>
      <c r="AF1" s="217"/>
      <c r="AG1" s="217"/>
    </row>
    <row r="2" spans="1:33" ht="26.25" customHeight="1">
      <c r="A2" s="26">
        <v>46140</v>
      </c>
      <c r="B2" s="27" t="s">
        <v>715</v>
      </c>
      <c r="C2" s="2" t="s">
        <v>2680</v>
      </c>
      <c r="D2" s="8">
        <f>AVERAGE(N9,N14,N51,N61,N24,N68,N32,N39,N45,N76)</f>
        <v>143.7198257659995</v>
      </c>
      <c r="E2" s="9" t="s">
        <v>0</v>
      </c>
      <c r="F2" s="10">
        <f>F1/D1</f>
        <v>33.868218141630528</v>
      </c>
      <c r="G2" s="1" t="s">
        <v>134</v>
      </c>
      <c r="H2" s="96">
        <f>COUNT(H5:H76)</f>
        <v>14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SUM(Y9+Y14+Y24+Y32+Y39+Y45+Y51+Y61+Y68+Y76)</f>
        <v>0</v>
      </c>
      <c r="Z2" s="11">
        <f>SUM(Z9+Z14+Z24+Z32+Z39+Z45+Z51+Z61+Z68+Z76)</f>
        <v>0</v>
      </c>
      <c r="AA2" s="216"/>
      <c r="AB2" s="216"/>
      <c r="AC2" s="11">
        <v>62</v>
      </c>
      <c r="AD2" s="11">
        <f>SUM(AD9+AD14+AD24+AD32+AD39+AD45+AD51+AD61+AD68+AD76)</f>
        <v>0</v>
      </c>
      <c r="AE2" s="217"/>
      <c r="AF2" s="217"/>
      <c r="AG2" s="217"/>
    </row>
    <row r="3" spans="1:33" ht="40.5" customHeight="1">
      <c r="A3" s="168" t="s">
        <v>135</v>
      </c>
      <c r="B3" s="168" t="s">
        <v>2681</v>
      </c>
      <c r="C3" s="168" t="s">
        <v>2682</v>
      </c>
      <c r="D3" s="168"/>
      <c r="E3" s="213" t="s">
        <v>2683</v>
      </c>
      <c r="F3" s="168" t="s">
        <v>139</v>
      </c>
      <c r="G3" s="213" t="s">
        <v>2684</v>
      </c>
      <c r="H3" s="207" t="s">
        <v>141</v>
      </c>
      <c r="I3" s="205" t="s">
        <v>142</v>
      </c>
      <c r="J3" s="202" t="s">
        <v>143</v>
      </c>
      <c r="K3" s="212" t="s">
        <v>2685</v>
      </c>
      <c r="L3" s="205" t="s">
        <v>2686</v>
      </c>
      <c r="M3" s="202" t="s">
        <v>2687</v>
      </c>
      <c r="N3" s="212" t="s">
        <v>2685</v>
      </c>
      <c r="O3" s="205" t="s">
        <v>142</v>
      </c>
      <c r="P3" s="212" t="s">
        <v>144</v>
      </c>
      <c r="Q3" s="203" t="s">
        <v>2688</v>
      </c>
      <c r="R3" s="181" t="s">
        <v>2689</v>
      </c>
      <c r="S3" s="168" t="s">
        <v>1</v>
      </c>
      <c r="T3" s="168"/>
      <c r="U3" s="207" t="s">
        <v>2</v>
      </c>
      <c r="V3" s="207" t="s">
        <v>2690</v>
      </c>
      <c r="W3" s="168" t="s">
        <v>2691</v>
      </c>
      <c r="X3" s="168"/>
      <c r="Y3" s="208" t="s">
        <v>2692</v>
      </c>
      <c r="Z3" s="167"/>
      <c r="AA3" s="209" t="s">
        <v>2693</v>
      </c>
      <c r="AB3" s="210"/>
      <c r="AC3" s="208" t="s">
        <v>2694</v>
      </c>
      <c r="AD3" s="167"/>
      <c r="AE3" s="202" t="s">
        <v>2695</v>
      </c>
      <c r="AF3" s="203" t="s">
        <v>2696</v>
      </c>
      <c r="AG3" s="181" t="s">
        <v>148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2697</v>
      </c>
      <c r="X4" s="88" t="s">
        <v>157</v>
      </c>
      <c r="Y4" s="90" t="s">
        <v>2698</v>
      </c>
      <c r="Z4" s="90" t="s">
        <v>2699</v>
      </c>
      <c r="AA4" s="211"/>
      <c r="AB4" s="210"/>
      <c r="AC4" s="90" t="s">
        <v>2700</v>
      </c>
      <c r="AD4" s="90" t="s">
        <v>2701</v>
      </c>
      <c r="AE4" s="202"/>
      <c r="AF4" s="203"/>
      <c r="AG4" s="181"/>
    </row>
    <row r="5" spans="1:33">
      <c r="A5" s="204" t="s">
        <v>2702</v>
      </c>
      <c r="B5" s="28" t="s">
        <v>5</v>
      </c>
      <c r="C5" s="206" t="s">
        <v>6</v>
      </c>
      <c r="D5" s="206"/>
      <c r="E5" s="28">
        <v>50.67</v>
      </c>
      <c r="F5" s="88">
        <v>1478</v>
      </c>
      <c r="G5" s="88">
        <f t="shared" ref="G5:G8" si="0">E5*F5</f>
        <v>74890.260000000009</v>
      </c>
      <c r="H5" s="30" t="s">
        <v>53</v>
      </c>
      <c r="I5" s="95">
        <v>17</v>
      </c>
      <c r="J5" s="13">
        <v>2000</v>
      </c>
      <c r="K5" s="12">
        <f t="shared" ref="K5:K68" si="1">J5/I5</f>
        <v>117.64705882352941</v>
      </c>
      <c r="L5" s="95">
        <v>17</v>
      </c>
      <c r="M5" s="13">
        <f t="shared" ref="M5:M8" si="2">F5/V5*60</f>
        <v>1927.8260869565217</v>
      </c>
      <c r="N5" s="12">
        <f t="shared" ref="N5:N68" si="3">M5/L5</f>
        <v>113.40153452685422</v>
      </c>
      <c r="O5" s="14">
        <f t="shared" ref="O5:O68" si="4">L5-I5</f>
        <v>0</v>
      </c>
      <c r="P5" s="15">
        <f t="shared" ref="P5:P68" si="5">N5-K5</f>
        <v>-4.2455242966751854</v>
      </c>
      <c r="Q5" s="91">
        <f t="shared" ref="Q5:Q68" si="6">N5/K5</f>
        <v>0.9639130434782609</v>
      </c>
      <c r="R5" s="177">
        <f>Q9</f>
        <v>0.96365864214369601</v>
      </c>
      <c r="S5" s="21">
        <v>0.70833333333333337</v>
      </c>
      <c r="T5" s="21">
        <v>0.74027777777777781</v>
      </c>
      <c r="U5" s="88"/>
      <c r="V5" s="30">
        <f t="shared" ref="V5:V8" si="7">(T5-S5)*24*60</f>
        <v>46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60" si="8">M5-J5</f>
        <v>-72.173913043478251</v>
      </c>
      <c r="AF5" s="91">
        <f t="shared" ref="AF5:AF68" si="9">M5/J5</f>
        <v>0.9639130434782609</v>
      </c>
      <c r="AG5" s="177">
        <f>AF9</f>
        <v>0.96365864214369601</v>
      </c>
    </row>
    <row r="6" spans="1:33">
      <c r="A6" s="205" t="s">
        <v>2703</v>
      </c>
      <c r="B6" s="28" t="s">
        <v>5</v>
      </c>
      <c r="C6" s="206" t="s">
        <v>7</v>
      </c>
      <c r="D6" s="206"/>
      <c r="E6" s="28">
        <v>54.09</v>
      </c>
      <c r="F6" s="88">
        <v>1185</v>
      </c>
      <c r="G6" s="88">
        <f t="shared" si="0"/>
        <v>64096.65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1921.6216216216203</v>
      </c>
      <c r="N6" s="12">
        <f t="shared" si="3"/>
        <v>101.13798008534843</v>
      </c>
      <c r="O6" s="14">
        <f t="shared" si="4"/>
        <v>0</v>
      </c>
      <c r="P6" s="15">
        <f t="shared" si="5"/>
        <v>-4.1251778093884042</v>
      </c>
      <c r="Q6" s="91">
        <f t="shared" si="6"/>
        <v>0.96081081081081021</v>
      </c>
      <c r="R6" s="177"/>
      <c r="S6" s="21">
        <v>0.74444444444444446</v>
      </c>
      <c r="T6" s="21">
        <v>0.77013888888888893</v>
      </c>
      <c r="U6" s="88">
        <f t="shared" ref="U6:U8" si="10">IF(S6=TIME(17,0,0),"",(S6-T5)*24*60)</f>
        <v>5.9999999999999787</v>
      </c>
      <c r="V6" s="30">
        <f t="shared" si="7"/>
        <v>37.000000000000028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-78.378378378379693</v>
      </c>
      <c r="AF6" s="91">
        <f t="shared" si="9"/>
        <v>0.9608108108108101</v>
      </c>
      <c r="AG6" s="177"/>
    </row>
    <row r="7" spans="1:33">
      <c r="A7" s="205" t="s">
        <v>162</v>
      </c>
      <c r="B7" s="28" t="s">
        <v>5</v>
      </c>
      <c r="C7" s="200" t="s">
        <v>16</v>
      </c>
      <c r="D7" s="201"/>
      <c r="E7" s="28">
        <v>50.67</v>
      </c>
      <c r="F7" s="88">
        <v>900</v>
      </c>
      <c r="G7" s="88">
        <f t="shared" si="0"/>
        <v>45603</v>
      </c>
      <c r="H7" s="30">
        <v>2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1928.5714285714246</v>
      </c>
      <c r="N7" s="12">
        <f t="shared" si="3"/>
        <v>128.5714285714283</v>
      </c>
      <c r="O7" s="14">
        <f t="shared" si="4"/>
        <v>0</v>
      </c>
      <c r="P7" s="15">
        <f t="shared" si="5"/>
        <v>-4.7619047619050434</v>
      </c>
      <c r="Q7" s="91">
        <f t="shared" si="6"/>
        <v>0.96428571428571219</v>
      </c>
      <c r="R7" s="177"/>
      <c r="S7" s="21">
        <v>0.77500000000000002</v>
      </c>
      <c r="T7" s="21">
        <v>0.79444444444444451</v>
      </c>
      <c r="U7" s="88">
        <f t="shared" si="10"/>
        <v>6.9999999999999751</v>
      </c>
      <c r="V7" s="30">
        <f t="shared" si="7"/>
        <v>28.00000000000006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-71.428571428575424</v>
      </c>
      <c r="AF7" s="91">
        <f t="shared" si="9"/>
        <v>0.9642857142857123</v>
      </c>
      <c r="AG7" s="177"/>
    </row>
    <row r="8" spans="1:33">
      <c r="A8" s="205" t="s">
        <v>2704</v>
      </c>
      <c r="B8" s="28" t="s">
        <v>5</v>
      </c>
      <c r="C8" s="200" t="s">
        <v>1270</v>
      </c>
      <c r="D8" s="201"/>
      <c r="E8" s="28">
        <v>52.86</v>
      </c>
      <c r="F8" s="88">
        <v>2060</v>
      </c>
      <c r="G8" s="88">
        <f t="shared" si="0"/>
        <v>108891.6</v>
      </c>
      <c r="H8" s="30" t="s">
        <v>53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1931.250000000002</v>
      </c>
      <c r="N8" s="12">
        <f t="shared" si="3"/>
        <v>120.70312500000013</v>
      </c>
      <c r="O8" s="14">
        <f t="shared" si="4"/>
        <v>0</v>
      </c>
      <c r="P8" s="15">
        <f t="shared" si="5"/>
        <v>-4.2968749999998721</v>
      </c>
      <c r="Q8" s="91">
        <f t="shared" si="6"/>
        <v>0.96562500000000107</v>
      </c>
      <c r="R8" s="177"/>
      <c r="S8" s="21">
        <v>0.8</v>
      </c>
      <c r="T8" s="21">
        <v>0.84444444444444444</v>
      </c>
      <c r="U8" s="88">
        <f t="shared" si="10"/>
        <v>7.9999999999999716</v>
      </c>
      <c r="V8" s="30">
        <f t="shared" si="7"/>
        <v>63.999999999999929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-68.749999999997954</v>
      </c>
      <c r="AF8" s="91">
        <f t="shared" si="9"/>
        <v>0.96562500000000107</v>
      </c>
      <c r="AG8" s="177"/>
    </row>
    <row r="9" spans="1:33">
      <c r="A9" s="205" t="s">
        <v>2703</v>
      </c>
      <c r="B9" s="28" t="s">
        <v>165</v>
      </c>
      <c r="C9" s="178"/>
      <c r="D9" s="178"/>
      <c r="E9" s="92"/>
      <c r="F9" s="12"/>
      <c r="G9" s="12"/>
      <c r="H9" s="88"/>
      <c r="I9" s="23">
        <v>16.75</v>
      </c>
      <c r="J9" s="13">
        <v>2000</v>
      </c>
      <c r="K9" s="12">
        <f t="shared" si="1"/>
        <v>119.40298507462687</v>
      </c>
      <c r="L9" s="23">
        <v>16.75</v>
      </c>
      <c r="M9" s="13">
        <f>AVERAGE(M5:M8)</f>
        <v>1927.3172842873921</v>
      </c>
      <c r="N9" s="12">
        <f t="shared" si="3"/>
        <v>115.06371846491894</v>
      </c>
      <c r="O9" s="14">
        <f t="shared" si="4"/>
        <v>0</v>
      </c>
      <c r="P9" s="15">
        <f t="shared" si="5"/>
        <v>-4.3392666097079342</v>
      </c>
      <c r="Q9" s="91">
        <f t="shared" si="6"/>
        <v>0.96365864214369601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v>4</v>
      </c>
      <c r="AD9" s="24">
        <f>SUM(AD5:AD8)</f>
        <v>0</v>
      </c>
      <c r="AE9" s="14">
        <f t="shared" si="8"/>
        <v>-72.682715712607887</v>
      </c>
      <c r="AF9" s="91">
        <f t="shared" si="9"/>
        <v>0.96365864214369601</v>
      </c>
      <c r="AG9" s="177"/>
    </row>
    <row r="10" spans="1:33" ht="15.75" customHeight="1">
      <c r="A10" s="199" t="s">
        <v>2705</v>
      </c>
      <c r="B10" s="28" t="s">
        <v>9</v>
      </c>
      <c r="C10" s="200" t="s">
        <v>10</v>
      </c>
      <c r="D10" s="201"/>
      <c r="E10" s="28">
        <v>39.619999999999997</v>
      </c>
      <c r="F10" s="88">
        <v>3500</v>
      </c>
      <c r="G10" s="88">
        <f t="shared" ref="G10:G13" si="11">E10*F10</f>
        <v>138670</v>
      </c>
      <c r="H10" s="30">
        <v>2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3" si="12">F10/V10*60</f>
        <v>1438.3561643835617</v>
      </c>
      <c r="N10" s="12">
        <f t="shared" si="3"/>
        <v>75.702956020187457</v>
      </c>
      <c r="O10" s="14">
        <f t="shared" si="4"/>
        <v>0</v>
      </c>
      <c r="P10" s="15">
        <f t="shared" si="5"/>
        <v>-3.2444124008651727</v>
      </c>
      <c r="Q10" s="91">
        <f t="shared" si="6"/>
        <v>0.95890410958904115</v>
      </c>
      <c r="R10" s="177">
        <f>Q14</f>
        <v>0.95581598409292723</v>
      </c>
      <c r="S10" s="21">
        <v>0.20833333333333334</v>
      </c>
      <c r="T10" s="21">
        <v>0.30972222222222223</v>
      </c>
      <c r="U10" s="88"/>
      <c r="V10" s="30">
        <f t="shared" ref="V10:V13" si="13">(T10-S10)*24*60</f>
        <v>146</v>
      </c>
      <c r="W10" s="16"/>
      <c r="X10" s="16"/>
      <c r="Y10" s="16"/>
      <c r="Z10" s="16"/>
      <c r="AA10" s="168"/>
      <c r="AB10" s="168"/>
      <c r="AC10" s="18">
        <v>4</v>
      </c>
      <c r="AD10" s="18"/>
      <c r="AE10" s="14">
        <f t="shared" si="8"/>
        <v>-61.643835616438309</v>
      </c>
      <c r="AF10" s="91">
        <f t="shared" si="9"/>
        <v>0.95890410958904115</v>
      </c>
      <c r="AG10" s="177">
        <f>AF14</f>
        <v>0.95581598409292712</v>
      </c>
    </row>
    <row r="11" spans="1:33" ht="15.75" customHeight="1">
      <c r="A11" s="199" t="s">
        <v>2706</v>
      </c>
      <c r="B11" s="28" t="s">
        <v>9</v>
      </c>
      <c r="C11" s="200" t="s">
        <v>11</v>
      </c>
      <c r="D11" s="201"/>
      <c r="E11" s="28">
        <v>39.799999999999997</v>
      </c>
      <c r="F11" s="88">
        <v>6000</v>
      </c>
      <c r="G11" s="88">
        <f t="shared" si="11"/>
        <v>238799.99999999997</v>
      </c>
      <c r="H11" s="30">
        <v>2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1428.5714285714282</v>
      </c>
      <c r="N11" s="12">
        <f t="shared" si="3"/>
        <v>84.033613445378137</v>
      </c>
      <c r="O11" s="14">
        <f t="shared" si="4"/>
        <v>0</v>
      </c>
      <c r="P11" s="15">
        <f t="shared" si="5"/>
        <v>-4.2016806722689211</v>
      </c>
      <c r="Q11" s="91">
        <f t="shared" si="6"/>
        <v>0.95238095238095222</v>
      </c>
      <c r="R11" s="177"/>
      <c r="S11" s="21">
        <v>0.31458333333333333</v>
      </c>
      <c r="T11" s="21">
        <v>0.48958333333333337</v>
      </c>
      <c r="U11" s="88">
        <f t="shared" ref="U11:U13" si="14">IF(S11=TIME(17,0,0),"",(S11-T10)*24*60)</f>
        <v>6.9999999999999751</v>
      </c>
      <c r="V11" s="30">
        <f t="shared" si="13"/>
        <v>252.00000000000006</v>
      </c>
      <c r="W11" s="16">
        <f>T11</f>
        <v>0.48958333333333337</v>
      </c>
      <c r="X11" s="16">
        <f>S12</f>
        <v>0.53055555555555556</v>
      </c>
      <c r="Y11" s="16"/>
      <c r="Z11" s="16"/>
      <c r="AA11" s="168"/>
      <c r="AB11" s="168"/>
      <c r="AC11" s="18"/>
      <c r="AD11" s="18"/>
      <c r="AE11" s="14">
        <f t="shared" si="8"/>
        <v>-71.428571428571786</v>
      </c>
      <c r="AF11" s="91">
        <f t="shared" si="9"/>
        <v>0.95238095238095211</v>
      </c>
      <c r="AG11" s="177"/>
    </row>
    <row r="12" spans="1:33" ht="15.75" customHeight="1">
      <c r="A12" s="199" t="s">
        <v>2706</v>
      </c>
      <c r="B12" s="28" t="s">
        <v>9</v>
      </c>
      <c r="C12" s="200" t="s">
        <v>11</v>
      </c>
      <c r="D12" s="201"/>
      <c r="E12" s="28">
        <v>39.799999999999997</v>
      </c>
      <c r="F12" s="88">
        <v>1989</v>
      </c>
      <c r="G12" s="88">
        <f t="shared" si="11"/>
        <v>79162.2</v>
      </c>
      <c r="H12" s="30" t="s">
        <v>53</v>
      </c>
      <c r="I12" s="95">
        <v>17</v>
      </c>
      <c r="J12" s="13">
        <v>1500</v>
      </c>
      <c r="K12" s="12">
        <f t="shared" si="1"/>
        <v>88.235294117647058</v>
      </c>
      <c r="L12" s="95">
        <v>17</v>
      </c>
      <c r="M12" s="13">
        <f t="shared" si="12"/>
        <v>1437.8313253012043</v>
      </c>
      <c r="N12" s="12">
        <f t="shared" si="3"/>
        <v>84.578313253012013</v>
      </c>
      <c r="O12" s="14">
        <f t="shared" si="4"/>
        <v>0</v>
      </c>
      <c r="P12" s="15">
        <f t="shared" si="5"/>
        <v>-3.6569808646350452</v>
      </c>
      <c r="Q12" s="91">
        <f t="shared" si="6"/>
        <v>0.95855421686746944</v>
      </c>
      <c r="R12" s="177"/>
      <c r="S12" s="21">
        <v>0.53055555555555556</v>
      </c>
      <c r="T12" s="21">
        <v>0.58819444444444446</v>
      </c>
      <c r="U12" s="88">
        <f t="shared" si="14"/>
        <v>58.99999999999995</v>
      </c>
      <c r="V12" s="30">
        <f t="shared" si="13"/>
        <v>83.000000000000028</v>
      </c>
      <c r="W12" s="16"/>
      <c r="X12" s="16"/>
      <c r="Y12" s="16"/>
      <c r="Z12" s="16"/>
      <c r="AA12" s="168"/>
      <c r="AB12" s="168"/>
      <c r="AC12" s="18"/>
      <c r="AD12" s="18"/>
      <c r="AE12" s="14">
        <f t="shared" si="8"/>
        <v>-62.168674698795712</v>
      </c>
      <c r="AF12" s="91">
        <f t="shared" si="9"/>
        <v>0.95855421686746956</v>
      </c>
      <c r="AG12" s="177"/>
    </row>
    <row r="13" spans="1:33" ht="15.75" customHeight="1">
      <c r="A13" s="199" t="s">
        <v>2706</v>
      </c>
      <c r="B13" s="28" t="s">
        <v>9</v>
      </c>
      <c r="C13" s="200" t="s">
        <v>10</v>
      </c>
      <c r="D13" s="201"/>
      <c r="E13" s="28">
        <v>39.619999999999997</v>
      </c>
      <c r="F13" s="88">
        <v>1740</v>
      </c>
      <c r="G13" s="88">
        <f t="shared" si="11"/>
        <v>68938.799999999988</v>
      </c>
      <c r="H13" s="30" t="s">
        <v>53</v>
      </c>
      <c r="I13" s="95">
        <v>19</v>
      </c>
      <c r="J13" s="13">
        <v>1500</v>
      </c>
      <c r="K13" s="12">
        <f t="shared" si="1"/>
        <v>78.94736842105263</v>
      </c>
      <c r="L13" s="95">
        <v>19</v>
      </c>
      <c r="M13" s="13">
        <f t="shared" si="12"/>
        <v>1430.1369863013686</v>
      </c>
      <c r="N13" s="12">
        <f t="shared" si="3"/>
        <v>75.270367700072029</v>
      </c>
      <c r="O13" s="14">
        <f t="shared" si="4"/>
        <v>0</v>
      </c>
      <c r="P13" s="15">
        <f t="shared" si="5"/>
        <v>-3.677000720980601</v>
      </c>
      <c r="Q13" s="91">
        <f t="shared" si="6"/>
        <v>0.95342465753424577</v>
      </c>
      <c r="R13" s="177"/>
      <c r="S13" s="21">
        <v>0.59236111111111112</v>
      </c>
      <c r="T13" s="21">
        <v>0.6430555555555556</v>
      </c>
      <c r="U13" s="88">
        <f t="shared" si="14"/>
        <v>5.9999999999999787</v>
      </c>
      <c r="V13" s="30">
        <f t="shared" si="13"/>
        <v>73.000000000000057</v>
      </c>
      <c r="W13" s="16"/>
      <c r="X13" s="16"/>
      <c r="Y13" s="16"/>
      <c r="Z13" s="16"/>
      <c r="AA13" s="172"/>
      <c r="AB13" s="173"/>
      <c r="AC13" s="18"/>
      <c r="AD13" s="18"/>
      <c r="AE13" s="14">
        <f t="shared" si="8"/>
        <v>-69.863013698631448</v>
      </c>
      <c r="AF13" s="91">
        <f t="shared" si="9"/>
        <v>0.95342465753424566</v>
      </c>
      <c r="AG13" s="177"/>
    </row>
    <row r="14" spans="1:33" ht="16.5" customHeight="1">
      <c r="A14" s="199" t="s">
        <v>2706</v>
      </c>
      <c r="B14" s="28" t="s">
        <v>2707</v>
      </c>
      <c r="C14" s="178"/>
      <c r="D14" s="178"/>
      <c r="E14" s="92"/>
      <c r="F14" s="13"/>
      <c r="G14" s="13"/>
      <c r="H14" s="88"/>
      <c r="I14" s="23">
        <v>18</v>
      </c>
      <c r="J14" s="13">
        <v>1500</v>
      </c>
      <c r="K14" s="12">
        <f t="shared" si="1"/>
        <v>83.333333333333329</v>
      </c>
      <c r="L14" s="23">
        <v>18</v>
      </c>
      <c r="M14" s="13">
        <f>AVERAGE(M10:M13)</f>
        <v>1433.7239761393907</v>
      </c>
      <c r="N14" s="12">
        <f t="shared" si="3"/>
        <v>79.651332007743932</v>
      </c>
      <c r="O14" s="14">
        <f t="shared" si="4"/>
        <v>0</v>
      </c>
      <c r="P14" s="15">
        <f t="shared" si="5"/>
        <v>-3.6820013255893969</v>
      </c>
      <c r="Q14" s="91">
        <f t="shared" si="6"/>
        <v>0.95581598409292723</v>
      </c>
      <c r="R14" s="177"/>
      <c r="S14" s="21"/>
      <c r="T14" s="21"/>
      <c r="U14" s="12"/>
      <c r="V14" s="30"/>
      <c r="W14" s="12"/>
      <c r="X14" s="12"/>
      <c r="Y14" s="24">
        <f>SUM(Y10:Y13)</f>
        <v>0</v>
      </c>
      <c r="Z14" s="24">
        <f>SUM(Z10:Z13)</f>
        <v>0</v>
      </c>
      <c r="AA14" s="167"/>
      <c r="AB14" s="167"/>
      <c r="AC14" s="24">
        <v>4</v>
      </c>
      <c r="AD14" s="24">
        <f>SUM(AD10:AD13)</f>
        <v>0</v>
      </c>
      <c r="AE14" s="14">
        <f t="shared" si="8"/>
        <v>-66.276023860609257</v>
      </c>
      <c r="AF14" s="91">
        <f t="shared" si="9"/>
        <v>0.95581598409292712</v>
      </c>
      <c r="AG14" s="177"/>
    </row>
    <row r="15" spans="1:33" ht="16.5" customHeight="1">
      <c r="A15" s="197" t="s">
        <v>2708</v>
      </c>
      <c r="B15" s="88" t="s">
        <v>12</v>
      </c>
      <c r="C15" s="193" t="s">
        <v>13</v>
      </c>
      <c r="D15" s="193"/>
      <c r="E15" s="28">
        <v>41</v>
      </c>
      <c r="F15" s="88">
        <v>2222</v>
      </c>
      <c r="G15" s="88">
        <f t="shared" ref="G15:G23" si="15">E15*F15</f>
        <v>91102</v>
      </c>
      <c r="H15" s="30" t="s">
        <v>53</v>
      </c>
      <c r="I15" s="95">
        <v>26</v>
      </c>
      <c r="J15" s="13">
        <v>1500</v>
      </c>
      <c r="K15" s="12">
        <f t="shared" si="1"/>
        <v>57.692307692307693</v>
      </c>
      <c r="L15" s="95">
        <v>26</v>
      </c>
      <c r="M15" s="13">
        <f t="shared" ref="M15:M23" si="16">F15/V15*60</f>
        <v>1433.5483870967739</v>
      </c>
      <c r="N15" s="12">
        <f t="shared" si="3"/>
        <v>55.136476426799</v>
      </c>
      <c r="O15" s="14">
        <f t="shared" si="4"/>
        <v>0</v>
      </c>
      <c r="P15" s="15">
        <f t="shared" si="5"/>
        <v>-2.5558312655086937</v>
      </c>
      <c r="Q15" s="91">
        <f t="shared" si="6"/>
        <v>0.95569892473118268</v>
      </c>
      <c r="R15" s="177">
        <f>Q24</f>
        <v>0.9566801232348765</v>
      </c>
      <c r="S15" s="21">
        <v>8.3333333333333329E-2</v>
      </c>
      <c r="T15" s="21">
        <v>0.14791666666666667</v>
      </c>
      <c r="U15" s="88"/>
      <c r="V15" s="30">
        <f t="shared" ref="V15:V23" si="17">(T15-S15)*24*60</f>
        <v>93.000000000000014</v>
      </c>
      <c r="W15" s="16">
        <f>T15</f>
        <v>0.14791666666666667</v>
      </c>
      <c r="X15" s="16">
        <f>S16</f>
        <v>0.1673611111111111</v>
      </c>
      <c r="Y15" s="21"/>
      <c r="Z15" s="21"/>
      <c r="AA15" s="168"/>
      <c r="AB15" s="168"/>
      <c r="AC15" s="18">
        <v>9</v>
      </c>
      <c r="AD15" s="18"/>
      <c r="AE15" s="14">
        <f t="shared" si="8"/>
        <v>-66.451612903226078</v>
      </c>
      <c r="AF15" s="91">
        <f t="shared" si="9"/>
        <v>0.95569892473118256</v>
      </c>
      <c r="AG15" s="177">
        <f>AF24</f>
        <v>0.95668012323487661</v>
      </c>
    </row>
    <row r="16" spans="1:33" ht="16.5" customHeight="1">
      <c r="A16" s="198" t="s">
        <v>2708</v>
      </c>
      <c r="B16" s="88" t="s">
        <v>22</v>
      </c>
      <c r="C16" s="193" t="s">
        <v>51</v>
      </c>
      <c r="D16" s="193"/>
      <c r="E16" s="28">
        <v>24.43</v>
      </c>
      <c r="F16" s="88">
        <v>5300</v>
      </c>
      <c r="G16" s="88">
        <f t="shared" si="15"/>
        <v>129479</v>
      </c>
      <c r="H16" s="30">
        <v>2</v>
      </c>
      <c r="I16" s="95">
        <v>14</v>
      </c>
      <c r="J16" s="13">
        <v>2400</v>
      </c>
      <c r="K16" s="12">
        <f t="shared" si="1"/>
        <v>171.42857142857142</v>
      </c>
      <c r="L16" s="95">
        <v>14</v>
      </c>
      <c r="M16" s="13">
        <f t="shared" si="16"/>
        <v>2287.7697841726613</v>
      </c>
      <c r="N16" s="12">
        <f t="shared" si="3"/>
        <v>163.41212744090438</v>
      </c>
      <c r="O16" s="14">
        <f t="shared" si="4"/>
        <v>0</v>
      </c>
      <c r="P16" s="15">
        <f t="shared" si="5"/>
        <v>-8.0164439876670315</v>
      </c>
      <c r="Q16" s="91">
        <f t="shared" si="6"/>
        <v>0.95323741007194229</v>
      </c>
      <c r="R16" s="177"/>
      <c r="S16" s="21">
        <v>0.1673611111111111</v>
      </c>
      <c r="T16" s="21">
        <v>0.2638888888888889</v>
      </c>
      <c r="U16" s="88">
        <f t="shared" ref="U16:U23" si="18">IF(S16=TIME(17,0,0),"",(S16-T15)*24*60)</f>
        <v>27.999999999999979</v>
      </c>
      <c r="V16" s="30">
        <f t="shared" si="17"/>
        <v>139.00000000000003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-112.23021582733872</v>
      </c>
      <c r="AF16" s="91">
        <f t="shared" si="9"/>
        <v>0.95323741007194218</v>
      </c>
      <c r="AG16" s="177"/>
    </row>
    <row r="17" spans="1:33" ht="16.5" customHeight="1">
      <c r="A17" s="198" t="s">
        <v>2708</v>
      </c>
      <c r="B17" s="88" t="s">
        <v>22</v>
      </c>
      <c r="C17" s="193" t="s">
        <v>26</v>
      </c>
      <c r="D17" s="193"/>
      <c r="E17" s="28">
        <v>25.99</v>
      </c>
      <c r="F17" s="88">
        <v>5943</v>
      </c>
      <c r="G17" s="88">
        <f t="shared" si="15"/>
        <v>154458.56999999998</v>
      </c>
      <c r="H17" s="30" t="s">
        <v>53</v>
      </c>
      <c r="I17" s="95">
        <v>14</v>
      </c>
      <c r="J17" s="13">
        <v>2400</v>
      </c>
      <c r="K17" s="12">
        <f t="shared" si="1"/>
        <v>171.42857142857142</v>
      </c>
      <c r="L17" s="95">
        <v>14</v>
      </c>
      <c r="M17" s="13">
        <f t="shared" si="16"/>
        <v>2285.7692307692309</v>
      </c>
      <c r="N17" s="12">
        <f t="shared" si="3"/>
        <v>163.26923076923077</v>
      </c>
      <c r="O17" s="14">
        <f t="shared" si="4"/>
        <v>0</v>
      </c>
      <c r="P17" s="15">
        <f t="shared" si="5"/>
        <v>-8.1593406593406428</v>
      </c>
      <c r="Q17" s="91">
        <f t="shared" si="6"/>
        <v>0.95240384615384621</v>
      </c>
      <c r="R17" s="177"/>
      <c r="S17" s="21">
        <v>0.26805555555555555</v>
      </c>
      <c r="T17" s="21">
        <v>0.37638888888888888</v>
      </c>
      <c r="U17" s="88">
        <f t="shared" si="18"/>
        <v>5.9999999999999787</v>
      </c>
      <c r="V17" s="30">
        <f t="shared" si="17"/>
        <v>156</v>
      </c>
      <c r="W17" s="16"/>
      <c r="X17" s="16"/>
      <c r="Y17" s="16"/>
      <c r="Z17" s="16"/>
      <c r="AA17" s="168"/>
      <c r="AB17" s="168"/>
      <c r="AC17" s="18"/>
      <c r="AD17" s="18"/>
      <c r="AE17" s="14">
        <f t="shared" si="8"/>
        <v>-114.23076923076906</v>
      </c>
      <c r="AF17" s="91">
        <f t="shared" si="9"/>
        <v>0.95240384615384621</v>
      </c>
      <c r="AG17" s="177"/>
    </row>
    <row r="18" spans="1:33" ht="16.5" customHeight="1">
      <c r="A18" s="198" t="s">
        <v>2708</v>
      </c>
      <c r="B18" s="88" t="s">
        <v>22</v>
      </c>
      <c r="C18" s="193" t="s">
        <v>28</v>
      </c>
      <c r="D18" s="193"/>
      <c r="E18" s="28">
        <v>26.2</v>
      </c>
      <c r="F18" s="88">
        <v>3900</v>
      </c>
      <c r="G18" s="88">
        <f t="shared" si="15"/>
        <v>102180</v>
      </c>
      <c r="H18" s="30">
        <v>2</v>
      </c>
      <c r="I18" s="95">
        <v>18</v>
      </c>
      <c r="J18" s="13">
        <v>2400</v>
      </c>
      <c r="K18" s="12">
        <f t="shared" si="1"/>
        <v>133.33333333333334</v>
      </c>
      <c r="L18" s="95">
        <v>18</v>
      </c>
      <c r="M18" s="13">
        <f t="shared" si="16"/>
        <v>2294.1176470588243</v>
      </c>
      <c r="N18" s="12">
        <f t="shared" si="3"/>
        <v>127.45098039215691</v>
      </c>
      <c r="O18" s="14">
        <f t="shared" si="4"/>
        <v>0</v>
      </c>
      <c r="P18" s="15">
        <f t="shared" si="5"/>
        <v>-5.8823529411764355</v>
      </c>
      <c r="Q18" s="91">
        <f t="shared" si="6"/>
        <v>0.95588235294117674</v>
      </c>
      <c r="R18" s="177"/>
      <c r="S18" s="21">
        <v>0.38124999999999998</v>
      </c>
      <c r="T18" s="21">
        <v>0.45208333333333328</v>
      </c>
      <c r="U18" s="88">
        <f t="shared" si="18"/>
        <v>6.9999999999999751</v>
      </c>
      <c r="V18" s="30">
        <f t="shared" si="17"/>
        <v>101.99999999999996</v>
      </c>
      <c r="W18" s="16">
        <f>T18</f>
        <v>0.45208333333333328</v>
      </c>
      <c r="X18" s="16">
        <f>S19</f>
        <v>0.49305555555555547</v>
      </c>
      <c r="Y18" s="16"/>
      <c r="Z18" s="16"/>
      <c r="AA18" s="168"/>
      <c r="AB18" s="168"/>
      <c r="AC18" s="18"/>
      <c r="AD18" s="18"/>
      <c r="AE18" s="14">
        <f t="shared" si="8"/>
        <v>-105.88235294117567</v>
      </c>
      <c r="AF18" s="91">
        <f t="shared" si="9"/>
        <v>0.95588235294117685</v>
      </c>
      <c r="AG18" s="177"/>
    </row>
    <row r="19" spans="1:33" ht="16.5" customHeight="1">
      <c r="A19" s="198" t="s">
        <v>2708</v>
      </c>
      <c r="B19" s="88" t="s">
        <v>22</v>
      </c>
      <c r="C19" s="193" t="s">
        <v>28</v>
      </c>
      <c r="D19" s="193"/>
      <c r="E19" s="28">
        <v>26.2</v>
      </c>
      <c r="F19" s="88">
        <v>5822</v>
      </c>
      <c r="G19" s="88">
        <f t="shared" si="15"/>
        <v>152536.4</v>
      </c>
      <c r="H19" s="30" t="s">
        <v>53</v>
      </c>
      <c r="I19" s="95">
        <v>18</v>
      </c>
      <c r="J19" s="13">
        <v>2400</v>
      </c>
      <c r="K19" s="12">
        <f t="shared" si="1"/>
        <v>133.33333333333334</v>
      </c>
      <c r="L19" s="95">
        <v>18</v>
      </c>
      <c r="M19" s="13">
        <f t="shared" si="16"/>
        <v>2283.1372549019616</v>
      </c>
      <c r="N19" s="12">
        <f t="shared" si="3"/>
        <v>126.84095860566453</v>
      </c>
      <c r="O19" s="14">
        <f t="shared" si="4"/>
        <v>0</v>
      </c>
      <c r="P19" s="15">
        <f t="shared" si="5"/>
        <v>-6.4923747276688175</v>
      </c>
      <c r="Q19" s="91">
        <f t="shared" si="6"/>
        <v>0.95130718954248383</v>
      </c>
      <c r="R19" s="177"/>
      <c r="S19" s="21">
        <v>0.49305555555555547</v>
      </c>
      <c r="T19" s="21">
        <v>0.59930555555555542</v>
      </c>
      <c r="U19" s="88">
        <f t="shared" si="18"/>
        <v>58.99999999999995</v>
      </c>
      <c r="V19" s="30">
        <f t="shared" si="17"/>
        <v>152.99999999999994</v>
      </c>
      <c r="W19" s="16"/>
      <c r="X19" s="16"/>
      <c r="Y19" s="16"/>
      <c r="Z19" s="16"/>
      <c r="AA19" s="168"/>
      <c r="AB19" s="168"/>
      <c r="AC19" s="18"/>
      <c r="AD19" s="18"/>
      <c r="AE19" s="14">
        <f t="shared" si="8"/>
        <v>-116.86274509803843</v>
      </c>
      <c r="AF19" s="91">
        <f t="shared" si="9"/>
        <v>0.95130718954248394</v>
      </c>
      <c r="AG19" s="177"/>
    </row>
    <row r="20" spans="1:33" ht="16.5" customHeight="1">
      <c r="A20" s="198" t="s">
        <v>2708</v>
      </c>
      <c r="B20" s="88" t="s">
        <v>22</v>
      </c>
      <c r="C20" s="100" t="s">
        <v>51</v>
      </c>
      <c r="D20" s="101"/>
      <c r="E20" s="28">
        <v>24.43</v>
      </c>
      <c r="F20" s="88">
        <v>3845</v>
      </c>
      <c r="G20" s="88">
        <f t="shared" si="15"/>
        <v>93933.35</v>
      </c>
      <c r="H20" s="30" t="s">
        <v>53</v>
      </c>
      <c r="I20" s="95">
        <v>14</v>
      </c>
      <c r="J20" s="13">
        <v>2400</v>
      </c>
      <c r="K20" s="12">
        <f t="shared" si="1"/>
        <v>171.42857142857142</v>
      </c>
      <c r="L20" s="95">
        <v>14</v>
      </c>
      <c r="M20" s="13">
        <f t="shared" si="16"/>
        <v>2284.1584158415853</v>
      </c>
      <c r="N20" s="12">
        <f t="shared" si="3"/>
        <v>163.15417256011324</v>
      </c>
      <c r="O20" s="14">
        <f t="shared" si="4"/>
        <v>0</v>
      </c>
      <c r="P20" s="15">
        <f t="shared" si="5"/>
        <v>-8.274398868458178</v>
      </c>
      <c r="Q20" s="91">
        <f t="shared" si="6"/>
        <v>0.95173267326732724</v>
      </c>
      <c r="R20" s="177"/>
      <c r="S20" s="21">
        <v>0.60486111111111096</v>
      </c>
      <c r="T20" s="21">
        <v>0.67499999999999982</v>
      </c>
      <c r="U20" s="88">
        <f t="shared" si="18"/>
        <v>7.9999999999999716</v>
      </c>
      <c r="V20" s="30">
        <f t="shared" si="17"/>
        <v>100.99999999999996</v>
      </c>
      <c r="W20" s="16"/>
      <c r="X20" s="16"/>
      <c r="Y20" s="19"/>
      <c r="Z20" s="19"/>
      <c r="AA20" s="98"/>
      <c r="AB20" s="99"/>
      <c r="AC20" s="18"/>
      <c r="AD20" s="18"/>
      <c r="AE20" s="14">
        <f t="shared" si="8"/>
        <v>-115.84158415841466</v>
      </c>
      <c r="AF20" s="91">
        <f t="shared" si="9"/>
        <v>0.95173267326732724</v>
      </c>
      <c r="AG20" s="177"/>
    </row>
    <row r="21" spans="1:33" ht="16.5" customHeight="1">
      <c r="A21" s="198" t="s">
        <v>2708</v>
      </c>
      <c r="B21" s="88" t="s">
        <v>5</v>
      </c>
      <c r="C21" s="100" t="s">
        <v>20</v>
      </c>
      <c r="D21" s="101"/>
      <c r="E21" s="28">
        <v>53.68</v>
      </c>
      <c r="F21" s="88">
        <v>1305</v>
      </c>
      <c r="G21" s="88">
        <f t="shared" si="15"/>
        <v>70052.399999999994</v>
      </c>
      <c r="H21" s="30" t="s">
        <v>53</v>
      </c>
      <c r="I21" s="95">
        <v>16</v>
      </c>
      <c r="J21" s="13">
        <v>1500</v>
      </c>
      <c r="K21" s="12">
        <f t="shared" si="1"/>
        <v>93.75</v>
      </c>
      <c r="L21" s="95">
        <v>16</v>
      </c>
      <c r="M21" s="13">
        <f t="shared" si="16"/>
        <v>1450.0000000000007</v>
      </c>
      <c r="N21" s="12">
        <f t="shared" si="3"/>
        <v>90.625000000000043</v>
      </c>
      <c r="O21" s="14">
        <f t="shared" si="4"/>
        <v>0</v>
      </c>
      <c r="P21" s="15">
        <f t="shared" si="5"/>
        <v>-3.1249999999999574</v>
      </c>
      <c r="Q21" s="91">
        <f t="shared" si="6"/>
        <v>0.96666666666666712</v>
      </c>
      <c r="R21" s="177"/>
      <c r="S21" s="21">
        <v>0.70833333333333337</v>
      </c>
      <c r="T21" s="21">
        <v>0.74583333333333335</v>
      </c>
      <c r="U21" s="88" t="str">
        <f t="shared" si="18"/>
        <v/>
      </c>
      <c r="V21" s="30">
        <f t="shared" si="17"/>
        <v>53.999999999999972</v>
      </c>
      <c r="W21" s="16"/>
      <c r="X21" s="16"/>
      <c r="Y21" s="19"/>
      <c r="Z21" s="19"/>
      <c r="AA21" s="98"/>
      <c r="AB21" s="99"/>
      <c r="AC21" s="18"/>
      <c r="AD21" s="18"/>
      <c r="AE21" s="14">
        <f t="shared" si="8"/>
        <v>-49.999999999999318</v>
      </c>
      <c r="AF21" s="91">
        <f t="shared" si="9"/>
        <v>0.96666666666666712</v>
      </c>
      <c r="AG21" s="177"/>
    </row>
    <row r="22" spans="1:33" ht="16.5" customHeight="1">
      <c r="A22" s="198" t="s">
        <v>2708</v>
      </c>
      <c r="B22" s="88" t="s">
        <v>5</v>
      </c>
      <c r="C22" s="100" t="s">
        <v>15</v>
      </c>
      <c r="D22" s="101"/>
      <c r="E22" s="28">
        <v>50.92</v>
      </c>
      <c r="F22" s="88">
        <v>2370</v>
      </c>
      <c r="G22" s="88">
        <f t="shared" si="15"/>
        <v>120680.40000000001</v>
      </c>
      <c r="H22" s="30" t="s">
        <v>53</v>
      </c>
      <c r="I22" s="95">
        <v>15</v>
      </c>
      <c r="J22" s="13">
        <v>2000</v>
      </c>
      <c r="K22" s="12">
        <f t="shared" si="1"/>
        <v>133.33333333333334</v>
      </c>
      <c r="L22" s="95">
        <v>15</v>
      </c>
      <c r="M22" s="13">
        <f t="shared" si="16"/>
        <v>1921.6216216216203</v>
      </c>
      <c r="N22" s="12">
        <f t="shared" si="3"/>
        <v>128.10810810810801</v>
      </c>
      <c r="O22" s="14">
        <f t="shared" si="4"/>
        <v>0</v>
      </c>
      <c r="P22" s="15">
        <f t="shared" si="5"/>
        <v>-5.22522522522533</v>
      </c>
      <c r="Q22" s="91">
        <f t="shared" si="6"/>
        <v>0.96081081081080999</v>
      </c>
      <c r="R22" s="177"/>
      <c r="S22" s="21">
        <v>0.75069444444444444</v>
      </c>
      <c r="T22" s="21">
        <v>0.80208333333333337</v>
      </c>
      <c r="U22" s="88">
        <f t="shared" si="18"/>
        <v>6.9999999999999751</v>
      </c>
      <c r="V22" s="30">
        <f t="shared" si="17"/>
        <v>74.000000000000057</v>
      </c>
      <c r="W22" s="16"/>
      <c r="X22" s="16"/>
      <c r="Y22" s="19"/>
      <c r="Z22" s="19"/>
      <c r="AA22" s="98"/>
      <c r="AB22" s="99"/>
      <c r="AC22" s="18"/>
      <c r="AD22" s="18"/>
      <c r="AE22" s="14">
        <f t="shared" si="8"/>
        <v>-78.378378378379693</v>
      </c>
      <c r="AF22" s="91">
        <f t="shared" si="9"/>
        <v>0.9608108108108101</v>
      </c>
      <c r="AG22" s="177"/>
    </row>
    <row r="23" spans="1:33" ht="16.5" customHeight="1">
      <c r="A23" s="198" t="s">
        <v>2708</v>
      </c>
      <c r="B23" s="88" t="s">
        <v>5</v>
      </c>
      <c r="C23" s="100" t="s">
        <v>21</v>
      </c>
      <c r="D23" s="101"/>
      <c r="E23" s="28">
        <v>57.3</v>
      </c>
      <c r="F23" s="88">
        <v>1614</v>
      </c>
      <c r="G23" s="88">
        <f t="shared" si="15"/>
        <v>92482.2</v>
      </c>
      <c r="H23" s="30" t="s">
        <v>53</v>
      </c>
      <c r="I23" s="95">
        <v>13</v>
      </c>
      <c r="J23" s="13">
        <v>2000</v>
      </c>
      <c r="K23" s="12">
        <f t="shared" si="1"/>
        <v>153.84615384615384</v>
      </c>
      <c r="L23" s="95">
        <v>13</v>
      </c>
      <c r="M23" s="13">
        <f t="shared" si="16"/>
        <v>1936.8000000000004</v>
      </c>
      <c r="N23" s="12">
        <f t="shared" si="3"/>
        <v>148.98461538461541</v>
      </c>
      <c r="O23" s="14">
        <f t="shared" si="4"/>
        <v>0</v>
      </c>
      <c r="P23" s="15">
        <f t="shared" si="5"/>
        <v>-4.8615384615384301</v>
      </c>
      <c r="Q23" s="91">
        <f t="shared" si="6"/>
        <v>0.96840000000000015</v>
      </c>
      <c r="R23" s="177"/>
      <c r="S23" s="21">
        <v>0.80555555555555558</v>
      </c>
      <c r="T23" s="21">
        <v>0.84027777777777779</v>
      </c>
      <c r="U23" s="88">
        <f t="shared" si="18"/>
        <v>4.9999999999999822</v>
      </c>
      <c r="V23" s="30">
        <f t="shared" si="17"/>
        <v>49.999999999999986</v>
      </c>
      <c r="W23" s="16"/>
      <c r="X23" s="16"/>
      <c r="Y23" s="19"/>
      <c r="Z23" s="19"/>
      <c r="AA23" s="98"/>
      <c r="AB23" s="99"/>
      <c r="AC23" s="18"/>
      <c r="AD23" s="18"/>
      <c r="AE23" s="14">
        <f t="shared" si="8"/>
        <v>-63.199999999999591</v>
      </c>
      <c r="AF23" s="91">
        <f t="shared" si="9"/>
        <v>0.96840000000000015</v>
      </c>
      <c r="AG23" s="177"/>
    </row>
    <row r="24" spans="1:33" ht="16.5" customHeight="1">
      <c r="A24" s="198" t="s">
        <v>2708</v>
      </c>
      <c r="B24" s="28" t="s">
        <v>2707</v>
      </c>
      <c r="C24" s="178"/>
      <c r="D24" s="178"/>
      <c r="E24" s="92"/>
      <c r="F24" s="12"/>
      <c r="G24" s="12"/>
      <c r="H24" s="88"/>
      <c r="I24" s="23">
        <v>16.444444444444443</v>
      </c>
      <c r="J24" s="13">
        <v>2111.1111111111113</v>
      </c>
      <c r="K24" s="12">
        <f t="shared" si="1"/>
        <v>128.37837837837841</v>
      </c>
      <c r="L24" s="23">
        <v>16.444444444444443</v>
      </c>
      <c r="M24" s="13">
        <f>AVERAGE(M15:M23)</f>
        <v>2019.6580379402953</v>
      </c>
      <c r="N24" s="12">
        <f t="shared" si="3"/>
        <v>122.81704284772067</v>
      </c>
      <c r="O24" s="14">
        <f t="shared" si="4"/>
        <v>0</v>
      </c>
      <c r="P24" s="15">
        <f t="shared" si="5"/>
        <v>-5.5613355306577432</v>
      </c>
      <c r="Q24" s="91">
        <f t="shared" si="6"/>
        <v>0.9566801232348765</v>
      </c>
      <c r="R24" s="177"/>
      <c r="S24" s="21"/>
      <c r="T24" s="21"/>
      <c r="U24" s="88"/>
      <c r="V24" s="30"/>
      <c r="W24" s="12"/>
      <c r="X24" s="12"/>
      <c r="Y24" s="24">
        <f>SUM(Y15:Y23)</f>
        <v>0</v>
      </c>
      <c r="Z24" s="24">
        <f>SUM(Z15:Z23)</f>
        <v>0</v>
      </c>
      <c r="AA24" s="167"/>
      <c r="AB24" s="167"/>
      <c r="AC24" s="24">
        <v>9</v>
      </c>
      <c r="AD24" s="24">
        <f>SUM(AD15:AD23)</f>
        <v>0</v>
      </c>
      <c r="AE24" s="14">
        <f t="shared" si="8"/>
        <v>-91.453073170815969</v>
      </c>
      <c r="AF24" s="91">
        <f t="shared" si="9"/>
        <v>0.95668012323487661</v>
      </c>
      <c r="AG24" s="177"/>
    </row>
    <row r="25" spans="1:33" ht="15.75" customHeight="1">
      <c r="A25" s="195" t="s">
        <v>2709</v>
      </c>
      <c r="B25" s="28" t="s">
        <v>5</v>
      </c>
      <c r="C25" s="193" t="s">
        <v>2710</v>
      </c>
      <c r="D25" s="193"/>
      <c r="E25" s="28">
        <v>59.04</v>
      </c>
      <c r="F25" s="88">
        <v>6000</v>
      </c>
      <c r="G25" s="88">
        <f t="shared" ref="G25:G31" si="19">E25*F25</f>
        <v>354240</v>
      </c>
      <c r="H25" s="30">
        <v>2</v>
      </c>
      <c r="I25" s="95">
        <v>19</v>
      </c>
      <c r="J25" s="13">
        <v>2000</v>
      </c>
      <c r="K25" s="12">
        <f t="shared" si="1"/>
        <v>105.26315789473684</v>
      </c>
      <c r="L25" s="95">
        <v>19</v>
      </c>
      <c r="M25" s="13">
        <f t="shared" ref="M25:M31" si="20">F25/V25*60</f>
        <v>1904.7619047619044</v>
      </c>
      <c r="N25" s="12">
        <f t="shared" si="3"/>
        <v>100.25062656641602</v>
      </c>
      <c r="O25" s="14">
        <f t="shared" si="4"/>
        <v>0</v>
      </c>
      <c r="P25" s="15">
        <f t="shared" si="5"/>
        <v>-5.0125313283208186</v>
      </c>
      <c r="Q25" s="91">
        <f t="shared" si="6"/>
        <v>0.95238095238095222</v>
      </c>
      <c r="R25" s="177">
        <f>Q32</f>
        <v>0.95550120205608902</v>
      </c>
      <c r="S25" s="21">
        <v>0.20833333333333334</v>
      </c>
      <c r="T25" s="21">
        <v>0.33958333333333335</v>
      </c>
      <c r="U25" s="88"/>
      <c r="V25" s="30">
        <f t="shared" ref="V25:V31" si="21">(T25-S25)*24*60</f>
        <v>189.00000000000003</v>
      </c>
      <c r="W25" s="21"/>
      <c r="X25" s="21"/>
      <c r="Y25" s="21"/>
      <c r="Z25" s="21"/>
      <c r="AA25" s="168"/>
      <c r="AB25" s="168"/>
      <c r="AC25" s="18">
        <v>7</v>
      </c>
      <c r="AD25" s="18"/>
      <c r="AE25" s="14">
        <f t="shared" si="8"/>
        <v>-95.238095238095639</v>
      </c>
      <c r="AF25" s="91">
        <f t="shared" si="9"/>
        <v>0.95238095238095222</v>
      </c>
      <c r="AG25" s="177">
        <f>AF32</f>
        <v>0.95550120205608902</v>
      </c>
    </row>
    <row r="26" spans="1:33" ht="15.75" customHeight="1">
      <c r="A26" s="196" t="s">
        <v>2709</v>
      </c>
      <c r="B26" s="28" t="s">
        <v>5</v>
      </c>
      <c r="C26" s="193" t="s">
        <v>73</v>
      </c>
      <c r="D26" s="193"/>
      <c r="E26" s="28">
        <v>50.67</v>
      </c>
      <c r="F26" s="88">
        <v>2380</v>
      </c>
      <c r="G26" s="88">
        <f t="shared" si="19"/>
        <v>120594.6</v>
      </c>
      <c r="H26" s="30" t="s">
        <v>53</v>
      </c>
      <c r="I26" s="95">
        <v>17</v>
      </c>
      <c r="J26" s="13">
        <v>2000</v>
      </c>
      <c r="K26" s="12">
        <f t="shared" si="1"/>
        <v>117.64705882352941</v>
      </c>
      <c r="L26" s="95">
        <v>17</v>
      </c>
      <c r="M26" s="13">
        <f t="shared" si="20"/>
        <v>1904.0000000000007</v>
      </c>
      <c r="N26" s="12">
        <f t="shared" si="3"/>
        <v>112.00000000000004</v>
      </c>
      <c r="O26" s="14">
        <f t="shared" si="4"/>
        <v>0</v>
      </c>
      <c r="P26" s="15">
        <f t="shared" si="5"/>
        <v>-5.6470588235293633</v>
      </c>
      <c r="Q26" s="91">
        <f t="shared" si="6"/>
        <v>0.9520000000000004</v>
      </c>
      <c r="R26" s="177"/>
      <c r="S26" s="21">
        <v>0.34305555555555556</v>
      </c>
      <c r="T26" s="21">
        <v>0.39513888888888887</v>
      </c>
      <c r="U26" s="88">
        <f t="shared" ref="U26:U31" si="22">IF(S26=TIME(17,0,0),"",(S26-T25)*24*60)</f>
        <v>4.9999999999999822</v>
      </c>
      <c r="V26" s="30">
        <f t="shared" si="21"/>
        <v>74.999999999999972</v>
      </c>
      <c r="W26" s="16"/>
      <c r="X26" s="88"/>
      <c r="Y26" s="88"/>
      <c r="Z26" s="88"/>
      <c r="AA26" s="168"/>
      <c r="AB26" s="168"/>
      <c r="AC26" s="18"/>
      <c r="AD26" s="18"/>
      <c r="AE26" s="14">
        <f t="shared" si="8"/>
        <v>-95.999999999999318</v>
      </c>
      <c r="AF26" s="91">
        <f t="shared" si="9"/>
        <v>0.95200000000000029</v>
      </c>
      <c r="AG26" s="177"/>
    </row>
    <row r="27" spans="1:33" ht="15.75" customHeight="1">
      <c r="A27" s="196" t="s">
        <v>2709</v>
      </c>
      <c r="B27" s="28" t="s">
        <v>5</v>
      </c>
      <c r="C27" s="193" t="s">
        <v>17</v>
      </c>
      <c r="D27" s="193"/>
      <c r="E27" s="28">
        <v>57.73</v>
      </c>
      <c r="F27" s="88">
        <v>2438</v>
      </c>
      <c r="G27" s="88">
        <f t="shared" si="19"/>
        <v>140745.74</v>
      </c>
      <c r="H27" s="30" t="s">
        <v>53</v>
      </c>
      <c r="I27" s="95">
        <v>14</v>
      </c>
      <c r="J27" s="13">
        <v>2000</v>
      </c>
      <c r="K27" s="12">
        <f t="shared" si="1"/>
        <v>142.85714285714286</v>
      </c>
      <c r="L27" s="95">
        <v>14</v>
      </c>
      <c r="M27" s="13">
        <f t="shared" si="20"/>
        <v>1924.7368421052638</v>
      </c>
      <c r="N27" s="12">
        <f t="shared" si="3"/>
        <v>137.48120300751884</v>
      </c>
      <c r="O27" s="14">
        <f t="shared" si="4"/>
        <v>0</v>
      </c>
      <c r="P27" s="15">
        <f t="shared" si="5"/>
        <v>-5.3759398496240181</v>
      </c>
      <c r="Q27" s="91">
        <f t="shared" si="6"/>
        <v>0.96236842105263187</v>
      </c>
      <c r="R27" s="177"/>
      <c r="S27" s="21">
        <v>0.40069444444444441</v>
      </c>
      <c r="T27" s="21">
        <v>0.45347222222222217</v>
      </c>
      <c r="U27" s="88">
        <f t="shared" si="22"/>
        <v>7.9999999999999716</v>
      </c>
      <c r="V27" s="30">
        <f t="shared" si="21"/>
        <v>75.999999999999972</v>
      </c>
      <c r="W27" s="16">
        <f>T27</f>
        <v>0.45347222222222217</v>
      </c>
      <c r="X27" s="16">
        <f>S28</f>
        <v>0.49236111111111103</v>
      </c>
      <c r="Y27" s="88"/>
      <c r="Z27" s="88"/>
      <c r="AA27" s="168"/>
      <c r="AB27" s="168"/>
      <c r="AC27" s="18"/>
      <c r="AD27" s="18"/>
      <c r="AE27" s="14">
        <f t="shared" si="8"/>
        <v>-75.263157894736196</v>
      </c>
      <c r="AF27" s="91">
        <f t="shared" si="9"/>
        <v>0.96236842105263187</v>
      </c>
      <c r="AG27" s="177"/>
    </row>
    <row r="28" spans="1:33" ht="15.75" customHeight="1">
      <c r="A28" s="196" t="s">
        <v>2709</v>
      </c>
      <c r="B28" s="28" t="s">
        <v>5</v>
      </c>
      <c r="C28" s="193" t="s">
        <v>2710</v>
      </c>
      <c r="D28" s="193"/>
      <c r="E28" s="28">
        <v>59.04</v>
      </c>
      <c r="F28" s="88">
        <v>4544</v>
      </c>
      <c r="G28" s="88">
        <f t="shared" si="19"/>
        <v>268277.76000000001</v>
      </c>
      <c r="H28" s="30" t="s">
        <v>53</v>
      </c>
      <c r="I28" s="95">
        <v>19</v>
      </c>
      <c r="J28" s="13">
        <v>2000</v>
      </c>
      <c r="K28" s="12">
        <f t="shared" si="1"/>
        <v>105.26315789473684</v>
      </c>
      <c r="L28" s="95">
        <v>19</v>
      </c>
      <c r="M28" s="13">
        <f t="shared" si="20"/>
        <v>1906.573426573427</v>
      </c>
      <c r="N28" s="12">
        <f t="shared" si="3"/>
        <v>100.34596981965406</v>
      </c>
      <c r="O28" s="14">
        <f t="shared" si="4"/>
        <v>0</v>
      </c>
      <c r="P28" s="15">
        <f t="shared" si="5"/>
        <v>-4.9171880750827768</v>
      </c>
      <c r="Q28" s="91">
        <f t="shared" si="6"/>
        <v>0.95328671328671366</v>
      </c>
      <c r="R28" s="177"/>
      <c r="S28" s="21">
        <v>0.49236111111111103</v>
      </c>
      <c r="T28" s="21">
        <v>0.59166666666666656</v>
      </c>
      <c r="U28" s="88">
        <f t="shared" si="22"/>
        <v>55.999999999999957</v>
      </c>
      <c r="V28" s="30">
        <f t="shared" si="21"/>
        <v>142.99999999999997</v>
      </c>
      <c r="W28" s="16"/>
      <c r="X28" s="88"/>
      <c r="Y28" s="88"/>
      <c r="Z28" s="88"/>
      <c r="AA28" s="168"/>
      <c r="AB28" s="168"/>
      <c r="AC28" s="18"/>
      <c r="AD28" s="18"/>
      <c r="AE28" s="14">
        <f t="shared" si="8"/>
        <v>-93.426573426572986</v>
      </c>
      <c r="AF28" s="91">
        <f t="shared" si="9"/>
        <v>0.95328671328671355</v>
      </c>
      <c r="AG28" s="177"/>
    </row>
    <row r="29" spans="1:33" ht="15.75" customHeight="1">
      <c r="A29" s="196" t="s">
        <v>2709</v>
      </c>
      <c r="B29" s="28" t="s">
        <v>5</v>
      </c>
      <c r="C29" s="193" t="s">
        <v>19</v>
      </c>
      <c r="D29" s="193"/>
      <c r="E29" s="28">
        <v>50.49</v>
      </c>
      <c r="F29" s="88">
        <v>2061</v>
      </c>
      <c r="G29" s="88">
        <f t="shared" si="19"/>
        <v>104059.89</v>
      </c>
      <c r="H29" s="30" t="s">
        <v>53</v>
      </c>
      <c r="I29" s="95">
        <v>15</v>
      </c>
      <c r="J29" s="13">
        <v>2000</v>
      </c>
      <c r="K29" s="12">
        <f t="shared" si="1"/>
        <v>133.33333333333334</v>
      </c>
      <c r="L29" s="95">
        <v>15</v>
      </c>
      <c r="M29" s="13">
        <f t="shared" si="20"/>
        <v>1902.4615384615404</v>
      </c>
      <c r="N29" s="12">
        <f t="shared" si="3"/>
        <v>126.83076923076936</v>
      </c>
      <c r="O29" s="14">
        <f t="shared" si="4"/>
        <v>0</v>
      </c>
      <c r="P29" s="15">
        <f t="shared" si="5"/>
        <v>-6.50256410256398</v>
      </c>
      <c r="Q29" s="91">
        <f t="shared" si="6"/>
        <v>0.9512307692307701</v>
      </c>
      <c r="R29" s="177"/>
      <c r="S29" s="21">
        <v>0.70833333333333337</v>
      </c>
      <c r="T29" s="21">
        <v>0.75347222222222221</v>
      </c>
      <c r="U29" s="88" t="str">
        <f t="shared" si="22"/>
        <v/>
      </c>
      <c r="V29" s="30">
        <f t="shared" si="21"/>
        <v>64.999999999999929</v>
      </c>
      <c r="W29" s="16"/>
      <c r="X29" s="16"/>
      <c r="Y29" s="88"/>
      <c r="Z29" s="88"/>
      <c r="AA29" s="168"/>
      <c r="AB29" s="168"/>
      <c r="AC29" s="18"/>
      <c r="AD29" s="18"/>
      <c r="AE29" s="14">
        <f t="shared" si="8"/>
        <v>-97.538461538459615</v>
      </c>
      <c r="AF29" s="91">
        <f t="shared" si="9"/>
        <v>0.95123076923077021</v>
      </c>
      <c r="AG29" s="177"/>
    </row>
    <row r="30" spans="1:33" ht="15.75" customHeight="1">
      <c r="A30" s="196" t="s">
        <v>2709</v>
      </c>
      <c r="B30" s="28" t="s">
        <v>5</v>
      </c>
      <c r="C30" s="193" t="s">
        <v>14</v>
      </c>
      <c r="D30" s="193"/>
      <c r="E30" s="28">
        <v>50.98</v>
      </c>
      <c r="F30" s="88">
        <v>2460</v>
      </c>
      <c r="G30" s="88">
        <f t="shared" si="19"/>
        <v>125410.79999999999</v>
      </c>
      <c r="H30" s="30" t="s">
        <v>53</v>
      </c>
      <c r="I30" s="95">
        <v>16</v>
      </c>
      <c r="J30" s="13">
        <v>2000</v>
      </c>
      <c r="K30" s="12">
        <f t="shared" si="1"/>
        <v>125</v>
      </c>
      <c r="L30" s="95">
        <v>16</v>
      </c>
      <c r="M30" s="13">
        <f t="shared" si="20"/>
        <v>1916.8831168831157</v>
      </c>
      <c r="N30" s="12">
        <f t="shared" si="3"/>
        <v>119.80519480519473</v>
      </c>
      <c r="O30" s="14">
        <f t="shared" si="4"/>
        <v>0</v>
      </c>
      <c r="P30" s="15">
        <f t="shared" si="5"/>
        <v>-5.1948051948052694</v>
      </c>
      <c r="Q30" s="91">
        <f t="shared" si="6"/>
        <v>0.95844155844155787</v>
      </c>
      <c r="R30" s="177"/>
      <c r="S30" s="21">
        <v>0.75763888888888886</v>
      </c>
      <c r="T30" s="21">
        <v>0.81111111111111112</v>
      </c>
      <c r="U30" s="88">
        <f t="shared" si="22"/>
        <v>5.9999999999999787</v>
      </c>
      <c r="V30" s="30">
        <f t="shared" si="21"/>
        <v>77.000000000000043</v>
      </c>
      <c r="W30" s="16"/>
      <c r="X30" s="21"/>
      <c r="Y30" s="21"/>
      <c r="Z30" s="21"/>
      <c r="AA30" s="168"/>
      <c r="AB30" s="168"/>
      <c r="AC30" s="18"/>
      <c r="AD30" s="18"/>
      <c r="AE30" s="14">
        <f t="shared" si="8"/>
        <v>-83.11688311688431</v>
      </c>
      <c r="AF30" s="91">
        <f t="shared" si="9"/>
        <v>0.95844155844155787</v>
      </c>
      <c r="AG30" s="177"/>
    </row>
    <row r="31" spans="1:33" ht="15.75" customHeight="1">
      <c r="A31" s="196" t="s">
        <v>2709</v>
      </c>
      <c r="B31" s="28" t="s">
        <v>5</v>
      </c>
      <c r="C31" s="218" t="s">
        <v>16</v>
      </c>
      <c r="D31" s="219"/>
      <c r="E31" s="28">
        <v>50.67</v>
      </c>
      <c r="F31" s="88">
        <v>799</v>
      </c>
      <c r="G31" s="88">
        <f t="shared" si="19"/>
        <v>40485.33</v>
      </c>
      <c r="H31" s="30" t="s">
        <v>53</v>
      </c>
      <c r="I31" s="95">
        <v>15</v>
      </c>
      <c r="J31" s="13">
        <v>2000</v>
      </c>
      <c r="K31" s="12">
        <f t="shared" si="1"/>
        <v>133.33333333333334</v>
      </c>
      <c r="L31" s="95">
        <v>15</v>
      </c>
      <c r="M31" s="13">
        <f t="shared" si="20"/>
        <v>1917.5999999999945</v>
      </c>
      <c r="N31" s="12">
        <f t="shared" si="3"/>
        <v>127.83999999999963</v>
      </c>
      <c r="O31" s="14">
        <f t="shared" si="4"/>
        <v>0</v>
      </c>
      <c r="P31" s="15">
        <f t="shared" si="5"/>
        <v>-5.4933333333337089</v>
      </c>
      <c r="Q31" s="91">
        <f t="shared" si="6"/>
        <v>0.95879999999999721</v>
      </c>
      <c r="R31" s="177"/>
      <c r="S31" s="21">
        <v>0.81527777777777777</v>
      </c>
      <c r="T31" s="21">
        <v>0.83263888888888893</v>
      </c>
      <c r="U31" s="88">
        <f t="shared" si="22"/>
        <v>5.9999999999999787</v>
      </c>
      <c r="V31" s="30">
        <f t="shared" si="21"/>
        <v>25.000000000000071</v>
      </c>
      <c r="W31" s="16"/>
      <c r="X31" s="21"/>
      <c r="Y31" s="22"/>
      <c r="Z31" s="22"/>
      <c r="AA31" s="172"/>
      <c r="AB31" s="173"/>
      <c r="AC31" s="18"/>
      <c r="AD31" s="18"/>
      <c r="AE31" s="14">
        <f t="shared" si="8"/>
        <v>-82.400000000005548</v>
      </c>
      <c r="AF31" s="91">
        <f t="shared" si="9"/>
        <v>0.95879999999999721</v>
      </c>
      <c r="AG31" s="177"/>
    </row>
    <row r="32" spans="1:33" ht="15.75" customHeight="1">
      <c r="A32" s="196" t="s">
        <v>2709</v>
      </c>
      <c r="B32" s="28" t="s">
        <v>2707</v>
      </c>
      <c r="C32" s="178"/>
      <c r="D32" s="178"/>
      <c r="E32" s="92"/>
      <c r="F32" s="88"/>
      <c r="G32" s="88"/>
      <c r="H32" s="88"/>
      <c r="I32" s="23">
        <v>16.428571428571427</v>
      </c>
      <c r="J32" s="13">
        <v>2000</v>
      </c>
      <c r="K32" s="12">
        <f t="shared" si="1"/>
        <v>121.73913043478262</v>
      </c>
      <c r="L32" s="23">
        <v>16.428571428571427</v>
      </c>
      <c r="M32" s="13">
        <f>AVERAGE(M25:M31)</f>
        <v>1911.0024041121781</v>
      </c>
      <c r="N32" s="12">
        <f t="shared" si="3"/>
        <v>116.32188546769781</v>
      </c>
      <c r="O32" s="14">
        <f t="shared" si="4"/>
        <v>0</v>
      </c>
      <c r="P32" s="15">
        <f t="shared" si="5"/>
        <v>-5.4172449670848124</v>
      </c>
      <c r="Q32" s="91">
        <f t="shared" si="6"/>
        <v>0.95550120205608902</v>
      </c>
      <c r="R32" s="177"/>
      <c r="S32" s="21"/>
      <c r="T32" s="21"/>
      <c r="U32" s="12"/>
      <c r="V32" s="30"/>
      <c r="W32" s="12"/>
      <c r="X32" s="12"/>
      <c r="Y32" s="24">
        <f>SUM(Y25:Y31)</f>
        <v>0</v>
      </c>
      <c r="Z32" s="24">
        <f>SUM(Z25:Z31)</f>
        <v>0</v>
      </c>
      <c r="AA32" s="167"/>
      <c r="AB32" s="167"/>
      <c r="AC32" s="24">
        <v>7</v>
      </c>
      <c r="AD32" s="24">
        <f>SUM(AD25:AD31)</f>
        <v>0</v>
      </c>
      <c r="AE32" s="14">
        <f t="shared" si="8"/>
        <v>-88.997595887821944</v>
      </c>
      <c r="AF32" s="91">
        <f t="shared" si="9"/>
        <v>0.95550120205608902</v>
      </c>
      <c r="AG32" s="177"/>
    </row>
    <row r="33" spans="1:33" ht="15.75" customHeight="1">
      <c r="A33" s="194" t="s">
        <v>2711</v>
      </c>
      <c r="B33" s="28" t="s">
        <v>22</v>
      </c>
      <c r="C33" s="193" t="s">
        <v>23</v>
      </c>
      <c r="D33" s="193"/>
      <c r="E33" s="28">
        <v>31.29</v>
      </c>
      <c r="F33" s="88">
        <v>5900</v>
      </c>
      <c r="G33" s="88">
        <f t="shared" ref="G33:G38" si="23">E33*F33</f>
        <v>184611</v>
      </c>
      <c r="H33" s="30">
        <v>2</v>
      </c>
      <c r="I33" s="95">
        <v>18</v>
      </c>
      <c r="J33" s="13">
        <v>2400</v>
      </c>
      <c r="K33" s="12">
        <f t="shared" si="1"/>
        <v>133.33333333333334</v>
      </c>
      <c r="L33" s="95">
        <v>18</v>
      </c>
      <c r="M33" s="13">
        <f t="shared" ref="M33:M38" si="24">F33/V33*60</f>
        <v>2298.701298701299</v>
      </c>
      <c r="N33" s="12">
        <f t="shared" si="3"/>
        <v>127.70562770562772</v>
      </c>
      <c r="O33" s="14">
        <f t="shared" si="4"/>
        <v>0</v>
      </c>
      <c r="P33" s="15">
        <f t="shared" si="5"/>
        <v>-5.6277056277056232</v>
      </c>
      <c r="Q33" s="91">
        <f t="shared" si="6"/>
        <v>0.95779220779220786</v>
      </c>
      <c r="R33" s="177">
        <f>Q39</f>
        <v>0.95539878298204606</v>
      </c>
      <c r="S33" s="21">
        <v>8.3333333333333329E-2</v>
      </c>
      <c r="T33" s="21">
        <v>0.19027777777777777</v>
      </c>
      <c r="U33" s="88"/>
      <c r="V33" s="30">
        <f t="shared" ref="V33:V38" si="25">(T33-S33)*24*60</f>
        <v>154</v>
      </c>
      <c r="W33" s="16">
        <f>T33</f>
        <v>0.19027777777777777</v>
      </c>
      <c r="X33" s="16">
        <f>S34</f>
        <v>0.2097222222222222</v>
      </c>
      <c r="Y33" s="16"/>
      <c r="Z33" s="16"/>
      <c r="AA33" s="168"/>
      <c r="AB33" s="168"/>
      <c r="AC33" s="18">
        <v>6</v>
      </c>
      <c r="AD33" s="18"/>
      <c r="AE33" s="14">
        <f t="shared" si="8"/>
        <v>-101.29870129870096</v>
      </c>
      <c r="AF33" s="91">
        <f t="shared" si="9"/>
        <v>0.95779220779220797</v>
      </c>
      <c r="AG33" s="177">
        <f>AF39</f>
        <v>0.95539878298204595</v>
      </c>
    </row>
    <row r="34" spans="1:33" ht="15.75" customHeight="1">
      <c r="A34" s="194" t="s">
        <v>2711</v>
      </c>
      <c r="B34" s="28" t="s">
        <v>22</v>
      </c>
      <c r="C34" s="193" t="s">
        <v>25</v>
      </c>
      <c r="D34" s="193"/>
      <c r="E34" s="28">
        <v>26.2</v>
      </c>
      <c r="F34" s="88">
        <v>5000</v>
      </c>
      <c r="G34" s="88">
        <f t="shared" si="23"/>
        <v>131000</v>
      </c>
      <c r="H34" s="30">
        <v>2</v>
      </c>
      <c r="I34" s="95">
        <v>20</v>
      </c>
      <c r="J34" s="13">
        <v>2400</v>
      </c>
      <c r="K34" s="12">
        <f t="shared" si="1"/>
        <v>120</v>
      </c>
      <c r="L34" s="95">
        <v>20</v>
      </c>
      <c r="M34" s="13">
        <f t="shared" si="24"/>
        <v>2290.0763358778627</v>
      </c>
      <c r="N34" s="12">
        <f t="shared" si="3"/>
        <v>114.50381679389314</v>
      </c>
      <c r="O34" s="14">
        <f t="shared" si="4"/>
        <v>0</v>
      </c>
      <c r="P34" s="15">
        <f t="shared" si="5"/>
        <v>-5.4961832061068634</v>
      </c>
      <c r="Q34" s="91">
        <f t="shared" si="6"/>
        <v>0.95419847328244278</v>
      </c>
      <c r="R34" s="177"/>
      <c r="S34" s="21">
        <v>0.2097222222222222</v>
      </c>
      <c r="T34" s="21">
        <v>0.30069444444444443</v>
      </c>
      <c r="U34" s="88">
        <f t="shared" ref="U34:U38" si="26">(S34-T33)*24*60</f>
        <v>27.999999999999979</v>
      </c>
      <c r="V34" s="30">
        <f t="shared" si="25"/>
        <v>131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8"/>
        <v>-109.92366412213732</v>
      </c>
      <c r="AF34" s="91">
        <f t="shared" si="9"/>
        <v>0.95419847328244278</v>
      </c>
      <c r="AG34" s="177"/>
    </row>
    <row r="35" spans="1:33" ht="15.75" customHeight="1">
      <c r="A35" s="194" t="s">
        <v>2711</v>
      </c>
      <c r="B35" s="28" t="s">
        <v>22</v>
      </c>
      <c r="C35" s="193" t="s">
        <v>2712</v>
      </c>
      <c r="D35" s="193"/>
      <c r="E35" s="28">
        <v>26.37</v>
      </c>
      <c r="F35" s="88">
        <v>6300</v>
      </c>
      <c r="G35" s="88">
        <f t="shared" si="23"/>
        <v>166131</v>
      </c>
      <c r="H35" s="30">
        <v>2</v>
      </c>
      <c r="I35" s="95">
        <v>19</v>
      </c>
      <c r="J35" s="13">
        <v>2400</v>
      </c>
      <c r="K35" s="12">
        <f t="shared" si="1"/>
        <v>126.31578947368421</v>
      </c>
      <c r="L35" s="95">
        <v>19</v>
      </c>
      <c r="M35" s="13">
        <f t="shared" si="24"/>
        <v>2290.909090909091</v>
      </c>
      <c r="N35" s="12">
        <f t="shared" si="3"/>
        <v>120.57416267942584</v>
      </c>
      <c r="O35" s="14">
        <f t="shared" si="4"/>
        <v>0</v>
      </c>
      <c r="P35" s="15">
        <f t="shared" si="5"/>
        <v>-5.7416267942583659</v>
      </c>
      <c r="Q35" s="91">
        <f t="shared" si="6"/>
        <v>0.95454545454545459</v>
      </c>
      <c r="R35" s="177"/>
      <c r="S35" s="21">
        <v>0.30555555555555552</v>
      </c>
      <c r="T35" s="21">
        <v>0.42013888888888884</v>
      </c>
      <c r="U35" s="88">
        <f t="shared" si="26"/>
        <v>6.9999999999999751</v>
      </c>
      <c r="V35" s="30">
        <f t="shared" si="25"/>
        <v>164.99999999999997</v>
      </c>
      <c r="W35" s="16"/>
      <c r="X35" s="16"/>
      <c r="Y35" s="16"/>
      <c r="Z35" s="16"/>
      <c r="AA35" s="168"/>
      <c r="AB35" s="168"/>
      <c r="AC35" s="18"/>
      <c r="AD35" s="18"/>
      <c r="AE35" s="14">
        <f t="shared" si="8"/>
        <v>-109.09090909090901</v>
      </c>
      <c r="AF35" s="91">
        <f t="shared" si="9"/>
        <v>0.95454545454545459</v>
      </c>
      <c r="AG35" s="177"/>
    </row>
    <row r="36" spans="1:33" ht="15.75" customHeight="1">
      <c r="A36" s="194" t="s">
        <v>2711</v>
      </c>
      <c r="B36" s="28" t="s">
        <v>22</v>
      </c>
      <c r="C36" s="193" t="s">
        <v>49</v>
      </c>
      <c r="D36" s="193"/>
      <c r="E36" s="28">
        <v>20.2</v>
      </c>
      <c r="F36" s="88">
        <v>2916</v>
      </c>
      <c r="G36" s="88">
        <f t="shared" si="23"/>
        <v>58903.199999999997</v>
      </c>
      <c r="H36" s="30" t="s">
        <v>53</v>
      </c>
      <c r="I36" s="95">
        <v>15</v>
      </c>
      <c r="J36" s="13">
        <v>2400</v>
      </c>
      <c r="K36" s="12">
        <f t="shared" si="1"/>
        <v>160</v>
      </c>
      <c r="L36" s="95">
        <v>15</v>
      </c>
      <c r="M36" s="13">
        <f t="shared" si="24"/>
        <v>2302.1052631578959</v>
      </c>
      <c r="N36" s="12">
        <f t="shared" si="3"/>
        <v>153.47368421052639</v>
      </c>
      <c r="O36" s="14">
        <f t="shared" si="4"/>
        <v>0</v>
      </c>
      <c r="P36" s="15">
        <f t="shared" si="5"/>
        <v>-6.5263157894736139</v>
      </c>
      <c r="Q36" s="91">
        <f t="shared" si="6"/>
        <v>0.95921052631578996</v>
      </c>
      <c r="R36" s="177"/>
      <c r="S36" s="21">
        <v>0.42569444444444438</v>
      </c>
      <c r="T36" s="21">
        <v>0.47847222222222213</v>
      </c>
      <c r="U36" s="88">
        <f t="shared" si="26"/>
        <v>7.9999999999999716</v>
      </c>
      <c r="V36" s="30">
        <f t="shared" si="25"/>
        <v>75.999999999999972</v>
      </c>
      <c r="W36" s="16">
        <f>T36</f>
        <v>0.47847222222222213</v>
      </c>
      <c r="X36" s="16">
        <f>S37</f>
        <v>0.51944444444444426</v>
      </c>
      <c r="Y36" s="16"/>
      <c r="Z36" s="16"/>
      <c r="AA36" s="168"/>
      <c r="AB36" s="168"/>
      <c r="AC36" s="18"/>
      <c r="AD36" s="18"/>
      <c r="AE36" s="14">
        <f t="shared" si="8"/>
        <v>-97.894736842104066</v>
      </c>
      <c r="AF36" s="91">
        <f t="shared" si="9"/>
        <v>0.95921052631578996</v>
      </c>
      <c r="AG36" s="177"/>
    </row>
    <row r="37" spans="1:33" ht="15.75" customHeight="1">
      <c r="A37" s="194" t="s">
        <v>2711</v>
      </c>
      <c r="B37" s="28" t="s">
        <v>22</v>
      </c>
      <c r="C37" s="193" t="s">
        <v>23</v>
      </c>
      <c r="D37" s="193"/>
      <c r="E37" s="28">
        <v>31.29</v>
      </c>
      <c r="F37" s="88">
        <v>7735</v>
      </c>
      <c r="G37" s="88">
        <f t="shared" si="23"/>
        <v>242028.15</v>
      </c>
      <c r="H37" s="30" t="s">
        <v>53</v>
      </c>
      <c r="I37" s="95">
        <v>18</v>
      </c>
      <c r="J37" s="13">
        <v>2400</v>
      </c>
      <c r="K37" s="12">
        <f t="shared" si="1"/>
        <v>133.33333333333334</v>
      </c>
      <c r="L37" s="95">
        <v>18</v>
      </c>
      <c r="M37" s="13">
        <f t="shared" si="24"/>
        <v>2286.2068965517251</v>
      </c>
      <c r="N37" s="12">
        <f t="shared" si="3"/>
        <v>127.01149425287362</v>
      </c>
      <c r="O37" s="14">
        <f t="shared" si="4"/>
        <v>0</v>
      </c>
      <c r="P37" s="15">
        <f t="shared" si="5"/>
        <v>-6.3218390804597249</v>
      </c>
      <c r="Q37" s="91">
        <f t="shared" si="6"/>
        <v>0.95258620689655205</v>
      </c>
      <c r="R37" s="177"/>
      <c r="S37" s="21">
        <v>0.51944444444444426</v>
      </c>
      <c r="T37" s="21">
        <v>0.66041666666666643</v>
      </c>
      <c r="U37" s="88">
        <f t="shared" si="26"/>
        <v>58.999999999999872</v>
      </c>
      <c r="V37" s="30">
        <f t="shared" si="25"/>
        <v>202.99999999999991</v>
      </c>
      <c r="W37" s="16"/>
      <c r="X37" s="16"/>
      <c r="Y37" s="16"/>
      <c r="Z37" s="16"/>
      <c r="AA37" s="168"/>
      <c r="AB37" s="168"/>
      <c r="AC37" s="18"/>
      <c r="AD37" s="18"/>
      <c r="AE37" s="14">
        <f t="shared" si="8"/>
        <v>-113.79310344827491</v>
      </c>
      <c r="AF37" s="91">
        <f t="shared" si="9"/>
        <v>0.95258620689655216</v>
      </c>
      <c r="AG37" s="177"/>
    </row>
    <row r="38" spans="1:33" ht="15.75" customHeight="1">
      <c r="A38" s="194" t="s">
        <v>2711</v>
      </c>
      <c r="B38" s="28" t="s">
        <v>22</v>
      </c>
      <c r="C38" s="193" t="s">
        <v>2712</v>
      </c>
      <c r="D38" s="193"/>
      <c r="E38" s="28">
        <v>26.37</v>
      </c>
      <c r="F38" s="88">
        <v>4465</v>
      </c>
      <c r="G38" s="88">
        <f t="shared" si="23"/>
        <v>117742.05</v>
      </c>
      <c r="H38" s="30" t="s">
        <v>53</v>
      </c>
      <c r="I38" s="95">
        <v>19</v>
      </c>
      <c r="J38" s="13">
        <v>2400</v>
      </c>
      <c r="K38" s="12">
        <f t="shared" si="1"/>
        <v>126.31578947368421</v>
      </c>
      <c r="L38" s="95">
        <v>19</v>
      </c>
      <c r="M38" s="13">
        <f t="shared" si="24"/>
        <v>2289.7435897435885</v>
      </c>
      <c r="N38" s="12">
        <f t="shared" si="3"/>
        <v>120.51282051282044</v>
      </c>
      <c r="O38" s="14">
        <f t="shared" si="4"/>
        <v>0</v>
      </c>
      <c r="P38" s="15">
        <f t="shared" si="5"/>
        <v>-5.8029689608637653</v>
      </c>
      <c r="Q38" s="91">
        <f t="shared" si="6"/>
        <v>0.95405982905982856</v>
      </c>
      <c r="R38" s="177"/>
      <c r="S38" s="21">
        <v>0.66597222222222197</v>
      </c>
      <c r="T38" s="21">
        <v>0.74722222222222201</v>
      </c>
      <c r="U38" s="88">
        <f t="shared" si="26"/>
        <v>7.9999999999999716</v>
      </c>
      <c r="V38" s="30">
        <f t="shared" si="25"/>
        <v>117.00000000000006</v>
      </c>
      <c r="W38" s="16"/>
      <c r="X38" s="16"/>
      <c r="Y38" s="16"/>
      <c r="Z38" s="16"/>
      <c r="AA38" s="168"/>
      <c r="AB38" s="168"/>
      <c r="AC38" s="18"/>
      <c r="AD38" s="18"/>
      <c r="AE38" s="14">
        <f t="shared" si="8"/>
        <v>-110.25641025641153</v>
      </c>
      <c r="AF38" s="91">
        <f t="shared" si="9"/>
        <v>0.95405982905982856</v>
      </c>
      <c r="AG38" s="177"/>
    </row>
    <row r="39" spans="1:33" ht="15.75" customHeight="1">
      <c r="A39" s="194" t="s">
        <v>2711</v>
      </c>
      <c r="B39" s="28" t="s">
        <v>2707</v>
      </c>
      <c r="C39" s="178"/>
      <c r="D39" s="178"/>
      <c r="E39" s="92"/>
      <c r="F39" s="88"/>
      <c r="G39" s="88"/>
      <c r="H39" s="88"/>
      <c r="I39" s="23">
        <v>18.166666666666668</v>
      </c>
      <c r="J39" s="13">
        <v>2400</v>
      </c>
      <c r="K39" s="12">
        <f t="shared" si="1"/>
        <v>132.11009174311926</v>
      </c>
      <c r="L39" s="23">
        <v>18.166666666666668</v>
      </c>
      <c r="M39" s="13">
        <f>AVERAGE(M33:M38)</f>
        <v>2292.9570791569104</v>
      </c>
      <c r="N39" s="12">
        <f t="shared" si="3"/>
        <v>126.21782087102258</v>
      </c>
      <c r="O39" s="14">
        <f t="shared" si="4"/>
        <v>0</v>
      </c>
      <c r="P39" s="15">
        <f t="shared" si="5"/>
        <v>-5.8922708720966739</v>
      </c>
      <c r="Q39" s="91">
        <f t="shared" si="6"/>
        <v>0.95539878298204606</v>
      </c>
      <c r="R39" s="177"/>
      <c r="S39" s="21"/>
      <c r="T39" s="21"/>
      <c r="U39" s="88"/>
      <c r="V39" s="30"/>
      <c r="W39" s="88"/>
      <c r="X39" s="88"/>
      <c r="Y39" s="24">
        <f>SUM(Y33:Y38)</f>
        <v>0</v>
      </c>
      <c r="Z39" s="24">
        <f>SUM(Z33:Z38)</f>
        <v>0</v>
      </c>
      <c r="AA39" s="167"/>
      <c r="AB39" s="167"/>
      <c r="AC39" s="24">
        <v>6</v>
      </c>
      <c r="AD39" s="24">
        <f>SUM(AD33:AD38)</f>
        <v>0</v>
      </c>
      <c r="AE39" s="14">
        <f t="shared" si="8"/>
        <v>-107.04292084308963</v>
      </c>
      <c r="AF39" s="91">
        <f t="shared" si="9"/>
        <v>0.95539878298204595</v>
      </c>
      <c r="AG39" s="177"/>
    </row>
    <row r="40" spans="1:33" ht="15.75" customHeight="1">
      <c r="A40" s="191" t="s">
        <v>2713</v>
      </c>
      <c r="B40" s="28" t="s">
        <v>22</v>
      </c>
      <c r="C40" s="169" t="s">
        <v>2714</v>
      </c>
      <c r="D40" s="169"/>
      <c r="E40" s="28">
        <v>20.36</v>
      </c>
      <c r="F40" s="88">
        <v>10613</v>
      </c>
      <c r="G40" s="88">
        <f t="shared" ref="G40:G44" si="27">E40*F40</f>
        <v>216080.68</v>
      </c>
      <c r="H40" s="30" t="s">
        <v>53</v>
      </c>
      <c r="I40" s="95">
        <v>18</v>
      </c>
      <c r="J40" s="13">
        <v>2400</v>
      </c>
      <c r="K40" s="12">
        <f t="shared" si="1"/>
        <v>133.33333333333334</v>
      </c>
      <c r="L40" s="95">
        <v>18</v>
      </c>
      <c r="M40" s="13">
        <f t="shared" ref="M40:M44" si="28">F40/V40*60</f>
        <v>2282.3655913978496</v>
      </c>
      <c r="N40" s="12">
        <f t="shared" si="3"/>
        <v>126.79808841099164</v>
      </c>
      <c r="O40" s="14">
        <f t="shared" si="4"/>
        <v>0</v>
      </c>
      <c r="P40" s="15">
        <f t="shared" si="5"/>
        <v>-6.535244922341704</v>
      </c>
      <c r="Q40" s="91">
        <f t="shared" si="6"/>
        <v>0.95098566308243726</v>
      </c>
      <c r="R40" s="177">
        <f>Q45</f>
        <v>0.95263755595766397</v>
      </c>
      <c r="S40" s="21">
        <v>8.3333333333333329E-2</v>
      </c>
      <c r="T40" s="21">
        <v>0.27708333333333335</v>
      </c>
      <c r="U40" s="88"/>
      <c r="V40" s="30">
        <f t="shared" ref="V40:V44" si="29">(T40-S40)*24*60</f>
        <v>279</v>
      </c>
      <c r="W40" s="21">
        <f>T40</f>
        <v>0.27708333333333335</v>
      </c>
      <c r="X40" s="21">
        <f>S41</f>
        <v>0.29722222222222222</v>
      </c>
      <c r="Y40" s="21"/>
      <c r="Z40" s="21"/>
      <c r="AA40" s="168"/>
      <c r="AB40" s="168"/>
      <c r="AC40" s="18">
        <v>5</v>
      </c>
      <c r="AD40" s="18"/>
      <c r="AE40" s="14">
        <f t="shared" si="8"/>
        <v>-117.63440860215042</v>
      </c>
      <c r="AF40" s="91">
        <f t="shared" si="9"/>
        <v>0.95098566308243737</v>
      </c>
      <c r="AG40" s="177">
        <f>AF45</f>
        <v>0.95263755595766386</v>
      </c>
    </row>
    <row r="41" spans="1:33" ht="15.75" customHeight="1">
      <c r="A41" s="191" t="s">
        <v>2713</v>
      </c>
      <c r="B41" s="28" t="s">
        <v>22</v>
      </c>
      <c r="C41" s="169" t="s">
        <v>24</v>
      </c>
      <c r="D41" s="169"/>
      <c r="E41" s="28">
        <v>25.98</v>
      </c>
      <c r="F41" s="88">
        <v>3980</v>
      </c>
      <c r="G41" s="88">
        <f t="shared" si="27"/>
        <v>103400.40000000001</v>
      </c>
      <c r="H41" s="30" t="s">
        <v>53</v>
      </c>
      <c r="I41" s="95">
        <v>21</v>
      </c>
      <c r="J41" s="13">
        <v>2400</v>
      </c>
      <c r="K41" s="12">
        <f t="shared" si="1"/>
        <v>114.28571428571429</v>
      </c>
      <c r="L41" s="95">
        <v>21</v>
      </c>
      <c r="M41" s="13">
        <f t="shared" si="28"/>
        <v>2296.1538461538457</v>
      </c>
      <c r="N41" s="12">
        <f t="shared" si="3"/>
        <v>109.34065934065931</v>
      </c>
      <c r="O41" s="14">
        <f t="shared" si="4"/>
        <v>0</v>
      </c>
      <c r="P41" s="15">
        <f t="shared" si="5"/>
        <v>-4.9450549450549772</v>
      </c>
      <c r="Q41" s="91">
        <f t="shared" si="6"/>
        <v>0.95673076923076894</v>
      </c>
      <c r="R41" s="177"/>
      <c r="S41" s="21">
        <v>0.29722222222222222</v>
      </c>
      <c r="T41" s="21">
        <v>0.36944444444444446</v>
      </c>
      <c r="U41" s="88">
        <f t="shared" ref="U41:U44" si="30">(S41-T40)*24*60</f>
        <v>28.999999999999979</v>
      </c>
      <c r="V41" s="30">
        <f t="shared" si="29"/>
        <v>104.00000000000003</v>
      </c>
      <c r="W41" s="88"/>
      <c r="X41" s="88"/>
      <c r="Y41" s="88"/>
      <c r="Z41" s="88"/>
      <c r="AA41" s="168"/>
      <c r="AB41" s="168"/>
      <c r="AC41" s="18"/>
      <c r="AD41" s="18"/>
      <c r="AE41" s="14">
        <f t="shared" si="8"/>
        <v>-103.84615384615427</v>
      </c>
      <c r="AF41" s="91">
        <f t="shared" si="9"/>
        <v>0.95673076923076905</v>
      </c>
      <c r="AG41" s="177"/>
    </row>
    <row r="42" spans="1:33">
      <c r="A42" s="192" t="s">
        <v>2713</v>
      </c>
      <c r="B42" s="28" t="s">
        <v>22</v>
      </c>
      <c r="C42" s="169" t="s">
        <v>2715</v>
      </c>
      <c r="D42" s="169"/>
      <c r="E42" s="28">
        <v>34.1</v>
      </c>
      <c r="F42" s="88">
        <v>4700</v>
      </c>
      <c r="G42" s="88">
        <f t="shared" si="27"/>
        <v>160270</v>
      </c>
      <c r="H42" s="30">
        <v>2</v>
      </c>
      <c r="I42" s="95">
        <v>17</v>
      </c>
      <c r="J42" s="13">
        <v>1600</v>
      </c>
      <c r="K42" s="12">
        <f t="shared" si="1"/>
        <v>94.117647058823536</v>
      </c>
      <c r="L42" s="95">
        <v>17</v>
      </c>
      <c r="M42" s="13">
        <f t="shared" si="28"/>
        <v>1524.3243243243246</v>
      </c>
      <c r="N42" s="12">
        <f t="shared" si="3"/>
        <v>89.666136724960268</v>
      </c>
      <c r="O42" s="14">
        <f t="shared" si="4"/>
        <v>0</v>
      </c>
      <c r="P42" s="15">
        <f t="shared" si="5"/>
        <v>-4.4515103338632684</v>
      </c>
      <c r="Q42" s="91">
        <f t="shared" si="6"/>
        <v>0.95270270270270274</v>
      </c>
      <c r="R42" s="177"/>
      <c r="S42" s="21">
        <v>0.375</v>
      </c>
      <c r="T42" s="21">
        <v>0.50347222222222221</v>
      </c>
      <c r="U42" s="88">
        <f t="shared" si="30"/>
        <v>7.9999999999999716</v>
      </c>
      <c r="V42" s="30">
        <f t="shared" si="29"/>
        <v>184.99999999999997</v>
      </c>
      <c r="W42" s="21">
        <f>T42</f>
        <v>0.50347222222222221</v>
      </c>
      <c r="X42" s="21">
        <f>S43</f>
        <v>0.54374999999999996</v>
      </c>
      <c r="Y42" s="88"/>
      <c r="Z42" s="88"/>
      <c r="AA42" s="168"/>
      <c r="AB42" s="168"/>
      <c r="AC42" s="18"/>
      <c r="AD42" s="18"/>
      <c r="AE42" s="14">
        <f t="shared" si="8"/>
        <v>-75.675675675675393</v>
      </c>
      <c r="AF42" s="91">
        <f t="shared" si="9"/>
        <v>0.95270270270270285</v>
      </c>
      <c r="AG42" s="177"/>
    </row>
    <row r="43" spans="1:33">
      <c r="A43" s="192" t="s">
        <v>2713</v>
      </c>
      <c r="B43" s="28" t="s">
        <v>22</v>
      </c>
      <c r="C43" s="169" t="s">
        <v>2715</v>
      </c>
      <c r="D43" s="169"/>
      <c r="E43" s="28">
        <v>34.1</v>
      </c>
      <c r="F43" s="88">
        <v>6058</v>
      </c>
      <c r="G43" s="88">
        <f t="shared" si="27"/>
        <v>206577.80000000002</v>
      </c>
      <c r="H43" s="30" t="s">
        <v>53</v>
      </c>
      <c r="I43" s="95">
        <v>17</v>
      </c>
      <c r="J43" s="13">
        <v>1600</v>
      </c>
      <c r="K43" s="12">
        <f t="shared" si="1"/>
        <v>94.117647058823536</v>
      </c>
      <c r="L43" s="95">
        <v>17</v>
      </c>
      <c r="M43" s="13">
        <f t="shared" si="28"/>
        <v>1520.8368200836824</v>
      </c>
      <c r="N43" s="12">
        <f t="shared" si="3"/>
        <v>89.460989416687198</v>
      </c>
      <c r="O43" s="14">
        <f t="shared" si="4"/>
        <v>0</v>
      </c>
      <c r="P43" s="15">
        <f t="shared" si="5"/>
        <v>-4.6566576421363379</v>
      </c>
      <c r="Q43" s="91">
        <f t="shared" si="6"/>
        <v>0.95052301255230143</v>
      </c>
      <c r="R43" s="177"/>
      <c r="S43" s="21">
        <v>0.54374999999999996</v>
      </c>
      <c r="T43" s="21">
        <v>0.70972222222222214</v>
      </c>
      <c r="U43" s="88">
        <f t="shared" si="30"/>
        <v>57.999999999999957</v>
      </c>
      <c r="V43" s="30">
        <f t="shared" si="29"/>
        <v>238.99999999999994</v>
      </c>
      <c r="W43" s="16"/>
      <c r="X43" s="16"/>
      <c r="Y43" s="16"/>
      <c r="Z43" s="16"/>
      <c r="AA43" s="168"/>
      <c r="AB43" s="168"/>
      <c r="AC43" s="18"/>
      <c r="AD43" s="18"/>
      <c r="AE43" s="14">
        <f t="shared" si="8"/>
        <v>-79.163179916317631</v>
      </c>
      <c r="AF43" s="91">
        <f t="shared" si="9"/>
        <v>0.95052301255230143</v>
      </c>
      <c r="AG43" s="177"/>
    </row>
    <row r="44" spans="1:33">
      <c r="A44" s="192" t="s">
        <v>2713</v>
      </c>
      <c r="B44" s="28" t="s">
        <v>22</v>
      </c>
      <c r="C44" s="169" t="s">
        <v>25</v>
      </c>
      <c r="D44" s="169"/>
      <c r="E44" s="28">
        <v>26.2</v>
      </c>
      <c r="F44" s="88">
        <v>2436</v>
      </c>
      <c r="G44" s="88">
        <f t="shared" si="27"/>
        <v>63823.199999999997</v>
      </c>
      <c r="H44" s="30" t="s">
        <v>53</v>
      </c>
      <c r="I44" s="95">
        <v>20</v>
      </c>
      <c r="J44" s="13">
        <v>2400</v>
      </c>
      <c r="K44" s="12">
        <f t="shared" si="1"/>
        <v>120</v>
      </c>
      <c r="L44" s="95">
        <v>20</v>
      </c>
      <c r="M44" s="13">
        <f t="shared" si="28"/>
        <v>2283.7500000000027</v>
      </c>
      <c r="N44" s="12">
        <f t="shared" si="3"/>
        <v>114.18750000000014</v>
      </c>
      <c r="O44" s="14">
        <f t="shared" si="4"/>
        <v>0</v>
      </c>
      <c r="P44" s="15">
        <f t="shared" si="5"/>
        <v>-5.8124999999998579</v>
      </c>
      <c r="Q44" s="91">
        <f t="shared" si="6"/>
        <v>0.9515625000000012</v>
      </c>
      <c r="R44" s="177"/>
      <c r="S44" s="21">
        <v>0.71319444444444435</v>
      </c>
      <c r="T44" s="21">
        <v>0.75763888888888875</v>
      </c>
      <c r="U44" s="88">
        <f t="shared" si="30"/>
        <v>4.9999999999999822</v>
      </c>
      <c r="V44" s="30">
        <f t="shared" si="29"/>
        <v>63.999999999999929</v>
      </c>
      <c r="W44" s="16"/>
      <c r="X44" s="16"/>
      <c r="Y44" s="16"/>
      <c r="Z44" s="16"/>
      <c r="AA44" s="168"/>
      <c r="AB44" s="168"/>
      <c r="AC44" s="18"/>
      <c r="AD44" s="18"/>
      <c r="AE44" s="14">
        <f t="shared" si="8"/>
        <v>-116.24999999999727</v>
      </c>
      <c r="AF44" s="91">
        <f t="shared" si="9"/>
        <v>0.95156250000000109</v>
      </c>
      <c r="AG44" s="177"/>
    </row>
    <row r="45" spans="1:33">
      <c r="A45" s="192" t="s">
        <v>2713</v>
      </c>
      <c r="B45" s="12" t="s">
        <v>2707</v>
      </c>
      <c r="C45" s="178"/>
      <c r="D45" s="178"/>
      <c r="E45" s="92"/>
      <c r="F45" s="12"/>
      <c r="G45" s="12"/>
      <c r="H45" s="88"/>
      <c r="I45" s="23">
        <v>18.600000000000001</v>
      </c>
      <c r="J45" s="13">
        <v>2080</v>
      </c>
      <c r="K45" s="12">
        <f t="shared" si="1"/>
        <v>111.8279569892473</v>
      </c>
      <c r="L45" s="23">
        <v>18.600000000000001</v>
      </c>
      <c r="M45" s="13">
        <f>AVERAGE(M40:M44)</f>
        <v>1981.4861163919409</v>
      </c>
      <c r="N45" s="12">
        <f t="shared" si="3"/>
        <v>106.53151163397531</v>
      </c>
      <c r="O45" s="14">
        <f t="shared" si="4"/>
        <v>0</v>
      </c>
      <c r="P45" s="15">
        <f t="shared" si="5"/>
        <v>-5.2964453552719846</v>
      </c>
      <c r="Q45" s="91">
        <f t="shared" si="6"/>
        <v>0.95263755595766397</v>
      </c>
      <c r="R45" s="177"/>
      <c r="S45" s="21"/>
      <c r="T45" s="21"/>
      <c r="U45" s="12"/>
      <c r="V45" s="30"/>
      <c r="W45" s="12"/>
      <c r="X45" s="12"/>
      <c r="Y45" s="24">
        <f>SUM(Y40:Y44)</f>
        <v>0</v>
      </c>
      <c r="Z45" s="24">
        <f>SUM(Z40:Z44)</f>
        <v>0</v>
      </c>
      <c r="AA45" s="167"/>
      <c r="AB45" s="167"/>
      <c r="AC45" s="24">
        <v>5</v>
      </c>
      <c r="AD45" s="24">
        <f>SUM(AD40:AD44)</f>
        <v>0</v>
      </c>
      <c r="AE45" s="14">
        <f t="shared" si="8"/>
        <v>-98.513883608059132</v>
      </c>
      <c r="AF45" s="91">
        <f t="shared" si="9"/>
        <v>0.95263755595766386</v>
      </c>
      <c r="AG45" s="177"/>
    </row>
    <row r="46" spans="1:33" ht="15.75" customHeight="1">
      <c r="A46" s="188" t="s">
        <v>2716</v>
      </c>
      <c r="B46" s="28" t="s">
        <v>33</v>
      </c>
      <c r="C46" s="170" t="s">
        <v>2717</v>
      </c>
      <c r="D46" s="171"/>
      <c r="E46" s="28">
        <v>37.880000000000003</v>
      </c>
      <c r="F46" s="88">
        <v>4200</v>
      </c>
      <c r="G46" s="88">
        <f t="shared" ref="G46:G50" si="31">E46*F46</f>
        <v>159096</v>
      </c>
      <c r="H46" s="30">
        <v>2</v>
      </c>
      <c r="I46" s="95">
        <v>13</v>
      </c>
      <c r="J46" s="13">
        <v>2000</v>
      </c>
      <c r="K46" s="12">
        <f t="shared" si="1"/>
        <v>153.84615384615384</v>
      </c>
      <c r="L46" s="95">
        <v>13</v>
      </c>
      <c r="M46" s="13">
        <f t="shared" ref="M46:M50" si="32">F46/V46*60</f>
        <v>1909.0909090909095</v>
      </c>
      <c r="N46" s="13">
        <f t="shared" si="3"/>
        <v>146.85314685314688</v>
      </c>
      <c r="O46" s="14">
        <f t="shared" si="4"/>
        <v>0</v>
      </c>
      <c r="P46" s="15">
        <f t="shared" si="5"/>
        <v>-6.9930069930069578</v>
      </c>
      <c r="Q46" s="91">
        <f t="shared" si="6"/>
        <v>0.95454545454545481</v>
      </c>
      <c r="R46" s="183">
        <f>Q51</f>
        <v>0.95517665397070561</v>
      </c>
      <c r="S46" s="21">
        <v>8.3333333333333329E-2</v>
      </c>
      <c r="T46" s="21">
        <v>0.17499999999999999</v>
      </c>
      <c r="U46" s="21"/>
      <c r="V46" s="30">
        <f t="shared" ref="V46:V50" si="33">(T46-S46)*24*60</f>
        <v>131.99999999999997</v>
      </c>
      <c r="W46" s="16">
        <f>T46</f>
        <v>0.17499999999999999</v>
      </c>
      <c r="X46" s="16">
        <f>S47</f>
        <v>0.19305555555555554</v>
      </c>
      <c r="Y46" s="19"/>
      <c r="Z46" s="19"/>
      <c r="AA46" s="172"/>
      <c r="AB46" s="173"/>
      <c r="AC46" s="18">
        <v>5</v>
      </c>
      <c r="AD46" s="18"/>
      <c r="AE46" s="14">
        <f t="shared" si="8"/>
        <v>-90.909090909090537</v>
      </c>
      <c r="AF46" s="91">
        <f t="shared" si="9"/>
        <v>0.9545454545454547</v>
      </c>
      <c r="AG46" s="183">
        <f>AF51</f>
        <v>0.95517665397070561</v>
      </c>
    </row>
    <row r="47" spans="1:33" ht="15.75" customHeight="1">
      <c r="A47" s="189" t="s">
        <v>173</v>
      </c>
      <c r="B47" s="28" t="s">
        <v>33</v>
      </c>
      <c r="C47" s="170" t="s">
        <v>48</v>
      </c>
      <c r="D47" s="171"/>
      <c r="E47" s="28">
        <v>35.119999999999997</v>
      </c>
      <c r="F47" s="88">
        <v>5886</v>
      </c>
      <c r="G47" s="88">
        <f t="shared" si="31"/>
        <v>206716.31999999998</v>
      </c>
      <c r="H47" s="30" t="s">
        <v>53</v>
      </c>
      <c r="I47" s="95">
        <v>10</v>
      </c>
      <c r="J47" s="13">
        <v>3000</v>
      </c>
      <c r="K47" s="12">
        <f t="shared" si="1"/>
        <v>300</v>
      </c>
      <c r="L47" s="95">
        <v>10</v>
      </c>
      <c r="M47" s="13">
        <f t="shared" si="32"/>
        <v>2871.2195121951231</v>
      </c>
      <c r="N47" s="13">
        <f t="shared" si="3"/>
        <v>287.12195121951231</v>
      </c>
      <c r="O47" s="14">
        <f t="shared" si="4"/>
        <v>0</v>
      </c>
      <c r="P47" s="15">
        <f t="shared" si="5"/>
        <v>-12.878048780487688</v>
      </c>
      <c r="Q47" s="91">
        <f t="shared" si="6"/>
        <v>0.95707317073170772</v>
      </c>
      <c r="R47" s="184"/>
      <c r="S47" s="21">
        <v>0.19305555555555554</v>
      </c>
      <c r="T47" s="21">
        <v>0.27847222222222218</v>
      </c>
      <c r="U47" s="88">
        <f t="shared" ref="U47:U50" si="34">(S47-T46)*24*60</f>
        <v>25.999999999999986</v>
      </c>
      <c r="V47" s="30">
        <f t="shared" si="33"/>
        <v>122.99999999999996</v>
      </c>
      <c r="W47" s="16"/>
      <c r="X47" s="16"/>
      <c r="Y47" s="19"/>
      <c r="Z47" s="19"/>
      <c r="AA47" s="172"/>
      <c r="AB47" s="173"/>
      <c r="AC47" s="18"/>
      <c r="AD47" s="18"/>
      <c r="AE47" s="14">
        <f t="shared" si="8"/>
        <v>-128.78048780487688</v>
      </c>
      <c r="AF47" s="91">
        <f t="shared" si="9"/>
        <v>0.95707317073170772</v>
      </c>
      <c r="AG47" s="184"/>
    </row>
    <row r="48" spans="1:33" ht="15.75" customHeight="1">
      <c r="A48" s="189" t="s">
        <v>173</v>
      </c>
      <c r="B48" s="28" t="s">
        <v>33</v>
      </c>
      <c r="C48" s="170" t="s">
        <v>36</v>
      </c>
      <c r="D48" s="171"/>
      <c r="E48" s="28">
        <v>21.13</v>
      </c>
      <c r="F48" s="88">
        <v>5858</v>
      </c>
      <c r="G48" s="88">
        <f t="shared" si="31"/>
        <v>123779.54</v>
      </c>
      <c r="H48" s="30" t="s">
        <v>53</v>
      </c>
      <c r="I48" s="95">
        <v>10</v>
      </c>
      <c r="J48" s="13">
        <v>3000</v>
      </c>
      <c r="K48" s="12">
        <f t="shared" si="1"/>
        <v>300</v>
      </c>
      <c r="L48" s="95">
        <v>10</v>
      </c>
      <c r="M48" s="13">
        <f t="shared" si="32"/>
        <v>2857.560975609757</v>
      </c>
      <c r="N48" s="13">
        <f t="shared" si="3"/>
        <v>285.75609756097572</v>
      </c>
      <c r="O48" s="14">
        <f t="shared" si="4"/>
        <v>0</v>
      </c>
      <c r="P48" s="15">
        <f t="shared" si="5"/>
        <v>-14.243902439024282</v>
      </c>
      <c r="Q48" s="91">
        <f t="shared" si="6"/>
        <v>0.95252032520325236</v>
      </c>
      <c r="R48" s="184"/>
      <c r="S48" s="21">
        <v>0.28402777777777771</v>
      </c>
      <c r="T48" s="21">
        <v>0.36944444444444435</v>
      </c>
      <c r="U48" s="88">
        <f t="shared" si="34"/>
        <v>7.9999999999999716</v>
      </c>
      <c r="V48" s="30">
        <f t="shared" si="33"/>
        <v>122.99999999999996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-142.43902439024305</v>
      </c>
      <c r="AF48" s="91">
        <f t="shared" si="9"/>
        <v>0.95252032520325236</v>
      </c>
      <c r="AG48" s="184"/>
    </row>
    <row r="49" spans="1:33" ht="15.75" customHeight="1">
      <c r="A49" s="189" t="s">
        <v>173</v>
      </c>
      <c r="B49" s="28" t="s">
        <v>33</v>
      </c>
      <c r="C49" s="170" t="s">
        <v>37</v>
      </c>
      <c r="D49" s="171"/>
      <c r="E49" s="28">
        <v>27.17</v>
      </c>
      <c r="F49" s="88">
        <v>7699</v>
      </c>
      <c r="G49" s="88">
        <f t="shared" si="31"/>
        <v>209181.83000000002</v>
      </c>
      <c r="H49" s="30" t="s">
        <v>53</v>
      </c>
      <c r="I49" s="95">
        <v>10</v>
      </c>
      <c r="J49" s="13">
        <v>3000</v>
      </c>
      <c r="K49" s="12">
        <f t="shared" si="1"/>
        <v>300</v>
      </c>
      <c r="L49" s="95">
        <v>10</v>
      </c>
      <c r="M49" s="13">
        <f t="shared" si="32"/>
        <v>2869.1925465838508</v>
      </c>
      <c r="N49" s="13">
        <f t="shared" si="3"/>
        <v>286.91925465838506</v>
      </c>
      <c r="O49" s="14">
        <f t="shared" si="4"/>
        <v>0</v>
      </c>
      <c r="P49" s="15">
        <f t="shared" si="5"/>
        <v>-13.080745341614943</v>
      </c>
      <c r="Q49" s="91">
        <f t="shared" si="6"/>
        <v>0.95639751552795016</v>
      </c>
      <c r="R49" s="184"/>
      <c r="S49" s="21">
        <v>0.37430555555555545</v>
      </c>
      <c r="T49" s="21">
        <v>0.48611111111111099</v>
      </c>
      <c r="U49" s="88">
        <f t="shared" si="34"/>
        <v>6.9999999999999751</v>
      </c>
      <c r="V49" s="30">
        <f t="shared" si="33"/>
        <v>161</v>
      </c>
      <c r="W49" s="16">
        <f>T49</f>
        <v>0.48611111111111099</v>
      </c>
      <c r="X49" s="16">
        <f>S50</f>
        <v>0.5263888888888888</v>
      </c>
      <c r="Y49" s="19"/>
      <c r="Z49" s="19"/>
      <c r="AA49" s="172"/>
      <c r="AB49" s="173"/>
      <c r="AC49" s="18"/>
      <c r="AD49" s="18"/>
      <c r="AE49" s="14">
        <f t="shared" si="8"/>
        <v>-130.8074534161492</v>
      </c>
      <c r="AF49" s="91">
        <f t="shared" si="9"/>
        <v>0.95639751552795027</v>
      </c>
      <c r="AG49" s="184"/>
    </row>
    <row r="50" spans="1:33" ht="15.75" customHeight="1">
      <c r="A50" s="189" t="s">
        <v>173</v>
      </c>
      <c r="B50" s="28" t="s">
        <v>33</v>
      </c>
      <c r="C50" s="170" t="s">
        <v>2717</v>
      </c>
      <c r="D50" s="171"/>
      <c r="E50" s="28">
        <v>37.880000000000003</v>
      </c>
      <c r="F50" s="88">
        <v>5476</v>
      </c>
      <c r="G50" s="88">
        <f t="shared" si="31"/>
        <v>207430.88</v>
      </c>
      <c r="H50" s="30" t="s">
        <v>53</v>
      </c>
      <c r="I50" s="95">
        <v>13</v>
      </c>
      <c r="J50" s="13">
        <v>2000</v>
      </c>
      <c r="K50" s="12">
        <f t="shared" si="1"/>
        <v>153.84615384615384</v>
      </c>
      <c r="L50" s="95">
        <v>13</v>
      </c>
      <c r="M50" s="13">
        <f t="shared" si="32"/>
        <v>1910.2325581395346</v>
      </c>
      <c r="N50" s="13">
        <f t="shared" si="3"/>
        <v>146.94096601073343</v>
      </c>
      <c r="O50" s="14">
        <f t="shared" si="4"/>
        <v>0</v>
      </c>
      <c r="P50" s="15">
        <f t="shared" si="5"/>
        <v>-6.9051878354204064</v>
      </c>
      <c r="Q50" s="91">
        <f t="shared" si="6"/>
        <v>0.95511627906976737</v>
      </c>
      <c r="R50" s="184"/>
      <c r="S50" s="21">
        <v>0.5263888888888888</v>
      </c>
      <c r="T50" s="21">
        <v>0.64583333333333326</v>
      </c>
      <c r="U50" s="88">
        <f t="shared" si="34"/>
        <v>58.000000000000036</v>
      </c>
      <c r="V50" s="30">
        <f t="shared" si="33"/>
        <v>172.00000000000003</v>
      </c>
      <c r="W50" s="16"/>
      <c r="X50" s="16"/>
      <c r="Y50" s="19"/>
      <c r="Z50" s="19"/>
      <c r="AA50" s="172"/>
      <c r="AB50" s="173"/>
      <c r="AC50" s="18"/>
      <c r="AD50" s="18"/>
      <c r="AE50" s="14">
        <f t="shared" si="8"/>
        <v>-89.767441860465397</v>
      </c>
      <c r="AF50" s="91">
        <f t="shared" si="9"/>
        <v>0.95511627906976726</v>
      </c>
      <c r="AG50" s="184"/>
    </row>
    <row r="51" spans="1:33" ht="15.75" customHeight="1">
      <c r="A51" s="190" t="s">
        <v>173</v>
      </c>
      <c r="B51" s="28" t="s">
        <v>165</v>
      </c>
      <c r="C51" s="165"/>
      <c r="D51" s="166"/>
      <c r="E51" s="89"/>
      <c r="F51" s="88"/>
      <c r="G51" s="88"/>
      <c r="H51" s="88"/>
      <c r="I51" s="23">
        <v>11.2</v>
      </c>
      <c r="J51" s="13">
        <v>2600</v>
      </c>
      <c r="K51" s="12">
        <f t="shared" si="1"/>
        <v>232.14285714285717</v>
      </c>
      <c r="L51" s="23">
        <v>11.2</v>
      </c>
      <c r="M51" s="13">
        <f>AVERAGE(M46:M50)</f>
        <v>2483.4593003238347</v>
      </c>
      <c r="N51" s="12">
        <f t="shared" si="3"/>
        <v>221.73743752891383</v>
      </c>
      <c r="O51" s="14">
        <f t="shared" si="4"/>
        <v>0</v>
      </c>
      <c r="P51" s="15">
        <f t="shared" si="5"/>
        <v>-10.405419613943337</v>
      </c>
      <c r="Q51" s="91">
        <f t="shared" si="6"/>
        <v>0.95517665397070561</v>
      </c>
      <c r="R51" s="185"/>
      <c r="S51" s="21"/>
      <c r="T51" s="21"/>
      <c r="U51" s="88"/>
      <c r="V51" s="30"/>
      <c r="W51" s="16"/>
      <c r="X51" s="16"/>
      <c r="Y51" s="24">
        <f>SUM(Y46:Y50)</f>
        <v>0</v>
      </c>
      <c r="Z51" s="24">
        <f>SUM(Z46:Z50)</f>
        <v>0</v>
      </c>
      <c r="AA51" s="186"/>
      <c r="AB51" s="187"/>
      <c r="AC51" s="24">
        <v>5</v>
      </c>
      <c r="AD51" s="24">
        <f>SUM(AD46:AD50)</f>
        <v>0</v>
      </c>
      <c r="AE51" s="14">
        <f t="shared" si="8"/>
        <v>-116.54069967616533</v>
      </c>
      <c r="AF51" s="91">
        <f t="shared" si="9"/>
        <v>0.95517665397070561</v>
      </c>
      <c r="AG51" s="185"/>
    </row>
    <row r="52" spans="1:33" ht="15.75" customHeight="1">
      <c r="A52" s="181" t="s">
        <v>2718</v>
      </c>
      <c r="B52" s="28" t="s">
        <v>9</v>
      </c>
      <c r="C52" s="169" t="s">
        <v>39</v>
      </c>
      <c r="D52" s="169"/>
      <c r="E52" s="28">
        <v>46</v>
      </c>
      <c r="F52" s="29">
        <v>2643</v>
      </c>
      <c r="G52" s="88">
        <f t="shared" ref="G52:G60" si="35">E52*F52</f>
        <v>121578</v>
      </c>
      <c r="H52" s="30" t="s">
        <v>53</v>
      </c>
      <c r="I52" s="95">
        <v>17</v>
      </c>
      <c r="J52" s="13">
        <v>2000</v>
      </c>
      <c r="K52" s="12">
        <f t="shared" si="1"/>
        <v>117.64705882352941</v>
      </c>
      <c r="L52" s="95">
        <v>17</v>
      </c>
      <c r="M52" s="13">
        <f t="shared" ref="M52" si="36">F52/V52*60</f>
        <v>1910.6024096385547</v>
      </c>
      <c r="N52" s="13">
        <f t="shared" si="3"/>
        <v>112.38837703756204</v>
      </c>
      <c r="O52" s="14">
        <f t="shared" si="4"/>
        <v>0</v>
      </c>
      <c r="P52" s="15">
        <f t="shared" si="5"/>
        <v>-5.2586817859673687</v>
      </c>
      <c r="Q52" s="91">
        <f t="shared" si="6"/>
        <v>0.95530120481927738</v>
      </c>
      <c r="R52" s="177">
        <f>Q61</f>
        <v>0.96183042196873647</v>
      </c>
      <c r="S52" s="21">
        <v>0.20833333333333334</v>
      </c>
      <c r="T52" s="21">
        <v>0.26597222222222222</v>
      </c>
      <c r="U52" s="21"/>
      <c r="V52" s="30">
        <f t="shared" ref="V52:V60" si="37">(T52-S52)*24*60</f>
        <v>82.999999999999986</v>
      </c>
      <c r="W52" s="21"/>
      <c r="X52" s="21"/>
      <c r="Y52" s="21"/>
      <c r="Z52" s="21"/>
      <c r="AA52" s="168"/>
      <c r="AB52" s="168"/>
      <c r="AC52" s="18">
        <v>9</v>
      </c>
      <c r="AD52" s="18"/>
      <c r="AE52" s="14">
        <f t="shared" si="8"/>
        <v>-89.397590361445282</v>
      </c>
      <c r="AF52" s="91">
        <f t="shared" si="9"/>
        <v>0.95530120481927738</v>
      </c>
      <c r="AG52" s="177">
        <f>AF61</f>
        <v>0.96183042196873658</v>
      </c>
    </row>
    <row r="53" spans="1:33" ht="15.75" customHeight="1">
      <c r="A53" s="181" t="s">
        <v>2718</v>
      </c>
      <c r="B53" s="28" t="s">
        <v>5</v>
      </c>
      <c r="C53" s="169" t="s">
        <v>40</v>
      </c>
      <c r="D53" s="169"/>
      <c r="E53" s="28">
        <v>56.43</v>
      </c>
      <c r="F53" s="29">
        <v>1613</v>
      </c>
      <c r="G53" s="88">
        <f t="shared" si="35"/>
        <v>91021.59</v>
      </c>
      <c r="H53" s="30" t="s">
        <v>53</v>
      </c>
      <c r="I53" s="95">
        <v>22</v>
      </c>
      <c r="J53" s="13">
        <v>2000</v>
      </c>
      <c r="K53" s="12">
        <f t="shared" si="1"/>
        <v>90.909090909090907</v>
      </c>
      <c r="L53" s="95">
        <v>22</v>
      </c>
      <c r="M53" s="13">
        <f>F53/V53*60</f>
        <v>1935.6000000000008</v>
      </c>
      <c r="N53" s="13">
        <f t="shared" si="3"/>
        <v>87.981818181818213</v>
      </c>
      <c r="O53" s="14">
        <f t="shared" si="4"/>
        <v>0</v>
      </c>
      <c r="P53" s="15">
        <f t="shared" si="5"/>
        <v>-2.9272727272726939</v>
      </c>
      <c r="Q53" s="91">
        <f t="shared" si="6"/>
        <v>0.96780000000000033</v>
      </c>
      <c r="R53" s="177"/>
      <c r="S53" s="21">
        <v>0.27083333333333331</v>
      </c>
      <c r="T53" s="21">
        <v>0.30555555555555552</v>
      </c>
      <c r="U53" s="88">
        <f t="shared" ref="U53:U60" si="38">IF(S53=TIME(17,0,0),"",(S53-T52)*24*60)</f>
        <v>6.9999999999999751</v>
      </c>
      <c r="V53" s="30">
        <f t="shared" si="37"/>
        <v>49.999999999999986</v>
      </c>
      <c r="W53" s="16"/>
      <c r="X53" s="16"/>
      <c r="Y53" s="16"/>
      <c r="Z53" s="16"/>
      <c r="AA53" s="168"/>
      <c r="AB53" s="168"/>
      <c r="AC53" s="18"/>
      <c r="AD53" s="18"/>
      <c r="AE53" s="14">
        <f t="shared" si="8"/>
        <v>-64.399999999999181</v>
      </c>
      <c r="AF53" s="91">
        <f t="shared" si="9"/>
        <v>0.96780000000000044</v>
      </c>
      <c r="AG53" s="177"/>
    </row>
    <row r="54" spans="1:33" ht="15.75" customHeight="1">
      <c r="A54" s="181" t="s">
        <v>2718</v>
      </c>
      <c r="B54" s="28" t="s">
        <v>5</v>
      </c>
      <c r="C54" s="170" t="s">
        <v>41</v>
      </c>
      <c r="D54" s="171"/>
      <c r="E54" s="28">
        <v>51.75</v>
      </c>
      <c r="F54" s="29">
        <v>985</v>
      </c>
      <c r="G54" s="88">
        <f t="shared" si="35"/>
        <v>50973.75</v>
      </c>
      <c r="H54" s="30" t="s">
        <v>53</v>
      </c>
      <c r="I54" s="95">
        <v>25</v>
      </c>
      <c r="J54" s="13">
        <v>2000</v>
      </c>
      <c r="K54" s="12">
        <f t="shared" si="1"/>
        <v>80</v>
      </c>
      <c r="L54" s="95">
        <v>25</v>
      </c>
      <c r="M54" s="13">
        <f t="shared" ref="M54:M60" si="39">F54/V54*60</f>
        <v>1906.4516129032274</v>
      </c>
      <c r="N54" s="13">
        <f t="shared" si="3"/>
        <v>76.258064516129096</v>
      </c>
      <c r="O54" s="14">
        <f t="shared" si="4"/>
        <v>0</v>
      </c>
      <c r="P54" s="15">
        <f t="shared" si="5"/>
        <v>-3.741935483870904</v>
      </c>
      <c r="Q54" s="91">
        <f t="shared" si="6"/>
        <v>0.9532258064516137</v>
      </c>
      <c r="R54" s="177"/>
      <c r="S54" s="21">
        <v>0.30972222222222218</v>
      </c>
      <c r="T54" s="21">
        <v>0.33124999999999993</v>
      </c>
      <c r="U54" s="88">
        <f t="shared" si="38"/>
        <v>5.9999999999999787</v>
      </c>
      <c r="V54" s="30">
        <f t="shared" si="37"/>
        <v>30.999999999999972</v>
      </c>
      <c r="W54" s="16"/>
      <c r="X54" s="16"/>
      <c r="Y54" s="19"/>
      <c r="Z54" s="19"/>
      <c r="AA54" s="168"/>
      <c r="AB54" s="168"/>
      <c r="AC54" s="18"/>
      <c r="AD54" s="18"/>
      <c r="AE54" s="14">
        <f t="shared" si="8"/>
        <v>-93.548387096772558</v>
      </c>
      <c r="AF54" s="91">
        <f t="shared" si="9"/>
        <v>0.9532258064516137</v>
      </c>
      <c r="AG54" s="177"/>
    </row>
    <row r="55" spans="1:33" ht="15.75" customHeight="1">
      <c r="A55" s="181" t="s">
        <v>2719</v>
      </c>
      <c r="B55" s="28" t="s">
        <v>5</v>
      </c>
      <c r="C55" s="93" t="s">
        <v>18</v>
      </c>
      <c r="D55" s="94"/>
      <c r="E55" s="28">
        <v>53.68</v>
      </c>
      <c r="F55" s="29">
        <v>1295</v>
      </c>
      <c r="G55" s="88">
        <f t="shared" si="35"/>
        <v>69515.600000000006</v>
      </c>
      <c r="H55" s="30" t="s">
        <v>53</v>
      </c>
      <c r="I55" s="95">
        <v>16</v>
      </c>
      <c r="J55" s="13">
        <v>2000</v>
      </c>
      <c r="K55" s="12">
        <f t="shared" si="1"/>
        <v>125</v>
      </c>
      <c r="L55" s="95">
        <v>16</v>
      </c>
      <c r="M55" s="13">
        <f t="shared" si="39"/>
        <v>1942.4999999999991</v>
      </c>
      <c r="N55" s="13">
        <f t="shared" si="3"/>
        <v>121.40624999999994</v>
      </c>
      <c r="O55" s="14">
        <f t="shared" si="4"/>
        <v>0</v>
      </c>
      <c r="P55" s="15">
        <f t="shared" si="5"/>
        <v>-3.5937500000000568</v>
      </c>
      <c r="Q55" s="91">
        <f t="shared" si="6"/>
        <v>0.9712499999999995</v>
      </c>
      <c r="R55" s="177"/>
      <c r="S55" s="21">
        <v>0.33472222222222214</v>
      </c>
      <c r="T55" s="21">
        <v>0.36249999999999993</v>
      </c>
      <c r="U55" s="88">
        <f t="shared" si="38"/>
        <v>4.9999999999999822</v>
      </c>
      <c r="V55" s="30">
        <f t="shared" si="37"/>
        <v>40.000000000000014</v>
      </c>
      <c r="W55" s="16"/>
      <c r="X55" s="16"/>
      <c r="Y55" s="19"/>
      <c r="Z55" s="19"/>
      <c r="AA55" s="168"/>
      <c r="AB55" s="168"/>
      <c r="AC55" s="18"/>
      <c r="AD55" s="18"/>
      <c r="AE55" s="14">
        <f t="shared" si="8"/>
        <v>-57.500000000000909</v>
      </c>
      <c r="AF55" s="91">
        <f t="shared" si="9"/>
        <v>0.9712499999999995</v>
      </c>
      <c r="AG55" s="177"/>
    </row>
    <row r="56" spans="1:33" ht="15.75" customHeight="1">
      <c r="A56" s="181" t="s">
        <v>174</v>
      </c>
      <c r="B56" s="28" t="s">
        <v>5</v>
      </c>
      <c r="C56" s="93" t="s">
        <v>2720</v>
      </c>
      <c r="D56" s="94"/>
      <c r="E56" s="28">
        <v>54.09</v>
      </c>
      <c r="F56" s="29">
        <v>3000</v>
      </c>
      <c r="G56" s="88">
        <f t="shared" si="35"/>
        <v>162270</v>
      </c>
      <c r="H56" s="30">
        <v>2</v>
      </c>
      <c r="I56" s="95">
        <v>17</v>
      </c>
      <c r="J56" s="13">
        <v>1500</v>
      </c>
      <c r="K56" s="12">
        <f t="shared" si="1"/>
        <v>88.235294117647058</v>
      </c>
      <c r="L56" s="95">
        <v>17</v>
      </c>
      <c r="M56" s="13">
        <f t="shared" si="39"/>
        <v>1439.9999999999995</v>
      </c>
      <c r="N56" s="13">
        <f t="shared" si="3"/>
        <v>84.705882352941146</v>
      </c>
      <c r="O56" s="14">
        <f t="shared" si="4"/>
        <v>0</v>
      </c>
      <c r="P56" s="15">
        <f t="shared" si="5"/>
        <v>-3.5294117647059124</v>
      </c>
      <c r="Q56" s="91">
        <f t="shared" si="6"/>
        <v>0.95999999999999963</v>
      </c>
      <c r="R56" s="177"/>
      <c r="S56" s="21">
        <v>0.36666666666666659</v>
      </c>
      <c r="T56" s="21">
        <v>0.45347222222222217</v>
      </c>
      <c r="U56" s="88">
        <f t="shared" si="38"/>
        <v>5.9999999999999787</v>
      </c>
      <c r="V56" s="30">
        <f t="shared" si="37"/>
        <v>125.00000000000003</v>
      </c>
      <c r="W56" s="16">
        <f>T56</f>
        <v>0.45347222222222217</v>
      </c>
      <c r="X56" s="16">
        <f>S57</f>
        <v>0.49444444444444435</v>
      </c>
      <c r="Y56" s="19"/>
      <c r="Z56" s="19"/>
      <c r="AA56" s="168"/>
      <c r="AB56" s="168"/>
      <c r="AC56" s="18"/>
      <c r="AD56" s="18"/>
      <c r="AE56" s="14">
        <f t="shared" si="8"/>
        <v>-60.000000000000455</v>
      </c>
      <c r="AF56" s="91">
        <f t="shared" si="9"/>
        <v>0.95999999999999974</v>
      </c>
      <c r="AG56" s="177"/>
    </row>
    <row r="57" spans="1:33" ht="15.75" customHeight="1">
      <c r="A57" s="181" t="s">
        <v>174</v>
      </c>
      <c r="B57" s="28" t="s">
        <v>5</v>
      </c>
      <c r="C57" s="170" t="s">
        <v>2720</v>
      </c>
      <c r="D57" s="171"/>
      <c r="E57" s="28">
        <v>54.09</v>
      </c>
      <c r="F57" s="29">
        <v>2452</v>
      </c>
      <c r="G57" s="88">
        <f t="shared" si="35"/>
        <v>132628.68000000002</v>
      </c>
      <c r="H57" s="30" t="s">
        <v>53</v>
      </c>
      <c r="I57" s="95">
        <v>17</v>
      </c>
      <c r="J57" s="13">
        <v>1500</v>
      </c>
      <c r="K57" s="12">
        <f t="shared" si="1"/>
        <v>88.235294117647058</v>
      </c>
      <c r="L57" s="95">
        <v>17</v>
      </c>
      <c r="M57" s="13">
        <f t="shared" si="39"/>
        <v>1428.3495145631073</v>
      </c>
      <c r="N57" s="13">
        <f t="shared" si="3"/>
        <v>84.020559680182785</v>
      </c>
      <c r="O57" s="14">
        <f t="shared" si="4"/>
        <v>0</v>
      </c>
      <c r="P57" s="15">
        <f t="shared" si="5"/>
        <v>-4.2147344374642728</v>
      </c>
      <c r="Q57" s="91">
        <f t="shared" si="6"/>
        <v>0.95223300970873825</v>
      </c>
      <c r="R57" s="177"/>
      <c r="S57" s="21">
        <v>0.49444444444444435</v>
      </c>
      <c r="T57" s="21">
        <v>0.5659722222222221</v>
      </c>
      <c r="U57" s="88">
        <f t="shared" si="38"/>
        <v>58.99999999999995</v>
      </c>
      <c r="V57" s="30">
        <f t="shared" si="37"/>
        <v>102.99999999999996</v>
      </c>
      <c r="W57" s="16"/>
      <c r="X57" s="16"/>
      <c r="Y57" s="19"/>
      <c r="Z57" s="19"/>
      <c r="AA57" s="172"/>
      <c r="AB57" s="173"/>
      <c r="AC57" s="18"/>
      <c r="AD57" s="18"/>
      <c r="AE57" s="14">
        <f t="shared" si="8"/>
        <v>-71.650485436892723</v>
      </c>
      <c r="AF57" s="91">
        <f t="shared" si="9"/>
        <v>0.95223300970873814</v>
      </c>
      <c r="AG57" s="177"/>
    </row>
    <row r="58" spans="1:33" ht="15.75" customHeight="1">
      <c r="A58" s="181" t="s">
        <v>2719</v>
      </c>
      <c r="B58" s="28" t="s">
        <v>5</v>
      </c>
      <c r="C58" s="170" t="s">
        <v>45</v>
      </c>
      <c r="D58" s="171"/>
      <c r="E58" s="28">
        <v>55.32</v>
      </c>
      <c r="F58" s="29">
        <v>1529</v>
      </c>
      <c r="G58" s="88">
        <f t="shared" si="35"/>
        <v>84584.28</v>
      </c>
      <c r="H58" s="30" t="s">
        <v>53</v>
      </c>
      <c r="I58" s="95">
        <v>15</v>
      </c>
      <c r="J58" s="13">
        <v>2000</v>
      </c>
      <c r="K58" s="12">
        <f t="shared" si="1"/>
        <v>133.33333333333334</v>
      </c>
      <c r="L58" s="95">
        <v>15</v>
      </c>
      <c r="M58" s="13">
        <f t="shared" si="39"/>
        <v>1911.2500000000005</v>
      </c>
      <c r="N58" s="13">
        <f t="shared" si="3"/>
        <v>127.4166666666667</v>
      </c>
      <c r="O58" s="14">
        <f t="shared" si="4"/>
        <v>0</v>
      </c>
      <c r="P58" s="15">
        <f t="shared" si="5"/>
        <v>-5.916666666666643</v>
      </c>
      <c r="Q58" s="91">
        <f t="shared" si="6"/>
        <v>0.95562500000000017</v>
      </c>
      <c r="R58" s="177"/>
      <c r="S58" s="21">
        <v>0.70833333333333337</v>
      </c>
      <c r="T58" s="21">
        <v>0.7416666666666667</v>
      </c>
      <c r="U58" s="88" t="str">
        <f t="shared" si="38"/>
        <v/>
      </c>
      <c r="V58" s="30">
        <f t="shared" si="37"/>
        <v>47.999999999999986</v>
      </c>
      <c r="W58" s="16"/>
      <c r="X58" s="16"/>
      <c r="Y58" s="19"/>
      <c r="Z58" s="19"/>
      <c r="AA58" s="172"/>
      <c r="AB58" s="173"/>
      <c r="AC58" s="18"/>
      <c r="AD58" s="18"/>
      <c r="AE58" s="14">
        <f t="shared" si="8"/>
        <v>-88.749999999999545</v>
      </c>
      <c r="AF58" s="91">
        <f t="shared" si="9"/>
        <v>0.95562500000000028</v>
      </c>
      <c r="AG58" s="177"/>
    </row>
    <row r="59" spans="1:33" ht="15.75" customHeight="1">
      <c r="A59" s="181" t="s">
        <v>174</v>
      </c>
      <c r="B59" s="28" t="s">
        <v>5</v>
      </c>
      <c r="C59" s="170" t="s">
        <v>44</v>
      </c>
      <c r="D59" s="171"/>
      <c r="E59" s="28">
        <v>55.56</v>
      </c>
      <c r="F59" s="29">
        <v>2110</v>
      </c>
      <c r="G59" s="88">
        <f t="shared" si="35"/>
        <v>117231.6</v>
      </c>
      <c r="H59" s="30" t="s">
        <v>53</v>
      </c>
      <c r="I59" s="95">
        <v>17</v>
      </c>
      <c r="J59" s="13">
        <v>2000</v>
      </c>
      <c r="K59" s="12">
        <f t="shared" si="1"/>
        <v>117.64705882352941</v>
      </c>
      <c r="L59" s="95">
        <v>17</v>
      </c>
      <c r="M59" s="13">
        <f t="shared" si="39"/>
        <v>1918.1818181818157</v>
      </c>
      <c r="N59" s="13">
        <f t="shared" si="3"/>
        <v>112.83422459893033</v>
      </c>
      <c r="O59" s="14">
        <f t="shared" si="4"/>
        <v>0</v>
      </c>
      <c r="P59" s="15">
        <f t="shared" si="5"/>
        <v>-4.8128342245990723</v>
      </c>
      <c r="Q59" s="91">
        <f t="shared" si="6"/>
        <v>0.95909090909090788</v>
      </c>
      <c r="R59" s="177"/>
      <c r="S59" s="21">
        <v>0.74583333333333335</v>
      </c>
      <c r="T59" s="21">
        <v>0.79166666666666674</v>
      </c>
      <c r="U59" s="88">
        <f t="shared" si="38"/>
        <v>5.9999999999999787</v>
      </c>
      <c r="V59" s="30">
        <f t="shared" si="37"/>
        <v>66.000000000000085</v>
      </c>
      <c r="W59" s="16"/>
      <c r="X59" s="16"/>
      <c r="Y59" s="19"/>
      <c r="Z59" s="19"/>
      <c r="AA59" s="172"/>
      <c r="AB59" s="173"/>
      <c r="AC59" s="18"/>
      <c r="AD59" s="18"/>
      <c r="AE59" s="14">
        <f t="shared" si="8"/>
        <v>-81.818181818184257</v>
      </c>
      <c r="AF59" s="91">
        <f t="shared" si="9"/>
        <v>0.95909090909090788</v>
      </c>
      <c r="AG59" s="177"/>
    </row>
    <row r="60" spans="1:33">
      <c r="A60" s="181" t="s">
        <v>2718</v>
      </c>
      <c r="B60" s="28" t="s">
        <v>5</v>
      </c>
      <c r="C60" s="93" t="s">
        <v>43</v>
      </c>
      <c r="D60" s="94"/>
      <c r="E60" s="28">
        <v>54.29</v>
      </c>
      <c r="F60" s="29">
        <v>1077</v>
      </c>
      <c r="G60" s="88">
        <f t="shared" si="35"/>
        <v>58470.33</v>
      </c>
      <c r="H60" s="30" t="s">
        <v>53</v>
      </c>
      <c r="I60" s="95">
        <v>20</v>
      </c>
      <c r="J60" s="13">
        <v>2000</v>
      </c>
      <c r="K60" s="12">
        <f t="shared" si="1"/>
        <v>100</v>
      </c>
      <c r="L60" s="95">
        <v>20</v>
      </c>
      <c r="M60" s="13">
        <f t="shared" si="39"/>
        <v>1958.1818181818157</v>
      </c>
      <c r="N60" s="13">
        <f t="shared" si="3"/>
        <v>97.909090909090793</v>
      </c>
      <c r="O60" s="14">
        <f t="shared" si="4"/>
        <v>0</v>
      </c>
      <c r="P60" s="15">
        <f t="shared" si="5"/>
        <v>-2.0909090909092072</v>
      </c>
      <c r="Q60" s="91">
        <f t="shared" si="6"/>
        <v>0.9790909090909079</v>
      </c>
      <c r="R60" s="177"/>
      <c r="S60" s="21">
        <v>0.79652777777777783</v>
      </c>
      <c r="T60" s="21">
        <v>0.81944444444444453</v>
      </c>
      <c r="U60" s="88">
        <f t="shared" si="38"/>
        <v>6.9999999999999751</v>
      </c>
      <c r="V60" s="30">
        <f t="shared" si="37"/>
        <v>33.000000000000043</v>
      </c>
      <c r="W60" s="16"/>
      <c r="X60" s="16"/>
      <c r="Y60" s="19"/>
      <c r="Z60" s="19"/>
      <c r="AA60" s="98"/>
      <c r="AB60" s="99"/>
      <c r="AC60" s="18"/>
      <c r="AD60" s="18"/>
      <c r="AE60" s="14">
        <f t="shared" si="8"/>
        <v>-41.818181818184257</v>
      </c>
      <c r="AF60" s="91">
        <f t="shared" si="9"/>
        <v>0.9790909090909079</v>
      </c>
      <c r="AG60" s="177"/>
    </row>
    <row r="61" spans="1:33">
      <c r="A61" s="182" t="s">
        <v>174</v>
      </c>
      <c r="B61" s="28" t="s">
        <v>2721</v>
      </c>
      <c r="C61" s="178"/>
      <c r="D61" s="178"/>
      <c r="E61" s="92"/>
      <c r="F61" s="12"/>
      <c r="G61" s="12"/>
      <c r="H61" s="88"/>
      <c r="I61" s="23">
        <v>18.444444444444443</v>
      </c>
      <c r="J61" s="13">
        <v>1888.8888888888889</v>
      </c>
      <c r="K61" s="12">
        <f t="shared" si="1"/>
        <v>102.40963855421688</v>
      </c>
      <c r="L61" s="23">
        <v>18.444444444444443</v>
      </c>
      <c r="M61" s="13">
        <f>AVERAGE(M52:M60)</f>
        <v>1816.790797052058</v>
      </c>
      <c r="N61" s="12">
        <f t="shared" si="3"/>
        <v>98.500705864268213</v>
      </c>
      <c r="O61" s="14">
        <f t="shared" si="4"/>
        <v>0</v>
      </c>
      <c r="P61" s="15">
        <f t="shared" si="5"/>
        <v>-3.9089326899486707</v>
      </c>
      <c r="Q61" s="91">
        <f t="shared" si="6"/>
        <v>0.96183042196873647</v>
      </c>
      <c r="R61" s="177"/>
      <c r="S61" s="21"/>
      <c r="T61" s="21"/>
      <c r="U61" s="88"/>
      <c r="V61" s="30"/>
      <c r="W61" s="12"/>
      <c r="X61" s="12"/>
      <c r="Y61" s="24">
        <f>SUM(Y52:Y60)</f>
        <v>0</v>
      </c>
      <c r="Z61" s="24">
        <f>SUM(Z52:Z60)</f>
        <v>0</v>
      </c>
      <c r="AA61" s="167"/>
      <c r="AB61" s="167"/>
      <c r="AC61" s="24">
        <v>9</v>
      </c>
      <c r="AD61" s="24">
        <f>SUM(AD52:AD60)</f>
        <v>0</v>
      </c>
      <c r="AE61" s="14">
        <f>M61-J61</f>
        <v>-72.098091836830918</v>
      </c>
      <c r="AF61" s="91">
        <f t="shared" si="9"/>
        <v>0.96183042196873658</v>
      </c>
      <c r="AG61" s="177"/>
    </row>
    <row r="62" spans="1:33" ht="15.75" customHeight="1">
      <c r="A62" s="179" t="s">
        <v>175</v>
      </c>
      <c r="B62" s="88" t="s">
        <v>33</v>
      </c>
      <c r="C62" s="169" t="s">
        <v>47</v>
      </c>
      <c r="D62" s="169"/>
      <c r="E62" s="28">
        <v>34.36</v>
      </c>
      <c r="F62" s="29">
        <v>2451</v>
      </c>
      <c r="G62" s="88">
        <f t="shared" ref="G62:G67" si="40">E62*F62</f>
        <v>84216.36</v>
      </c>
      <c r="H62" s="30" t="s">
        <v>53</v>
      </c>
      <c r="I62" s="95">
        <v>10</v>
      </c>
      <c r="J62" s="13">
        <v>3000</v>
      </c>
      <c r="K62" s="12">
        <f t="shared" si="1"/>
        <v>300</v>
      </c>
      <c r="L62" s="95">
        <v>10</v>
      </c>
      <c r="M62" s="13">
        <f t="shared" ref="M62:M67" si="41">F62/V62*60</f>
        <v>2883.5294117647049</v>
      </c>
      <c r="N62" s="12">
        <f t="shared" si="3"/>
        <v>288.35294117647049</v>
      </c>
      <c r="O62" s="14">
        <f t="shared" si="4"/>
        <v>0</v>
      </c>
      <c r="P62" s="15">
        <f t="shared" si="5"/>
        <v>-11.647058823529505</v>
      </c>
      <c r="Q62" s="91">
        <f t="shared" si="6"/>
        <v>0.96117647058823497</v>
      </c>
      <c r="R62" s="177">
        <f>Q68</f>
        <v>0.96348272949665448</v>
      </c>
      <c r="S62" s="21">
        <v>0.20833333333333334</v>
      </c>
      <c r="T62" s="21">
        <v>0.24375000000000002</v>
      </c>
      <c r="U62" s="88"/>
      <c r="V62" s="30">
        <f t="shared" ref="V62:V67" si="42">(T62-S62)*24*60</f>
        <v>51.000000000000021</v>
      </c>
      <c r="W62" s="21"/>
      <c r="X62" s="21"/>
      <c r="Y62" s="21"/>
      <c r="Z62" s="21"/>
      <c r="AA62" s="168"/>
      <c r="AB62" s="168"/>
      <c r="AC62" s="18">
        <v>6</v>
      </c>
      <c r="AD62" s="18"/>
      <c r="AE62" s="14">
        <f t="shared" ref="AE62:AE76" si="43">M62-J62</f>
        <v>-116.47058823529505</v>
      </c>
      <c r="AF62" s="91">
        <f t="shared" si="9"/>
        <v>0.96117647058823497</v>
      </c>
      <c r="AG62" s="177">
        <f>AF68</f>
        <v>0.96348272949665448</v>
      </c>
    </row>
    <row r="63" spans="1:33" ht="15.75" customHeight="1">
      <c r="A63" s="179" t="s">
        <v>2722</v>
      </c>
      <c r="B63" s="88" t="s">
        <v>33</v>
      </c>
      <c r="C63" s="169" t="s">
        <v>34</v>
      </c>
      <c r="D63" s="169"/>
      <c r="E63" s="28">
        <v>34.36</v>
      </c>
      <c r="F63" s="29">
        <v>1367</v>
      </c>
      <c r="G63" s="88">
        <f t="shared" si="40"/>
        <v>46970.12</v>
      </c>
      <c r="H63" s="30" t="s">
        <v>53</v>
      </c>
      <c r="I63" s="95">
        <v>10</v>
      </c>
      <c r="J63" s="13">
        <v>3000</v>
      </c>
      <c r="K63" s="12">
        <f t="shared" si="1"/>
        <v>300</v>
      </c>
      <c r="L63" s="95">
        <v>10</v>
      </c>
      <c r="M63" s="13">
        <f t="shared" si="41"/>
        <v>2929.2857142857119</v>
      </c>
      <c r="N63" s="12">
        <f t="shared" si="3"/>
        <v>292.92857142857122</v>
      </c>
      <c r="O63" s="14">
        <f t="shared" si="4"/>
        <v>0</v>
      </c>
      <c r="P63" s="15">
        <f t="shared" si="5"/>
        <v>-7.0714285714287826</v>
      </c>
      <c r="Q63" s="91">
        <f t="shared" si="6"/>
        <v>0.97642857142857076</v>
      </c>
      <c r="R63" s="177"/>
      <c r="S63" s="21">
        <v>0.2479166666666667</v>
      </c>
      <c r="T63" s="21">
        <v>0.26736111111111116</v>
      </c>
      <c r="U63" s="88">
        <f t="shared" ref="U63:U67" si="44">(S63-T62)*24*60</f>
        <v>6.0000000000000187</v>
      </c>
      <c r="V63" s="30">
        <f t="shared" si="42"/>
        <v>28.000000000000021</v>
      </c>
      <c r="W63" s="88"/>
      <c r="X63" s="88"/>
      <c r="Y63" s="88"/>
      <c r="Z63" s="88"/>
      <c r="AA63" s="168"/>
      <c r="AB63" s="168"/>
      <c r="AC63" s="18"/>
      <c r="AD63" s="18"/>
      <c r="AE63" s="14">
        <f t="shared" si="43"/>
        <v>-70.714285714288053</v>
      </c>
      <c r="AF63" s="91">
        <f t="shared" si="9"/>
        <v>0.97642857142857065</v>
      </c>
      <c r="AG63" s="177"/>
    </row>
    <row r="64" spans="1:33" ht="15.75" customHeight="1">
      <c r="A64" s="179" t="s">
        <v>175</v>
      </c>
      <c r="B64" s="88" t="s">
        <v>33</v>
      </c>
      <c r="C64" s="169" t="s">
        <v>35</v>
      </c>
      <c r="D64" s="169"/>
      <c r="E64" s="28">
        <v>26.78</v>
      </c>
      <c r="F64" s="29">
        <v>2560</v>
      </c>
      <c r="G64" s="88">
        <f t="shared" si="40"/>
        <v>68556.800000000003</v>
      </c>
      <c r="H64" s="30" t="s">
        <v>53</v>
      </c>
      <c r="I64" s="95">
        <v>10</v>
      </c>
      <c r="J64" s="13">
        <v>3000</v>
      </c>
      <c r="K64" s="12">
        <f t="shared" si="1"/>
        <v>300</v>
      </c>
      <c r="L64" s="95">
        <v>10</v>
      </c>
      <c r="M64" s="13">
        <f t="shared" si="41"/>
        <v>2898.1132075471714</v>
      </c>
      <c r="N64" s="12">
        <f t="shared" si="3"/>
        <v>289.81132075471714</v>
      </c>
      <c r="O64" s="14">
        <f t="shared" si="4"/>
        <v>0</v>
      </c>
      <c r="P64" s="15">
        <f t="shared" si="5"/>
        <v>-10.188679245282856</v>
      </c>
      <c r="Q64" s="91">
        <f t="shared" si="6"/>
        <v>0.96603773584905717</v>
      </c>
      <c r="R64" s="177"/>
      <c r="S64" s="21">
        <v>0.27083333333333337</v>
      </c>
      <c r="T64" s="21">
        <v>0.30763888888888891</v>
      </c>
      <c r="U64" s="88">
        <f t="shared" si="44"/>
        <v>4.9999999999999822</v>
      </c>
      <c r="V64" s="30">
        <f t="shared" si="42"/>
        <v>52.999999999999972</v>
      </c>
      <c r="W64" s="88"/>
      <c r="X64" s="88"/>
      <c r="Y64" s="88"/>
      <c r="Z64" s="88"/>
      <c r="AA64" s="168"/>
      <c r="AB64" s="168"/>
      <c r="AC64" s="18"/>
      <c r="AD64" s="18"/>
      <c r="AE64" s="14">
        <f t="shared" si="43"/>
        <v>-101.88679245282856</v>
      </c>
      <c r="AF64" s="91">
        <f t="shared" si="9"/>
        <v>0.96603773584905717</v>
      </c>
      <c r="AG64" s="177"/>
    </row>
    <row r="65" spans="1:33" ht="15.75" customHeight="1">
      <c r="A65" s="179" t="s">
        <v>2722</v>
      </c>
      <c r="B65" s="88" t="s">
        <v>33</v>
      </c>
      <c r="C65" s="169" t="s">
        <v>756</v>
      </c>
      <c r="D65" s="169"/>
      <c r="E65" s="28">
        <v>37.880000000000003</v>
      </c>
      <c r="F65" s="29">
        <v>2054</v>
      </c>
      <c r="G65" s="88">
        <f t="shared" si="40"/>
        <v>77805.52</v>
      </c>
      <c r="H65" s="30" t="s">
        <v>53</v>
      </c>
      <c r="I65" s="95">
        <v>10</v>
      </c>
      <c r="J65" s="13">
        <v>3000</v>
      </c>
      <c r="K65" s="12">
        <f t="shared" si="1"/>
        <v>300</v>
      </c>
      <c r="L65" s="95">
        <v>10</v>
      </c>
      <c r="M65" s="13">
        <f t="shared" si="41"/>
        <v>2866.0465116279065</v>
      </c>
      <c r="N65" s="12">
        <f t="shared" si="3"/>
        <v>286.60465116279067</v>
      </c>
      <c r="O65" s="14">
        <f t="shared" si="4"/>
        <v>0</v>
      </c>
      <c r="P65" s="15">
        <f t="shared" si="5"/>
        <v>-13.395348837209326</v>
      </c>
      <c r="Q65" s="91">
        <f t="shared" si="6"/>
        <v>0.95534883720930219</v>
      </c>
      <c r="R65" s="177"/>
      <c r="S65" s="21">
        <v>0.31319444444444444</v>
      </c>
      <c r="T65" s="21">
        <v>0.34305555555555556</v>
      </c>
      <c r="U65" s="88">
        <f t="shared" si="44"/>
        <v>7.9999999999999716</v>
      </c>
      <c r="V65" s="30">
        <f t="shared" si="42"/>
        <v>43.000000000000007</v>
      </c>
      <c r="W65" s="88"/>
      <c r="X65" s="88"/>
      <c r="Y65" s="88"/>
      <c r="Z65" s="88"/>
      <c r="AA65" s="168"/>
      <c r="AB65" s="168"/>
      <c r="AC65" s="18"/>
      <c r="AD65" s="18"/>
      <c r="AE65" s="14">
        <f t="shared" si="43"/>
        <v>-133.95348837209349</v>
      </c>
      <c r="AF65" s="91">
        <f t="shared" si="9"/>
        <v>0.95534883720930219</v>
      </c>
      <c r="AG65" s="177"/>
    </row>
    <row r="66" spans="1:33">
      <c r="A66" s="180" t="s">
        <v>2722</v>
      </c>
      <c r="B66" s="88" t="s">
        <v>33</v>
      </c>
      <c r="C66" s="169" t="s">
        <v>38</v>
      </c>
      <c r="D66" s="169"/>
      <c r="E66" s="28">
        <v>35.869999999999997</v>
      </c>
      <c r="F66" s="29">
        <v>4026</v>
      </c>
      <c r="G66" s="88">
        <f t="shared" si="40"/>
        <v>144412.62</v>
      </c>
      <c r="H66" s="30" t="s">
        <v>53</v>
      </c>
      <c r="I66" s="95">
        <v>9</v>
      </c>
      <c r="J66" s="13">
        <v>3000</v>
      </c>
      <c r="K66" s="12">
        <f t="shared" si="1"/>
        <v>333.33333333333331</v>
      </c>
      <c r="L66" s="95">
        <v>9</v>
      </c>
      <c r="M66" s="13">
        <f t="shared" si="41"/>
        <v>2875.7142857142844</v>
      </c>
      <c r="N66" s="12">
        <f t="shared" si="3"/>
        <v>319.5238095238094</v>
      </c>
      <c r="O66" s="14">
        <f t="shared" si="4"/>
        <v>0</v>
      </c>
      <c r="P66" s="15">
        <f t="shared" si="5"/>
        <v>-13.80952380952391</v>
      </c>
      <c r="Q66" s="91">
        <f t="shared" si="6"/>
        <v>0.9585714285714283</v>
      </c>
      <c r="R66" s="177"/>
      <c r="S66" s="21">
        <v>0.34861111111111109</v>
      </c>
      <c r="T66" s="21">
        <v>0.40694444444444444</v>
      </c>
      <c r="U66" s="88">
        <f t="shared" si="44"/>
        <v>7.9999999999999716</v>
      </c>
      <c r="V66" s="30">
        <f t="shared" si="42"/>
        <v>84.000000000000028</v>
      </c>
      <c r="W66" s="16"/>
      <c r="X66" s="16"/>
      <c r="Y66" s="16"/>
      <c r="Z66" s="16"/>
      <c r="AA66" s="168"/>
      <c r="AB66" s="168"/>
      <c r="AC66" s="18"/>
      <c r="AD66" s="18"/>
      <c r="AE66" s="14">
        <f t="shared" si="43"/>
        <v>-124.28571428571558</v>
      </c>
      <c r="AF66" s="91">
        <f t="shared" si="9"/>
        <v>0.95857142857142819</v>
      </c>
      <c r="AG66" s="177"/>
    </row>
    <row r="67" spans="1:33" ht="15" customHeight="1">
      <c r="A67" s="180" t="s">
        <v>2722</v>
      </c>
      <c r="B67" s="88" t="s">
        <v>33</v>
      </c>
      <c r="C67" s="170" t="s">
        <v>72</v>
      </c>
      <c r="D67" s="171"/>
      <c r="E67" s="28">
        <v>34.35</v>
      </c>
      <c r="F67" s="29">
        <v>2601</v>
      </c>
      <c r="G67" s="88">
        <f t="shared" si="40"/>
        <v>89344.35</v>
      </c>
      <c r="H67" s="30" t="s">
        <v>53</v>
      </c>
      <c r="I67" s="95">
        <v>8</v>
      </c>
      <c r="J67" s="13">
        <v>3000</v>
      </c>
      <c r="K67" s="12">
        <f t="shared" si="1"/>
        <v>375</v>
      </c>
      <c r="L67" s="95">
        <v>8</v>
      </c>
      <c r="M67" s="13">
        <f t="shared" si="41"/>
        <v>2890.0000000000014</v>
      </c>
      <c r="N67" s="12">
        <f t="shared" si="3"/>
        <v>361.25000000000017</v>
      </c>
      <c r="O67" s="14">
        <f t="shared" si="4"/>
        <v>0</v>
      </c>
      <c r="P67" s="15">
        <f t="shared" si="5"/>
        <v>-13.749999999999829</v>
      </c>
      <c r="Q67" s="91">
        <f t="shared" si="6"/>
        <v>0.96333333333333382</v>
      </c>
      <c r="R67" s="177"/>
      <c r="S67" s="21">
        <v>0.41111111111111109</v>
      </c>
      <c r="T67" s="21">
        <v>0.44861111111111107</v>
      </c>
      <c r="U67" s="88">
        <f t="shared" si="44"/>
        <v>5.9999999999999787</v>
      </c>
      <c r="V67" s="30">
        <f t="shared" si="42"/>
        <v>53.999999999999972</v>
      </c>
      <c r="W67" s="88"/>
      <c r="X67" s="88"/>
      <c r="Y67" s="98"/>
      <c r="Z67" s="98"/>
      <c r="AA67" s="172"/>
      <c r="AB67" s="173"/>
      <c r="AC67" s="18"/>
      <c r="AD67" s="18"/>
      <c r="AE67" s="14">
        <f t="shared" si="43"/>
        <v>-109.99999999999864</v>
      </c>
      <c r="AF67" s="91">
        <f t="shared" si="9"/>
        <v>0.96333333333333382</v>
      </c>
      <c r="AG67" s="177"/>
    </row>
    <row r="68" spans="1:33">
      <c r="A68" s="180" t="s">
        <v>2722</v>
      </c>
      <c r="B68" s="28" t="s">
        <v>165</v>
      </c>
      <c r="C68" s="178"/>
      <c r="D68" s="178"/>
      <c r="E68" s="92"/>
      <c r="F68" s="12"/>
      <c r="G68" s="12"/>
      <c r="H68" s="88"/>
      <c r="I68" s="23">
        <v>9.5</v>
      </c>
      <c r="J68" s="13">
        <v>3000</v>
      </c>
      <c r="K68" s="12">
        <f t="shared" si="1"/>
        <v>315.78947368421052</v>
      </c>
      <c r="L68" s="23">
        <v>9.5</v>
      </c>
      <c r="M68" s="13">
        <f>AVERAGE(M62:M67)</f>
        <v>2890.4481884899633</v>
      </c>
      <c r="N68" s="12">
        <f t="shared" si="3"/>
        <v>304.2577040515751</v>
      </c>
      <c r="O68" s="14">
        <f t="shared" si="4"/>
        <v>0</v>
      </c>
      <c r="P68" s="15">
        <f t="shared" si="5"/>
        <v>-11.531769632635417</v>
      </c>
      <c r="Q68" s="91">
        <f t="shared" si="6"/>
        <v>0.96348272949665448</v>
      </c>
      <c r="R68" s="177"/>
      <c r="S68" s="21"/>
      <c r="T68" s="21"/>
      <c r="U68" s="12"/>
      <c r="V68" s="30"/>
      <c r="W68" s="12"/>
      <c r="X68" s="12"/>
      <c r="Y68" s="24">
        <f>SUM(Y62:Y67)</f>
        <v>0</v>
      </c>
      <c r="Z68" s="24">
        <f>SUM(Z62:Z67)</f>
        <v>0</v>
      </c>
      <c r="AA68" s="167"/>
      <c r="AB68" s="167"/>
      <c r="AC68" s="24">
        <v>6</v>
      </c>
      <c r="AD68" s="24">
        <f>SUM(AD62:AD67)</f>
        <v>0</v>
      </c>
      <c r="AE68" s="14">
        <f t="shared" si="43"/>
        <v>-109.55181151003671</v>
      </c>
      <c r="AF68" s="91">
        <f t="shared" si="9"/>
        <v>0.96348272949665448</v>
      </c>
      <c r="AG68" s="177"/>
    </row>
    <row r="69" spans="1:33" ht="15.75" customHeight="1">
      <c r="A69" s="174" t="s">
        <v>176</v>
      </c>
      <c r="B69" s="88" t="s">
        <v>22</v>
      </c>
      <c r="C69" s="169" t="s">
        <v>52</v>
      </c>
      <c r="D69" s="169"/>
      <c r="E69" s="28">
        <v>19.02</v>
      </c>
      <c r="F69" s="88">
        <v>5600</v>
      </c>
      <c r="G69" s="88">
        <f t="shared" ref="G69:G75" si="45">E69*F69</f>
        <v>106512</v>
      </c>
      <c r="H69" s="30">
        <v>2</v>
      </c>
      <c r="I69" s="95">
        <v>14</v>
      </c>
      <c r="J69" s="13">
        <v>2400</v>
      </c>
      <c r="K69" s="12">
        <f t="shared" ref="K69:K76" si="46">J69/I69</f>
        <v>171.42857142857142</v>
      </c>
      <c r="L69" s="95">
        <v>14</v>
      </c>
      <c r="M69" s="13">
        <f t="shared" ref="M69:M75" si="47">F69/V69*60</f>
        <v>2285.7142857142858</v>
      </c>
      <c r="N69" s="12">
        <f t="shared" ref="N69:N76" si="48">M69/L69</f>
        <v>163.26530612244898</v>
      </c>
      <c r="O69" s="14">
        <f t="shared" ref="O69:O76" si="49">L69-I69</f>
        <v>0</v>
      </c>
      <c r="P69" s="15">
        <f t="shared" ref="P69:P76" si="50">N69-K69</f>
        <v>-8.1632653061224403</v>
      </c>
      <c r="Q69" s="91">
        <f t="shared" ref="Q69:Q76" si="51">N69/K69</f>
        <v>0.95238095238095244</v>
      </c>
      <c r="R69" s="177">
        <f>Q76</f>
        <v>0.95660124294270654</v>
      </c>
      <c r="S69" s="21">
        <v>8.3333333333333329E-2</v>
      </c>
      <c r="T69" s="21">
        <v>0.18541666666666667</v>
      </c>
      <c r="U69" s="21"/>
      <c r="V69" s="30">
        <f t="shared" ref="V69:V75" si="52">(T69-S69)*24*60</f>
        <v>147</v>
      </c>
      <c r="W69" s="16">
        <f>T69</f>
        <v>0.18541666666666667</v>
      </c>
      <c r="X69" s="16">
        <f>S70</f>
        <v>0.20625000000000002</v>
      </c>
      <c r="Y69" s="16"/>
      <c r="Z69" s="16"/>
      <c r="AA69" s="168"/>
      <c r="AB69" s="168"/>
      <c r="AC69" s="18">
        <v>7</v>
      </c>
      <c r="AD69" s="18"/>
      <c r="AE69" s="14">
        <f t="shared" si="43"/>
        <v>-114.28571428571422</v>
      </c>
      <c r="AF69" s="91">
        <f t="shared" ref="AF69:AF76" si="53">M69/J69</f>
        <v>0.95238095238095244</v>
      </c>
      <c r="AG69" s="177">
        <f>AF76</f>
        <v>0.95660124294270665</v>
      </c>
    </row>
    <row r="70" spans="1:33" ht="15.75" customHeight="1">
      <c r="A70" s="175" t="s">
        <v>2723</v>
      </c>
      <c r="B70" s="88" t="s">
        <v>22</v>
      </c>
      <c r="C70" s="169" t="s">
        <v>32</v>
      </c>
      <c r="D70" s="169"/>
      <c r="E70" s="28">
        <v>20.52</v>
      </c>
      <c r="F70" s="88">
        <v>3832</v>
      </c>
      <c r="G70" s="88">
        <f t="shared" si="45"/>
        <v>78632.639999999999</v>
      </c>
      <c r="H70" s="30" t="s">
        <v>53</v>
      </c>
      <c r="I70" s="95">
        <v>18</v>
      </c>
      <c r="J70" s="13">
        <v>2400</v>
      </c>
      <c r="K70" s="12">
        <f t="shared" si="46"/>
        <v>133.33333333333334</v>
      </c>
      <c r="L70" s="95">
        <v>18</v>
      </c>
      <c r="M70" s="13">
        <f t="shared" si="47"/>
        <v>2299.1999999999998</v>
      </c>
      <c r="N70" s="12">
        <f t="shared" si="48"/>
        <v>127.73333333333332</v>
      </c>
      <c r="O70" s="14">
        <f t="shared" si="49"/>
        <v>0</v>
      </c>
      <c r="P70" s="15">
        <f t="shared" si="50"/>
        <v>-5.6000000000000227</v>
      </c>
      <c r="Q70" s="91">
        <f t="shared" si="51"/>
        <v>0.95799999999999985</v>
      </c>
      <c r="R70" s="177"/>
      <c r="S70" s="21">
        <v>0.20625000000000002</v>
      </c>
      <c r="T70" s="21">
        <v>0.27569444444444446</v>
      </c>
      <c r="U70" s="88">
        <f t="shared" ref="U70:U75" si="54">(S70-T69)*24*60</f>
        <v>30.000000000000014</v>
      </c>
      <c r="V70" s="30">
        <f t="shared" si="52"/>
        <v>100</v>
      </c>
      <c r="W70" s="16"/>
      <c r="X70" s="16"/>
      <c r="Y70" s="16"/>
      <c r="Z70" s="16"/>
      <c r="AA70" s="168"/>
      <c r="AB70" s="168"/>
      <c r="AC70" s="18"/>
      <c r="AD70" s="18"/>
      <c r="AE70" s="14">
        <f t="shared" si="43"/>
        <v>-100.80000000000018</v>
      </c>
      <c r="AF70" s="91">
        <f t="shared" si="53"/>
        <v>0.95799999999999996</v>
      </c>
      <c r="AG70" s="177"/>
    </row>
    <row r="71" spans="1:33" ht="15.75" customHeight="1">
      <c r="A71" s="175" t="s">
        <v>2723</v>
      </c>
      <c r="B71" s="88" t="s">
        <v>22</v>
      </c>
      <c r="C71" s="169" t="s">
        <v>50</v>
      </c>
      <c r="D71" s="169"/>
      <c r="E71" s="28">
        <v>24.45</v>
      </c>
      <c r="F71" s="88">
        <v>3407</v>
      </c>
      <c r="G71" s="88">
        <f t="shared" si="45"/>
        <v>83301.149999999994</v>
      </c>
      <c r="H71" s="30" t="s">
        <v>53</v>
      </c>
      <c r="I71" s="95">
        <v>19</v>
      </c>
      <c r="J71" s="13">
        <v>2400</v>
      </c>
      <c r="K71" s="12">
        <f t="shared" si="46"/>
        <v>126.31578947368421</v>
      </c>
      <c r="L71" s="95">
        <v>19</v>
      </c>
      <c r="M71" s="13">
        <f t="shared" si="47"/>
        <v>2296.8539325842694</v>
      </c>
      <c r="N71" s="12">
        <f t="shared" si="48"/>
        <v>120.88704908338259</v>
      </c>
      <c r="O71" s="14">
        <f t="shared" si="49"/>
        <v>0</v>
      </c>
      <c r="P71" s="15">
        <f t="shared" si="50"/>
        <v>-5.4287403903016127</v>
      </c>
      <c r="Q71" s="91">
        <f t="shared" si="51"/>
        <v>0.95702247191011225</v>
      </c>
      <c r="R71" s="177"/>
      <c r="S71" s="21">
        <v>0.27916666666666667</v>
      </c>
      <c r="T71" s="21">
        <v>0.34097222222222223</v>
      </c>
      <c r="U71" s="88">
        <f t="shared" si="54"/>
        <v>4.9999999999999822</v>
      </c>
      <c r="V71" s="30">
        <f t="shared" si="52"/>
        <v>89</v>
      </c>
      <c r="W71" s="16"/>
      <c r="X71" s="16"/>
      <c r="Y71" s="16"/>
      <c r="Z71" s="16"/>
      <c r="AA71" s="168"/>
      <c r="AB71" s="168"/>
      <c r="AC71" s="18"/>
      <c r="AD71" s="18"/>
      <c r="AE71" s="14">
        <f t="shared" si="43"/>
        <v>-103.14606741573061</v>
      </c>
      <c r="AF71" s="91">
        <f t="shared" si="53"/>
        <v>0.95702247191011225</v>
      </c>
      <c r="AG71" s="177"/>
    </row>
    <row r="72" spans="1:33" ht="15.75" customHeight="1">
      <c r="A72" s="175" t="s">
        <v>2723</v>
      </c>
      <c r="B72" s="88" t="s">
        <v>22</v>
      </c>
      <c r="C72" s="169" t="s">
        <v>31</v>
      </c>
      <c r="D72" s="169"/>
      <c r="E72" s="28">
        <v>20.21</v>
      </c>
      <c r="F72" s="88">
        <v>3826</v>
      </c>
      <c r="G72" s="88">
        <f t="shared" si="45"/>
        <v>77323.460000000006</v>
      </c>
      <c r="H72" s="30" t="s">
        <v>53</v>
      </c>
      <c r="I72" s="95">
        <v>15</v>
      </c>
      <c r="J72" s="13">
        <v>2400</v>
      </c>
      <c r="K72" s="12">
        <f t="shared" si="46"/>
        <v>160</v>
      </c>
      <c r="L72" s="95">
        <v>15</v>
      </c>
      <c r="M72" s="13">
        <f t="shared" si="47"/>
        <v>2295.6000000000008</v>
      </c>
      <c r="N72" s="12">
        <f t="shared" si="48"/>
        <v>153.04000000000005</v>
      </c>
      <c r="O72" s="14">
        <f t="shared" si="49"/>
        <v>0</v>
      </c>
      <c r="P72" s="15">
        <f t="shared" si="50"/>
        <v>-6.9599999999999511</v>
      </c>
      <c r="Q72" s="91">
        <f t="shared" si="51"/>
        <v>0.95650000000000035</v>
      </c>
      <c r="R72" s="177"/>
      <c r="S72" s="21">
        <v>0.34652777777777777</v>
      </c>
      <c r="T72" s="21">
        <v>0.41597222222222219</v>
      </c>
      <c r="U72" s="88">
        <f t="shared" si="54"/>
        <v>7.9999999999999716</v>
      </c>
      <c r="V72" s="30">
        <f t="shared" si="52"/>
        <v>99.999999999999972</v>
      </c>
      <c r="W72" s="16"/>
      <c r="X72" s="16"/>
      <c r="Y72" s="16"/>
      <c r="Z72" s="16"/>
      <c r="AA72" s="168"/>
      <c r="AB72" s="168"/>
      <c r="AC72" s="18"/>
      <c r="AD72" s="18"/>
      <c r="AE72" s="14">
        <f t="shared" si="43"/>
        <v>-104.39999999999918</v>
      </c>
      <c r="AF72" s="91">
        <f t="shared" si="53"/>
        <v>0.95650000000000035</v>
      </c>
      <c r="AG72" s="177"/>
    </row>
    <row r="73" spans="1:33" ht="15.75" customHeight="1">
      <c r="A73" s="175" t="s">
        <v>2723</v>
      </c>
      <c r="B73" s="88" t="s">
        <v>22</v>
      </c>
      <c r="C73" s="169" t="s">
        <v>70</v>
      </c>
      <c r="D73" s="169"/>
      <c r="E73" s="28">
        <v>22.69</v>
      </c>
      <c r="F73" s="88">
        <v>3500</v>
      </c>
      <c r="G73" s="88">
        <f t="shared" si="45"/>
        <v>79415</v>
      </c>
      <c r="H73" s="30">
        <v>2</v>
      </c>
      <c r="I73" s="95">
        <v>15</v>
      </c>
      <c r="J73" s="13">
        <v>2400</v>
      </c>
      <c r="K73" s="12">
        <f t="shared" si="46"/>
        <v>160</v>
      </c>
      <c r="L73" s="95">
        <v>15</v>
      </c>
      <c r="M73" s="13">
        <f t="shared" si="47"/>
        <v>2307.6923076923076</v>
      </c>
      <c r="N73" s="12">
        <f t="shared" si="48"/>
        <v>153.84615384615384</v>
      </c>
      <c r="O73" s="14">
        <f t="shared" si="49"/>
        <v>0</v>
      </c>
      <c r="P73" s="15">
        <f t="shared" si="50"/>
        <v>-6.1538461538461604</v>
      </c>
      <c r="Q73" s="91">
        <f t="shared" si="51"/>
        <v>0.96153846153846145</v>
      </c>
      <c r="R73" s="177"/>
      <c r="S73" s="21">
        <v>0.42083333333333328</v>
      </c>
      <c r="T73" s="21">
        <v>0.48402777777777772</v>
      </c>
      <c r="U73" s="88">
        <f t="shared" si="54"/>
        <v>6.9999999999999751</v>
      </c>
      <c r="V73" s="30">
        <f t="shared" si="52"/>
        <v>91</v>
      </c>
      <c r="W73" s="16">
        <f>T73</f>
        <v>0.48402777777777772</v>
      </c>
      <c r="X73" s="16">
        <f>S74</f>
        <v>0.52430555555555547</v>
      </c>
      <c r="Y73" s="16"/>
      <c r="Z73" s="16"/>
      <c r="AA73" s="168"/>
      <c r="AB73" s="168"/>
      <c r="AC73" s="18"/>
      <c r="AD73" s="18"/>
      <c r="AE73" s="14">
        <f t="shared" si="43"/>
        <v>-92.307692307692378</v>
      </c>
      <c r="AF73" s="91">
        <f t="shared" si="53"/>
        <v>0.96153846153846156</v>
      </c>
      <c r="AG73" s="177"/>
    </row>
    <row r="74" spans="1:33" ht="15.75" customHeight="1">
      <c r="A74" s="175" t="s">
        <v>176</v>
      </c>
      <c r="B74" s="88" t="s">
        <v>22</v>
      </c>
      <c r="C74" s="169" t="s">
        <v>52</v>
      </c>
      <c r="D74" s="169"/>
      <c r="E74" s="28">
        <v>19.02</v>
      </c>
      <c r="F74" s="88">
        <v>8154</v>
      </c>
      <c r="G74" s="88">
        <f t="shared" si="45"/>
        <v>155089.07999999999</v>
      </c>
      <c r="H74" s="30" t="s">
        <v>53</v>
      </c>
      <c r="I74" s="95">
        <v>14</v>
      </c>
      <c r="J74" s="13">
        <v>2400</v>
      </c>
      <c r="K74" s="12">
        <f t="shared" si="46"/>
        <v>171.42857142857142</v>
      </c>
      <c r="L74" s="95">
        <v>14</v>
      </c>
      <c r="M74" s="13">
        <f t="shared" si="47"/>
        <v>2286.1682242990651</v>
      </c>
      <c r="N74" s="12">
        <f t="shared" si="48"/>
        <v>163.29773030707608</v>
      </c>
      <c r="O74" s="14">
        <f t="shared" si="49"/>
        <v>0</v>
      </c>
      <c r="P74" s="15">
        <f t="shared" si="50"/>
        <v>-8.1308411214953367</v>
      </c>
      <c r="Q74" s="91">
        <f t="shared" si="51"/>
        <v>0.95257009345794386</v>
      </c>
      <c r="R74" s="177"/>
      <c r="S74" s="21">
        <v>0.52430555555555547</v>
      </c>
      <c r="T74" s="21">
        <v>0.67291666666666661</v>
      </c>
      <c r="U74" s="88">
        <f t="shared" si="54"/>
        <v>57.999999999999957</v>
      </c>
      <c r="V74" s="30">
        <f t="shared" si="52"/>
        <v>214.00000000000003</v>
      </c>
      <c r="W74" s="16"/>
      <c r="X74" s="16"/>
      <c r="Y74" s="16"/>
      <c r="Z74" s="16"/>
      <c r="AA74" s="168"/>
      <c r="AB74" s="168"/>
      <c r="AC74" s="18"/>
      <c r="AD74" s="18"/>
      <c r="AE74" s="14">
        <f t="shared" si="43"/>
        <v>-113.83177570093494</v>
      </c>
      <c r="AF74" s="91">
        <f t="shared" si="53"/>
        <v>0.95257009345794375</v>
      </c>
      <c r="AG74" s="177"/>
    </row>
    <row r="75" spans="1:33" ht="15.75" customHeight="1">
      <c r="A75" s="175" t="s">
        <v>176</v>
      </c>
      <c r="B75" s="88" t="s">
        <v>22</v>
      </c>
      <c r="C75" s="170" t="s">
        <v>70</v>
      </c>
      <c r="D75" s="171"/>
      <c r="E75" s="28">
        <v>22.69</v>
      </c>
      <c r="F75" s="88">
        <v>2338</v>
      </c>
      <c r="G75" s="88">
        <f t="shared" si="45"/>
        <v>53049.22</v>
      </c>
      <c r="H75" s="30" t="s">
        <v>53</v>
      </c>
      <c r="I75" s="95">
        <v>15</v>
      </c>
      <c r="J75" s="13">
        <v>2400</v>
      </c>
      <c r="K75" s="12">
        <f t="shared" si="46"/>
        <v>160</v>
      </c>
      <c r="L75" s="95">
        <v>15</v>
      </c>
      <c r="M75" s="13">
        <f t="shared" si="47"/>
        <v>2299.6721311475435</v>
      </c>
      <c r="N75" s="12">
        <f t="shared" si="48"/>
        <v>153.31147540983622</v>
      </c>
      <c r="O75" s="14">
        <f t="shared" si="49"/>
        <v>0</v>
      </c>
      <c r="P75" s="15">
        <f t="shared" si="50"/>
        <v>-6.6885245901637802</v>
      </c>
      <c r="Q75" s="91">
        <f t="shared" si="51"/>
        <v>0.95819672131147637</v>
      </c>
      <c r="R75" s="177"/>
      <c r="S75" s="21">
        <v>0.6777777777777777</v>
      </c>
      <c r="T75" s="21">
        <v>0.72013888888888877</v>
      </c>
      <c r="U75" s="88">
        <f t="shared" si="54"/>
        <v>6.9999999999999751</v>
      </c>
      <c r="V75" s="30">
        <f t="shared" si="52"/>
        <v>60.999999999999943</v>
      </c>
      <c r="W75" s="16"/>
      <c r="X75" s="16"/>
      <c r="Y75" s="19"/>
      <c r="Z75" s="19"/>
      <c r="AA75" s="172"/>
      <c r="AB75" s="173"/>
      <c r="AC75" s="18"/>
      <c r="AD75" s="18"/>
      <c r="AE75" s="14">
        <f t="shared" si="43"/>
        <v>-100.3278688524565</v>
      </c>
      <c r="AF75" s="91">
        <f t="shared" si="53"/>
        <v>0.95819672131147648</v>
      </c>
      <c r="AG75" s="177"/>
    </row>
    <row r="76" spans="1:33" ht="16.5" customHeight="1">
      <c r="A76" s="176" t="s">
        <v>176</v>
      </c>
      <c r="B76" s="28" t="s">
        <v>165</v>
      </c>
      <c r="C76" s="165"/>
      <c r="D76" s="166"/>
      <c r="E76" s="92"/>
      <c r="F76" s="12"/>
      <c r="G76" s="12"/>
      <c r="H76" s="88"/>
      <c r="I76" s="23">
        <v>15.714285714285714</v>
      </c>
      <c r="J76" s="13">
        <v>2400</v>
      </c>
      <c r="K76" s="12">
        <f t="shared" si="46"/>
        <v>152.72727272727275</v>
      </c>
      <c r="L76" s="23">
        <v>15.714285714285714</v>
      </c>
      <c r="M76" s="13">
        <f>AVERAGE(M69:M75)</f>
        <v>2295.8429830624959</v>
      </c>
      <c r="N76" s="12">
        <f t="shared" si="48"/>
        <v>146.09909892215884</v>
      </c>
      <c r="O76" s="14">
        <f t="shared" si="49"/>
        <v>0</v>
      </c>
      <c r="P76" s="15">
        <f t="shared" si="50"/>
        <v>-6.628173805113903</v>
      </c>
      <c r="Q76" s="91">
        <f t="shared" si="51"/>
        <v>0.95660124294270654</v>
      </c>
      <c r="R76" s="177"/>
      <c r="S76" s="21"/>
      <c r="T76" s="21"/>
      <c r="U76" s="12"/>
      <c r="V76" s="30"/>
      <c r="W76" s="12"/>
      <c r="X76" s="12"/>
      <c r="Y76" s="24">
        <f>SUM(Y69:Y75)</f>
        <v>0</v>
      </c>
      <c r="Z76" s="24">
        <f>SUM(Z69:Z75)</f>
        <v>0</v>
      </c>
      <c r="AA76" s="167"/>
      <c r="AB76" s="167"/>
      <c r="AC76" s="24">
        <v>7</v>
      </c>
      <c r="AD76" s="24">
        <f>SUM(AD69:AD75)</f>
        <v>0</v>
      </c>
      <c r="AE76" s="14">
        <f t="shared" si="43"/>
        <v>-104.15701693750407</v>
      </c>
      <c r="AF76" s="91">
        <f t="shared" si="53"/>
        <v>0.95660124294270665</v>
      </c>
      <c r="AG76" s="177"/>
    </row>
    <row r="77" spans="1:33">
      <c r="D77" s="87"/>
      <c r="E77" s="87"/>
    </row>
  </sheetData>
  <mergeCells count="195">
    <mergeCell ref="A69:A76"/>
    <mergeCell ref="C69:D69"/>
    <mergeCell ref="R69:R76"/>
    <mergeCell ref="AA69:AB69"/>
    <mergeCell ref="AG69:AG76"/>
    <mergeCell ref="C70:D70"/>
    <mergeCell ref="AA70:AB70"/>
    <mergeCell ref="C71:D71"/>
    <mergeCell ref="AA71:AB71"/>
    <mergeCell ref="C72:D72"/>
    <mergeCell ref="C76:D76"/>
    <mergeCell ref="AA76:AB76"/>
    <mergeCell ref="AA72:AB72"/>
    <mergeCell ref="C73:D73"/>
    <mergeCell ref="AA73:AB73"/>
    <mergeCell ref="C74:D74"/>
    <mergeCell ref="AA74:AB74"/>
    <mergeCell ref="C75:D75"/>
    <mergeCell ref="AA75:AB75"/>
    <mergeCell ref="AG62:AG68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52:A61"/>
    <mergeCell ref="C52:D52"/>
    <mergeCell ref="R52:R61"/>
    <mergeCell ref="AA52:AB52"/>
    <mergeCell ref="C61:D61"/>
    <mergeCell ref="AA61:AB61"/>
    <mergeCell ref="A62:A68"/>
    <mergeCell ref="C62:D62"/>
    <mergeCell ref="R62:R68"/>
    <mergeCell ref="AA62:AB62"/>
    <mergeCell ref="AA67:AB67"/>
    <mergeCell ref="C68:D68"/>
    <mergeCell ref="AA68:AB68"/>
    <mergeCell ref="AG52:AG61"/>
    <mergeCell ref="C53:D53"/>
    <mergeCell ref="AA53:AB53"/>
    <mergeCell ref="C54:D54"/>
    <mergeCell ref="AA54:AB54"/>
    <mergeCell ref="AA55:AB55"/>
    <mergeCell ref="AG46:AG51"/>
    <mergeCell ref="C47:D47"/>
    <mergeCell ref="AA47:AB47"/>
    <mergeCell ref="C48:D48"/>
    <mergeCell ref="AA48:AB48"/>
    <mergeCell ref="C49:D49"/>
    <mergeCell ref="AA49:AB49"/>
    <mergeCell ref="C50:D50"/>
    <mergeCell ref="AA50:AB50"/>
    <mergeCell ref="C51:D51"/>
    <mergeCell ref="AA56:AB56"/>
    <mergeCell ref="C57:D57"/>
    <mergeCell ref="AA57:AB57"/>
    <mergeCell ref="C58:D58"/>
    <mergeCell ref="AA58:AB58"/>
    <mergeCell ref="C59:D59"/>
    <mergeCell ref="AA59:AB59"/>
    <mergeCell ref="A46:A51"/>
    <mergeCell ref="C46:D46"/>
    <mergeCell ref="R46:R51"/>
    <mergeCell ref="AA46:AB46"/>
    <mergeCell ref="AA51:AB51"/>
    <mergeCell ref="A40:A45"/>
    <mergeCell ref="C40:D40"/>
    <mergeCell ref="R40:R45"/>
    <mergeCell ref="AA40:AB40"/>
    <mergeCell ref="AG40:AG45"/>
    <mergeCell ref="C41:D41"/>
    <mergeCell ref="AA41:AB41"/>
    <mergeCell ref="C42:D42"/>
    <mergeCell ref="AA42:AB42"/>
    <mergeCell ref="C43:D43"/>
    <mergeCell ref="AG33:AG39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A43:AB43"/>
    <mergeCell ref="C44:D44"/>
    <mergeCell ref="AA44:AB44"/>
    <mergeCell ref="C45:D45"/>
    <mergeCell ref="AA45:AB45"/>
    <mergeCell ref="A25:A32"/>
    <mergeCell ref="C25:D25"/>
    <mergeCell ref="R25:R32"/>
    <mergeCell ref="AA25:AB25"/>
    <mergeCell ref="C32:D32"/>
    <mergeCell ref="AA32:AB32"/>
    <mergeCell ref="A33:A39"/>
    <mergeCell ref="C33:D33"/>
    <mergeCell ref="R33:R39"/>
    <mergeCell ref="AA33:AB33"/>
    <mergeCell ref="AA38:AB38"/>
    <mergeCell ref="C39:D39"/>
    <mergeCell ref="AA39:AB39"/>
    <mergeCell ref="AG25:AG32"/>
    <mergeCell ref="C26:D26"/>
    <mergeCell ref="AA26:AB26"/>
    <mergeCell ref="C27:D27"/>
    <mergeCell ref="AA27:AB27"/>
    <mergeCell ref="C28:D28"/>
    <mergeCell ref="AG15:AG24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4:D24"/>
    <mergeCell ref="AA28:AB28"/>
    <mergeCell ref="C29:D29"/>
    <mergeCell ref="AA29:AB29"/>
    <mergeCell ref="C30:D30"/>
    <mergeCell ref="AA30:AB30"/>
    <mergeCell ref="C31:D31"/>
    <mergeCell ref="AA31:AB31"/>
    <mergeCell ref="A15:A24"/>
    <mergeCell ref="C15:D15"/>
    <mergeCell ref="R15:R24"/>
    <mergeCell ref="AA15:AB15"/>
    <mergeCell ref="AA24:AB24"/>
    <mergeCell ref="A10:A14"/>
    <mergeCell ref="C10:D10"/>
    <mergeCell ref="R10:R14"/>
    <mergeCell ref="AA10:AB10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6">
    <cfRule type="cellIs" dxfId="231" priority="1" operator="greaterThan">
      <formula>0</formula>
    </cfRule>
  </conditionalFormatting>
  <conditionalFormatting sqref="P5:P76">
    <cfRule type="cellIs" dxfId="230" priority="4" operator="lessThan">
      <formula>0</formula>
    </cfRule>
  </conditionalFormatting>
  <conditionalFormatting sqref="Q5:Q76">
    <cfRule type="cellIs" dxfId="229" priority="2" operator="greaterThan">
      <formula>1</formula>
    </cfRule>
    <cfRule type="cellIs" dxfId="228" priority="3" operator="lessThan">
      <formula>0.8</formula>
    </cfRule>
  </conditionalFormatting>
  <conditionalFormatting sqref="R5:R10 AG5:AG10">
    <cfRule type="cellIs" dxfId="227" priority="75" operator="lessThan">
      <formula>0.8</formula>
    </cfRule>
  </conditionalFormatting>
  <conditionalFormatting sqref="AE5:AE76">
    <cfRule type="cellIs" dxfId="226" priority="28" operator="lessThan">
      <formula>0</formula>
    </cfRule>
  </conditionalFormatting>
  <conditionalFormatting sqref="AF5:AF76">
    <cfRule type="cellIs" dxfId="225" priority="27" operator="lessThan">
      <formula>0.8</formula>
    </cfRule>
    <cfRule type="cellIs" dxfId="224" priority="26" operator="greaterThan">
      <formula>1</formula>
    </cfRule>
  </conditionalFormatting>
  <conditionalFormatting sqref="AG15:AG65 R15:R76">
    <cfRule type="cellIs" dxfId="223" priority="5" operator="lessThan">
      <formula>0.8</formula>
    </cfRule>
  </conditionalFormatting>
  <dataValidations count="1">
    <dataValidation type="list" allowBlank="1" showInputMessage="1" showErrorMessage="1" sqref="AB9 AA5:AB8 AB66:AB67 AB11:AB62 AA9:AA67 AA68:AB76" xr:uid="{00000000-0002-0000-05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Q32"/>
  <sheetViews>
    <sheetView zoomScale="85" zoomScaleNormal="85" workbookViewId="0">
      <selection activeCell="M6" sqref="M6:M8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2513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2514</v>
      </c>
      <c r="C3" s="154" t="str">
        <f>TEXT('0427 4度C'!A2,"yyyy.mm.ddaaaa")</f>
        <v>2026.04.27星期一</v>
      </c>
      <c r="D3" s="155"/>
      <c r="E3" s="33" t="s">
        <v>2515</v>
      </c>
      <c r="F3" s="156">
        <f>'0427 4度C'!D1</f>
        <v>164039</v>
      </c>
      <c r="G3" s="157"/>
      <c r="H3" s="33" t="s">
        <v>2516</v>
      </c>
      <c r="I3" s="158">
        <f>'0427 4度C'!F1</f>
        <v>5509537.71</v>
      </c>
      <c r="J3" s="159"/>
      <c r="K3" s="34"/>
      <c r="L3" s="35"/>
      <c r="M3" s="35"/>
      <c r="N3" s="35"/>
    </row>
    <row r="4" spans="2:17" ht="28.5" customHeight="1">
      <c r="B4" s="160" t="s">
        <v>2517</v>
      </c>
      <c r="C4" s="146" t="s">
        <v>2518</v>
      </c>
      <c r="D4" s="147"/>
      <c r="E4" s="163" t="s">
        <v>289</v>
      </c>
      <c r="F4" s="164"/>
      <c r="G4" s="163" t="s">
        <v>2519</v>
      </c>
      <c r="H4" s="164"/>
      <c r="I4" s="163" t="s">
        <v>2520</v>
      </c>
      <c r="J4" s="164"/>
      <c r="K4" s="144" t="s">
        <v>2521</v>
      </c>
      <c r="L4" s="145"/>
      <c r="M4" s="145" t="s">
        <v>2522</v>
      </c>
      <c r="N4" s="145"/>
    </row>
    <row r="5" spans="2:17" ht="28.5" customHeight="1">
      <c r="B5" s="161"/>
      <c r="C5" s="146" t="s">
        <v>2523</v>
      </c>
      <c r="D5" s="147"/>
      <c r="E5" s="146" t="s">
        <v>2524</v>
      </c>
      <c r="F5" s="147"/>
      <c r="G5" s="148" t="s">
        <v>2525</v>
      </c>
      <c r="H5" s="149"/>
      <c r="I5" s="150" t="s">
        <v>2526</v>
      </c>
      <c r="J5" s="151"/>
      <c r="K5" s="36" t="s">
        <v>2527</v>
      </c>
      <c r="L5" s="37" t="s">
        <v>2528</v>
      </c>
      <c r="M5" s="36" t="s">
        <v>2527</v>
      </c>
      <c r="N5" s="37" t="s">
        <v>2529</v>
      </c>
    </row>
    <row r="6" spans="2:17" ht="28.5" customHeight="1">
      <c r="B6" s="161"/>
      <c r="C6" s="146" t="s">
        <v>54</v>
      </c>
      <c r="D6" s="147"/>
      <c r="E6" s="138">
        <f>AVERAGE(D13:M13)</f>
        <v>156.35410260123692</v>
      </c>
      <c r="F6" s="139">
        <f>AVERAGE(D31:O31,D13:J13)</f>
        <v>161.53911332073378</v>
      </c>
      <c r="G6" s="140">
        <f>AVERAGE(D13:J13)</f>
        <v>161.53911332073378</v>
      </c>
      <c r="H6" s="141"/>
      <c r="I6" s="140">
        <f>AVERAGE(K13:M13)</f>
        <v>144.25574425574425</v>
      </c>
      <c r="J6" s="141"/>
      <c r="K6" s="142">
        <f>'0427 4度C'!Y2</f>
        <v>0</v>
      </c>
      <c r="L6" s="127">
        <f>'0427 4度C'!Z2</f>
        <v>0</v>
      </c>
      <c r="M6" s="143">
        <f>'0427 4度C'!AC2</f>
        <v>51</v>
      </c>
      <c r="N6" s="127">
        <f>'0427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149.9763478523671</v>
      </c>
      <c r="F7" s="131">
        <f>AVERAGE(D32:O32,D14:J14)</f>
        <v>155.07595718479843</v>
      </c>
      <c r="G7" s="132">
        <f>AVERAGE(D14:J14)</f>
        <v>155.07595718479843</v>
      </c>
      <c r="H7" s="133"/>
      <c r="I7" s="132">
        <f>AVERAGE(K14:M14)</f>
        <v>138.07725941002741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0.95905350104969533</v>
      </c>
      <c r="F8" s="135">
        <f>AVERAGE(D15:J15,D33:O33)</f>
        <v>0.95987931460586506</v>
      </c>
      <c r="G8" s="136">
        <f>AVERAGE(D15:J15)</f>
        <v>0.95987931460586506</v>
      </c>
      <c r="H8" s="137"/>
      <c r="I8" s="136">
        <f>AVERAGE(K15:M15)</f>
        <v>0.95712660275196626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2530</v>
      </c>
      <c r="N9" s="35"/>
      <c r="O9" s="35"/>
      <c r="P9" s="35"/>
      <c r="Q9" s="35"/>
    </row>
    <row r="10" spans="2:17" ht="30" customHeight="1">
      <c r="B10" s="110" t="s">
        <v>2531</v>
      </c>
      <c r="C10" s="111"/>
      <c r="D10" s="112" t="s">
        <v>2532</v>
      </c>
      <c r="E10" s="113"/>
      <c r="F10" s="113"/>
      <c r="G10" s="113"/>
      <c r="H10" s="113"/>
      <c r="I10" s="113"/>
      <c r="J10" s="114"/>
      <c r="K10" s="115" t="s">
        <v>2533</v>
      </c>
      <c r="L10" s="116"/>
      <c r="M10" s="117"/>
      <c r="P10" s="41"/>
      <c r="Q10" s="41"/>
    </row>
    <row r="11" spans="2:17" ht="17.25" customHeight="1">
      <c r="B11" s="118" t="s">
        <v>2534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2535</v>
      </c>
      <c r="C13" s="48" t="s">
        <v>2536</v>
      </c>
      <c r="D13" s="49">
        <f>SUMIFS('0427 4度C'!$K:$K,'0427 4度C'!$A:$A,"新豐6線",'0427 4度C'!$B:$B,"平均")</f>
        <v>120.48192771084337</v>
      </c>
      <c r="E13" s="50">
        <f>SUMIFS('0427 4度C'!$K:$K,'0427 4度C'!$A:$A,"新豐2線",'0427 4度C'!$B:$B,"平均")</f>
        <v>83.333333333333329</v>
      </c>
      <c r="F13" s="51">
        <f>SUMIFS('0427 4度C'!$K:$K,'0427 4度C'!$A:$A,"新豐5線",'0427 4度C'!$B:$B,"平均")</f>
        <v>100</v>
      </c>
      <c r="G13" s="51">
        <f>SUMIFS('0427 4度C'!$K:$K,'0427 4度C'!$A:$A,"新豐7線",'0427 4度C'!$B:$B,"平均")</f>
        <v>129.03225806451613</v>
      </c>
      <c r="H13" s="51">
        <f>SUMIFS('0427 4度C'!$K:$K,'0427 4度C'!$A:$A,"新豐3線",'0427 4度C'!$B:$B,"平均")</f>
        <v>315.78947368421052</v>
      </c>
      <c r="I13" s="51">
        <f>SUMIFS('0427 4度C'!$K:$K,'0427 4度C'!$A:$A,"新豐1線",'0427 4度C'!$B:$B,"平均")</f>
        <v>103.44827586206897</v>
      </c>
      <c r="J13" s="52">
        <f>SUMIFS('0427 4度C'!$K:$K,'0427 4度C'!$A:$A,"新豐10線",'0427 4度C'!$B:$B,"平均")</f>
        <v>278.68852459016398</v>
      </c>
      <c r="K13" s="53">
        <f>SUMIFS('0427 4度C'!$K:$K,'0427 4度C'!$A:$A,"新豐8線",'0427 4度C'!$B:$B,"平均")</f>
        <v>129.23076923076923</v>
      </c>
      <c r="L13" s="54">
        <f>SUMIFS('0427 4度C'!$K:$K,'0427 4度C'!$A:$A,"新豐9線",'0427 4度C'!$B:$B,"平均")</f>
        <v>147.69230769230768</v>
      </c>
      <c r="M13" s="52">
        <f>SUMIFS('0427 4度C'!$K:$K,'0427 4度C'!$A:$A,"新豐4線",'0427 4度C'!$B:$B,"平均")</f>
        <v>155.84415584415584</v>
      </c>
    </row>
    <row r="14" spans="2:17" ht="39.6" customHeight="1">
      <c r="B14" s="123"/>
      <c r="C14" s="55" t="s">
        <v>202</v>
      </c>
      <c r="D14" s="56">
        <f>SUMIFS('0427 4度C'!$N:$N,'0427 4度C'!$A:$A,"新豐6線",'0427 4度C'!$B:$B,"平均")</f>
        <v>116.34415729682799</v>
      </c>
      <c r="E14" s="57">
        <f>SUMIFS('0427 4度C'!$N:$N,'0427 4度C'!$A:$A,"新豐2線",'0427 4度C'!$B:$B,"平均")</f>
        <v>79.622721945286273</v>
      </c>
      <c r="F14" s="57">
        <f>SUMIFS('0427 4度C'!$N:$N,'0427 4度C'!$A:$A,"新豐5線",'0427 4度C'!$B:$B,"平均")</f>
        <v>95.976885579246073</v>
      </c>
      <c r="G14" s="57">
        <f>SUMIFS('0427 4度C'!$N:$N,'0427 4度C'!$A:$A,"新豐7線",'0427 4度C'!$B:$B,"平均")</f>
        <v>123.6299372997743</v>
      </c>
      <c r="H14" s="57">
        <f>SUMIFS('0427 4度C'!$N:$N,'0427 4度C'!$A:$A,"新豐3線",'0427 4度C'!$B:$B,"平均")</f>
        <v>302.04639487035951</v>
      </c>
      <c r="I14" s="57">
        <f>SUMIFS('0427 4度C'!$N:$N,'0427 4度C'!$A:$A,"新豐1線",'0427 4度C'!$B:$B,"平均")</f>
        <v>99.284087616237684</v>
      </c>
      <c r="J14" s="58">
        <f>SUMIFS('0427 4度C'!$N:$N,'0427 4度C'!$A:$A,"新豐10線",'0427 4度C'!$B:$B,"平均")</f>
        <v>268.62751568585708</v>
      </c>
      <c r="K14" s="59">
        <f>SUMIFS('0427 4度C'!$N:$N,'0427 4度C'!$A:$A,"新豐8線",'0427 4度C'!$B:$B,"平均")</f>
        <v>123.65074575565365</v>
      </c>
      <c r="L14" s="60">
        <f>SUMIFS('0427 4度C'!$N:$N,'0427 4度C'!$A:$A,"新豐9線",'0427 4度C'!$B:$B,"平均")</f>
        <v>141.16782012112856</v>
      </c>
      <c r="M14" s="58">
        <f>SUMIFS('0427 4度C'!$N:$N,'0427 4度C'!$A:$A,"新豐4線",'0427 4度C'!$B:$B,"平均")</f>
        <v>149.41321235330005</v>
      </c>
    </row>
    <row r="15" spans="2:17" ht="40.15" customHeight="1">
      <c r="B15" s="124"/>
      <c r="C15" s="61" t="s">
        <v>2537</v>
      </c>
      <c r="D15" s="62">
        <f t="shared" ref="D15:M15" si="0">D14/D13</f>
        <v>0.96565650556367233</v>
      </c>
      <c r="E15" s="63">
        <f t="shared" si="0"/>
        <v>0.95547266334343528</v>
      </c>
      <c r="F15" s="63">
        <f t="shared" si="0"/>
        <v>0.95976885579246074</v>
      </c>
      <c r="G15" s="63">
        <f t="shared" si="0"/>
        <v>0.95813201407325077</v>
      </c>
      <c r="H15" s="63">
        <f t="shared" si="0"/>
        <v>0.95648025042280516</v>
      </c>
      <c r="I15" s="63">
        <f t="shared" si="0"/>
        <v>0.95974618029029757</v>
      </c>
      <c r="J15" s="64">
        <f t="shared" si="0"/>
        <v>0.96389873275513405</v>
      </c>
      <c r="K15" s="62">
        <f t="shared" si="0"/>
        <v>0.95682124691874848</v>
      </c>
      <c r="L15" s="63">
        <f t="shared" si="0"/>
        <v>0.9558237820701414</v>
      </c>
      <c r="M15" s="64">
        <f t="shared" si="0"/>
        <v>0.95873477926700879</v>
      </c>
    </row>
    <row r="16" spans="2:17" ht="17.25" customHeight="1">
      <c r="B16" s="125" t="s">
        <v>2538</v>
      </c>
      <c r="C16" s="65" t="s">
        <v>2539</v>
      </c>
      <c r="D16" s="66">
        <f>VLOOKUP("新豐6線",'0427 4度C'!$A:$T,19,0)</f>
        <v>0.70833333333333337</v>
      </c>
      <c r="E16" s="67">
        <f>VLOOKUP("新豐2線",'0427 4度C'!$A:$T,19,0)</f>
        <v>0.20833333333333334</v>
      </c>
      <c r="F16" s="67">
        <f>VLOOKUP("新豐5線",'0427 4度C'!$A:$T,19,0)</f>
        <v>0.20833333333333334</v>
      </c>
      <c r="G16" s="67">
        <f>VLOOKUP("新豐7線",'0427 4度C'!$A:$T,19,0)</f>
        <v>0.29166666666666669</v>
      </c>
      <c r="H16" s="67">
        <f>VLOOKUP("新豐3線",'0427 4度C'!$A:$T,19,0)</f>
        <v>8.3333333333333329E-2</v>
      </c>
      <c r="I16" s="67">
        <f>VLOOKUP("新豐1線",'0427 4度C'!$A:$T,19,0)</f>
        <v>0.33333333333333331</v>
      </c>
      <c r="J16" s="68">
        <f>VLOOKUP("新豐10線",'0427 4度C'!$A:$T,19,0)</f>
        <v>0.20833333333333334</v>
      </c>
      <c r="K16" s="69">
        <f>VLOOKUP("新豐8線",'0427 4度C'!$A:$T,19,0)</f>
        <v>8.3333333333333329E-2</v>
      </c>
      <c r="L16" s="70">
        <f>VLOOKUP("新豐9線",'0427 4度C'!$A:$T,19,0)</f>
        <v>8.3333333333333329E-2</v>
      </c>
      <c r="M16" s="71">
        <f>VLOOKUP("新豐4線",'0427 4度C'!$A:$T,19,0)</f>
        <v>8.3333333333333329E-2</v>
      </c>
    </row>
    <row r="17" spans="2:13" ht="17.25" customHeight="1">
      <c r="B17" s="126"/>
      <c r="C17" s="65" t="s">
        <v>2540</v>
      </c>
      <c r="D17" s="69">
        <f>LOOKUP(2,1/(('0427 4度C'!$A:$A="新豐6線")*('0427 4度C'!$T:$T&lt;&gt;"")),'0427 4度C'!$T:$T)</f>
        <v>0.89375000000000004</v>
      </c>
      <c r="E17" s="67">
        <f>LOOKUP(2,1/(('0427 4度C'!$A:$A="新豐2線")*('0427 4度C'!$T:$T&lt;&gt;"")),'0427 4度C'!$T:$T)</f>
        <v>0.65208333333333335</v>
      </c>
      <c r="F17" s="67">
        <f>LOOKUP(2,1/(('0427 4度C'!$A:$A="新豐5線")*('0427 4度C'!$T:$T&lt;&gt;"")),'0427 4度C'!$T:$T)</f>
        <v>0.85347222222222219</v>
      </c>
      <c r="G17" s="67">
        <f>LOOKUP(2,1/(('0427 4度C'!$A:$A="新豐7線")*('0427 4度C'!$T:$T&lt;&gt;"")),'0427 4度C'!$T:$T)</f>
        <v>0.84513888888888899</v>
      </c>
      <c r="H17" s="67">
        <f>LOOKUP(2,1/(('0427 4度C'!$A:$A="新豐3線")*('0427 4度C'!$T:$T&lt;&gt;"")),'0427 4度C'!$T:$T)</f>
        <v>0.43958333333333333</v>
      </c>
      <c r="I17" s="67">
        <f>LOOKUP(2,1/(('0427 4度C'!$A:$A="新豐1線")*('0427 4度C'!$T:$T&lt;&gt;"")),'0427 4度C'!$T:$T)</f>
        <v>0.82638888888888895</v>
      </c>
      <c r="J17" s="68">
        <f>LOOKUP(2,1/(('0427 4度C'!$A:$A="新豐10線")*('0427 4度C'!$T:$T&lt;&gt;"")),'0427 4度C'!$T:$T)</f>
        <v>0.45416666666666661</v>
      </c>
      <c r="K17" s="66">
        <f>LOOKUP(2,1/(('0427 4度C'!$A:$A="新豐8線")*('0427 4度C'!$T:$T&lt;&gt;"")),'0427 4度C'!$T:$T)</f>
        <v>0.68680555555555545</v>
      </c>
      <c r="L17" s="67">
        <f>LOOKUP(2,1/(('0427 4度C'!$A:$A="新豐9線")*('0427 4度C'!$T:$T&lt;&gt;"")),'0427 4度C'!$T:$T)</f>
        <v>0.51597222222222217</v>
      </c>
      <c r="M17" s="68">
        <f>LOOKUP(2,1/(('0427 4度C'!$A:$A="新豐4線")*('0427 4度C'!$T:$T&lt;&gt;"")),'0427 4度C'!$T:$T)</f>
        <v>0.58125000000000004</v>
      </c>
    </row>
    <row r="18" spans="2:13" ht="17.25" customHeight="1">
      <c r="B18" s="104" t="s">
        <v>2541</v>
      </c>
      <c r="C18" s="72" t="s">
        <v>2542</v>
      </c>
      <c r="D18" s="73">
        <f>SUMIFS('0427 4度C'!$Y:$Y,'0427 4度C'!$A:$A,"新豐6線",'0427 4度C'!$B:$B,"平均")</f>
        <v>0</v>
      </c>
      <c r="E18" s="74">
        <f>SUMIFS('0427 4度C'!$Y:$Y,'0427 4度C'!$A:$A,"新豐2線",'0427 4度C'!$B:$B,"平均")</f>
        <v>0</v>
      </c>
      <c r="F18" s="74">
        <f>SUMIFS('0427 4度C'!$Y:$Y,'0427 4度C'!$A:$A,"新豐5線",'0427 4度C'!$B:$B,"平均")</f>
        <v>0</v>
      </c>
      <c r="G18" s="74">
        <f>SUMIFS('0427 4度C'!$Y:$Y,'0427 4度C'!$A:$A,"新豐7線",'0427 4度C'!$B:$B,"平均")</f>
        <v>0</v>
      </c>
      <c r="H18" s="74">
        <f>SUMIFS('0427 4度C'!$Y:$Y,'0427 4度C'!$A:$A,"新豐3線",'0427 4度C'!$B:$B,"平均")</f>
        <v>0</v>
      </c>
      <c r="I18" s="74">
        <f>SUMIFS('0427 4度C'!$Y:$Y,'0427 4度C'!$A:$A,"新豐1線",'0427 4度C'!$B:$B,"平均")</f>
        <v>0</v>
      </c>
      <c r="J18" s="75">
        <f>SUMIFS('0427 4度C'!$Y:$Y,'0427 4度C'!$A:$A,"新豐10線",'0427 4度C'!$B:$B,"平均")</f>
        <v>0</v>
      </c>
      <c r="K18" s="76">
        <f>SUMIFS('0427 4度C'!$Y:$Y,'0427 4度C'!$A:$A,"新豐8線",'0427 4度C'!$B:$B,"平均")</f>
        <v>0</v>
      </c>
      <c r="L18" s="74">
        <f>SUMIFS('0427 4度C'!$Y:$Y,'0427 4度C'!$A:$A,"新豐9線",'0427 4度C'!$B:$B,"平均")</f>
        <v>0</v>
      </c>
      <c r="M18" s="75">
        <f>SUMIFS('0427 4度C'!$Y:$Y,'0427 4度C'!$A:$A,"新豐4線",'0427 4度C'!$B:$B,"平均")</f>
        <v>0</v>
      </c>
    </row>
    <row r="19" spans="2:13" ht="17.25" customHeight="1">
      <c r="B19" s="105"/>
      <c r="C19" s="72" t="s">
        <v>2543</v>
      </c>
      <c r="D19" s="73">
        <f>SUMIFS('0427 4度C'!$Z:$Z,'0427 4度C'!$A:$A,"新豐6線",'0427 4度C'!$B:$B,"平均")</f>
        <v>0</v>
      </c>
      <c r="E19" s="74">
        <f>SUMIFS('0427 4度C'!$Z:$Z,'0427 4度C'!$A:$A,"新豐2線",'0427 4度C'!$B:$B,"平均")</f>
        <v>0</v>
      </c>
      <c r="F19" s="74">
        <f>SUMIFS('0427 4度C'!$Z:$Z,'0427 4度C'!$A:$A,"新豐5線",'0427 4度C'!$B:$B,"平均")</f>
        <v>0</v>
      </c>
      <c r="G19" s="74">
        <f>SUMIFS('0427 4度C'!$Z:$Z,'0427 4度C'!$A:$A,"新豐7線",'0427 4度C'!$B:$B,"平均")</f>
        <v>0</v>
      </c>
      <c r="H19" s="74">
        <f>SUMIFS('0427 4度C'!$Z:$Z,'0427 4度C'!$A:$A,"新豐3線",'0427 4度C'!$B:$B,"平均")</f>
        <v>0</v>
      </c>
      <c r="I19" s="74">
        <f>SUMIFS('0427 4度C'!$Z:$Z,'0427 4度C'!$A:$A,"新豐1線",'0427 4度C'!$B:$B,"平均")</f>
        <v>0</v>
      </c>
      <c r="J19" s="75">
        <f>SUMIFS('0427 4度C'!$Z:$Z,'0427 4度C'!$A:$A,"新豐10線",'0427 4度C'!$B:$B,"平均")</f>
        <v>0</v>
      </c>
      <c r="K19" s="76">
        <f>SUMIFS('0427 4度C'!$Z:$Z,'0427 4度C'!$A:$A,"新豐8線",'0427 4度C'!$B:$B,"平均")</f>
        <v>0</v>
      </c>
      <c r="L19" s="74">
        <f>SUMIFS('0427 4度C'!$Z:$Z,'0427 4度C'!$A:$A,"新豐9線",'0427 4度C'!$B:$B,"平均")</f>
        <v>0</v>
      </c>
      <c r="M19" s="75">
        <f>SUMIFS('0427 4度C'!$Z:$Z,'0427 4度C'!$A:$A,"新豐4線",'0427 4度C'!$B:$B,"平均")</f>
        <v>0</v>
      </c>
    </row>
    <row r="20" spans="2:13" ht="17.25" customHeight="1">
      <c r="B20" s="104" t="s">
        <v>2544</v>
      </c>
      <c r="C20" s="72" t="s">
        <v>2542</v>
      </c>
      <c r="D20" s="73">
        <f>SUMIFS('0427 4度C'!$AC:$AC,'0427 4度C'!$A:$A,"新豐6線",'0427 4度C'!$B:$B,"平均")</f>
        <v>5</v>
      </c>
      <c r="E20" s="74">
        <f>SUMIFS('0427 4度C'!$AC:$AC,'0427 4度C'!$A:$A,"新豐2線",'0427 4度C'!$B:$B,"平均")</f>
        <v>4</v>
      </c>
      <c r="F20" s="74">
        <f>SUMIFS('0427 4度C'!$AC:$AC,'0427 4度C'!$A:$A,"新豐5線",'0427 4度C'!$B:$B,"平均")</f>
        <v>4</v>
      </c>
      <c r="G20" s="74">
        <f>SUMIFS('0427 4度C'!$AC:$AC,'0427 4度C'!$A:$A,"新豐7線",'0427 4度C'!$B:$B,"平均")</f>
        <v>6</v>
      </c>
      <c r="H20" s="74">
        <f>SUMIFS('0427 4度C'!$AC:$AC,'0427 4度C'!$A:$A,"新豐3線",'0427 4度C'!$B:$B,"平均")</f>
        <v>4</v>
      </c>
      <c r="I20" s="74">
        <f>SUMIFS('0427 4度C'!$AC:$AC,'0427 4度C'!$A:$A,"新豐1線",'0427 4度C'!$B:$B,"平均")</f>
        <v>6</v>
      </c>
      <c r="J20" s="75">
        <f>SUMIFS('0427 4度C'!$AC:$AC,'0427 4度C'!$A:$A,"新豐10線",'0427 4度C'!$B:$B,"平均")</f>
        <v>6</v>
      </c>
      <c r="K20" s="76">
        <f>SUMIFS('0427 4度C'!$AC:$AC,'0427 4度C'!$A:$A,"新豐8線",'0427 4度C'!$B:$B,"平均")</f>
        <v>7</v>
      </c>
      <c r="L20" s="74">
        <f>SUMIFS('0427 4度C'!$AC:$AC,'0427 4度C'!$A:$A,"新豐9線",'0427 4度C'!$B:$B,"平均")</f>
        <v>4</v>
      </c>
      <c r="M20" s="75">
        <f>SUMIFS('0427 4度C'!$AC:$AC,'0427 4度C'!$A:$A,"新豐4線",'0427 4度C'!$B:$B,"平均")</f>
        <v>5</v>
      </c>
    </row>
    <row r="21" spans="2:13" ht="17.25" customHeight="1">
      <c r="B21" s="105"/>
      <c r="C21" s="72" t="s">
        <v>2545</v>
      </c>
      <c r="D21" s="73">
        <f>SUMIFS('0427 4度C'!$AD:$AD,'0427 4度C'!$A:$A,"新豐6線",'0427 4度C'!$B:$B,"平均")</f>
        <v>0</v>
      </c>
      <c r="E21" s="74">
        <f>SUMIFS('0427 4度C'!$AD:$AD,'0427 4度C'!$A:$A,"新豐2線",'0427 4度C'!$B:$B,"平均")</f>
        <v>0</v>
      </c>
      <c r="F21" s="74">
        <f>SUMIFS('0427 4度C'!$AD:$AD,'0427 4度C'!$A:$A,"新豐5線",'0427 4度C'!$B:$B,"平均")</f>
        <v>0</v>
      </c>
      <c r="G21" s="74">
        <f>SUMIFS('0427 4度C'!$AD:$AD,'0427 4度C'!$A:$A,"新豐7線",'0427 4度C'!$B:$B,"平均")</f>
        <v>0</v>
      </c>
      <c r="H21" s="74">
        <f>SUMIFS('0427 4度C'!$AD:$AD,'0427 4度C'!$A:$A,"新豐3線",'0427 4度C'!$B:$B,"平均")</f>
        <v>0</v>
      </c>
      <c r="I21" s="74">
        <f>SUMIFS('0427 4度C'!$AD:$AD,'0427 4度C'!$A:$A,"新豐1線",'0427 4度C'!$B:$B,"平均")</f>
        <v>0</v>
      </c>
      <c r="J21" s="75">
        <f>SUMIFS('0427 4度C'!$AD:$AD,'0427 4度C'!$A:$A,"新豐10線",'0427 4度C'!$B:$B,"平均")</f>
        <v>0</v>
      </c>
      <c r="K21" s="76">
        <f>SUMIFS('0427 4度C'!$AD:$AD,'0427 4度C'!$A:$A,"新豐8線",'0427 4度C'!$B:$B,"平均")</f>
        <v>0</v>
      </c>
      <c r="L21" s="74">
        <f>SUMIFS('0427 4度C'!$AD:$AD,'0427 4度C'!$A:$A,"新豐9線",'0427 4度C'!$B:$B,"平均")</f>
        <v>0</v>
      </c>
      <c r="M21" s="75">
        <f>SUMIFS('0427 4度C'!$AD:$AD,'0427 4度C'!$A:$A,"新豐4線",'0427 4度C'!$B:$B,"平均")</f>
        <v>0</v>
      </c>
    </row>
    <row r="22" spans="2:13" ht="17.25" customHeight="1">
      <c r="B22" s="106" t="s">
        <v>2546</v>
      </c>
      <c r="C22" s="107"/>
      <c r="D22" s="77">
        <f>SUMIFS('0427 4度C'!$I:$I,'0427 4度C'!$A:$A,"新豐6線",'0427 4度C'!$B:$B,"平均")</f>
        <v>16.600000000000001</v>
      </c>
      <c r="E22" s="78">
        <f>SUMIFS('0427 4度C'!$I:$I,'0427 4度C'!$A:$A,"新豐2線",'0427 4度C'!$B:$B,"平均")</f>
        <v>18</v>
      </c>
      <c r="F22" s="78">
        <f>SUMIFS('0427 4度C'!$I:$I,'0427 4度C'!$A:$A,"新豐5線",'0427 4度C'!$B:$B,"平均")</f>
        <v>17.5</v>
      </c>
      <c r="G22" s="78">
        <f>SUMIFS('0427 4度C'!$I:$I,'0427 4度C'!$A:$A,"新豐7線",'0427 4度C'!$B:$B,"平均")</f>
        <v>15.5</v>
      </c>
      <c r="H22" s="78">
        <f>SUMIFS('0427 4度C'!$I:$I,'0427 4度C'!$A:$A,"新豐3線",'0427 4度C'!$B:$B,"平均")</f>
        <v>9.5</v>
      </c>
      <c r="I22" s="78">
        <f>SUMIFS('0427 4度C'!$I:$I,'0427 4度C'!$A:$A,"新豐1線",'0427 4度C'!$B:$B,"平均")</f>
        <v>19.333333333333332</v>
      </c>
      <c r="J22" s="79">
        <f>SUMIFS('0427 4度C'!$I:$I,'0427 4度C'!$A:$A,"新豐10線",'0427 4度C'!$B:$B,"平均")</f>
        <v>10.166666666666666</v>
      </c>
      <c r="K22" s="77">
        <f>SUMIFS('0427 4度C'!$I:$I,'0427 4度C'!$A:$A,"新豐8線",'0427 4度C'!$B:$B,"平均")</f>
        <v>18.571428571428573</v>
      </c>
      <c r="L22" s="78">
        <f>SUMIFS('0427 4度C'!$I:$I,'0427 4度C'!$A:$A,"新豐9線",'0427 4度C'!$B:$B,"平均")</f>
        <v>16.25</v>
      </c>
      <c r="M22" s="79">
        <f>SUMIFS('0427 4度C'!$I:$I,'0427 4度C'!$A:$A,"新豐4線",'0427 4度C'!$B:$B,"平均")</f>
        <v>15.4</v>
      </c>
    </row>
    <row r="23" spans="2:13" ht="17.25" customHeight="1">
      <c r="B23" s="106" t="s">
        <v>2547</v>
      </c>
      <c r="C23" s="107"/>
      <c r="D23" s="80" t="s">
        <v>67</v>
      </c>
      <c r="E23" s="81" t="s">
        <v>68</v>
      </c>
      <c r="F23" s="81" t="s">
        <v>2548</v>
      </c>
      <c r="G23" s="81" t="s">
        <v>2548</v>
      </c>
      <c r="H23" s="81" t="s">
        <v>69</v>
      </c>
      <c r="I23" s="81" t="s">
        <v>67</v>
      </c>
      <c r="J23" s="82" t="s">
        <v>69</v>
      </c>
      <c r="K23" s="80" t="s">
        <v>2549</v>
      </c>
      <c r="L23" s="81" t="s">
        <v>2549</v>
      </c>
      <c r="M23" s="82" t="s">
        <v>2549</v>
      </c>
    </row>
    <row r="24" spans="2:13" ht="17.25" customHeight="1">
      <c r="B24" s="106" t="s">
        <v>2550</v>
      </c>
      <c r="C24" s="107"/>
      <c r="D24" s="80"/>
      <c r="E24" s="81"/>
      <c r="F24" s="81" t="s">
        <v>114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420</v>
      </c>
      <c r="C25" s="109"/>
      <c r="D25" s="83"/>
      <c r="E25" s="84" t="s">
        <v>2551</v>
      </c>
      <c r="F25" s="102" t="s">
        <v>2552</v>
      </c>
      <c r="G25" s="103"/>
      <c r="H25" s="84" t="s">
        <v>2553</v>
      </c>
      <c r="I25" s="84" t="s">
        <v>2554</v>
      </c>
      <c r="J25" s="85" t="s">
        <v>2553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2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13">
    <pageSetUpPr fitToPage="1"/>
  </sheetPr>
  <dimension ref="A1:AG66"/>
  <sheetViews>
    <sheetView zoomScale="80" zoomScaleNormal="80" workbookViewId="0">
      <pane ySplit="4" topLeftCell="A39" activePane="bottomLeft" state="frozen"/>
      <selection activeCell="J13" sqref="J13"/>
      <selection pane="bottomLeft" activeCell="H25" sqref="H25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2555</v>
      </c>
      <c r="B1" s="1"/>
      <c r="C1" s="2" t="s">
        <v>2556</v>
      </c>
      <c r="D1" s="3">
        <f>SUM(F5:F65)</f>
        <v>164039</v>
      </c>
      <c r="E1" s="88" t="s">
        <v>2557</v>
      </c>
      <c r="F1" s="1">
        <f>SUM(G5:G65)</f>
        <v>5509537.71</v>
      </c>
      <c r="G1" s="1" t="s">
        <v>2558</v>
      </c>
      <c r="H1" s="4">
        <f>L10+L15+L45+L52+L20+L59+L35+L40+L27+L65</f>
        <v>156.82142857142858</v>
      </c>
      <c r="I1" s="215" t="s">
        <v>2559</v>
      </c>
      <c r="J1" s="215"/>
      <c r="K1" s="215"/>
      <c r="L1" s="215" t="s">
        <v>2560</v>
      </c>
      <c r="M1" s="215"/>
      <c r="N1" s="215"/>
      <c r="O1" s="215" t="s">
        <v>2561</v>
      </c>
      <c r="P1" s="215"/>
      <c r="Q1" s="215"/>
      <c r="R1" s="215"/>
      <c r="S1" s="215" t="s">
        <v>2562</v>
      </c>
      <c r="T1" s="215"/>
      <c r="U1" s="215"/>
      <c r="V1" s="215"/>
      <c r="W1" s="215"/>
      <c r="X1" s="215"/>
      <c r="Y1" s="5" t="s">
        <v>2563</v>
      </c>
      <c r="Z1" s="6" t="s">
        <v>2564</v>
      </c>
      <c r="AA1" s="216" t="s">
        <v>2565</v>
      </c>
      <c r="AB1" s="216"/>
      <c r="AC1" s="97" t="s">
        <v>2563</v>
      </c>
      <c r="AD1" s="6" t="s">
        <v>2566</v>
      </c>
      <c r="AE1" s="215" t="s">
        <v>2567</v>
      </c>
      <c r="AF1" s="217"/>
      <c r="AG1" s="217"/>
    </row>
    <row r="2" spans="1:33" ht="26.25" customHeight="1">
      <c r="A2" s="26">
        <v>46139</v>
      </c>
      <c r="B2" s="27" t="s">
        <v>597</v>
      </c>
      <c r="C2" s="2" t="s">
        <v>2568</v>
      </c>
      <c r="D2" s="8">
        <f>AVERAGE(N10,N15,N45,N52,N20,N59,N27,N35,N40,N65)</f>
        <v>149.9763478523671</v>
      </c>
      <c r="E2" s="9" t="s">
        <v>0</v>
      </c>
      <c r="F2" s="10">
        <f>F1/D1</f>
        <v>33.586755039960011</v>
      </c>
      <c r="G2" s="1" t="s">
        <v>2569</v>
      </c>
      <c r="H2" s="96">
        <f>COUNT(H5:H65)</f>
        <v>7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SUM(Y10+Y15+Y20+Y27+Y35+Y40+Y45+Y52+Y59+Y65)</f>
        <v>0</v>
      </c>
      <c r="Z2" s="11">
        <f>SUM(Z10+Z15+Z20+Z27+Z35+Z40+Z45+Z52+Z59+Z65)</f>
        <v>0</v>
      </c>
      <c r="AA2" s="216"/>
      <c r="AB2" s="216"/>
      <c r="AC2" s="11">
        <v>51</v>
      </c>
      <c r="AD2" s="11">
        <f>SUM(AD10+AD15+AD20+AD27+AD35+AD40+AD45+AD52+AD59+AD65)</f>
        <v>0</v>
      </c>
      <c r="AE2" s="217"/>
      <c r="AF2" s="217"/>
      <c r="AG2" s="217"/>
    </row>
    <row r="3" spans="1:33" ht="40.5" customHeight="1">
      <c r="A3" s="168" t="s">
        <v>2570</v>
      </c>
      <c r="B3" s="168" t="s">
        <v>2571</v>
      </c>
      <c r="C3" s="168" t="s">
        <v>2572</v>
      </c>
      <c r="D3" s="168"/>
      <c r="E3" s="213" t="s">
        <v>2573</v>
      </c>
      <c r="F3" s="168" t="s">
        <v>2574</v>
      </c>
      <c r="G3" s="213" t="s">
        <v>2575</v>
      </c>
      <c r="H3" s="207" t="s">
        <v>2576</v>
      </c>
      <c r="I3" s="205" t="s">
        <v>2577</v>
      </c>
      <c r="J3" s="202" t="s">
        <v>2578</v>
      </c>
      <c r="K3" s="212" t="s">
        <v>2568</v>
      </c>
      <c r="L3" s="205" t="s">
        <v>2577</v>
      </c>
      <c r="M3" s="202" t="s">
        <v>2579</v>
      </c>
      <c r="N3" s="212" t="s">
        <v>2568</v>
      </c>
      <c r="O3" s="205" t="s">
        <v>2577</v>
      </c>
      <c r="P3" s="212" t="s">
        <v>2580</v>
      </c>
      <c r="Q3" s="203" t="s">
        <v>2581</v>
      </c>
      <c r="R3" s="181" t="s">
        <v>2582</v>
      </c>
      <c r="S3" s="168" t="s">
        <v>1</v>
      </c>
      <c r="T3" s="168"/>
      <c r="U3" s="207" t="s">
        <v>2</v>
      </c>
      <c r="V3" s="207" t="s">
        <v>2583</v>
      </c>
      <c r="W3" s="168" t="s">
        <v>2584</v>
      </c>
      <c r="X3" s="168"/>
      <c r="Y3" s="208" t="s">
        <v>2585</v>
      </c>
      <c r="Z3" s="167"/>
      <c r="AA3" s="209" t="s">
        <v>2586</v>
      </c>
      <c r="AB3" s="210"/>
      <c r="AC3" s="208" t="s">
        <v>2587</v>
      </c>
      <c r="AD3" s="167"/>
      <c r="AE3" s="202" t="s">
        <v>2579</v>
      </c>
      <c r="AF3" s="203" t="s">
        <v>2588</v>
      </c>
      <c r="AG3" s="181" t="s">
        <v>2589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2590</v>
      </c>
      <c r="X4" s="88" t="s">
        <v>2591</v>
      </c>
      <c r="Y4" s="90" t="s">
        <v>2592</v>
      </c>
      <c r="Z4" s="90" t="s">
        <v>2593</v>
      </c>
      <c r="AA4" s="211"/>
      <c r="AB4" s="210"/>
      <c r="AC4" s="90" t="s">
        <v>2594</v>
      </c>
      <c r="AD4" s="90" t="s">
        <v>2595</v>
      </c>
      <c r="AE4" s="202"/>
      <c r="AF4" s="203"/>
      <c r="AG4" s="181"/>
    </row>
    <row r="5" spans="1:33">
      <c r="A5" s="204" t="s">
        <v>2596</v>
      </c>
      <c r="B5" s="28" t="s">
        <v>5</v>
      </c>
      <c r="C5" s="206" t="s">
        <v>6</v>
      </c>
      <c r="D5" s="206"/>
      <c r="E5" s="28">
        <v>50.67</v>
      </c>
      <c r="F5" s="88">
        <v>1607</v>
      </c>
      <c r="G5" s="88">
        <f t="shared" ref="G5:G9" si="0">E5*F5</f>
        <v>81426.69</v>
      </c>
      <c r="H5" s="30" t="s">
        <v>53</v>
      </c>
      <c r="I5" s="95">
        <v>17</v>
      </c>
      <c r="J5" s="13">
        <v>2000</v>
      </c>
      <c r="K5" s="12">
        <f t="shared" ref="K5:K65" si="1">J5/I5</f>
        <v>117.64705882352941</v>
      </c>
      <c r="L5" s="95">
        <v>17</v>
      </c>
      <c r="M5" s="13">
        <f t="shared" ref="M5:M9" si="2">F5/V5*60</f>
        <v>1928.4000000000005</v>
      </c>
      <c r="N5" s="12">
        <f t="shared" ref="N5:N65" si="3">M5/L5</f>
        <v>113.43529411764709</v>
      </c>
      <c r="O5" s="14">
        <f t="shared" ref="O5:O65" si="4">L5-I5</f>
        <v>0</v>
      </c>
      <c r="P5" s="15">
        <f t="shared" ref="P5:P65" si="5">N5-K5</f>
        <v>-4.2117647058823167</v>
      </c>
      <c r="Q5" s="91">
        <f t="shared" ref="Q5:Q65" si="6">N5/K5</f>
        <v>0.96420000000000028</v>
      </c>
      <c r="R5" s="177">
        <f>Q10</f>
        <v>0.96565650556367233</v>
      </c>
      <c r="S5" s="21">
        <v>0.70833333333333337</v>
      </c>
      <c r="T5" s="21">
        <v>0.74305555555555558</v>
      </c>
      <c r="U5" s="88"/>
      <c r="V5" s="30">
        <f t="shared" ref="V5:V9" si="7">(T5-S5)*24*60</f>
        <v>49.999999999999986</v>
      </c>
      <c r="W5" s="16"/>
      <c r="X5" s="17"/>
      <c r="Y5" s="17"/>
      <c r="Z5" s="17"/>
      <c r="AA5" s="168"/>
      <c r="AB5" s="168"/>
      <c r="AC5" s="18">
        <v>5</v>
      </c>
      <c r="AD5" s="18"/>
      <c r="AE5" s="14">
        <f t="shared" ref="AE5:AE51" si="8">M5-J5</f>
        <v>-71.599999999999454</v>
      </c>
      <c r="AF5" s="91">
        <f t="shared" ref="AF5:AF65" si="9">M5/J5</f>
        <v>0.96420000000000028</v>
      </c>
      <c r="AG5" s="177">
        <f>AF10</f>
        <v>0.96565650556367233</v>
      </c>
    </row>
    <row r="6" spans="1:33">
      <c r="A6" s="205" t="s">
        <v>2597</v>
      </c>
      <c r="B6" s="28" t="s">
        <v>5</v>
      </c>
      <c r="C6" s="206" t="s">
        <v>7</v>
      </c>
      <c r="D6" s="206"/>
      <c r="E6" s="28">
        <v>54.09</v>
      </c>
      <c r="F6" s="88">
        <v>1309</v>
      </c>
      <c r="G6" s="88">
        <f t="shared" si="0"/>
        <v>70803.81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1915.6097560975602</v>
      </c>
      <c r="N6" s="12">
        <f t="shared" si="3"/>
        <v>100.82156611039791</v>
      </c>
      <c r="O6" s="14">
        <f t="shared" si="4"/>
        <v>0</v>
      </c>
      <c r="P6" s="15">
        <f t="shared" si="5"/>
        <v>-4.4415917843389252</v>
      </c>
      <c r="Q6" s="91">
        <f t="shared" si="6"/>
        <v>0.95780487804878023</v>
      </c>
      <c r="R6" s="177"/>
      <c r="S6" s="21">
        <v>0.74861111111111112</v>
      </c>
      <c r="T6" s="21">
        <v>0.77708333333333335</v>
      </c>
      <c r="U6" s="88">
        <f t="shared" ref="U6:U9" si="10">IF(S6=TIME(17,0,0),"",(S6-T5)*24*60)</f>
        <v>7.9999999999999716</v>
      </c>
      <c r="V6" s="30">
        <f t="shared" si="7"/>
        <v>41.000000000000014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-84.390243902439806</v>
      </c>
      <c r="AF6" s="91">
        <f t="shared" si="9"/>
        <v>0.95780487804878012</v>
      </c>
      <c r="AG6" s="177"/>
    </row>
    <row r="7" spans="1:33">
      <c r="A7" s="205" t="s">
        <v>2597</v>
      </c>
      <c r="B7" s="28" t="s">
        <v>5</v>
      </c>
      <c r="C7" s="200" t="s">
        <v>16</v>
      </c>
      <c r="D7" s="201"/>
      <c r="E7" s="28">
        <v>50.67</v>
      </c>
      <c r="F7" s="88">
        <v>900</v>
      </c>
      <c r="G7" s="88">
        <f t="shared" si="0"/>
        <v>45603</v>
      </c>
      <c r="H7" s="30">
        <v>2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1928.5714285714246</v>
      </c>
      <c r="N7" s="12">
        <f t="shared" si="3"/>
        <v>128.5714285714283</v>
      </c>
      <c r="O7" s="14">
        <f t="shared" si="4"/>
        <v>0</v>
      </c>
      <c r="P7" s="15">
        <f t="shared" si="5"/>
        <v>-4.7619047619050434</v>
      </c>
      <c r="Q7" s="91">
        <f t="shared" si="6"/>
        <v>0.96428571428571219</v>
      </c>
      <c r="R7" s="177"/>
      <c r="S7" s="21">
        <v>0.78055555555555556</v>
      </c>
      <c r="T7" s="21">
        <v>0.8</v>
      </c>
      <c r="U7" s="88">
        <f t="shared" si="10"/>
        <v>4.9999999999999822</v>
      </c>
      <c r="V7" s="30">
        <f t="shared" si="7"/>
        <v>28.00000000000006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-71.428571428575424</v>
      </c>
      <c r="AF7" s="91">
        <f t="shared" si="9"/>
        <v>0.9642857142857123</v>
      </c>
      <c r="AG7" s="177"/>
    </row>
    <row r="8" spans="1:33">
      <c r="A8" s="205" t="s">
        <v>2598</v>
      </c>
      <c r="B8" s="28" t="s">
        <v>5</v>
      </c>
      <c r="C8" s="200" t="s">
        <v>1270</v>
      </c>
      <c r="D8" s="201"/>
      <c r="E8" s="28">
        <v>52.86</v>
      </c>
      <c r="F8" s="88">
        <v>1000</v>
      </c>
      <c r="G8" s="88">
        <f t="shared" si="0"/>
        <v>52860</v>
      </c>
      <c r="H8" s="30">
        <v>2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1935.483870967739</v>
      </c>
      <c r="N8" s="12">
        <f t="shared" si="3"/>
        <v>120.96774193548369</v>
      </c>
      <c r="O8" s="14">
        <f t="shared" si="4"/>
        <v>0</v>
      </c>
      <c r="P8" s="15">
        <f t="shared" si="5"/>
        <v>-4.0322580645163129</v>
      </c>
      <c r="Q8" s="91">
        <f t="shared" si="6"/>
        <v>0.96774193548386944</v>
      </c>
      <c r="R8" s="177"/>
      <c r="S8" s="21">
        <v>0.80347222222222225</v>
      </c>
      <c r="T8" s="21">
        <v>0.82500000000000007</v>
      </c>
      <c r="U8" s="88">
        <f t="shared" si="10"/>
        <v>4.9999999999999822</v>
      </c>
      <c r="V8" s="30">
        <f t="shared" si="7"/>
        <v>31.00000000000005</v>
      </c>
      <c r="W8" s="16">
        <f>T8</f>
        <v>0.82500000000000007</v>
      </c>
      <c r="X8" s="16">
        <f>S9</f>
        <v>0.86597222222222225</v>
      </c>
      <c r="Y8" s="22"/>
      <c r="Z8" s="22"/>
      <c r="AA8" s="172"/>
      <c r="AB8" s="173"/>
      <c r="AC8" s="18"/>
      <c r="AD8" s="20"/>
      <c r="AE8" s="14">
        <f t="shared" si="8"/>
        <v>-64.516129032261006</v>
      </c>
      <c r="AF8" s="91">
        <f t="shared" si="9"/>
        <v>0.96774193548386944</v>
      </c>
      <c r="AG8" s="177"/>
    </row>
    <row r="9" spans="1:33">
      <c r="A9" s="205" t="s">
        <v>2599</v>
      </c>
      <c r="B9" s="28" t="s">
        <v>5</v>
      </c>
      <c r="C9" s="200" t="s">
        <v>1270</v>
      </c>
      <c r="D9" s="201"/>
      <c r="E9" s="28">
        <v>52.86</v>
      </c>
      <c r="F9" s="88">
        <v>1299</v>
      </c>
      <c r="G9" s="88">
        <f t="shared" si="0"/>
        <v>68665.14</v>
      </c>
      <c r="H9" s="30" t="s">
        <v>53</v>
      </c>
      <c r="I9" s="95">
        <v>16</v>
      </c>
      <c r="J9" s="13">
        <v>2000</v>
      </c>
      <c r="K9" s="12">
        <f t="shared" si="1"/>
        <v>125</v>
      </c>
      <c r="L9" s="95">
        <v>16</v>
      </c>
      <c r="M9" s="13">
        <f t="shared" si="2"/>
        <v>1948.4999999999993</v>
      </c>
      <c r="N9" s="12">
        <f t="shared" si="3"/>
        <v>121.78124999999996</v>
      </c>
      <c r="O9" s="14">
        <f t="shared" si="4"/>
        <v>0</v>
      </c>
      <c r="P9" s="15">
        <f t="shared" si="5"/>
        <v>-3.2187500000000426</v>
      </c>
      <c r="Q9" s="91">
        <f t="shared" si="6"/>
        <v>0.97424999999999962</v>
      </c>
      <c r="R9" s="177"/>
      <c r="S9" s="21">
        <v>0.86597222222222225</v>
      </c>
      <c r="T9" s="21">
        <v>0.89375000000000004</v>
      </c>
      <c r="U9" s="88">
        <f t="shared" si="10"/>
        <v>58.99999999999995</v>
      </c>
      <c r="V9" s="30">
        <f t="shared" si="7"/>
        <v>40.000000000000014</v>
      </c>
      <c r="W9" s="16"/>
      <c r="X9" s="16"/>
      <c r="Y9" s="19"/>
      <c r="Z9" s="19"/>
      <c r="AA9" s="172"/>
      <c r="AB9" s="173"/>
      <c r="AC9" s="18"/>
      <c r="AD9" s="20"/>
      <c r="AE9" s="14">
        <f t="shared" si="8"/>
        <v>-51.500000000000682</v>
      </c>
      <c r="AF9" s="91">
        <f t="shared" si="9"/>
        <v>0.97424999999999962</v>
      </c>
      <c r="AG9" s="177"/>
    </row>
    <row r="10" spans="1:33">
      <c r="A10" s="205" t="s">
        <v>2599</v>
      </c>
      <c r="B10" s="28" t="s">
        <v>2600</v>
      </c>
      <c r="C10" s="178"/>
      <c r="D10" s="178"/>
      <c r="E10" s="92"/>
      <c r="F10" s="12"/>
      <c r="G10" s="12"/>
      <c r="H10" s="88"/>
      <c r="I10" s="23">
        <v>16.600000000000001</v>
      </c>
      <c r="J10" s="13">
        <v>2000</v>
      </c>
      <c r="K10" s="12">
        <f t="shared" si="1"/>
        <v>120.48192771084337</v>
      </c>
      <c r="L10" s="23">
        <v>16.600000000000001</v>
      </c>
      <c r="M10" s="13">
        <f>AVERAGE(M5:M9)</f>
        <v>1931.3130111273447</v>
      </c>
      <c r="N10" s="12">
        <f t="shared" si="3"/>
        <v>116.34415729682799</v>
      </c>
      <c r="O10" s="14">
        <f t="shared" si="4"/>
        <v>0</v>
      </c>
      <c r="P10" s="15">
        <f t="shared" si="5"/>
        <v>-4.1377704140153782</v>
      </c>
      <c r="Q10" s="91">
        <f t="shared" si="6"/>
        <v>0.96565650556367233</v>
      </c>
      <c r="R10" s="177"/>
      <c r="S10" s="21"/>
      <c r="T10" s="21"/>
      <c r="U10" s="88"/>
      <c r="V10" s="30"/>
      <c r="W10" s="12"/>
      <c r="X10" s="12"/>
      <c r="Y10" s="24">
        <f>SUM(Y5:Y9)</f>
        <v>0</v>
      </c>
      <c r="Z10" s="24">
        <f>SUM(Z5:Z9)</f>
        <v>0</v>
      </c>
      <c r="AA10" s="167"/>
      <c r="AB10" s="167"/>
      <c r="AC10" s="24">
        <v>5</v>
      </c>
      <c r="AD10" s="24">
        <f>SUM(AD5:AD9)</f>
        <v>0</v>
      </c>
      <c r="AE10" s="14">
        <f t="shared" si="8"/>
        <v>-68.68698887265532</v>
      </c>
      <c r="AF10" s="91">
        <f t="shared" si="9"/>
        <v>0.96565650556367233</v>
      </c>
      <c r="AG10" s="177"/>
    </row>
    <row r="11" spans="1:33" ht="15.75" customHeight="1">
      <c r="A11" s="199" t="s">
        <v>2601</v>
      </c>
      <c r="B11" s="28" t="s">
        <v>9</v>
      </c>
      <c r="C11" s="200" t="s">
        <v>10</v>
      </c>
      <c r="D11" s="201"/>
      <c r="E11" s="28">
        <v>39.619999999999997</v>
      </c>
      <c r="F11" s="88">
        <v>3500</v>
      </c>
      <c r="G11" s="88">
        <f t="shared" ref="G11:G14" si="11">E11*F11</f>
        <v>138670</v>
      </c>
      <c r="H11" s="30">
        <v>2</v>
      </c>
      <c r="I11" s="95">
        <v>19</v>
      </c>
      <c r="J11" s="13">
        <v>1500</v>
      </c>
      <c r="K11" s="12">
        <f t="shared" si="1"/>
        <v>78.94736842105263</v>
      </c>
      <c r="L11" s="95">
        <v>19</v>
      </c>
      <c r="M11" s="13">
        <f t="shared" ref="M11:M14" si="12">F11/V11*60</f>
        <v>1438.3561643835617</v>
      </c>
      <c r="N11" s="12">
        <f t="shared" si="3"/>
        <v>75.702956020187457</v>
      </c>
      <c r="O11" s="14">
        <f t="shared" si="4"/>
        <v>0</v>
      </c>
      <c r="P11" s="15">
        <f t="shared" si="5"/>
        <v>-3.2444124008651727</v>
      </c>
      <c r="Q11" s="91">
        <f t="shared" si="6"/>
        <v>0.95890410958904115</v>
      </c>
      <c r="R11" s="177">
        <f>Q15</f>
        <v>0.95547266334343528</v>
      </c>
      <c r="S11" s="21">
        <v>0.20833333333333334</v>
      </c>
      <c r="T11" s="21">
        <v>0.30972222222222223</v>
      </c>
      <c r="U11" s="88"/>
      <c r="V11" s="30">
        <f t="shared" ref="V11:V14" si="13">(T11-S11)*24*60</f>
        <v>146</v>
      </c>
      <c r="W11" s="16"/>
      <c r="X11" s="16"/>
      <c r="Y11" s="16"/>
      <c r="Z11" s="16"/>
      <c r="AA11" s="168"/>
      <c r="AB11" s="168"/>
      <c r="AC11" s="18">
        <v>4</v>
      </c>
      <c r="AD11" s="18"/>
      <c r="AE11" s="14">
        <f t="shared" si="8"/>
        <v>-61.643835616438309</v>
      </c>
      <c r="AF11" s="91">
        <f t="shared" si="9"/>
        <v>0.95890410958904115</v>
      </c>
      <c r="AG11" s="177">
        <f>AF15</f>
        <v>0.95547266334343517</v>
      </c>
    </row>
    <row r="12" spans="1:33" ht="15.75" customHeight="1">
      <c r="A12" s="199" t="s">
        <v>2602</v>
      </c>
      <c r="B12" s="28" t="s">
        <v>9</v>
      </c>
      <c r="C12" s="200" t="s">
        <v>11</v>
      </c>
      <c r="D12" s="201"/>
      <c r="E12" s="28">
        <v>39.799999999999997</v>
      </c>
      <c r="F12" s="88">
        <v>6000</v>
      </c>
      <c r="G12" s="88">
        <f t="shared" si="11"/>
        <v>238799.99999999997</v>
      </c>
      <c r="H12" s="30">
        <v>2</v>
      </c>
      <c r="I12" s="95">
        <v>17</v>
      </c>
      <c r="J12" s="13">
        <v>1500</v>
      </c>
      <c r="K12" s="12">
        <f t="shared" si="1"/>
        <v>88.235294117647058</v>
      </c>
      <c r="L12" s="95">
        <v>17</v>
      </c>
      <c r="M12" s="13">
        <f t="shared" si="12"/>
        <v>1434.2629482071709</v>
      </c>
      <c r="N12" s="12">
        <f t="shared" si="3"/>
        <v>84.368408718068878</v>
      </c>
      <c r="O12" s="14">
        <f t="shared" si="4"/>
        <v>0</v>
      </c>
      <c r="P12" s="15">
        <f t="shared" si="5"/>
        <v>-3.8668853995781802</v>
      </c>
      <c r="Q12" s="91">
        <f t="shared" si="6"/>
        <v>0.95617529880478058</v>
      </c>
      <c r="R12" s="177"/>
      <c r="S12" s="21">
        <v>0.31388888888888888</v>
      </c>
      <c r="T12" s="21">
        <v>0.48819444444444449</v>
      </c>
      <c r="U12" s="88">
        <f t="shared" ref="U12:U14" si="14">IF(S12=TIME(17,0,0),"",(S12-T11)*24*60)</f>
        <v>5.9999999999999787</v>
      </c>
      <c r="V12" s="30">
        <f t="shared" si="13"/>
        <v>251.00000000000006</v>
      </c>
      <c r="W12" s="16">
        <f>T12</f>
        <v>0.48819444444444449</v>
      </c>
      <c r="X12" s="16">
        <f>S13</f>
        <v>0.52847222222222223</v>
      </c>
      <c r="Y12" s="16"/>
      <c r="Z12" s="16"/>
      <c r="AA12" s="168"/>
      <c r="AB12" s="168"/>
      <c r="AC12" s="18"/>
      <c r="AD12" s="18"/>
      <c r="AE12" s="14">
        <f t="shared" si="8"/>
        <v>-65.737051792829106</v>
      </c>
      <c r="AF12" s="91">
        <f t="shared" si="9"/>
        <v>0.95617529880478058</v>
      </c>
      <c r="AG12" s="177"/>
    </row>
    <row r="13" spans="1:33" ht="15.75" customHeight="1">
      <c r="A13" s="199" t="s">
        <v>2603</v>
      </c>
      <c r="B13" s="28" t="s">
        <v>9</v>
      </c>
      <c r="C13" s="200" t="s">
        <v>11</v>
      </c>
      <c r="D13" s="201"/>
      <c r="E13" s="28">
        <v>39.799999999999997</v>
      </c>
      <c r="F13" s="88">
        <v>2139</v>
      </c>
      <c r="G13" s="88">
        <f t="shared" si="11"/>
        <v>85132.2</v>
      </c>
      <c r="H13" s="30" t="s">
        <v>53</v>
      </c>
      <c r="I13" s="95">
        <v>17</v>
      </c>
      <c r="J13" s="13">
        <v>1500</v>
      </c>
      <c r="K13" s="12">
        <f t="shared" si="1"/>
        <v>88.235294117647058</v>
      </c>
      <c r="L13" s="95">
        <v>17</v>
      </c>
      <c r="M13" s="13">
        <f t="shared" si="12"/>
        <v>1426</v>
      </c>
      <c r="N13" s="12">
        <f t="shared" si="3"/>
        <v>83.882352941176464</v>
      </c>
      <c r="O13" s="14">
        <f t="shared" si="4"/>
        <v>0</v>
      </c>
      <c r="P13" s="15">
        <f t="shared" si="5"/>
        <v>-4.3529411764705941</v>
      </c>
      <c r="Q13" s="91">
        <f t="shared" si="6"/>
        <v>0.95066666666666655</v>
      </c>
      <c r="R13" s="177"/>
      <c r="S13" s="21">
        <v>0.52847222222222223</v>
      </c>
      <c r="T13" s="21">
        <v>0.59097222222222223</v>
      </c>
      <c r="U13" s="88">
        <f t="shared" si="14"/>
        <v>57.999999999999957</v>
      </c>
      <c r="V13" s="30">
        <f t="shared" si="13"/>
        <v>90</v>
      </c>
      <c r="W13" s="16"/>
      <c r="X13" s="16"/>
      <c r="Y13" s="16"/>
      <c r="Z13" s="16"/>
      <c r="AA13" s="168"/>
      <c r="AB13" s="168"/>
      <c r="AC13" s="18"/>
      <c r="AD13" s="18"/>
      <c r="AE13" s="14">
        <f t="shared" si="8"/>
        <v>-74</v>
      </c>
      <c r="AF13" s="91">
        <f t="shared" si="9"/>
        <v>0.95066666666666666</v>
      </c>
      <c r="AG13" s="177"/>
    </row>
    <row r="14" spans="1:33" ht="15.75" customHeight="1">
      <c r="A14" s="199" t="s">
        <v>2603</v>
      </c>
      <c r="B14" s="28" t="s">
        <v>9</v>
      </c>
      <c r="C14" s="200" t="s">
        <v>10</v>
      </c>
      <c r="D14" s="201"/>
      <c r="E14" s="28">
        <v>39.619999999999997</v>
      </c>
      <c r="F14" s="88">
        <v>1984</v>
      </c>
      <c r="G14" s="88">
        <f t="shared" si="11"/>
        <v>78606.080000000002</v>
      </c>
      <c r="H14" s="30" t="s">
        <v>53</v>
      </c>
      <c r="I14" s="95">
        <v>19</v>
      </c>
      <c r="J14" s="13">
        <v>1500</v>
      </c>
      <c r="K14" s="12">
        <f t="shared" si="1"/>
        <v>78.94736842105263</v>
      </c>
      <c r="L14" s="95">
        <v>19</v>
      </c>
      <c r="M14" s="13">
        <f t="shared" si="12"/>
        <v>1434.2168674698789</v>
      </c>
      <c r="N14" s="12">
        <f t="shared" si="3"/>
        <v>75.485098287888363</v>
      </c>
      <c r="O14" s="14">
        <f t="shared" si="4"/>
        <v>0</v>
      </c>
      <c r="P14" s="15">
        <f t="shared" si="5"/>
        <v>-3.4622701331642673</v>
      </c>
      <c r="Q14" s="91">
        <f t="shared" si="6"/>
        <v>0.95614457831325261</v>
      </c>
      <c r="R14" s="177"/>
      <c r="S14" s="21">
        <v>0.59444444444444444</v>
      </c>
      <c r="T14" s="21">
        <v>0.65208333333333335</v>
      </c>
      <c r="U14" s="88">
        <f t="shared" si="14"/>
        <v>4.9999999999999822</v>
      </c>
      <c r="V14" s="30">
        <f t="shared" si="13"/>
        <v>83.000000000000028</v>
      </c>
      <c r="W14" s="16"/>
      <c r="X14" s="16"/>
      <c r="Y14" s="16"/>
      <c r="Z14" s="16"/>
      <c r="AA14" s="172"/>
      <c r="AB14" s="173"/>
      <c r="AC14" s="18"/>
      <c r="AD14" s="18"/>
      <c r="AE14" s="14">
        <f t="shared" si="8"/>
        <v>-65.783132530121065</v>
      </c>
      <c r="AF14" s="91">
        <f t="shared" si="9"/>
        <v>0.95614457831325261</v>
      </c>
      <c r="AG14" s="177"/>
    </row>
    <row r="15" spans="1:33" ht="16.5" customHeight="1">
      <c r="A15" s="199" t="s">
        <v>2603</v>
      </c>
      <c r="B15" s="28" t="s">
        <v>2604</v>
      </c>
      <c r="C15" s="178"/>
      <c r="D15" s="178"/>
      <c r="E15" s="92"/>
      <c r="F15" s="13"/>
      <c r="G15" s="13"/>
      <c r="H15" s="88"/>
      <c r="I15" s="23">
        <v>18</v>
      </c>
      <c r="J15" s="13">
        <v>1500</v>
      </c>
      <c r="K15" s="12">
        <f t="shared" si="1"/>
        <v>83.333333333333329</v>
      </c>
      <c r="L15" s="23">
        <v>18</v>
      </c>
      <c r="M15" s="13">
        <f>AVERAGE(M11:M14)</f>
        <v>1433.2089950151528</v>
      </c>
      <c r="N15" s="12">
        <f t="shared" si="3"/>
        <v>79.622721945286273</v>
      </c>
      <c r="O15" s="14">
        <f t="shared" si="4"/>
        <v>0</v>
      </c>
      <c r="P15" s="15">
        <f t="shared" si="5"/>
        <v>-3.7106113880470559</v>
      </c>
      <c r="Q15" s="91">
        <f t="shared" si="6"/>
        <v>0.95547266334343528</v>
      </c>
      <c r="R15" s="177"/>
      <c r="S15" s="21"/>
      <c r="T15" s="21"/>
      <c r="U15" s="12"/>
      <c r="V15" s="30"/>
      <c r="W15" s="12"/>
      <c r="X15" s="12"/>
      <c r="Y15" s="24">
        <f>SUM(Y11:Y14)</f>
        <v>0</v>
      </c>
      <c r="Z15" s="24">
        <f>SUM(Z11:Z14)</f>
        <v>0</v>
      </c>
      <c r="AA15" s="167"/>
      <c r="AB15" s="167"/>
      <c r="AC15" s="24">
        <v>4</v>
      </c>
      <c r="AD15" s="24">
        <f>SUM(AD11:AD14)</f>
        <v>0</v>
      </c>
      <c r="AE15" s="14">
        <f t="shared" si="8"/>
        <v>-66.791004984847177</v>
      </c>
      <c r="AF15" s="91">
        <f t="shared" si="9"/>
        <v>0.95547266334343517</v>
      </c>
      <c r="AG15" s="177"/>
    </row>
    <row r="16" spans="1:33" ht="16.5" customHeight="1">
      <c r="A16" s="197" t="s">
        <v>353</v>
      </c>
      <c r="B16" s="88" t="s">
        <v>12</v>
      </c>
      <c r="C16" s="193" t="s">
        <v>13</v>
      </c>
      <c r="D16" s="193"/>
      <c r="E16" s="28">
        <v>41</v>
      </c>
      <c r="F16" s="88">
        <v>2353</v>
      </c>
      <c r="G16" s="88">
        <f t="shared" ref="G16:G19" si="15">E16*F16</f>
        <v>96473</v>
      </c>
      <c r="H16" s="30" t="s">
        <v>53</v>
      </c>
      <c r="I16" s="95">
        <v>26</v>
      </c>
      <c r="J16" s="13">
        <v>1500</v>
      </c>
      <c r="K16" s="12">
        <f t="shared" si="1"/>
        <v>57.692307692307693</v>
      </c>
      <c r="L16" s="95">
        <v>26</v>
      </c>
      <c r="M16" s="13">
        <f t="shared" ref="M16:M19" si="16">F16/V16*60</f>
        <v>1440.612244897959</v>
      </c>
      <c r="N16" s="12">
        <f t="shared" si="3"/>
        <v>55.408163265306115</v>
      </c>
      <c r="O16" s="14">
        <f t="shared" si="4"/>
        <v>0</v>
      </c>
      <c r="P16" s="15">
        <f t="shared" si="5"/>
        <v>-2.2841444270015785</v>
      </c>
      <c r="Q16" s="91">
        <f t="shared" si="6"/>
        <v>0.96040816326530598</v>
      </c>
      <c r="R16" s="177">
        <f>Q20</f>
        <v>0.95976885579246074</v>
      </c>
      <c r="S16" s="21">
        <v>0.20833333333333334</v>
      </c>
      <c r="T16" s="21">
        <v>0.27638888888888891</v>
      </c>
      <c r="U16" s="88"/>
      <c r="V16" s="30">
        <f t="shared" ref="V16:V19" si="17">(T16-S16)*24*60</f>
        <v>98.000000000000014</v>
      </c>
      <c r="W16" s="21"/>
      <c r="X16" s="21"/>
      <c r="Y16" s="21"/>
      <c r="Z16" s="21"/>
      <c r="AA16" s="168"/>
      <c r="AB16" s="168"/>
      <c r="AC16" s="18">
        <v>4</v>
      </c>
      <c r="AD16" s="18"/>
      <c r="AE16" s="14">
        <f t="shared" si="8"/>
        <v>-59.387755102040956</v>
      </c>
      <c r="AF16" s="91">
        <f t="shared" si="9"/>
        <v>0.96040816326530598</v>
      </c>
      <c r="AG16" s="177">
        <f>AF20</f>
        <v>0.95976885579246063</v>
      </c>
    </row>
    <row r="17" spans="1:33" ht="16.5" customHeight="1">
      <c r="A17" s="198" t="s">
        <v>2605</v>
      </c>
      <c r="B17" s="88" t="s">
        <v>5</v>
      </c>
      <c r="C17" s="193" t="s">
        <v>20</v>
      </c>
      <c r="D17" s="193"/>
      <c r="E17" s="28">
        <v>53.68</v>
      </c>
      <c r="F17" s="88">
        <v>1442</v>
      </c>
      <c r="G17" s="88">
        <f t="shared" si="15"/>
        <v>77406.559999999998</v>
      </c>
      <c r="H17" s="30" t="s">
        <v>53</v>
      </c>
      <c r="I17" s="95">
        <v>16</v>
      </c>
      <c r="J17" s="13">
        <v>1500</v>
      </c>
      <c r="K17" s="12">
        <f t="shared" si="1"/>
        <v>93.75</v>
      </c>
      <c r="L17" s="95">
        <v>16</v>
      </c>
      <c r="M17" s="13">
        <f t="shared" si="16"/>
        <v>1442.0000000000014</v>
      </c>
      <c r="N17" s="12">
        <f t="shared" si="3"/>
        <v>90.125000000000085</v>
      </c>
      <c r="O17" s="14">
        <f t="shared" si="4"/>
        <v>0</v>
      </c>
      <c r="P17" s="15">
        <f t="shared" si="5"/>
        <v>-3.6249999999999147</v>
      </c>
      <c r="Q17" s="91">
        <f t="shared" si="6"/>
        <v>0.96133333333333426</v>
      </c>
      <c r="R17" s="177"/>
      <c r="S17" s="21">
        <v>0.70833333333333337</v>
      </c>
      <c r="T17" s="21">
        <v>0.75</v>
      </c>
      <c r="U17" s="88" t="str">
        <f t="shared" ref="U17:U19" si="18">IF(S17=TIME(17,0,0),"",(S17-T16)*24*60)</f>
        <v/>
      </c>
      <c r="V17" s="30">
        <f t="shared" si="17"/>
        <v>59.999999999999943</v>
      </c>
      <c r="W17" s="16"/>
      <c r="X17" s="16"/>
      <c r="Y17" s="16"/>
      <c r="Z17" s="16"/>
      <c r="AA17" s="168"/>
      <c r="AB17" s="168"/>
      <c r="AC17" s="18"/>
      <c r="AD17" s="18"/>
      <c r="AE17" s="14">
        <f t="shared" si="8"/>
        <v>-57.999999999998636</v>
      </c>
      <c r="AF17" s="91">
        <f t="shared" si="9"/>
        <v>0.96133333333333426</v>
      </c>
      <c r="AG17" s="177"/>
    </row>
    <row r="18" spans="1:33" ht="16.5" customHeight="1">
      <c r="A18" s="198" t="s">
        <v>2605</v>
      </c>
      <c r="B18" s="88" t="s">
        <v>5</v>
      </c>
      <c r="C18" s="193" t="s">
        <v>15</v>
      </c>
      <c r="D18" s="193"/>
      <c r="E18" s="28">
        <v>50.92</v>
      </c>
      <c r="F18" s="88">
        <v>2644</v>
      </c>
      <c r="G18" s="88">
        <f t="shared" si="15"/>
        <v>134632.48000000001</v>
      </c>
      <c r="H18" s="30" t="s">
        <v>53</v>
      </c>
      <c r="I18" s="95">
        <v>15</v>
      </c>
      <c r="J18" s="13">
        <v>2000</v>
      </c>
      <c r="K18" s="12">
        <f t="shared" si="1"/>
        <v>133.33333333333334</v>
      </c>
      <c r="L18" s="95">
        <v>15</v>
      </c>
      <c r="M18" s="13">
        <f t="shared" si="16"/>
        <v>1911.3253012048185</v>
      </c>
      <c r="N18" s="12">
        <f t="shared" si="3"/>
        <v>127.4216867469879</v>
      </c>
      <c r="O18" s="14">
        <f t="shared" si="4"/>
        <v>0</v>
      </c>
      <c r="P18" s="15">
        <f t="shared" si="5"/>
        <v>-5.9116465863454408</v>
      </c>
      <c r="Q18" s="91">
        <f t="shared" si="6"/>
        <v>0.95566265060240918</v>
      </c>
      <c r="R18" s="177"/>
      <c r="S18" s="21">
        <v>0.75347222222222221</v>
      </c>
      <c r="T18" s="21">
        <v>0.81111111111111112</v>
      </c>
      <c r="U18" s="88">
        <f t="shared" si="18"/>
        <v>4.9999999999999822</v>
      </c>
      <c r="V18" s="30">
        <f t="shared" si="17"/>
        <v>83.000000000000028</v>
      </c>
      <c r="W18" s="16"/>
      <c r="X18" s="16"/>
      <c r="Y18" s="16"/>
      <c r="Z18" s="16"/>
      <c r="AA18" s="168"/>
      <c r="AB18" s="168"/>
      <c r="AC18" s="18"/>
      <c r="AD18" s="18"/>
      <c r="AE18" s="14">
        <f t="shared" si="8"/>
        <v>-88.674698795181484</v>
      </c>
      <c r="AF18" s="91">
        <f t="shared" si="9"/>
        <v>0.95566265060240929</v>
      </c>
      <c r="AG18" s="177"/>
    </row>
    <row r="19" spans="1:33" ht="16.5" customHeight="1">
      <c r="A19" s="198" t="s">
        <v>353</v>
      </c>
      <c r="B19" s="88" t="s">
        <v>5</v>
      </c>
      <c r="C19" s="193" t="s">
        <v>21</v>
      </c>
      <c r="D19" s="193"/>
      <c r="E19" s="28">
        <v>57.3</v>
      </c>
      <c r="F19" s="88">
        <v>1732</v>
      </c>
      <c r="G19" s="88">
        <f t="shared" si="15"/>
        <v>99243.599999999991</v>
      </c>
      <c r="H19" s="30" t="s">
        <v>53</v>
      </c>
      <c r="I19" s="95">
        <v>13</v>
      </c>
      <c r="J19" s="13">
        <v>2000</v>
      </c>
      <c r="K19" s="12">
        <f t="shared" si="1"/>
        <v>153.84615384615384</v>
      </c>
      <c r="L19" s="95">
        <v>13</v>
      </c>
      <c r="M19" s="13">
        <f t="shared" si="16"/>
        <v>1924.4444444444455</v>
      </c>
      <c r="N19" s="12">
        <f t="shared" si="3"/>
        <v>148.03418803418811</v>
      </c>
      <c r="O19" s="14">
        <f t="shared" si="4"/>
        <v>0</v>
      </c>
      <c r="P19" s="15">
        <f t="shared" si="5"/>
        <v>-5.8119658119657345</v>
      </c>
      <c r="Q19" s="91">
        <f t="shared" si="6"/>
        <v>0.96222222222222276</v>
      </c>
      <c r="R19" s="177"/>
      <c r="S19" s="21">
        <v>0.81597222222222221</v>
      </c>
      <c r="T19" s="21">
        <v>0.85347222222222219</v>
      </c>
      <c r="U19" s="88">
        <f t="shared" si="18"/>
        <v>6.9999999999999751</v>
      </c>
      <c r="V19" s="30">
        <f t="shared" si="17"/>
        <v>53.999999999999972</v>
      </c>
      <c r="W19" s="16"/>
      <c r="X19" s="16"/>
      <c r="Y19" s="16"/>
      <c r="Z19" s="16"/>
      <c r="AA19" s="168"/>
      <c r="AB19" s="168"/>
      <c r="AC19" s="18"/>
      <c r="AD19" s="18"/>
      <c r="AE19" s="14">
        <f t="shared" si="8"/>
        <v>-75.55555555555452</v>
      </c>
      <c r="AF19" s="91">
        <f t="shared" si="9"/>
        <v>0.96222222222222276</v>
      </c>
      <c r="AG19" s="177"/>
    </row>
    <row r="20" spans="1:33" ht="16.5" customHeight="1">
      <c r="A20" s="198" t="s">
        <v>353</v>
      </c>
      <c r="B20" s="28" t="s">
        <v>2606</v>
      </c>
      <c r="C20" s="178"/>
      <c r="D20" s="178"/>
      <c r="E20" s="92"/>
      <c r="F20" s="12"/>
      <c r="G20" s="12"/>
      <c r="H20" s="88"/>
      <c r="I20" s="23">
        <v>17.5</v>
      </c>
      <c r="J20" s="13">
        <v>1750</v>
      </c>
      <c r="K20" s="12">
        <f t="shared" si="1"/>
        <v>100</v>
      </c>
      <c r="L20" s="23">
        <v>17.5</v>
      </c>
      <c r="M20" s="13">
        <f>AVERAGE(M16:M19)</f>
        <v>1679.5954976368062</v>
      </c>
      <c r="N20" s="12">
        <f t="shared" si="3"/>
        <v>95.976885579246073</v>
      </c>
      <c r="O20" s="14">
        <f t="shared" si="4"/>
        <v>0</v>
      </c>
      <c r="P20" s="15">
        <f t="shared" si="5"/>
        <v>-4.0231144207539273</v>
      </c>
      <c r="Q20" s="91">
        <f t="shared" si="6"/>
        <v>0.95976885579246074</v>
      </c>
      <c r="R20" s="177"/>
      <c r="S20" s="21"/>
      <c r="T20" s="21"/>
      <c r="U20" s="88"/>
      <c r="V20" s="30"/>
      <c r="W20" s="12"/>
      <c r="X20" s="12"/>
      <c r="Y20" s="24">
        <f>SUM(Y16:Y19)</f>
        <v>0</v>
      </c>
      <c r="Z20" s="24">
        <f>SUM(Z16:Z19)</f>
        <v>0</v>
      </c>
      <c r="AA20" s="167"/>
      <c r="AB20" s="167"/>
      <c r="AC20" s="24">
        <v>4</v>
      </c>
      <c r="AD20" s="24">
        <f>SUM(AD16:AD19)</f>
        <v>0</v>
      </c>
      <c r="AE20" s="14">
        <f t="shared" si="8"/>
        <v>-70.404502363193842</v>
      </c>
      <c r="AF20" s="91">
        <f t="shared" si="9"/>
        <v>0.95976885579246063</v>
      </c>
      <c r="AG20" s="177"/>
    </row>
    <row r="21" spans="1:33" ht="15.75" customHeight="1">
      <c r="A21" s="195" t="s">
        <v>2607</v>
      </c>
      <c r="B21" s="28" t="s">
        <v>5</v>
      </c>
      <c r="C21" s="193" t="s">
        <v>17</v>
      </c>
      <c r="D21" s="193"/>
      <c r="E21" s="28">
        <v>57.73</v>
      </c>
      <c r="F21" s="88">
        <v>2740</v>
      </c>
      <c r="G21" s="88">
        <f t="shared" ref="G21:G26" si="19">E21*F21</f>
        <v>158180.19999999998</v>
      </c>
      <c r="H21" s="30" t="s">
        <v>53</v>
      </c>
      <c r="I21" s="95">
        <v>14</v>
      </c>
      <c r="J21" s="13">
        <v>2000</v>
      </c>
      <c r="K21" s="12">
        <f t="shared" si="1"/>
        <v>142.85714285714286</v>
      </c>
      <c r="L21" s="95">
        <v>14</v>
      </c>
      <c r="M21" s="13">
        <f t="shared" ref="M21:M26" si="20">F21/V21*60</f>
        <v>1911.627906976744</v>
      </c>
      <c r="N21" s="12">
        <f t="shared" si="3"/>
        <v>136.54485049833886</v>
      </c>
      <c r="O21" s="14">
        <f t="shared" si="4"/>
        <v>0</v>
      </c>
      <c r="P21" s="15">
        <f t="shared" si="5"/>
        <v>-6.312292358804001</v>
      </c>
      <c r="Q21" s="91">
        <f t="shared" si="6"/>
        <v>0.95581395348837195</v>
      </c>
      <c r="R21" s="177">
        <f>Q27</f>
        <v>0.95813201407325077</v>
      </c>
      <c r="S21" s="21">
        <v>0.29166666666666669</v>
      </c>
      <c r="T21" s="21">
        <v>0.35138888888888892</v>
      </c>
      <c r="U21" s="88"/>
      <c r="V21" s="30">
        <f t="shared" ref="V21:V26" si="21">(T21-S21)*24*60</f>
        <v>86.000000000000014</v>
      </c>
      <c r="W21" s="21"/>
      <c r="X21" s="21"/>
      <c r="Y21" s="21"/>
      <c r="Z21" s="21"/>
      <c r="AA21" s="168"/>
      <c r="AB21" s="168"/>
      <c r="AC21" s="18">
        <v>6</v>
      </c>
      <c r="AD21" s="18"/>
      <c r="AE21" s="14">
        <f t="shared" si="8"/>
        <v>-88.372093023255957</v>
      </c>
      <c r="AF21" s="91">
        <f t="shared" si="9"/>
        <v>0.95581395348837206</v>
      </c>
      <c r="AG21" s="177">
        <f>AF27</f>
        <v>0.95813201407325088</v>
      </c>
    </row>
    <row r="22" spans="1:33" ht="15.75" customHeight="1">
      <c r="A22" s="196" t="s">
        <v>2608</v>
      </c>
      <c r="B22" s="28" t="s">
        <v>5</v>
      </c>
      <c r="C22" s="193" t="s">
        <v>18</v>
      </c>
      <c r="D22" s="193"/>
      <c r="E22" s="28">
        <v>53.68</v>
      </c>
      <c r="F22" s="88">
        <v>1469</v>
      </c>
      <c r="G22" s="88">
        <f t="shared" si="19"/>
        <v>78855.92</v>
      </c>
      <c r="H22" s="30" t="s">
        <v>53</v>
      </c>
      <c r="I22" s="95">
        <v>16</v>
      </c>
      <c r="J22" s="13">
        <v>2000</v>
      </c>
      <c r="K22" s="12">
        <f t="shared" si="1"/>
        <v>125</v>
      </c>
      <c r="L22" s="95">
        <v>16</v>
      </c>
      <c r="M22" s="13">
        <f t="shared" si="20"/>
        <v>1916.0869565217392</v>
      </c>
      <c r="N22" s="12">
        <f t="shared" si="3"/>
        <v>119.7554347826087</v>
      </c>
      <c r="O22" s="14">
        <f t="shared" si="4"/>
        <v>0</v>
      </c>
      <c r="P22" s="15">
        <f t="shared" si="5"/>
        <v>-5.2445652173912976</v>
      </c>
      <c r="Q22" s="91">
        <f t="shared" si="6"/>
        <v>0.95804347826086966</v>
      </c>
      <c r="R22" s="177"/>
      <c r="S22" s="21">
        <v>0.35555555555555557</v>
      </c>
      <c r="T22" s="21">
        <v>0.38750000000000001</v>
      </c>
      <c r="U22" s="88">
        <f t="shared" ref="U22:U26" si="22">IF(S22=TIME(17,0,0),"",(S22-T21)*24*60)</f>
        <v>5.9999999999999787</v>
      </c>
      <c r="V22" s="30">
        <f t="shared" si="21"/>
        <v>46</v>
      </c>
      <c r="W22" s="16"/>
      <c r="X22" s="88"/>
      <c r="Y22" s="88"/>
      <c r="Z22" s="88"/>
      <c r="AA22" s="168"/>
      <c r="AB22" s="168"/>
      <c r="AC22" s="18"/>
      <c r="AD22" s="18"/>
      <c r="AE22" s="14">
        <f t="shared" si="8"/>
        <v>-83.913043478260761</v>
      </c>
      <c r="AF22" s="91">
        <f t="shared" si="9"/>
        <v>0.95804347826086966</v>
      </c>
      <c r="AG22" s="177"/>
    </row>
    <row r="23" spans="1:33" ht="15.75" customHeight="1">
      <c r="A23" s="196" t="s">
        <v>2609</v>
      </c>
      <c r="B23" s="28" t="s">
        <v>5</v>
      </c>
      <c r="C23" s="193" t="s">
        <v>73</v>
      </c>
      <c r="D23" s="193"/>
      <c r="E23" s="28">
        <v>50.67</v>
      </c>
      <c r="F23" s="88">
        <v>2727</v>
      </c>
      <c r="G23" s="88">
        <f t="shared" si="19"/>
        <v>138177.09</v>
      </c>
      <c r="H23" s="30" t="s">
        <v>53</v>
      </c>
      <c r="I23" s="95">
        <v>17</v>
      </c>
      <c r="J23" s="13">
        <v>2000</v>
      </c>
      <c r="K23" s="12">
        <f t="shared" si="1"/>
        <v>117.64705882352941</v>
      </c>
      <c r="L23" s="95">
        <v>17</v>
      </c>
      <c r="M23" s="13">
        <f t="shared" si="20"/>
        <v>1902.5581395348834</v>
      </c>
      <c r="N23" s="12">
        <f t="shared" si="3"/>
        <v>111.91518467852255</v>
      </c>
      <c r="O23" s="14">
        <f t="shared" si="4"/>
        <v>0</v>
      </c>
      <c r="P23" s="15">
        <f t="shared" si="5"/>
        <v>-5.7318741450068558</v>
      </c>
      <c r="Q23" s="91">
        <f t="shared" si="6"/>
        <v>0.9512790697674417</v>
      </c>
      <c r="R23" s="177"/>
      <c r="S23" s="21">
        <v>0.39305555555555555</v>
      </c>
      <c r="T23" s="21">
        <v>0.45277777777777778</v>
      </c>
      <c r="U23" s="88">
        <f t="shared" si="22"/>
        <v>7.9999999999999716</v>
      </c>
      <c r="V23" s="30">
        <f t="shared" si="21"/>
        <v>86.000000000000014</v>
      </c>
      <c r="W23" s="16"/>
      <c r="X23" s="88"/>
      <c r="Y23" s="88"/>
      <c r="Z23" s="88"/>
      <c r="AA23" s="168"/>
      <c r="AB23" s="168"/>
      <c r="AC23" s="18"/>
      <c r="AD23" s="18"/>
      <c r="AE23" s="14">
        <f t="shared" si="8"/>
        <v>-97.441860465116633</v>
      </c>
      <c r="AF23" s="91">
        <f t="shared" si="9"/>
        <v>0.9512790697674417</v>
      </c>
      <c r="AG23" s="177"/>
    </row>
    <row r="24" spans="1:33" ht="15.75" customHeight="1">
      <c r="A24" s="196" t="s">
        <v>2610</v>
      </c>
      <c r="B24" s="28" t="s">
        <v>5</v>
      </c>
      <c r="C24" s="193" t="s">
        <v>19</v>
      </c>
      <c r="D24" s="193"/>
      <c r="E24" s="28">
        <v>50.49</v>
      </c>
      <c r="F24" s="88">
        <v>2311</v>
      </c>
      <c r="G24" s="88">
        <f t="shared" si="19"/>
        <v>116682.39</v>
      </c>
      <c r="H24" s="30" t="s">
        <v>53</v>
      </c>
      <c r="I24" s="95">
        <v>15</v>
      </c>
      <c r="J24" s="13">
        <v>2000</v>
      </c>
      <c r="K24" s="12">
        <f t="shared" si="1"/>
        <v>133.33333333333334</v>
      </c>
      <c r="L24" s="95">
        <v>15</v>
      </c>
      <c r="M24" s="13">
        <f t="shared" si="20"/>
        <v>1925.8333333333321</v>
      </c>
      <c r="N24" s="12">
        <f t="shared" si="3"/>
        <v>128.3888888888888</v>
      </c>
      <c r="O24" s="14">
        <f t="shared" si="4"/>
        <v>0</v>
      </c>
      <c r="P24" s="15">
        <f t="shared" si="5"/>
        <v>-4.9444444444445423</v>
      </c>
      <c r="Q24" s="91">
        <f t="shared" si="6"/>
        <v>0.96291666666666598</v>
      </c>
      <c r="R24" s="177"/>
      <c r="S24" s="21">
        <v>0.70833333333333337</v>
      </c>
      <c r="T24" s="21">
        <v>0.75833333333333341</v>
      </c>
      <c r="U24" s="88" t="str">
        <f t="shared" si="22"/>
        <v/>
      </c>
      <c r="V24" s="30">
        <f t="shared" si="21"/>
        <v>72.000000000000057</v>
      </c>
      <c r="W24" s="16"/>
      <c r="X24" s="88"/>
      <c r="Y24" s="88"/>
      <c r="Z24" s="88"/>
      <c r="AA24" s="168"/>
      <c r="AB24" s="168"/>
      <c r="AC24" s="18"/>
      <c r="AD24" s="18"/>
      <c r="AE24" s="14">
        <f t="shared" si="8"/>
        <v>-74.166666666667879</v>
      </c>
      <c r="AF24" s="91">
        <f t="shared" si="9"/>
        <v>0.96291666666666609</v>
      </c>
      <c r="AG24" s="177"/>
    </row>
    <row r="25" spans="1:33" ht="15.75" customHeight="1">
      <c r="A25" s="196" t="s">
        <v>2607</v>
      </c>
      <c r="B25" s="28" t="s">
        <v>5</v>
      </c>
      <c r="C25" s="193" t="s">
        <v>14</v>
      </c>
      <c r="D25" s="193"/>
      <c r="E25" s="28">
        <v>50.98</v>
      </c>
      <c r="F25" s="88">
        <v>2664</v>
      </c>
      <c r="G25" s="88">
        <f t="shared" si="19"/>
        <v>135810.72</v>
      </c>
      <c r="H25" s="30" t="s">
        <v>53</v>
      </c>
      <c r="I25" s="95">
        <v>16</v>
      </c>
      <c r="J25" s="13">
        <v>2000</v>
      </c>
      <c r="K25" s="12">
        <f t="shared" si="1"/>
        <v>125</v>
      </c>
      <c r="L25" s="95">
        <v>16</v>
      </c>
      <c r="M25" s="13">
        <f t="shared" si="20"/>
        <v>1902.8571428571422</v>
      </c>
      <c r="N25" s="12">
        <f t="shared" si="3"/>
        <v>118.92857142857139</v>
      </c>
      <c r="O25" s="14">
        <f t="shared" si="4"/>
        <v>0</v>
      </c>
      <c r="P25" s="15">
        <f t="shared" si="5"/>
        <v>-6.071428571428612</v>
      </c>
      <c r="Q25" s="91">
        <f t="shared" si="6"/>
        <v>0.95142857142857107</v>
      </c>
      <c r="R25" s="177"/>
      <c r="S25" s="21">
        <v>0.76250000000000007</v>
      </c>
      <c r="T25" s="21">
        <v>0.82083333333333341</v>
      </c>
      <c r="U25" s="88">
        <f t="shared" si="22"/>
        <v>5.9999999999999787</v>
      </c>
      <c r="V25" s="30">
        <f t="shared" si="21"/>
        <v>84.000000000000028</v>
      </c>
      <c r="W25" s="16"/>
      <c r="X25" s="16"/>
      <c r="Y25" s="88"/>
      <c r="Z25" s="88"/>
      <c r="AA25" s="168"/>
      <c r="AB25" s="168"/>
      <c r="AC25" s="18"/>
      <c r="AD25" s="18"/>
      <c r="AE25" s="14">
        <f t="shared" si="8"/>
        <v>-97.142857142857792</v>
      </c>
      <c r="AF25" s="91">
        <f t="shared" si="9"/>
        <v>0.95142857142857107</v>
      </c>
      <c r="AG25" s="177"/>
    </row>
    <row r="26" spans="1:33" ht="15.75" customHeight="1">
      <c r="A26" s="196" t="s">
        <v>2608</v>
      </c>
      <c r="B26" s="28" t="s">
        <v>5</v>
      </c>
      <c r="C26" s="193" t="s">
        <v>16</v>
      </c>
      <c r="D26" s="193"/>
      <c r="E26" s="28">
        <v>50.67</v>
      </c>
      <c r="F26" s="88">
        <v>937</v>
      </c>
      <c r="G26" s="88">
        <f t="shared" si="19"/>
        <v>47477.79</v>
      </c>
      <c r="H26" s="30" t="s">
        <v>53</v>
      </c>
      <c r="I26" s="95">
        <v>15</v>
      </c>
      <c r="J26" s="13">
        <v>2000</v>
      </c>
      <c r="K26" s="12">
        <f t="shared" si="1"/>
        <v>133.33333333333334</v>
      </c>
      <c r="L26" s="95">
        <v>15</v>
      </c>
      <c r="M26" s="13">
        <f t="shared" si="20"/>
        <v>1938.6206896551685</v>
      </c>
      <c r="N26" s="12">
        <f t="shared" si="3"/>
        <v>129.24137931034457</v>
      </c>
      <c r="O26" s="14">
        <f t="shared" si="4"/>
        <v>0</v>
      </c>
      <c r="P26" s="15">
        <f t="shared" si="5"/>
        <v>-4.091954022988773</v>
      </c>
      <c r="Q26" s="91">
        <f t="shared" si="6"/>
        <v>0.96931034482758416</v>
      </c>
      <c r="R26" s="177"/>
      <c r="S26" s="21">
        <v>0.82500000000000007</v>
      </c>
      <c r="T26" s="21">
        <v>0.84513888888888899</v>
      </c>
      <c r="U26" s="88">
        <f t="shared" si="22"/>
        <v>5.9999999999999787</v>
      </c>
      <c r="V26" s="30">
        <f t="shared" si="21"/>
        <v>29.000000000000057</v>
      </c>
      <c r="W26" s="16"/>
      <c r="X26" s="21"/>
      <c r="Y26" s="21"/>
      <c r="Z26" s="21"/>
      <c r="AA26" s="168"/>
      <c r="AB26" s="168"/>
      <c r="AC26" s="18"/>
      <c r="AD26" s="18"/>
      <c r="AE26" s="14">
        <f t="shared" si="8"/>
        <v>-61.379310344831538</v>
      </c>
      <c r="AF26" s="91">
        <f t="shared" si="9"/>
        <v>0.96931034482758427</v>
      </c>
      <c r="AG26" s="177"/>
    </row>
    <row r="27" spans="1:33" ht="15.75" customHeight="1">
      <c r="A27" s="196" t="s">
        <v>2610</v>
      </c>
      <c r="B27" s="28" t="s">
        <v>2611</v>
      </c>
      <c r="C27" s="178"/>
      <c r="D27" s="178"/>
      <c r="E27" s="92"/>
      <c r="F27" s="88"/>
      <c r="G27" s="88"/>
      <c r="H27" s="88"/>
      <c r="I27" s="23">
        <v>15.5</v>
      </c>
      <c r="J27" s="13">
        <v>2000</v>
      </c>
      <c r="K27" s="12">
        <f t="shared" si="1"/>
        <v>129.03225806451613</v>
      </c>
      <c r="L27" s="23">
        <v>15.5</v>
      </c>
      <c r="M27" s="13">
        <f>AVERAGE(M21:M26)</f>
        <v>1916.2640281465017</v>
      </c>
      <c r="N27" s="12">
        <f t="shared" si="3"/>
        <v>123.6299372997743</v>
      </c>
      <c r="O27" s="14">
        <f t="shared" si="4"/>
        <v>0</v>
      </c>
      <c r="P27" s="15">
        <f t="shared" si="5"/>
        <v>-5.4023207647418303</v>
      </c>
      <c r="Q27" s="91">
        <f t="shared" si="6"/>
        <v>0.95813201407325077</v>
      </c>
      <c r="R27" s="177"/>
      <c r="S27" s="21"/>
      <c r="T27" s="21"/>
      <c r="U27" s="12"/>
      <c r="V27" s="30"/>
      <c r="W27" s="12"/>
      <c r="X27" s="12"/>
      <c r="Y27" s="24">
        <f>SUM(Y21:Y26)</f>
        <v>0</v>
      </c>
      <c r="Z27" s="24">
        <f>SUM(Z21:Z26)</f>
        <v>0</v>
      </c>
      <c r="AA27" s="167"/>
      <c r="AB27" s="167"/>
      <c r="AC27" s="24">
        <v>6</v>
      </c>
      <c r="AD27" s="24">
        <f>SUM(AD21:AD26)</f>
        <v>0</v>
      </c>
      <c r="AE27" s="14">
        <f t="shared" si="8"/>
        <v>-83.735971853498313</v>
      </c>
      <c r="AF27" s="91">
        <f t="shared" si="9"/>
        <v>0.95813201407325088</v>
      </c>
      <c r="AG27" s="177"/>
    </row>
    <row r="28" spans="1:33" ht="15.75" customHeight="1">
      <c r="A28" s="194" t="s">
        <v>2612</v>
      </c>
      <c r="B28" s="28" t="s">
        <v>22</v>
      </c>
      <c r="C28" s="193" t="s">
        <v>23</v>
      </c>
      <c r="D28" s="193"/>
      <c r="E28" s="28">
        <v>31.29</v>
      </c>
      <c r="F28" s="88">
        <v>6800</v>
      </c>
      <c r="G28" s="88">
        <f t="shared" ref="G28:G34" si="23">E28*F28</f>
        <v>212772</v>
      </c>
      <c r="H28" s="30">
        <v>2</v>
      </c>
      <c r="I28" s="95">
        <v>18</v>
      </c>
      <c r="J28" s="13">
        <v>2400</v>
      </c>
      <c r="K28" s="12">
        <f t="shared" si="1"/>
        <v>133.33333333333334</v>
      </c>
      <c r="L28" s="95">
        <v>18</v>
      </c>
      <c r="M28" s="13">
        <f t="shared" ref="M28:M34" si="24">F28/V28*60</f>
        <v>2292.1348314606744</v>
      </c>
      <c r="N28" s="12">
        <f t="shared" si="3"/>
        <v>127.34082397003746</v>
      </c>
      <c r="O28" s="14">
        <f t="shared" si="4"/>
        <v>0</v>
      </c>
      <c r="P28" s="15">
        <f t="shared" si="5"/>
        <v>-5.9925093632958806</v>
      </c>
      <c r="Q28" s="91">
        <f t="shared" si="6"/>
        <v>0.9550561797752809</v>
      </c>
      <c r="R28" s="177">
        <f>Q35</f>
        <v>0.95682124691874848</v>
      </c>
      <c r="S28" s="21">
        <v>8.3333333333333329E-2</v>
      </c>
      <c r="T28" s="21">
        <v>0.20694444444444443</v>
      </c>
      <c r="U28" s="88"/>
      <c r="V28" s="30">
        <f t="shared" ref="V28:V34" si="25">(T28-S28)*24*60</f>
        <v>177.99999999999997</v>
      </c>
      <c r="W28" s="16">
        <f>T28</f>
        <v>0.20694444444444443</v>
      </c>
      <c r="X28" s="16">
        <f>S29</f>
        <v>0.22499999999999998</v>
      </c>
      <c r="Y28" s="16"/>
      <c r="Z28" s="16"/>
      <c r="AA28" s="168"/>
      <c r="AB28" s="168"/>
      <c r="AC28" s="18">
        <v>7</v>
      </c>
      <c r="AD28" s="18"/>
      <c r="AE28" s="14">
        <f t="shared" si="8"/>
        <v>-107.86516853932562</v>
      </c>
      <c r="AF28" s="91">
        <f t="shared" si="9"/>
        <v>0.95505617977528101</v>
      </c>
      <c r="AG28" s="177">
        <f>AF35</f>
        <v>0.95682124691874848</v>
      </c>
    </row>
    <row r="29" spans="1:33" ht="15.75" customHeight="1">
      <c r="A29" s="194" t="s">
        <v>2613</v>
      </c>
      <c r="B29" s="28" t="s">
        <v>22</v>
      </c>
      <c r="C29" s="193" t="s">
        <v>24</v>
      </c>
      <c r="D29" s="193"/>
      <c r="E29" s="28">
        <v>25.98</v>
      </c>
      <c r="F29" s="88">
        <v>3682</v>
      </c>
      <c r="G29" s="88">
        <f t="shared" si="23"/>
        <v>95658.36</v>
      </c>
      <c r="H29" s="30" t="s">
        <v>53</v>
      </c>
      <c r="I29" s="95">
        <v>21</v>
      </c>
      <c r="J29" s="13">
        <v>2400</v>
      </c>
      <c r="K29" s="12">
        <f t="shared" si="1"/>
        <v>114.28571428571429</v>
      </c>
      <c r="L29" s="95">
        <v>21</v>
      </c>
      <c r="M29" s="13">
        <f t="shared" si="24"/>
        <v>2301.2500000000009</v>
      </c>
      <c r="N29" s="12">
        <f t="shared" si="3"/>
        <v>109.58333333333337</v>
      </c>
      <c r="O29" s="14">
        <f t="shared" si="4"/>
        <v>0</v>
      </c>
      <c r="P29" s="15">
        <f t="shared" si="5"/>
        <v>-4.7023809523809206</v>
      </c>
      <c r="Q29" s="91">
        <f t="shared" si="6"/>
        <v>0.9588541666666669</v>
      </c>
      <c r="R29" s="177"/>
      <c r="S29" s="21">
        <v>0.22499999999999998</v>
      </c>
      <c r="T29" s="21">
        <v>0.29166666666666663</v>
      </c>
      <c r="U29" s="88">
        <f t="shared" ref="U29:U34" si="26">(S29-T28)*24*60</f>
        <v>25.999999999999986</v>
      </c>
      <c r="V29" s="30">
        <f t="shared" si="25"/>
        <v>95.999999999999972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8"/>
        <v>-98.749999999999091</v>
      </c>
      <c r="AF29" s="91">
        <f t="shared" si="9"/>
        <v>0.95885416666666701</v>
      </c>
      <c r="AG29" s="177"/>
    </row>
    <row r="30" spans="1:33" ht="15.75" customHeight="1">
      <c r="A30" s="194" t="s">
        <v>2614</v>
      </c>
      <c r="B30" s="28" t="s">
        <v>22</v>
      </c>
      <c r="C30" s="193" t="s">
        <v>26</v>
      </c>
      <c r="D30" s="193"/>
      <c r="E30" s="28">
        <v>25.99</v>
      </c>
      <c r="F30" s="88">
        <v>5519</v>
      </c>
      <c r="G30" s="88">
        <f t="shared" si="23"/>
        <v>143438.81</v>
      </c>
      <c r="H30" s="30" t="s">
        <v>53</v>
      </c>
      <c r="I30" s="95">
        <v>14</v>
      </c>
      <c r="J30" s="13">
        <v>2400</v>
      </c>
      <c r="K30" s="12">
        <f t="shared" si="1"/>
        <v>171.42857142857142</v>
      </c>
      <c r="L30" s="95">
        <v>14</v>
      </c>
      <c r="M30" s="13">
        <f t="shared" si="24"/>
        <v>2283.7241379310349</v>
      </c>
      <c r="N30" s="12">
        <f t="shared" si="3"/>
        <v>163.12315270935963</v>
      </c>
      <c r="O30" s="14">
        <f t="shared" si="4"/>
        <v>0</v>
      </c>
      <c r="P30" s="15">
        <f t="shared" si="5"/>
        <v>-8.3054187192117865</v>
      </c>
      <c r="Q30" s="91">
        <f t="shared" si="6"/>
        <v>0.95155172413793121</v>
      </c>
      <c r="R30" s="177"/>
      <c r="S30" s="21">
        <v>0.29722222222222217</v>
      </c>
      <c r="T30" s="21">
        <v>0.39791666666666659</v>
      </c>
      <c r="U30" s="88">
        <f t="shared" si="26"/>
        <v>7.9999999999999716</v>
      </c>
      <c r="V30" s="30">
        <f t="shared" si="25"/>
        <v>144.99999999999997</v>
      </c>
      <c r="W30" s="16"/>
      <c r="X30" s="16"/>
      <c r="Y30" s="16"/>
      <c r="Z30" s="16"/>
      <c r="AA30" s="168"/>
      <c r="AB30" s="168"/>
      <c r="AC30" s="18"/>
      <c r="AD30" s="18"/>
      <c r="AE30" s="14">
        <f t="shared" si="8"/>
        <v>-116.27586206896513</v>
      </c>
      <c r="AF30" s="91">
        <f t="shared" si="9"/>
        <v>0.95155172413793121</v>
      </c>
      <c r="AG30" s="177"/>
    </row>
    <row r="31" spans="1:33" ht="15.75" customHeight="1">
      <c r="A31" s="194" t="s">
        <v>2615</v>
      </c>
      <c r="B31" s="28" t="s">
        <v>22</v>
      </c>
      <c r="C31" s="193" t="s">
        <v>27</v>
      </c>
      <c r="D31" s="193"/>
      <c r="E31" s="28">
        <v>26.18</v>
      </c>
      <c r="F31" s="88">
        <v>1815</v>
      </c>
      <c r="G31" s="88">
        <f t="shared" si="23"/>
        <v>47516.7</v>
      </c>
      <c r="H31" s="30" t="s">
        <v>53</v>
      </c>
      <c r="I31" s="95">
        <v>19</v>
      </c>
      <c r="J31" s="13">
        <v>2400</v>
      </c>
      <c r="K31" s="12">
        <f t="shared" si="1"/>
        <v>126.31578947368421</v>
      </c>
      <c r="L31" s="95">
        <v>19</v>
      </c>
      <c r="M31" s="13">
        <f t="shared" si="24"/>
        <v>2317.0212765957449</v>
      </c>
      <c r="N31" s="12">
        <f t="shared" si="3"/>
        <v>121.94848824188131</v>
      </c>
      <c r="O31" s="14">
        <f t="shared" si="4"/>
        <v>0</v>
      </c>
      <c r="P31" s="15">
        <f t="shared" si="5"/>
        <v>-4.3673012318028981</v>
      </c>
      <c r="Q31" s="91">
        <f t="shared" si="6"/>
        <v>0.96542553191489378</v>
      </c>
      <c r="R31" s="177"/>
      <c r="S31" s="21">
        <v>0.40208333333333324</v>
      </c>
      <c r="T31" s="21">
        <v>0.43472222222222212</v>
      </c>
      <c r="U31" s="88">
        <f t="shared" si="26"/>
        <v>5.9999999999999787</v>
      </c>
      <c r="V31" s="30">
        <f t="shared" si="25"/>
        <v>46.999999999999993</v>
      </c>
      <c r="W31" s="16"/>
      <c r="X31" s="16"/>
      <c r="Y31" s="16"/>
      <c r="Z31" s="16"/>
      <c r="AA31" s="168"/>
      <c r="AB31" s="168"/>
      <c r="AC31" s="18"/>
      <c r="AD31" s="18"/>
      <c r="AE31" s="14">
        <f t="shared" si="8"/>
        <v>-82.978723404255106</v>
      </c>
      <c r="AF31" s="91">
        <f t="shared" si="9"/>
        <v>0.96542553191489366</v>
      </c>
      <c r="AG31" s="177"/>
    </row>
    <row r="32" spans="1:33" ht="15.75" customHeight="1">
      <c r="A32" s="194" t="s">
        <v>2616</v>
      </c>
      <c r="B32" s="28" t="s">
        <v>22</v>
      </c>
      <c r="C32" s="193" t="s">
        <v>25</v>
      </c>
      <c r="D32" s="193"/>
      <c r="E32" s="28">
        <v>26.2</v>
      </c>
      <c r="F32" s="88">
        <v>3800</v>
      </c>
      <c r="G32" s="88">
        <f t="shared" si="23"/>
        <v>99560</v>
      </c>
      <c r="H32" s="30">
        <v>2</v>
      </c>
      <c r="I32" s="95">
        <v>20</v>
      </c>
      <c r="J32" s="13">
        <v>2400</v>
      </c>
      <c r="K32" s="12">
        <f t="shared" si="1"/>
        <v>120</v>
      </c>
      <c r="L32" s="95">
        <v>20</v>
      </c>
      <c r="M32" s="13">
        <f t="shared" si="24"/>
        <v>2303.0303030303039</v>
      </c>
      <c r="N32" s="12">
        <f t="shared" si="3"/>
        <v>115.1515151515152</v>
      </c>
      <c r="O32" s="14">
        <f t="shared" si="4"/>
        <v>0</v>
      </c>
      <c r="P32" s="15">
        <f t="shared" si="5"/>
        <v>-4.8484848484848015</v>
      </c>
      <c r="Q32" s="91">
        <f t="shared" si="6"/>
        <v>0.95959595959596</v>
      </c>
      <c r="R32" s="177"/>
      <c r="S32" s="21">
        <v>0.43819444444444433</v>
      </c>
      <c r="T32" s="21">
        <v>0.50694444444444431</v>
      </c>
      <c r="U32" s="88">
        <f t="shared" si="26"/>
        <v>4.9999999999999822</v>
      </c>
      <c r="V32" s="30">
        <f t="shared" si="25"/>
        <v>98.999999999999972</v>
      </c>
      <c r="W32" s="16">
        <f>T32</f>
        <v>0.50694444444444431</v>
      </c>
      <c r="X32" s="16">
        <f>S33</f>
        <v>0.54513888888888873</v>
      </c>
      <c r="Y32" s="16"/>
      <c r="Z32" s="16"/>
      <c r="AA32" s="168"/>
      <c r="AB32" s="168"/>
      <c r="AC32" s="18"/>
      <c r="AD32" s="18"/>
      <c r="AE32" s="14">
        <f t="shared" si="8"/>
        <v>-96.969696969696088</v>
      </c>
      <c r="AF32" s="91">
        <f t="shared" si="9"/>
        <v>0.95959595959596</v>
      </c>
      <c r="AG32" s="177"/>
    </row>
    <row r="33" spans="1:33" ht="15.75" customHeight="1">
      <c r="A33" s="194" t="s">
        <v>2616</v>
      </c>
      <c r="B33" s="28" t="s">
        <v>22</v>
      </c>
      <c r="C33" s="193" t="s">
        <v>23</v>
      </c>
      <c r="D33" s="193"/>
      <c r="E33" s="28">
        <v>31.29</v>
      </c>
      <c r="F33" s="88">
        <v>4797</v>
      </c>
      <c r="G33" s="88">
        <f t="shared" si="23"/>
        <v>150098.13</v>
      </c>
      <c r="H33" s="30" t="s">
        <v>53</v>
      </c>
      <c r="I33" s="95">
        <v>18</v>
      </c>
      <c r="J33" s="13">
        <v>2400</v>
      </c>
      <c r="K33" s="12">
        <f t="shared" si="1"/>
        <v>133.33333333333334</v>
      </c>
      <c r="L33" s="95">
        <v>18</v>
      </c>
      <c r="M33" s="13">
        <f t="shared" si="24"/>
        <v>2284.2857142857138</v>
      </c>
      <c r="N33" s="12">
        <f t="shared" si="3"/>
        <v>126.90476190476187</v>
      </c>
      <c r="O33" s="14">
        <f t="shared" si="4"/>
        <v>0</v>
      </c>
      <c r="P33" s="15">
        <f t="shared" si="5"/>
        <v>-6.4285714285714732</v>
      </c>
      <c r="Q33" s="91">
        <f t="shared" si="6"/>
        <v>0.9517857142857139</v>
      </c>
      <c r="R33" s="177"/>
      <c r="S33" s="21">
        <v>0.54513888888888873</v>
      </c>
      <c r="T33" s="21">
        <v>0.63263888888888875</v>
      </c>
      <c r="U33" s="88">
        <f t="shared" si="26"/>
        <v>54.999999999999964</v>
      </c>
      <c r="V33" s="30">
        <f t="shared" si="25"/>
        <v>126.00000000000003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-115.71428571428623</v>
      </c>
      <c r="AF33" s="91">
        <f t="shared" si="9"/>
        <v>0.95178571428571412</v>
      </c>
      <c r="AG33" s="177"/>
    </row>
    <row r="34" spans="1:33" ht="15.75" customHeight="1">
      <c r="A34" s="194" t="s">
        <v>2617</v>
      </c>
      <c r="B34" s="28" t="s">
        <v>22</v>
      </c>
      <c r="C34" s="193" t="s">
        <v>25</v>
      </c>
      <c r="D34" s="193"/>
      <c r="E34" s="28">
        <v>26.2</v>
      </c>
      <c r="F34" s="88">
        <v>2790</v>
      </c>
      <c r="G34" s="88">
        <f t="shared" si="23"/>
        <v>73098</v>
      </c>
      <c r="H34" s="30" t="s">
        <v>53</v>
      </c>
      <c r="I34" s="95">
        <v>20</v>
      </c>
      <c r="J34" s="13">
        <v>2400</v>
      </c>
      <c r="K34" s="12">
        <f t="shared" si="1"/>
        <v>120</v>
      </c>
      <c r="L34" s="95">
        <v>20</v>
      </c>
      <c r="M34" s="13">
        <f t="shared" si="24"/>
        <v>2293.1506849315051</v>
      </c>
      <c r="N34" s="12">
        <f t="shared" si="3"/>
        <v>114.65753424657525</v>
      </c>
      <c r="O34" s="14">
        <f t="shared" si="4"/>
        <v>0</v>
      </c>
      <c r="P34" s="15">
        <f t="shared" si="5"/>
        <v>-5.3424657534247473</v>
      </c>
      <c r="Q34" s="91">
        <f t="shared" si="6"/>
        <v>0.95547945205479379</v>
      </c>
      <c r="R34" s="177"/>
      <c r="S34" s="21">
        <v>0.63611111111111096</v>
      </c>
      <c r="T34" s="21">
        <v>0.68680555555555545</v>
      </c>
      <c r="U34" s="88">
        <f t="shared" si="26"/>
        <v>4.9999999999999822</v>
      </c>
      <c r="V34" s="30">
        <f t="shared" si="25"/>
        <v>73.000000000000057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8"/>
        <v>-106.84931506849489</v>
      </c>
      <c r="AF34" s="91">
        <f t="shared" si="9"/>
        <v>0.95547945205479379</v>
      </c>
      <c r="AG34" s="177"/>
    </row>
    <row r="35" spans="1:33" ht="15.75" customHeight="1">
      <c r="A35" s="194" t="s">
        <v>2616</v>
      </c>
      <c r="B35" s="28" t="s">
        <v>2618</v>
      </c>
      <c r="C35" s="178"/>
      <c r="D35" s="178"/>
      <c r="E35" s="92"/>
      <c r="F35" s="88"/>
      <c r="G35" s="88"/>
      <c r="H35" s="88"/>
      <c r="I35" s="23">
        <v>18.571428571428573</v>
      </c>
      <c r="J35" s="13">
        <v>2400</v>
      </c>
      <c r="K35" s="12">
        <f t="shared" si="1"/>
        <v>129.23076923076923</v>
      </c>
      <c r="L35" s="23">
        <v>18.571428571428573</v>
      </c>
      <c r="M35" s="13">
        <f>AVERAGE(M28:M34)</f>
        <v>2296.3709926049964</v>
      </c>
      <c r="N35" s="12">
        <f t="shared" si="3"/>
        <v>123.65074575565365</v>
      </c>
      <c r="O35" s="14">
        <f t="shared" si="4"/>
        <v>0</v>
      </c>
      <c r="P35" s="15">
        <f t="shared" si="5"/>
        <v>-5.5800234751155813</v>
      </c>
      <c r="Q35" s="91">
        <f t="shared" si="6"/>
        <v>0.95682124691874848</v>
      </c>
      <c r="R35" s="177"/>
      <c r="S35" s="21"/>
      <c r="T35" s="21"/>
      <c r="U35" s="88"/>
      <c r="V35" s="30"/>
      <c r="W35" s="88"/>
      <c r="X35" s="88"/>
      <c r="Y35" s="24">
        <f>SUM(Y28:Y34)</f>
        <v>0</v>
      </c>
      <c r="Z35" s="24">
        <f>SUM(Z28:Z34)</f>
        <v>0</v>
      </c>
      <c r="AA35" s="167"/>
      <c r="AB35" s="167"/>
      <c r="AC35" s="24">
        <v>7</v>
      </c>
      <c r="AD35" s="24">
        <f>SUM(AD28:AD34)</f>
        <v>0</v>
      </c>
      <c r="AE35" s="14">
        <f t="shared" si="8"/>
        <v>-103.62900739500355</v>
      </c>
      <c r="AF35" s="91">
        <f t="shared" si="9"/>
        <v>0.95682124691874848</v>
      </c>
      <c r="AG35" s="177"/>
    </row>
    <row r="36" spans="1:33" ht="15.75" customHeight="1">
      <c r="A36" s="191" t="s">
        <v>2619</v>
      </c>
      <c r="B36" s="28" t="s">
        <v>22</v>
      </c>
      <c r="C36" s="169" t="s">
        <v>28</v>
      </c>
      <c r="D36" s="169"/>
      <c r="E36" s="28">
        <v>26.2</v>
      </c>
      <c r="F36" s="88">
        <v>8567</v>
      </c>
      <c r="G36" s="88">
        <f t="shared" ref="G36:G39" si="27">E36*F36</f>
        <v>224455.4</v>
      </c>
      <c r="H36" s="30" t="s">
        <v>53</v>
      </c>
      <c r="I36" s="95">
        <v>18</v>
      </c>
      <c r="J36" s="13">
        <v>2400</v>
      </c>
      <c r="K36" s="12">
        <f t="shared" si="1"/>
        <v>133.33333333333334</v>
      </c>
      <c r="L36" s="95">
        <v>18</v>
      </c>
      <c r="M36" s="13">
        <f t="shared" ref="M36:M39" si="28">F36/V36*60</f>
        <v>2284.5333333333333</v>
      </c>
      <c r="N36" s="12">
        <f t="shared" si="3"/>
        <v>126.91851851851851</v>
      </c>
      <c r="O36" s="14">
        <f t="shared" si="4"/>
        <v>0</v>
      </c>
      <c r="P36" s="15">
        <f t="shared" si="5"/>
        <v>-6.4148148148148323</v>
      </c>
      <c r="Q36" s="91">
        <f t="shared" si="6"/>
        <v>0.95188888888888878</v>
      </c>
      <c r="R36" s="177">
        <f>Q40</f>
        <v>0.9558237820701414</v>
      </c>
      <c r="S36" s="21">
        <v>8.3333333333333329E-2</v>
      </c>
      <c r="T36" s="21">
        <v>0.23958333333333331</v>
      </c>
      <c r="U36" s="88"/>
      <c r="V36" s="30">
        <f t="shared" ref="V36:V39" si="29">(T36-S36)*24*60</f>
        <v>225</v>
      </c>
      <c r="W36" s="21">
        <f>T36</f>
        <v>0.23958333333333331</v>
      </c>
      <c r="X36" s="21">
        <f>S37</f>
        <v>0.25902777777777775</v>
      </c>
      <c r="Y36" s="21"/>
      <c r="Z36" s="21"/>
      <c r="AA36" s="168"/>
      <c r="AB36" s="168"/>
      <c r="AC36" s="18">
        <v>4</v>
      </c>
      <c r="AD36" s="18"/>
      <c r="AE36" s="14">
        <f t="shared" si="8"/>
        <v>-115.4666666666667</v>
      </c>
      <c r="AF36" s="91">
        <f t="shared" si="9"/>
        <v>0.9518888888888889</v>
      </c>
      <c r="AG36" s="177">
        <f>AF40</f>
        <v>0.95582378207014129</v>
      </c>
    </row>
    <row r="37" spans="1:33" ht="15.75" customHeight="1">
      <c r="A37" s="191" t="s">
        <v>2620</v>
      </c>
      <c r="B37" s="28" t="s">
        <v>22</v>
      </c>
      <c r="C37" s="169" t="s">
        <v>49</v>
      </c>
      <c r="D37" s="169"/>
      <c r="E37" s="28">
        <v>20.2</v>
      </c>
      <c r="F37" s="88">
        <v>2497</v>
      </c>
      <c r="G37" s="88">
        <f t="shared" si="27"/>
        <v>50439.4</v>
      </c>
      <c r="H37" s="30" t="s">
        <v>53</v>
      </c>
      <c r="I37" s="95">
        <v>15</v>
      </c>
      <c r="J37" s="13">
        <v>2400</v>
      </c>
      <c r="K37" s="12">
        <f t="shared" si="1"/>
        <v>160</v>
      </c>
      <c r="L37" s="95">
        <v>15</v>
      </c>
      <c r="M37" s="13">
        <f t="shared" si="28"/>
        <v>2304.9230769230767</v>
      </c>
      <c r="N37" s="12">
        <f t="shared" si="3"/>
        <v>153.66153846153844</v>
      </c>
      <c r="O37" s="14">
        <f t="shared" si="4"/>
        <v>0</v>
      </c>
      <c r="P37" s="15">
        <f t="shared" si="5"/>
        <v>-6.3384615384615586</v>
      </c>
      <c r="Q37" s="91">
        <f t="shared" si="6"/>
        <v>0.96038461538461528</v>
      </c>
      <c r="R37" s="177"/>
      <c r="S37" s="21">
        <v>0.25902777777777775</v>
      </c>
      <c r="T37" s="21">
        <v>0.30416666666666664</v>
      </c>
      <c r="U37" s="88">
        <f t="shared" ref="U37:U39" si="30">(S37-T36)*24*60</f>
        <v>27.999999999999979</v>
      </c>
      <c r="V37" s="30">
        <f t="shared" si="29"/>
        <v>65.000000000000014</v>
      </c>
      <c r="W37" s="88"/>
      <c r="X37" s="88"/>
      <c r="Y37" s="88"/>
      <c r="Z37" s="88"/>
      <c r="AA37" s="168"/>
      <c r="AB37" s="168"/>
      <c r="AC37" s="18"/>
      <c r="AD37" s="18"/>
      <c r="AE37" s="14">
        <f t="shared" si="8"/>
        <v>-95.076923076923322</v>
      </c>
      <c r="AF37" s="91">
        <f t="shared" si="9"/>
        <v>0.96038461538461528</v>
      </c>
      <c r="AG37" s="177"/>
    </row>
    <row r="38" spans="1:33">
      <c r="A38" s="192" t="s">
        <v>2620</v>
      </c>
      <c r="B38" s="28" t="s">
        <v>22</v>
      </c>
      <c r="C38" s="169" t="s">
        <v>32</v>
      </c>
      <c r="D38" s="169"/>
      <c r="E38" s="28">
        <v>20.52</v>
      </c>
      <c r="F38" s="88">
        <v>3364</v>
      </c>
      <c r="G38" s="88">
        <f t="shared" si="27"/>
        <v>69029.279999999999</v>
      </c>
      <c r="H38" s="30" t="s">
        <v>53</v>
      </c>
      <c r="I38" s="95">
        <v>18</v>
      </c>
      <c r="J38" s="13">
        <v>2400</v>
      </c>
      <c r="K38" s="12">
        <f t="shared" si="1"/>
        <v>133.33333333333334</v>
      </c>
      <c r="L38" s="95">
        <v>18</v>
      </c>
      <c r="M38" s="13">
        <f t="shared" si="28"/>
        <v>2293.6363636363635</v>
      </c>
      <c r="N38" s="12">
        <f t="shared" si="3"/>
        <v>127.42424242424242</v>
      </c>
      <c r="O38" s="14">
        <f t="shared" si="4"/>
        <v>0</v>
      </c>
      <c r="P38" s="15">
        <f t="shared" si="5"/>
        <v>-5.9090909090909207</v>
      </c>
      <c r="Q38" s="91">
        <f t="shared" si="6"/>
        <v>0.95568181818181808</v>
      </c>
      <c r="R38" s="177"/>
      <c r="S38" s="21">
        <v>0.30763888888888885</v>
      </c>
      <c r="T38" s="21">
        <v>0.36874999999999997</v>
      </c>
      <c r="U38" s="88">
        <f t="shared" si="30"/>
        <v>4.9999999999999822</v>
      </c>
      <c r="V38" s="30">
        <f t="shared" si="29"/>
        <v>88</v>
      </c>
      <c r="W38" s="88"/>
      <c r="X38" s="88"/>
      <c r="Y38" s="88"/>
      <c r="Z38" s="88"/>
      <c r="AA38" s="168"/>
      <c r="AB38" s="168"/>
      <c r="AC38" s="18"/>
      <c r="AD38" s="18"/>
      <c r="AE38" s="14">
        <f t="shared" si="8"/>
        <v>-106.36363636363649</v>
      </c>
      <c r="AF38" s="91">
        <f t="shared" si="9"/>
        <v>0.95568181818181808</v>
      </c>
      <c r="AG38" s="177"/>
    </row>
    <row r="39" spans="1:33">
      <c r="A39" s="192" t="s">
        <v>2620</v>
      </c>
      <c r="B39" s="28" t="s">
        <v>22</v>
      </c>
      <c r="C39" s="169" t="s">
        <v>51</v>
      </c>
      <c r="D39" s="169"/>
      <c r="E39" s="28">
        <v>24.43</v>
      </c>
      <c r="F39" s="88">
        <v>7872</v>
      </c>
      <c r="G39" s="88">
        <f t="shared" si="27"/>
        <v>192312.95999999999</v>
      </c>
      <c r="H39" s="30" t="s">
        <v>53</v>
      </c>
      <c r="I39" s="95">
        <v>14</v>
      </c>
      <c r="J39" s="13">
        <v>2400</v>
      </c>
      <c r="K39" s="12">
        <f t="shared" si="1"/>
        <v>171.42857142857142</v>
      </c>
      <c r="L39" s="95">
        <v>14</v>
      </c>
      <c r="M39" s="13">
        <f t="shared" si="28"/>
        <v>2292.8155339805826</v>
      </c>
      <c r="N39" s="12">
        <f t="shared" si="3"/>
        <v>163.77253814147019</v>
      </c>
      <c r="O39" s="14">
        <f t="shared" si="4"/>
        <v>0</v>
      </c>
      <c r="P39" s="15">
        <f t="shared" si="5"/>
        <v>-7.6560332871012236</v>
      </c>
      <c r="Q39" s="91">
        <f t="shared" si="6"/>
        <v>0.9553398058252428</v>
      </c>
      <c r="R39" s="177"/>
      <c r="S39" s="21">
        <v>0.37291666666666662</v>
      </c>
      <c r="T39" s="21">
        <v>0.51597222222222217</v>
      </c>
      <c r="U39" s="88">
        <f t="shared" si="30"/>
        <v>5.9999999999999787</v>
      </c>
      <c r="V39" s="30">
        <f t="shared" si="29"/>
        <v>206</v>
      </c>
      <c r="W39" s="16"/>
      <c r="X39" s="16"/>
      <c r="Y39" s="16"/>
      <c r="Z39" s="16"/>
      <c r="AA39" s="168"/>
      <c r="AB39" s="168"/>
      <c r="AC39" s="18"/>
      <c r="AD39" s="18"/>
      <c r="AE39" s="14">
        <f t="shared" si="8"/>
        <v>-107.18446601941741</v>
      </c>
      <c r="AF39" s="91">
        <f t="shared" si="9"/>
        <v>0.95533980582524269</v>
      </c>
      <c r="AG39" s="177"/>
    </row>
    <row r="40" spans="1:33">
      <c r="A40" s="192" t="s">
        <v>2620</v>
      </c>
      <c r="B40" s="12" t="s">
        <v>2611</v>
      </c>
      <c r="C40" s="178"/>
      <c r="D40" s="178"/>
      <c r="E40" s="92"/>
      <c r="F40" s="12"/>
      <c r="G40" s="12"/>
      <c r="H40" s="88"/>
      <c r="I40" s="23">
        <v>16.25</v>
      </c>
      <c r="J40" s="13">
        <v>2400</v>
      </c>
      <c r="K40" s="12">
        <f t="shared" si="1"/>
        <v>147.69230769230768</v>
      </c>
      <c r="L40" s="23">
        <v>16.25</v>
      </c>
      <c r="M40" s="13">
        <f>AVERAGE(M36:M39)</f>
        <v>2293.9770769683391</v>
      </c>
      <c r="N40" s="12">
        <f t="shared" si="3"/>
        <v>141.16782012112856</v>
      </c>
      <c r="O40" s="14">
        <f t="shared" si="4"/>
        <v>0</v>
      </c>
      <c r="P40" s="15">
        <f t="shared" si="5"/>
        <v>-6.5244875711791224</v>
      </c>
      <c r="Q40" s="91">
        <f t="shared" si="6"/>
        <v>0.9558237820701414</v>
      </c>
      <c r="R40" s="177"/>
      <c r="S40" s="21"/>
      <c r="T40" s="21"/>
      <c r="U40" s="12"/>
      <c r="V40" s="30"/>
      <c r="W40" s="12"/>
      <c r="X40" s="12"/>
      <c r="Y40" s="24">
        <f>SUM(Y36:Y39)</f>
        <v>0</v>
      </c>
      <c r="Z40" s="24">
        <f>SUM(Z36:Z39)</f>
        <v>0</v>
      </c>
      <c r="AA40" s="167"/>
      <c r="AB40" s="167"/>
      <c r="AC40" s="24">
        <v>4</v>
      </c>
      <c r="AD40" s="24">
        <f>SUM(AD36:AD39)</f>
        <v>0</v>
      </c>
      <c r="AE40" s="14">
        <f t="shared" si="8"/>
        <v>-106.02292303166087</v>
      </c>
      <c r="AF40" s="91">
        <f t="shared" si="9"/>
        <v>0.95582378207014129</v>
      </c>
      <c r="AG40" s="177"/>
    </row>
    <row r="41" spans="1:33" ht="15.75" customHeight="1">
      <c r="A41" s="188" t="s">
        <v>2621</v>
      </c>
      <c r="B41" s="28" t="s">
        <v>33</v>
      </c>
      <c r="C41" s="170" t="s">
        <v>72</v>
      </c>
      <c r="D41" s="171"/>
      <c r="E41" s="28">
        <v>34.35</v>
      </c>
      <c r="F41" s="88">
        <v>2739</v>
      </c>
      <c r="G41" s="88">
        <f t="shared" ref="G41:G44" si="31">E41*F41</f>
        <v>94084.650000000009</v>
      </c>
      <c r="H41" s="30" t="s">
        <v>53</v>
      </c>
      <c r="I41" s="95">
        <v>8</v>
      </c>
      <c r="J41" s="13">
        <v>3000</v>
      </c>
      <c r="K41" s="12">
        <f t="shared" si="1"/>
        <v>375</v>
      </c>
      <c r="L41" s="95">
        <v>8</v>
      </c>
      <c r="M41" s="13">
        <f t="shared" ref="M41:M44" si="32">F41/V41*60</f>
        <v>2883.1578947368421</v>
      </c>
      <c r="N41" s="13">
        <f t="shared" si="3"/>
        <v>360.39473684210526</v>
      </c>
      <c r="O41" s="14">
        <f t="shared" si="4"/>
        <v>0</v>
      </c>
      <c r="P41" s="15">
        <f t="shared" si="5"/>
        <v>-14.60526315789474</v>
      </c>
      <c r="Q41" s="91">
        <f t="shared" si="6"/>
        <v>0.96105263157894738</v>
      </c>
      <c r="R41" s="183">
        <f>Q45</f>
        <v>0.95648025042280516</v>
      </c>
      <c r="S41" s="21">
        <v>8.3333333333333329E-2</v>
      </c>
      <c r="T41" s="21">
        <v>0.12291666666666666</v>
      </c>
      <c r="U41" s="21"/>
      <c r="V41" s="30">
        <f t="shared" ref="V41:V44" si="33">(T41-S41)*24*60</f>
        <v>57</v>
      </c>
      <c r="W41" s="16">
        <f>T41</f>
        <v>0.12291666666666666</v>
      </c>
      <c r="X41" s="16">
        <f>S42</f>
        <v>0.14166666666666666</v>
      </c>
      <c r="Y41" s="19"/>
      <c r="Z41" s="19"/>
      <c r="AA41" s="172"/>
      <c r="AB41" s="173"/>
      <c r="AC41" s="18">
        <v>4</v>
      </c>
      <c r="AD41" s="18"/>
      <c r="AE41" s="14">
        <f t="shared" si="8"/>
        <v>-116.84210526315792</v>
      </c>
      <c r="AF41" s="91">
        <f t="shared" si="9"/>
        <v>0.96105263157894738</v>
      </c>
      <c r="AG41" s="183">
        <f>AF45</f>
        <v>0.95648025042280505</v>
      </c>
    </row>
    <row r="42" spans="1:33" ht="15.75" customHeight="1">
      <c r="A42" s="189" t="s">
        <v>2621</v>
      </c>
      <c r="B42" s="28" t="s">
        <v>33</v>
      </c>
      <c r="C42" s="170" t="s">
        <v>48</v>
      </c>
      <c r="D42" s="171"/>
      <c r="E42" s="28">
        <v>35.119999999999997</v>
      </c>
      <c r="F42" s="88">
        <v>6016</v>
      </c>
      <c r="G42" s="88">
        <f t="shared" si="31"/>
        <v>211281.91999999998</v>
      </c>
      <c r="H42" s="30" t="s">
        <v>53</v>
      </c>
      <c r="I42" s="95">
        <v>10</v>
      </c>
      <c r="J42" s="13">
        <v>3000</v>
      </c>
      <c r="K42" s="12">
        <f t="shared" si="1"/>
        <v>300</v>
      </c>
      <c r="L42" s="95">
        <v>10</v>
      </c>
      <c r="M42" s="13">
        <f t="shared" si="32"/>
        <v>2864.7619047619041</v>
      </c>
      <c r="N42" s="13">
        <f t="shared" si="3"/>
        <v>286.47619047619042</v>
      </c>
      <c r="O42" s="14">
        <f t="shared" si="4"/>
        <v>0</v>
      </c>
      <c r="P42" s="15">
        <f t="shared" si="5"/>
        <v>-13.523809523809575</v>
      </c>
      <c r="Q42" s="91">
        <f t="shared" si="6"/>
        <v>0.95492063492063473</v>
      </c>
      <c r="R42" s="184"/>
      <c r="S42" s="21">
        <v>0.14166666666666666</v>
      </c>
      <c r="T42" s="21">
        <v>0.22916666666666669</v>
      </c>
      <c r="U42" s="88">
        <f t="shared" ref="U42:U44" si="34">(S42-T41)*24*60</f>
        <v>27.000000000000004</v>
      </c>
      <c r="V42" s="30">
        <f t="shared" si="33"/>
        <v>126.00000000000003</v>
      </c>
      <c r="W42" s="16"/>
      <c r="X42" s="16"/>
      <c r="Y42" s="19"/>
      <c r="Z42" s="19"/>
      <c r="AA42" s="172"/>
      <c r="AB42" s="173"/>
      <c r="AC42" s="18"/>
      <c r="AD42" s="18"/>
      <c r="AE42" s="14">
        <f t="shared" si="8"/>
        <v>-135.23809523809587</v>
      </c>
      <c r="AF42" s="91">
        <f t="shared" si="9"/>
        <v>0.95492063492063473</v>
      </c>
      <c r="AG42" s="184"/>
    </row>
    <row r="43" spans="1:33" ht="15.75" customHeight="1">
      <c r="A43" s="189" t="s">
        <v>271</v>
      </c>
      <c r="B43" s="28" t="s">
        <v>33</v>
      </c>
      <c r="C43" s="170" t="s">
        <v>36</v>
      </c>
      <c r="D43" s="171"/>
      <c r="E43" s="28">
        <v>21.13</v>
      </c>
      <c r="F43" s="88">
        <v>6030</v>
      </c>
      <c r="G43" s="88">
        <f t="shared" si="31"/>
        <v>127413.9</v>
      </c>
      <c r="H43" s="30" t="s">
        <v>53</v>
      </c>
      <c r="I43" s="95">
        <v>10</v>
      </c>
      <c r="J43" s="13">
        <v>3000</v>
      </c>
      <c r="K43" s="12">
        <f t="shared" si="1"/>
        <v>300</v>
      </c>
      <c r="L43" s="95">
        <v>10</v>
      </c>
      <c r="M43" s="13">
        <f t="shared" si="32"/>
        <v>2871.428571428572</v>
      </c>
      <c r="N43" s="13">
        <f t="shared" si="3"/>
        <v>287.14285714285722</v>
      </c>
      <c r="O43" s="14">
        <f t="shared" si="4"/>
        <v>0</v>
      </c>
      <c r="P43" s="15">
        <f t="shared" si="5"/>
        <v>-12.857142857142776</v>
      </c>
      <c r="Q43" s="91">
        <f t="shared" si="6"/>
        <v>0.95714285714285741</v>
      </c>
      <c r="R43" s="184"/>
      <c r="S43" s="21">
        <v>0.23333333333333336</v>
      </c>
      <c r="T43" s="21">
        <v>0.32083333333333336</v>
      </c>
      <c r="U43" s="88">
        <f t="shared" si="34"/>
        <v>6.0000000000000187</v>
      </c>
      <c r="V43" s="30">
        <f t="shared" si="33"/>
        <v>125.99999999999997</v>
      </c>
      <c r="W43" s="16"/>
      <c r="X43" s="16"/>
      <c r="Y43" s="19"/>
      <c r="Z43" s="19"/>
      <c r="AA43" s="172"/>
      <c r="AB43" s="173"/>
      <c r="AC43" s="18"/>
      <c r="AD43" s="18"/>
      <c r="AE43" s="14">
        <f t="shared" si="8"/>
        <v>-128.57142857142799</v>
      </c>
      <c r="AF43" s="91">
        <f t="shared" si="9"/>
        <v>0.9571428571428573</v>
      </c>
      <c r="AG43" s="184"/>
    </row>
    <row r="44" spans="1:33" ht="15.75" customHeight="1">
      <c r="A44" s="189" t="s">
        <v>2621</v>
      </c>
      <c r="B44" s="28" t="s">
        <v>33</v>
      </c>
      <c r="C44" s="170" t="s">
        <v>37</v>
      </c>
      <c r="D44" s="171"/>
      <c r="E44" s="28">
        <v>27.17</v>
      </c>
      <c r="F44" s="88">
        <v>7813</v>
      </c>
      <c r="G44" s="88">
        <f t="shared" si="31"/>
        <v>212279.21000000002</v>
      </c>
      <c r="H44" s="30" t="s">
        <v>53</v>
      </c>
      <c r="I44" s="95">
        <v>10</v>
      </c>
      <c r="J44" s="13">
        <v>3000</v>
      </c>
      <c r="K44" s="12">
        <f t="shared" si="1"/>
        <v>300</v>
      </c>
      <c r="L44" s="95">
        <v>10</v>
      </c>
      <c r="M44" s="13">
        <f t="shared" si="32"/>
        <v>2858.414634146342</v>
      </c>
      <c r="N44" s="13">
        <f t="shared" si="3"/>
        <v>285.84146341463418</v>
      </c>
      <c r="O44" s="14">
        <f t="shared" si="4"/>
        <v>0</v>
      </c>
      <c r="P44" s="15">
        <f t="shared" si="5"/>
        <v>-14.158536585365823</v>
      </c>
      <c r="Q44" s="91">
        <f t="shared" si="6"/>
        <v>0.95280487804878056</v>
      </c>
      <c r="R44" s="184"/>
      <c r="S44" s="21">
        <v>0.32569444444444445</v>
      </c>
      <c r="T44" s="21">
        <v>0.43958333333333333</v>
      </c>
      <c r="U44" s="88">
        <f t="shared" si="34"/>
        <v>6.9999999999999751</v>
      </c>
      <c r="V44" s="30">
        <f t="shared" si="33"/>
        <v>163.99999999999997</v>
      </c>
      <c r="W44" s="16"/>
      <c r="X44" s="16"/>
      <c r="Y44" s="19"/>
      <c r="Z44" s="19"/>
      <c r="AA44" s="172"/>
      <c r="AB44" s="173"/>
      <c r="AC44" s="18"/>
      <c r="AD44" s="18"/>
      <c r="AE44" s="14">
        <f t="shared" si="8"/>
        <v>-141.585365853658</v>
      </c>
      <c r="AF44" s="91">
        <f t="shared" si="9"/>
        <v>0.95280487804878067</v>
      </c>
      <c r="AG44" s="184"/>
    </row>
    <row r="45" spans="1:33" ht="15.75" customHeight="1">
      <c r="A45" s="190" t="s">
        <v>2621</v>
      </c>
      <c r="B45" s="28" t="s">
        <v>2611</v>
      </c>
      <c r="C45" s="165"/>
      <c r="D45" s="166"/>
      <c r="E45" s="89"/>
      <c r="F45" s="88"/>
      <c r="G45" s="88"/>
      <c r="H45" s="88"/>
      <c r="I45" s="23">
        <v>9.5</v>
      </c>
      <c r="J45" s="13">
        <v>3000</v>
      </c>
      <c r="K45" s="12">
        <f t="shared" si="1"/>
        <v>315.78947368421052</v>
      </c>
      <c r="L45" s="23">
        <v>9.5</v>
      </c>
      <c r="M45" s="13">
        <f>AVERAGE(M41:M44)</f>
        <v>2869.4407512684152</v>
      </c>
      <c r="N45" s="12">
        <f t="shared" si="3"/>
        <v>302.04639487035951</v>
      </c>
      <c r="O45" s="14">
        <f t="shared" si="4"/>
        <v>0</v>
      </c>
      <c r="P45" s="15">
        <f t="shared" si="5"/>
        <v>-13.743078813851014</v>
      </c>
      <c r="Q45" s="91">
        <f t="shared" si="6"/>
        <v>0.95648025042280516</v>
      </c>
      <c r="R45" s="185"/>
      <c r="S45" s="21"/>
      <c r="T45" s="21"/>
      <c r="U45" s="88"/>
      <c r="V45" s="30"/>
      <c r="W45" s="16"/>
      <c r="X45" s="16"/>
      <c r="Y45" s="24">
        <f>SUM(Y41:Y44)</f>
        <v>0</v>
      </c>
      <c r="Z45" s="24">
        <f>SUM(Z41:Z44)</f>
        <v>0</v>
      </c>
      <c r="AA45" s="186"/>
      <c r="AB45" s="187"/>
      <c r="AC45" s="24">
        <v>4</v>
      </c>
      <c r="AD45" s="24">
        <f>SUM(AD41:AD44)</f>
        <v>0</v>
      </c>
      <c r="AE45" s="14">
        <f t="shared" si="8"/>
        <v>-130.55924873158483</v>
      </c>
      <c r="AF45" s="91">
        <f t="shared" si="9"/>
        <v>0.95648025042280505</v>
      </c>
      <c r="AG45" s="185"/>
    </row>
    <row r="46" spans="1:33" ht="15.75" customHeight="1">
      <c r="A46" s="181" t="s">
        <v>2622</v>
      </c>
      <c r="B46" s="28" t="s">
        <v>5</v>
      </c>
      <c r="C46" s="169" t="s">
        <v>41</v>
      </c>
      <c r="D46" s="169"/>
      <c r="E46" s="28">
        <v>51.75</v>
      </c>
      <c r="F46" s="29">
        <v>1125</v>
      </c>
      <c r="G46" s="88">
        <f t="shared" ref="G46:G51" si="35">E46*F46</f>
        <v>58218.75</v>
      </c>
      <c r="H46" s="30" t="s">
        <v>53</v>
      </c>
      <c r="I46" s="95">
        <v>25</v>
      </c>
      <c r="J46" s="13">
        <v>2000</v>
      </c>
      <c r="K46" s="12">
        <f t="shared" si="1"/>
        <v>80</v>
      </c>
      <c r="L46" s="95">
        <v>25</v>
      </c>
      <c r="M46" s="13">
        <f t="shared" ref="M46" si="36">F46/V46*60</f>
        <v>1928.5714285714266</v>
      </c>
      <c r="N46" s="13">
        <f t="shared" si="3"/>
        <v>77.142857142857068</v>
      </c>
      <c r="O46" s="14">
        <f t="shared" si="4"/>
        <v>0</v>
      </c>
      <c r="P46" s="15">
        <f t="shared" si="5"/>
        <v>-2.8571428571429323</v>
      </c>
      <c r="Q46" s="91">
        <f t="shared" si="6"/>
        <v>0.9642857142857133</v>
      </c>
      <c r="R46" s="177">
        <f>Q52</f>
        <v>0.95974618029029757</v>
      </c>
      <c r="S46" s="21">
        <v>0.33333333333333331</v>
      </c>
      <c r="T46" s="21">
        <v>0.3576388888888889</v>
      </c>
      <c r="U46" s="21"/>
      <c r="V46" s="30">
        <f t="shared" ref="V46:V51" si="37">(T46-S46)*24*60</f>
        <v>35.000000000000036</v>
      </c>
      <c r="W46" s="21"/>
      <c r="X46" s="21"/>
      <c r="Y46" s="21"/>
      <c r="Z46" s="21"/>
      <c r="AA46" s="168"/>
      <c r="AB46" s="168"/>
      <c r="AC46" s="18">
        <v>6</v>
      </c>
      <c r="AD46" s="18"/>
      <c r="AE46" s="14">
        <f t="shared" si="8"/>
        <v>-71.428571428573377</v>
      </c>
      <c r="AF46" s="91">
        <f t="shared" si="9"/>
        <v>0.9642857142857133</v>
      </c>
      <c r="AG46" s="177">
        <f>AF52</f>
        <v>0.95974618029029757</v>
      </c>
    </row>
    <row r="47" spans="1:33" ht="15.75" customHeight="1">
      <c r="A47" s="181" t="s">
        <v>2623</v>
      </c>
      <c r="B47" s="28" t="s">
        <v>5</v>
      </c>
      <c r="C47" s="169" t="s">
        <v>40</v>
      </c>
      <c r="D47" s="169"/>
      <c r="E47" s="28">
        <v>56.43</v>
      </c>
      <c r="F47" s="29">
        <v>1743</v>
      </c>
      <c r="G47" s="88">
        <f t="shared" si="35"/>
        <v>98357.49</v>
      </c>
      <c r="H47" s="30" t="s">
        <v>53</v>
      </c>
      <c r="I47" s="95">
        <v>22</v>
      </c>
      <c r="J47" s="13">
        <v>2000</v>
      </c>
      <c r="K47" s="12">
        <f t="shared" si="1"/>
        <v>90.909090909090907</v>
      </c>
      <c r="L47" s="95">
        <v>22</v>
      </c>
      <c r="M47" s="13">
        <f>F47/V47*60</f>
        <v>1901.4545454545469</v>
      </c>
      <c r="N47" s="13">
        <f t="shared" si="3"/>
        <v>86.429752066115768</v>
      </c>
      <c r="O47" s="14">
        <f t="shared" si="4"/>
        <v>0</v>
      </c>
      <c r="P47" s="15">
        <f t="shared" si="5"/>
        <v>-4.4793388429751388</v>
      </c>
      <c r="Q47" s="91">
        <f t="shared" si="6"/>
        <v>0.95072727272727342</v>
      </c>
      <c r="R47" s="177"/>
      <c r="S47" s="21">
        <v>0.36180555555555555</v>
      </c>
      <c r="T47" s="21">
        <v>0.39999999999999997</v>
      </c>
      <c r="U47" s="88">
        <f t="shared" ref="U47:U51" si="38">IF(S47=TIME(17,0,0),"",(S47-T46)*24*60)</f>
        <v>5.9999999999999787</v>
      </c>
      <c r="V47" s="30">
        <f t="shared" si="37"/>
        <v>54.999999999999964</v>
      </c>
      <c r="W47" s="16"/>
      <c r="X47" s="16"/>
      <c r="Y47" s="16"/>
      <c r="Z47" s="16"/>
      <c r="AA47" s="168"/>
      <c r="AB47" s="168"/>
      <c r="AC47" s="18"/>
      <c r="AD47" s="18"/>
      <c r="AE47" s="14">
        <f t="shared" si="8"/>
        <v>-98.54545454545314</v>
      </c>
      <c r="AF47" s="91">
        <f t="shared" si="9"/>
        <v>0.95072727272727342</v>
      </c>
      <c r="AG47" s="177"/>
    </row>
    <row r="48" spans="1:33" ht="15.75" customHeight="1">
      <c r="A48" s="181" t="s">
        <v>174</v>
      </c>
      <c r="B48" s="28" t="s">
        <v>9</v>
      </c>
      <c r="C48" s="170" t="s">
        <v>39</v>
      </c>
      <c r="D48" s="171"/>
      <c r="E48" s="28">
        <v>46</v>
      </c>
      <c r="F48" s="29">
        <v>2790</v>
      </c>
      <c r="G48" s="88">
        <f t="shared" si="35"/>
        <v>128340</v>
      </c>
      <c r="H48" s="30" t="s">
        <v>53</v>
      </c>
      <c r="I48" s="95">
        <v>17</v>
      </c>
      <c r="J48" s="13">
        <v>2000</v>
      </c>
      <c r="K48" s="12">
        <f t="shared" si="1"/>
        <v>117.64705882352941</v>
      </c>
      <c r="L48" s="95">
        <v>17</v>
      </c>
      <c r="M48" s="13">
        <f t="shared" ref="M48:M51" si="39">F48/V48*60</f>
        <v>1902.2727272727273</v>
      </c>
      <c r="N48" s="13">
        <f t="shared" si="3"/>
        <v>111.89839572192513</v>
      </c>
      <c r="O48" s="14">
        <f t="shared" si="4"/>
        <v>0</v>
      </c>
      <c r="P48" s="15">
        <f t="shared" si="5"/>
        <v>-5.7486631016042793</v>
      </c>
      <c r="Q48" s="91">
        <f t="shared" si="6"/>
        <v>0.95113636363636367</v>
      </c>
      <c r="R48" s="177"/>
      <c r="S48" s="21">
        <v>0.40347222222222218</v>
      </c>
      <c r="T48" s="21">
        <v>0.46458333333333329</v>
      </c>
      <c r="U48" s="88">
        <f t="shared" si="38"/>
        <v>4.9999999999999822</v>
      </c>
      <c r="V48" s="30">
        <f t="shared" si="37"/>
        <v>88</v>
      </c>
      <c r="W48" s="16"/>
      <c r="X48" s="16"/>
      <c r="Y48" s="19"/>
      <c r="Z48" s="19"/>
      <c r="AA48" s="168"/>
      <c r="AB48" s="168"/>
      <c r="AC48" s="18"/>
      <c r="AD48" s="18"/>
      <c r="AE48" s="14">
        <f t="shared" si="8"/>
        <v>-97.727272727272748</v>
      </c>
      <c r="AF48" s="91">
        <f t="shared" si="9"/>
        <v>0.95113636363636367</v>
      </c>
      <c r="AG48" s="177"/>
    </row>
    <row r="49" spans="1:33" ht="15.75" customHeight="1">
      <c r="A49" s="181" t="s">
        <v>2624</v>
      </c>
      <c r="B49" s="28" t="s">
        <v>5</v>
      </c>
      <c r="C49" s="93" t="s">
        <v>45</v>
      </c>
      <c r="D49" s="94"/>
      <c r="E49" s="28">
        <v>55.32</v>
      </c>
      <c r="F49" s="29">
        <v>1626</v>
      </c>
      <c r="G49" s="88">
        <f t="shared" si="35"/>
        <v>89950.32</v>
      </c>
      <c r="H49" s="30" t="s">
        <v>53</v>
      </c>
      <c r="I49" s="95">
        <v>15</v>
      </c>
      <c r="J49" s="13">
        <v>2000</v>
      </c>
      <c r="K49" s="12">
        <f t="shared" si="1"/>
        <v>133.33333333333334</v>
      </c>
      <c r="L49" s="95">
        <v>15</v>
      </c>
      <c r="M49" s="13">
        <f t="shared" si="39"/>
        <v>1912.9411764705892</v>
      </c>
      <c r="N49" s="13">
        <f t="shared" si="3"/>
        <v>127.52941176470594</v>
      </c>
      <c r="O49" s="14">
        <f t="shared" si="4"/>
        <v>0</v>
      </c>
      <c r="P49" s="15">
        <f t="shared" si="5"/>
        <v>-5.8039215686274019</v>
      </c>
      <c r="Q49" s="91">
        <f t="shared" si="6"/>
        <v>0.95647058823529452</v>
      </c>
      <c r="R49" s="177"/>
      <c r="S49" s="21">
        <v>0.70833333333333337</v>
      </c>
      <c r="T49" s="21">
        <v>0.74375000000000002</v>
      </c>
      <c r="U49" s="88" t="str">
        <f t="shared" si="38"/>
        <v/>
      </c>
      <c r="V49" s="30">
        <f t="shared" si="37"/>
        <v>50.999999999999979</v>
      </c>
      <c r="W49" s="16"/>
      <c r="X49" s="16"/>
      <c r="Y49" s="19"/>
      <c r="Z49" s="19"/>
      <c r="AA49" s="168"/>
      <c r="AB49" s="168"/>
      <c r="AC49" s="18"/>
      <c r="AD49" s="18"/>
      <c r="AE49" s="14">
        <f t="shared" si="8"/>
        <v>-87.058823529410802</v>
      </c>
      <c r="AF49" s="91">
        <f t="shared" si="9"/>
        <v>0.95647058823529463</v>
      </c>
      <c r="AG49" s="177"/>
    </row>
    <row r="50" spans="1:33" ht="15.75" customHeight="1">
      <c r="A50" s="181" t="s">
        <v>2625</v>
      </c>
      <c r="B50" s="28" t="s">
        <v>5</v>
      </c>
      <c r="C50" s="93" t="s">
        <v>44</v>
      </c>
      <c r="D50" s="94"/>
      <c r="E50" s="28">
        <v>55.56</v>
      </c>
      <c r="F50" s="29">
        <v>2243</v>
      </c>
      <c r="G50" s="88">
        <f t="shared" si="35"/>
        <v>124621.08</v>
      </c>
      <c r="H50" s="30" t="s">
        <v>53</v>
      </c>
      <c r="I50" s="95">
        <v>17</v>
      </c>
      <c r="J50" s="13">
        <v>2000</v>
      </c>
      <c r="K50" s="12">
        <f t="shared" si="1"/>
        <v>117.64705882352941</v>
      </c>
      <c r="L50" s="95">
        <v>17</v>
      </c>
      <c r="M50" s="13">
        <f t="shared" si="39"/>
        <v>1922.5714285714266</v>
      </c>
      <c r="N50" s="13">
        <f t="shared" si="3"/>
        <v>113.09243697478981</v>
      </c>
      <c r="O50" s="14">
        <f t="shared" si="4"/>
        <v>0</v>
      </c>
      <c r="P50" s="15">
        <f t="shared" si="5"/>
        <v>-4.5546218487396004</v>
      </c>
      <c r="Q50" s="91">
        <f t="shared" si="6"/>
        <v>0.96128571428571341</v>
      </c>
      <c r="R50" s="177"/>
      <c r="S50" s="21">
        <v>0.74930555555555556</v>
      </c>
      <c r="T50" s="21">
        <v>0.79791666666666672</v>
      </c>
      <c r="U50" s="88">
        <f t="shared" si="38"/>
        <v>7.9999999999999716</v>
      </c>
      <c r="V50" s="30">
        <f t="shared" si="37"/>
        <v>70.000000000000071</v>
      </c>
      <c r="W50" s="16"/>
      <c r="X50" s="16"/>
      <c r="Y50" s="19"/>
      <c r="Z50" s="19"/>
      <c r="AA50" s="168"/>
      <c r="AB50" s="168"/>
      <c r="AC50" s="18"/>
      <c r="AD50" s="18"/>
      <c r="AE50" s="14">
        <f t="shared" si="8"/>
        <v>-77.428571428573377</v>
      </c>
      <c r="AF50" s="91">
        <f t="shared" si="9"/>
        <v>0.9612857142857133</v>
      </c>
      <c r="AG50" s="177"/>
    </row>
    <row r="51" spans="1:33" ht="15.75" customHeight="1">
      <c r="A51" s="181" t="s">
        <v>2624</v>
      </c>
      <c r="B51" s="28" t="s">
        <v>5</v>
      </c>
      <c r="C51" s="170" t="s">
        <v>43</v>
      </c>
      <c r="D51" s="171"/>
      <c r="E51" s="28">
        <v>54.29</v>
      </c>
      <c r="F51" s="29">
        <v>1137</v>
      </c>
      <c r="G51" s="88">
        <f t="shared" si="35"/>
        <v>61727.729999999996</v>
      </c>
      <c r="H51" s="30" t="s">
        <v>53</v>
      </c>
      <c r="I51" s="95">
        <v>20</v>
      </c>
      <c r="J51" s="13">
        <v>2000</v>
      </c>
      <c r="K51" s="12">
        <f t="shared" si="1"/>
        <v>100</v>
      </c>
      <c r="L51" s="95">
        <v>20</v>
      </c>
      <c r="M51" s="13">
        <f t="shared" si="39"/>
        <v>1949.1428571428551</v>
      </c>
      <c r="N51" s="13">
        <f t="shared" si="3"/>
        <v>97.457142857142756</v>
      </c>
      <c r="O51" s="14">
        <f t="shared" si="4"/>
        <v>0</v>
      </c>
      <c r="P51" s="15">
        <f t="shared" si="5"/>
        <v>-2.542857142857244</v>
      </c>
      <c r="Q51" s="91">
        <f t="shared" si="6"/>
        <v>0.97457142857142753</v>
      </c>
      <c r="R51" s="177"/>
      <c r="S51" s="21">
        <v>0.80208333333333337</v>
      </c>
      <c r="T51" s="21">
        <v>0.82638888888888895</v>
      </c>
      <c r="U51" s="88">
        <f t="shared" si="38"/>
        <v>5.9999999999999787</v>
      </c>
      <c r="V51" s="30">
        <f t="shared" si="37"/>
        <v>35.000000000000036</v>
      </c>
      <c r="W51" s="16"/>
      <c r="X51" s="16"/>
      <c r="Y51" s="19"/>
      <c r="Z51" s="19"/>
      <c r="AA51" s="172"/>
      <c r="AB51" s="173"/>
      <c r="AC51" s="18"/>
      <c r="AD51" s="18"/>
      <c r="AE51" s="14">
        <f t="shared" si="8"/>
        <v>-50.857142857144936</v>
      </c>
      <c r="AF51" s="91">
        <f t="shared" si="9"/>
        <v>0.97457142857142753</v>
      </c>
      <c r="AG51" s="177"/>
    </row>
    <row r="52" spans="1:33">
      <c r="A52" s="182" t="s">
        <v>2624</v>
      </c>
      <c r="B52" s="28" t="s">
        <v>2626</v>
      </c>
      <c r="C52" s="178"/>
      <c r="D52" s="178"/>
      <c r="E52" s="92"/>
      <c r="F52" s="12"/>
      <c r="G52" s="12"/>
      <c r="H52" s="88"/>
      <c r="I52" s="23">
        <v>19.333333333333332</v>
      </c>
      <c r="J52" s="13">
        <v>2000</v>
      </c>
      <c r="K52" s="12">
        <f t="shared" si="1"/>
        <v>103.44827586206897</v>
      </c>
      <c r="L52" s="23">
        <v>19.333333333333332</v>
      </c>
      <c r="M52" s="13">
        <f>AVERAGE(M46:M51)</f>
        <v>1919.4923605805952</v>
      </c>
      <c r="N52" s="12">
        <f t="shared" si="3"/>
        <v>99.284087616237684</v>
      </c>
      <c r="O52" s="14">
        <f t="shared" si="4"/>
        <v>0</v>
      </c>
      <c r="P52" s="15">
        <f t="shared" si="5"/>
        <v>-4.1641882458312836</v>
      </c>
      <c r="Q52" s="91">
        <f t="shared" si="6"/>
        <v>0.95974618029029757</v>
      </c>
      <c r="R52" s="177"/>
      <c r="S52" s="21"/>
      <c r="T52" s="21"/>
      <c r="U52" s="88"/>
      <c r="V52" s="30"/>
      <c r="W52" s="12"/>
      <c r="X52" s="12"/>
      <c r="Y52" s="24">
        <f>SUM(Y46:Y51)</f>
        <v>0</v>
      </c>
      <c r="Z52" s="24">
        <f>SUM(Z46:Z51)</f>
        <v>0</v>
      </c>
      <c r="AA52" s="167"/>
      <c r="AB52" s="167"/>
      <c r="AC52" s="24">
        <v>6</v>
      </c>
      <c r="AD52" s="24">
        <f>SUM(AD46:AD51)</f>
        <v>0</v>
      </c>
      <c r="AE52" s="14">
        <f>M52-J52</f>
        <v>-80.507639419404768</v>
      </c>
      <c r="AF52" s="91">
        <f t="shared" si="9"/>
        <v>0.95974618029029757</v>
      </c>
      <c r="AG52" s="177"/>
    </row>
    <row r="53" spans="1:33" ht="15.75" customHeight="1">
      <c r="A53" s="179" t="s">
        <v>2627</v>
      </c>
      <c r="B53" s="88" t="s">
        <v>33</v>
      </c>
      <c r="C53" s="169" t="s">
        <v>46</v>
      </c>
      <c r="D53" s="169"/>
      <c r="E53" s="28">
        <v>37.85</v>
      </c>
      <c r="F53" s="29">
        <v>1284</v>
      </c>
      <c r="G53" s="88">
        <f t="shared" ref="G53:G58" si="40">E53*F53</f>
        <v>48599.4</v>
      </c>
      <c r="H53" s="30" t="s">
        <v>53</v>
      </c>
      <c r="I53" s="95">
        <v>12</v>
      </c>
      <c r="J53" s="13">
        <v>2000</v>
      </c>
      <c r="K53" s="12">
        <f t="shared" si="1"/>
        <v>166.66666666666666</v>
      </c>
      <c r="L53" s="95">
        <v>12</v>
      </c>
      <c r="M53" s="13">
        <f t="shared" ref="M53:M58" si="41">F53/V53*60</f>
        <v>1926.0000000000009</v>
      </c>
      <c r="N53" s="12">
        <f t="shared" si="3"/>
        <v>160.50000000000009</v>
      </c>
      <c r="O53" s="14">
        <f t="shared" si="4"/>
        <v>0</v>
      </c>
      <c r="P53" s="15">
        <f t="shared" si="5"/>
        <v>-6.1666666666665719</v>
      </c>
      <c r="Q53" s="91">
        <f t="shared" si="6"/>
        <v>0.96300000000000052</v>
      </c>
      <c r="R53" s="177">
        <f>Q59</f>
        <v>0.96389873275513405</v>
      </c>
      <c r="S53" s="21">
        <v>0.20833333333333334</v>
      </c>
      <c r="T53" s="21">
        <v>0.2361111111111111</v>
      </c>
      <c r="U53" s="88"/>
      <c r="V53" s="30">
        <f t="shared" ref="V53:V58" si="42">(T53-S53)*24*60</f>
        <v>39.999999999999979</v>
      </c>
      <c r="W53" s="21"/>
      <c r="X53" s="21"/>
      <c r="Y53" s="21"/>
      <c r="Z53" s="21"/>
      <c r="AA53" s="168"/>
      <c r="AB53" s="168"/>
      <c r="AC53" s="18">
        <v>6</v>
      </c>
      <c r="AD53" s="18"/>
      <c r="AE53" s="14">
        <f t="shared" ref="AE53:AE65" si="43">M53-J53</f>
        <v>-73.999999999999091</v>
      </c>
      <c r="AF53" s="91">
        <f t="shared" si="9"/>
        <v>0.96300000000000041</v>
      </c>
      <c r="AG53" s="177">
        <f>AF59</f>
        <v>0.96389873275513405</v>
      </c>
    </row>
    <row r="54" spans="1:33" ht="15.75" customHeight="1">
      <c r="A54" s="179" t="s">
        <v>2628</v>
      </c>
      <c r="B54" s="88" t="s">
        <v>33</v>
      </c>
      <c r="C54" s="169" t="s">
        <v>47</v>
      </c>
      <c r="D54" s="169"/>
      <c r="E54" s="28">
        <v>34.36</v>
      </c>
      <c r="F54" s="29">
        <v>2649</v>
      </c>
      <c r="G54" s="88">
        <f t="shared" si="40"/>
        <v>91019.64</v>
      </c>
      <c r="H54" s="30" t="s">
        <v>53</v>
      </c>
      <c r="I54" s="95">
        <v>10</v>
      </c>
      <c r="J54" s="13">
        <v>3000</v>
      </c>
      <c r="K54" s="12">
        <f t="shared" si="1"/>
        <v>300</v>
      </c>
      <c r="L54" s="95">
        <v>10</v>
      </c>
      <c r="M54" s="13">
        <f t="shared" si="41"/>
        <v>2889.8181818181815</v>
      </c>
      <c r="N54" s="12">
        <f t="shared" si="3"/>
        <v>288.98181818181814</v>
      </c>
      <c r="O54" s="14">
        <f t="shared" si="4"/>
        <v>0</v>
      </c>
      <c r="P54" s="15">
        <f t="shared" si="5"/>
        <v>-11.018181818181858</v>
      </c>
      <c r="Q54" s="91">
        <f t="shared" si="6"/>
        <v>0.96327272727272717</v>
      </c>
      <c r="R54" s="177"/>
      <c r="S54" s="21">
        <v>0.24097222222222223</v>
      </c>
      <c r="T54" s="21">
        <v>0.27916666666666667</v>
      </c>
      <c r="U54" s="88">
        <f t="shared" ref="U54:U58" si="44">(S54-T53)*24*60</f>
        <v>7.0000000000000151</v>
      </c>
      <c r="V54" s="30">
        <f t="shared" si="42"/>
        <v>55.000000000000007</v>
      </c>
      <c r="W54" s="88"/>
      <c r="X54" s="88"/>
      <c r="Y54" s="88"/>
      <c r="Z54" s="88"/>
      <c r="AA54" s="168"/>
      <c r="AB54" s="168"/>
      <c r="AC54" s="18"/>
      <c r="AD54" s="18"/>
      <c r="AE54" s="14">
        <f t="shared" si="43"/>
        <v>-110.18181818181847</v>
      </c>
      <c r="AF54" s="91">
        <f t="shared" si="9"/>
        <v>0.96327272727272717</v>
      </c>
      <c r="AG54" s="177"/>
    </row>
    <row r="55" spans="1:33" ht="15.75" customHeight="1">
      <c r="A55" s="179" t="s">
        <v>2628</v>
      </c>
      <c r="B55" s="88" t="s">
        <v>33</v>
      </c>
      <c r="C55" s="169" t="s">
        <v>34</v>
      </c>
      <c r="D55" s="169"/>
      <c r="E55" s="28">
        <v>34.36</v>
      </c>
      <c r="F55" s="29">
        <v>1612</v>
      </c>
      <c r="G55" s="88">
        <f t="shared" si="40"/>
        <v>55388.32</v>
      </c>
      <c r="H55" s="30" t="s">
        <v>53</v>
      </c>
      <c r="I55" s="95">
        <v>10</v>
      </c>
      <c r="J55" s="13">
        <v>3000</v>
      </c>
      <c r="K55" s="12">
        <f t="shared" si="1"/>
        <v>300</v>
      </c>
      <c r="L55" s="95">
        <v>10</v>
      </c>
      <c r="M55" s="13">
        <f t="shared" si="41"/>
        <v>2930.9090909090874</v>
      </c>
      <c r="N55" s="12">
        <f t="shared" si="3"/>
        <v>293.09090909090872</v>
      </c>
      <c r="O55" s="14">
        <f t="shared" si="4"/>
        <v>0</v>
      </c>
      <c r="P55" s="15">
        <f t="shared" si="5"/>
        <v>-6.909090909091276</v>
      </c>
      <c r="Q55" s="91">
        <f t="shared" si="6"/>
        <v>0.97696969696969571</v>
      </c>
      <c r="R55" s="177"/>
      <c r="S55" s="21">
        <v>0.28263888888888888</v>
      </c>
      <c r="T55" s="21">
        <v>0.30555555555555558</v>
      </c>
      <c r="U55" s="88">
        <f t="shared" si="44"/>
        <v>4.9999999999999822</v>
      </c>
      <c r="V55" s="30">
        <f t="shared" si="42"/>
        <v>33.000000000000043</v>
      </c>
      <c r="W55" s="88"/>
      <c r="X55" s="88"/>
      <c r="Y55" s="88"/>
      <c r="Z55" s="88"/>
      <c r="AA55" s="168"/>
      <c r="AB55" s="168"/>
      <c r="AC55" s="18"/>
      <c r="AD55" s="18"/>
      <c r="AE55" s="14">
        <f t="shared" si="43"/>
        <v>-69.090909090912646</v>
      </c>
      <c r="AF55" s="91">
        <f t="shared" si="9"/>
        <v>0.97696969696969582</v>
      </c>
      <c r="AG55" s="177"/>
    </row>
    <row r="56" spans="1:33" ht="15.75" customHeight="1">
      <c r="A56" s="179" t="s">
        <v>2628</v>
      </c>
      <c r="B56" s="88" t="s">
        <v>33</v>
      </c>
      <c r="C56" s="169" t="s">
        <v>35</v>
      </c>
      <c r="D56" s="169"/>
      <c r="E56" s="28">
        <v>26.78</v>
      </c>
      <c r="F56" s="29">
        <v>2691</v>
      </c>
      <c r="G56" s="88">
        <f t="shared" si="40"/>
        <v>72064.98</v>
      </c>
      <c r="H56" s="30" t="s">
        <v>53</v>
      </c>
      <c r="I56" s="95">
        <v>10</v>
      </c>
      <c r="J56" s="13">
        <v>3000</v>
      </c>
      <c r="K56" s="12">
        <f t="shared" si="1"/>
        <v>300</v>
      </c>
      <c r="L56" s="95">
        <v>10</v>
      </c>
      <c r="M56" s="13">
        <f t="shared" si="41"/>
        <v>2883.2142857142881</v>
      </c>
      <c r="N56" s="12">
        <f t="shared" si="3"/>
        <v>288.32142857142878</v>
      </c>
      <c r="O56" s="14">
        <f t="shared" si="4"/>
        <v>0</v>
      </c>
      <c r="P56" s="15">
        <f t="shared" si="5"/>
        <v>-11.678571428571217</v>
      </c>
      <c r="Q56" s="91">
        <f t="shared" si="6"/>
        <v>0.96107142857142924</v>
      </c>
      <c r="R56" s="177"/>
      <c r="S56" s="21">
        <v>0.30902777777777779</v>
      </c>
      <c r="T56" s="21">
        <v>0.34791666666666665</v>
      </c>
      <c r="U56" s="88">
        <f t="shared" si="44"/>
        <v>4.9999999999999822</v>
      </c>
      <c r="V56" s="30">
        <f t="shared" si="42"/>
        <v>55.999999999999957</v>
      </c>
      <c r="W56" s="88"/>
      <c r="X56" s="88"/>
      <c r="Y56" s="88"/>
      <c r="Z56" s="88"/>
      <c r="AA56" s="168"/>
      <c r="AB56" s="168"/>
      <c r="AC56" s="18"/>
      <c r="AD56" s="18"/>
      <c r="AE56" s="14">
        <f t="shared" si="43"/>
        <v>-116.78571428571195</v>
      </c>
      <c r="AF56" s="91">
        <f t="shared" si="9"/>
        <v>0.96107142857142935</v>
      </c>
      <c r="AG56" s="177"/>
    </row>
    <row r="57" spans="1:33">
      <c r="A57" s="180" t="s">
        <v>2628</v>
      </c>
      <c r="B57" s="88" t="s">
        <v>33</v>
      </c>
      <c r="C57" s="169" t="s">
        <v>756</v>
      </c>
      <c r="D57" s="169"/>
      <c r="E57" s="28">
        <v>37.880000000000003</v>
      </c>
      <c r="F57" s="29">
        <v>2453</v>
      </c>
      <c r="G57" s="88">
        <f t="shared" si="40"/>
        <v>92919.64</v>
      </c>
      <c r="H57" s="30" t="s">
        <v>53</v>
      </c>
      <c r="I57" s="95">
        <v>10</v>
      </c>
      <c r="J57" s="13">
        <v>3000</v>
      </c>
      <c r="K57" s="12">
        <f t="shared" si="1"/>
        <v>300</v>
      </c>
      <c r="L57" s="95">
        <v>10</v>
      </c>
      <c r="M57" s="13">
        <f t="shared" si="41"/>
        <v>2885.8823529411775</v>
      </c>
      <c r="N57" s="12">
        <f t="shared" si="3"/>
        <v>288.58823529411774</v>
      </c>
      <c r="O57" s="14">
        <f t="shared" si="4"/>
        <v>0</v>
      </c>
      <c r="P57" s="15">
        <f t="shared" si="5"/>
        <v>-11.411764705882263</v>
      </c>
      <c r="Q57" s="91">
        <f t="shared" si="6"/>
        <v>0.96196078431372578</v>
      </c>
      <c r="R57" s="177"/>
      <c r="S57" s="21">
        <v>0.3520833333333333</v>
      </c>
      <c r="T57" s="21">
        <v>0.38749999999999996</v>
      </c>
      <c r="U57" s="88">
        <f t="shared" si="44"/>
        <v>5.9999999999999787</v>
      </c>
      <c r="V57" s="30">
        <f t="shared" si="42"/>
        <v>50.999999999999979</v>
      </c>
      <c r="W57" s="16"/>
      <c r="X57" s="16"/>
      <c r="Y57" s="16"/>
      <c r="Z57" s="16"/>
      <c r="AA57" s="168"/>
      <c r="AB57" s="168"/>
      <c r="AC57" s="18"/>
      <c r="AD57" s="18"/>
      <c r="AE57" s="14">
        <f t="shared" si="43"/>
        <v>-114.11764705882251</v>
      </c>
      <c r="AF57" s="91">
        <f t="shared" si="9"/>
        <v>0.96196078431372578</v>
      </c>
      <c r="AG57" s="177"/>
    </row>
    <row r="58" spans="1:33" ht="15" customHeight="1">
      <c r="A58" s="180" t="s">
        <v>2628</v>
      </c>
      <c r="B58" s="88" t="s">
        <v>33</v>
      </c>
      <c r="C58" s="170" t="s">
        <v>38</v>
      </c>
      <c r="D58" s="171"/>
      <c r="E58" s="28">
        <v>35.869999999999997</v>
      </c>
      <c r="F58" s="29">
        <v>4210</v>
      </c>
      <c r="G58" s="88">
        <f t="shared" si="40"/>
        <v>151012.69999999998</v>
      </c>
      <c r="H58" s="30" t="s">
        <v>53</v>
      </c>
      <c r="I58" s="95">
        <v>9</v>
      </c>
      <c r="J58" s="13">
        <v>3000</v>
      </c>
      <c r="K58" s="12">
        <f t="shared" si="1"/>
        <v>333.33333333333331</v>
      </c>
      <c r="L58" s="95">
        <v>9</v>
      </c>
      <c r="M58" s="13">
        <f t="shared" si="41"/>
        <v>2870.4545454545455</v>
      </c>
      <c r="N58" s="12">
        <f t="shared" si="3"/>
        <v>318.93939393939394</v>
      </c>
      <c r="O58" s="14">
        <f t="shared" si="4"/>
        <v>0</v>
      </c>
      <c r="P58" s="15">
        <f t="shared" si="5"/>
        <v>-14.393939393939377</v>
      </c>
      <c r="Q58" s="91">
        <f t="shared" si="6"/>
        <v>0.9568181818181819</v>
      </c>
      <c r="R58" s="177"/>
      <c r="S58" s="21">
        <v>0.39305555555555549</v>
      </c>
      <c r="T58" s="21">
        <v>0.45416666666666661</v>
      </c>
      <c r="U58" s="88">
        <f t="shared" si="44"/>
        <v>7.9999999999999716</v>
      </c>
      <c r="V58" s="30">
        <f t="shared" si="42"/>
        <v>88</v>
      </c>
      <c r="W58" s="88"/>
      <c r="X58" s="88"/>
      <c r="Y58" s="98"/>
      <c r="Z58" s="98"/>
      <c r="AA58" s="172"/>
      <c r="AB58" s="173"/>
      <c r="AC58" s="18"/>
      <c r="AD58" s="18"/>
      <c r="AE58" s="14">
        <f t="shared" si="43"/>
        <v>-129.5454545454545</v>
      </c>
      <c r="AF58" s="91">
        <f t="shared" si="9"/>
        <v>0.95681818181818179</v>
      </c>
      <c r="AG58" s="177"/>
    </row>
    <row r="59" spans="1:33">
      <c r="A59" s="180" t="s">
        <v>2628</v>
      </c>
      <c r="B59" s="28" t="s">
        <v>2629</v>
      </c>
      <c r="C59" s="178"/>
      <c r="D59" s="178"/>
      <c r="E59" s="92"/>
      <c r="F59" s="12"/>
      <c r="G59" s="12"/>
      <c r="H59" s="88"/>
      <c r="I59" s="23">
        <v>10.166666666666666</v>
      </c>
      <c r="J59" s="13">
        <v>2833.3333333333335</v>
      </c>
      <c r="K59" s="12">
        <f t="shared" si="1"/>
        <v>278.68852459016398</v>
      </c>
      <c r="L59" s="23">
        <v>10.166666666666666</v>
      </c>
      <c r="M59" s="13">
        <f>AVERAGE(M53:M58)</f>
        <v>2731.04640947288</v>
      </c>
      <c r="N59" s="12">
        <f t="shared" si="3"/>
        <v>268.62751568585708</v>
      </c>
      <c r="O59" s="14">
        <f t="shared" si="4"/>
        <v>0</v>
      </c>
      <c r="P59" s="15">
        <f t="shared" si="5"/>
        <v>-10.061008904306902</v>
      </c>
      <c r="Q59" s="91">
        <f t="shared" si="6"/>
        <v>0.96389873275513405</v>
      </c>
      <c r="R59" s="177"/>
      <c r="S59" s="21"/>
      <c r="T59" s="21"/>
      <c r="U59" s="12"/>
      <c r="V59" s="30"/>
      <c r="W59" s="12"/>
      <c r="X59" s="12"/>
      <c r="Y59" s="24">
        <f>SUM(Y53:Y58)</f>
        <v>0</v>
      </c>
      <c r="Z59" s="24">
        <f>SUM(Z53:Z58)</f>
        <v>0</v>
      </c>
      <c r="AA59" s="167"/>
      <c r="AB59" s="167"/>
      <c r="AC59" s="24">
        <v>6</v>
      </c>
      <c r="AD59" s="24">
        <f>SUM(AD53:AD58)</f>
        <v>0</v>
      </c>
      <c r="AE59" s="14">
        <f t="shared" si="43"/>
        <v>-102.2869238604535</v>
      </c>
      <c r="AF59" s="91">
        <f t="shared" si="9"/>
        <v>0.96389873275513405</v>
      </c>
      <c r="AG59" s="177"/>
    </row>
    <row r="60" spans="1:33" ht="15.75" customHeight="1">
      <c r="A60" s="174" t="s">
        <v>2630</v>
      </c>
      <c r="B60" s="88" t="s">
        <v>22</v>
      </c>
      <c r="C60" s="169" t="s">
        <v>52</v>
      </c>
      <c r="D60" s="169"/>
      <c r="E60" s="28">
        <v>19.02</v>
      </c>
      <c r="F60" s="88">
        <v>9000</v>
      </c>
      <c r="G60" s="88">
        <f t="shared" ref="G60:G64" si="45">E60*F60</f>
        <v>171180</v>
      </c>
      <c r="H60" s="30">
        <v>2</v>
      </c>
      <c r="I60" s="95">
        <v>14</v>
      </c>
      <c r="J60" s="13">
        <v>2400</v>
      </c>
      <c r="K60" s="12">
        <f t="shared" si="1"/>
        <v>171.42857142857142</v>
      </c>
      <c r="L60" s="95">
        <v>14</v>
      </c>
      <c r="M60" s="13">
        <f t="shared" ref="M60:M64" si="46">F60/V60*60</f>
        <v>2288.1355932203387</v>
      </c>
      <c r="N60" s="12">
        <f t="shared" si="3"/>
        <v>163.43825665859563</v>
      </c>
      <c r="O60" s="14">
        <f t="shared" si="4"/>
        <v>0</v>
      </c>
      <c r="P60" s="15">
        <f t="shared" si="5"/>
        <v>-7.9903147699757824</v>
      </c>
      <c r="Q60" s="91">
        <f t="shared" si="6"/>
        <v>0.95338983050847459</v>
      </c>
      <c r="R60" s="177">
        <f>Q65</f>
        <v>0.95873477926700879</v>
      </c>
      <c r="S60" s="21">
        <v>8.3333333333333329E-2</v>
      </c>
      <c r="T60" s="21">
        <v>0.24722222222222223</v>
      </c>
      <c r="U60" s="21"/>
      <c r="V60" s="30">
        <f t="shared" ref="V60:V64" si="47">(T60-S60)*24*60</f>
        <v>236.00000000000003</v>
      </c>
      <c r="W60" s="16">
        <f>T60</f>
        <v>0.24722222222222223</v>
      </c>
      <c r="X60" s="16">
        <f>S61</f>
        <v>0.2673611111111111</v>
      </c>
      <c r="Y60" s="16"/>
      <c r="Z60" s="16"/>
      <c r="AA60" s="168"/>
      <c r="AB60" s="168"/>
      <c r="AC60" s="18">
        <v>5</v>
      </c>
      <c r="AD60" s="18"/>
      <c r="AE60" s="14">
        <f t="shared" si="43"/>
        <v>-111.86440677966129</v>
      </c>
      <c r="AF60" s="91">
        <f t="shared" si="9"/>
        <v>0.95338983050847448</v>
      </c>
      <c r="AG60" s="177">
        <f>AF65</f>
        <v>0.95873477926700867</v>
      </c>
    </row>
    <row r="61" spans="1:33" ht="15.75" customHeight="1">
      <c r="A61" s="175" t="s">
        <v>2630</v>
      </c>
      <c r="B61" s="88" t="s">
        <v>22</v>
      </c>
      <c r="C61" s="169" t="s">
        <v>50</v>
      </c>
      <c r="D61" s="169"/>
      <c r="E61" s="28">
        <v>24.45</v>
      </c>
      <c r="F61" s="88">
        <v>3144</v>
      </c>
      <c r="G61" s="88">
        <f t="shared" si="45"/>
        <v>76870.8</v>
      </c>
      <c r="H61" s="30" t="s">
        <v>53</v>
      </c>
      <c r="I61" s="95">
        <v>19</v>
      </c>
      <c r="J61" s="13">
        <v>2400</v>
      </c>
      <c r="K61" s="12">
        <f t="shared" si="1"/>
        <v>126.31578947368421</v>
      </c>
      <c r="L61" s="95">
        <v>19</v>
      </c>
      <c r="M61" s="13">
        <f t="shared" si="46"/>
        <v>2300.4878048780479</v>
      </c>
      <c r="N61" s="12">
        <f t="shared" si="3"/>
        <v>121.07830551989726</v>
      </c>
      <c r="O61" s="14">
        <f t="shared" si="4"/>
        <v>0</v>
      </c>
      <c r="P61" s="15">
        <f t="shared" si="5"/>
        <v>-5.2374839537869491</v>
      </c>
      <c r="Q61" s="91">
        <f t="shared" si="6"/>
        <v>0.95853658536585329</v>
      </c>
      <c r="R61" s="177"/>
      <c r="S61" s="21">
        <v>0.2673611111111111</v>
      </c>
      <c r="T61" s="21">
        <v>0.32430555555555557</v>
      </c>
      <c r="U61" s="88">
        <f t="shared" ref="U61:U64" si="48">(S61-T60)*24*60</f>
        <v>28.999999999999979</v>
      </c>
      <c r="V61" s="30">
        <f t="shared" si="47"/>
        <v>82.000000000000028</v>
      </c>
      <c r="W61" s="16"/>
      <c r="X61" s="16"/>
      <c r="Y61" s="16"/>
      <c r="Z61" s="16"/>
      <c r="AA61" s="168"/>
      <c r="AB61" s="168"/>
      <c r="AC61" s="18"/>
      <c r="AD61" s="18"/>
      <c r="AE61" s="14">
        <f t="shared" si="43"/>
        <v>-99.512195121952118</v>
      </c>
      <c r="AF61" s="91">
        <f t="shared" si="9"/>
        <v>0.95853658536585329</v>
      </c>
      <c r="AG61" s="177"/>
    </row>
    <row r="62" spans="1:33" ht="15.75" customHeight="1">
      <c r="A62" s="175" t="s">
        <v>2630</v>
      </c>
      <c r="B62" s="88" t="s">
        <v>22</v>
      </c>
      <c r="C62" s="169" t="s">
        <v>31</v>
      </c>
      <c r="D62" s="169"/>
      <c r="E62" s="28">
        <v>20.21</v>
      </c>
      <c r="F62" s="88">
        <v>3383</v>
      </c>
      <c r="G62" s="88">
        <f t="shared" si="45"/>
        <v>68370.430000000008</v>
      </c>
      <c r="H62" s="30" t="s">
        <v>53</v>
      </c>
      <c r="I62" s="95">
        <v>15</v>
      </c>
      <c r="J62" s="13">
        <v>2400</v>
      </c>
      <c r="K62" s="12">
        <f t="shared" si="1"/>
        <v>160</v>
      </c>
      <c r="L62" s="95">
        <v>15</v>
      </c>
      <c r="M62" s="13">
        <f t="shared" si="46"/>
        <v>2306.590909090909</v>
      </c>
      <c r="N62" s="12">
        <f t="shared" si="3"/>
        <v>153.77272727272728</v>
      </c>
      <c r="O62" s="14">
        <f t="shared" si="4"/>
        <v>0</v>
      </c>
      <c r="P62" s="15">
        <f t="shared" si="5"/>
        <v>-6.2272727272727195</v>
      </c>
      <c r="Q62" s="91">
        <f t="shared" si="6"/>
        <v>0.96107954545454555</v>
      </c>
      <c r="R62" s="177"/>
      <c r="S62" s="21">
        <v>0.3298611111111111</v>
      </c>
      <c r="T62" s="21">
        <v>0.39097222222222222</v>
      </c>
      <c r="U62" s="88">
        <f t="shared" si="48"/>
        <v>7.9999999999999716</v>
      </c>
      <c r="V62" s="30">
        <f t="shared" si="47"/>
        <v>88</v>
      </c>
      <c r="W62" s="16"/>
      <c r="X62" s="16"/>
      <c r="Y62" s="16"/>
      <c r="Z62" s="16"/>
      <c r="AA62" s="168"/>
      <c r="AB62" s="168"/>
      <c r="AC62" s="18"/>
      <c r="AD62" s="18"/>
      <c r="AE62" s="14">
        <f t="shared" si="43"/>
        <v>-93.409090909090992</v>
      </c>
      <c r="AF62" s="91">
        <f t="shared" si="9"/>
        <v>0.96107954545454544</v>
      </c>
      <c r="AG62" s="177"/>
    </row>
    <row r="63" spans="1:33" ht="15.75" customHeight="1">
      <c r="A63" s="175" t="s">
        <v>2630</v>
      </c>
      <c r="B63" s="88" t="s">
        <v>22</v>
      </c>
      <c r="C63" s="169" t="s">
        <v>70</v>
      </c>
      <c r="D63" s="169"/>
      <c r="E63" s="28">
        <v>22.69</v>
      </c>
      <c r="F63" s="88">
        <v>5466</v>
      </c>
      <c r="G63" s="88">
        <f t="shared" si="45"/>
        <v>124023.54000000001</v>
      </c>
      <c r="H63" s="30" t="s">
        <v>53</v>
      </c>
      <c r="I63" s="95">
        <v>15</v>
      </c>
      <c r="J63" s="13">
        <v>2400</v>
      </c>
      <c r="K63" s="12">
        <f t="shared" si="1"/>
        <v>160</v>
      </c>
      <c r="L63" s="95">
        <v>15</v>
      </c>
      <c r="M63" s="13">
        <f t="shared" si="46"/>
        <v>2293.4265734265741</v>
      </c>
      <c r="N63" s="12">
        <f t="shared" si="3"/>
        <v>152.89510489510494</v>
      </c>
      <c r="O63" s="14">
        <f t="shared" si="4"/>
        <v>0</v>
      </c>
      <c r="P63" s="15">
        <f t="shared" si="5"/>
        <v>-7.1048951048950642</v>
      </c>
      <c r="Q63" s="91">
        <f t="shared" si="6"/>
        <v>0.95559440559440589</v>
      </c>
      <c r="R63" s="177"/>
      <c r="S63" s="21">
        <v>0.39513888888888887</v>
      </c>
      <c r="T63" s="21">
        <v>0.49444444444444441</v>
      </c>
      <c r="U63" s="88">
        <f t="shared" si="48"/>
        <v>5.9999999999999787</v>
      </c>
      <c r="V63" s="30">
        <f t="shared" si="47"/>
        <v>142.99999999999997</v>
      </c>
      <c r="W63" s="16">
        <f>T63</f>
        <v>0.49444444444444441</v>
      </c>
      <c r="X63" s="16">
        <f>S64</f>
        <v>0.53402777777777777</v>
      </c>
      <c r="Y63" s="16"/>
      <c r="Z63" s="16"/>
      <c r="AA63" s="168"/>
      <c r="AB63" s="168"/>
      <c r="AC63" s="18"/>
      <c r="AD63" s="18"/>
      <c r="AE63" s="14">
        <f t="shared" si="43"/>
        <v>-106.57342657342588</v>
      </c>
      <c r="AF63" s="91">
        <f t="shared" si="9"/>
        <v>0.95559440559440589</v>
      </c>
      <c r="AG63" s="177"/>
    </row>
    <row r="64" spans="1:33" ht="15.75" customHeight="1">
      <c r="A64" s="175" t="s">
        <v>2630</v>
      </c>
      <c r="B64" s="88" t="s">
        <v>22</v>
      </c>
      <c r="C64" s="169" t="s">
        <v>52</v>
      </c>
      <c r="D64" s="169"/>
      <c r="E64" s="28">
        <v>19.02</v>
      </c>
      <c r="F64" s="88">
        <v>2625</v>
      </c>
      <c r="G64" s="88">
        <f t="shared" si="45"/>
        <v>49927.5</v>
      </c>
      <c r="H64" s="30" t="s">
        <v>53</v>
      </c>
      <c r="I64" s="95">
        <v>14</v>
      </c>
      <c r="J64" s="13">
        <v>2400</v>
      </c>
      <c r="K64" s="12">
        <f t="shared" si="1"/>
        <v>171.42857142857142</v>
      </c>
      <c r="L64" s="95">
        <v>14</v>
      </c>
      <c r="M64" s="13">
        <f t="shared" si="46"/>
        <v>2316.1764705882324</v>
      </c>
      <c r="N64" s="12">
        <f t="shared" si="3"/>
        <v>165.44117647058803</v>
      </c>
      <c r="O64" s="14">
        <f t="shared" si="4"/>
        <v>0</v>
      </c>
      <c r="P64" s="15">
        <f t="shared" si="5"/>
        <v>-5.9873949579833834</v>
      </c>
      <c r="Q64" s="91">
        <f t="shared" si="6"/>
        <v>0.96507352941176361</v>
      </c>
      <c r="R64" s="177"/>
      <c r="S64" s="21">
        <v>0.53402777777777777</v>
      </c>
      <c r="T64" s="21">
        <v>0.58125000000000004</v>
      </c>
      <c r="U64" s="88">
        <f t="shared" si="48"/>
        <v>57.000000000000036</v>
      </c>
      <c r="V64" s="30">
        <f t="shared" si="47"/>
        <v>68.000000000000085</v>
      </c>
      <c r="W64" s="16"/>
      <c r="X64" s="16"/>
      <c r="Y64" s="16"/>
      <c r="Z64" s="16"/>
      <c r="AA64" s="168"/>
      <c r="AB64" s="168"/>
      <c r="AC64" s="18"/>
      <c r="AD64" s="18"/>
      <c r="AE64" s="14">
        <f t="shared" si="43"/>
        <v>-83.823529411767595</v>
      </c>
      <c r="AF64" s="91">
        <f t="shared" si="9"/>
        <v>0.9650735294117635</v>
      </c>
      <c r="AG64" s="177"/>
    </row>
    <row r="65" spans="1:33" ht="16.5" customHeight="1">
      <c r="A65" s="176" t="s">
        <v>2631</v>
      </c>
      <c r="B65" s="28" t="s">
        <v>2632</v>
      </c>
      <c r="C65" s="165"/>
      <c r="D65" s="166"/>
      <c r="E65" s="92"/>
      <c r="F65" s="12"/>
      <c r="G65" s="12"/>
      <c r="H65" s="88"/>
      <c r="I65" s="23">
        <v>15.4</v>
      </c>
      <c r="J65" s="13">
        <v>2400</v>
      </c>
      <c r="K65" s="12">
        <f t="shared" si="1"/>
        <v>155.84415584415584</v>
      </c>
      <c r="L65" s="23">
        <v>15.4</v>
      </c>
      <c r="M65" s="13">
        <f>AVERAGE(M60:M64)</f>
        <v>2300.9634702408207</v>
      </c>
      <c r="N65" s="12">
        <f t="shared" si="3"/>
        <v>149.41321235330005</v>
      </c>
      <c r="O65" s="14">
        <f t="shared" si="4"/>
        <v>0</v>
      </c>
      <c r="P65" s="15">
        <f t="shared" si="5"/>
        <v>-6.4309434908557819</v>
      </c>
      <c r="Q65" s="91">
        <f t="shared" si="6"/>
        <v>0.95873477926700879</v>
      </c>
      <c r="R65" s="177"/>
      <c r="S65" s="21"/>
      <c r="T65" s="21"/>
      <c r="U65" s="12"/>
      <c r="V65" s="30"/>
      <c r="W65" s="12"/>
      <c r="X65" s="12"/>
      <c r="Y65" s="24">
        <f>SUM(Y60:Y64)</f>
        <v>0</v>
      </c>
      <c r="Z65" s="24">
        <f>SUM(Z60:Z64)</f>
        <v>0</v>
      </c>
      <c r="AA65" s="167"/>
      <c r="AB65" s="167"/>
      <c r="AC65" s="24">
        <v>5</v>
      </c>
      <c r="AD65" s="24">
        <f>SUM(AD60:AD64)</f>
        <v>0</v>
      </c>
      <c r="AE65" s="14">
        <f t="shared" si="43"/>
        <v>-99.036529759179302</v>
      </c>
      <c r="AF65" s="91">
        <f t="shared" si="9"/>
        <v>0.95873477926700867</v>
      </c>
      <c r="AG65" s="177"/>
    </row>
    <row r="66" spans="1:33">
      <c r="D66" s="87"/>
      <c r="E66" s="87"/>
    </row>
  </sheetData>
  <mergeCells count="183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5"/>
    <mergeCell ref="C11:D11"/>
    <mergeCell ref="R11:R15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6:AG20"/>
    <mergeCell ref="C17:D17"/>
    <mergeCell ref="AA17:AB17"/>
    <mergeCell ref="C18:D18"/>
    <mergeCell ref="AA18:AB18"/>
    <mergeCell ref="C19:D19"/>
    <mergeCell ref="AG11:AG15"/>
    <mergeCell ref="C12:D12"/>
    <mergeCell ref="AA12:AB12"/>
    <mergeCell ref="C13:D13"/>
    <mergeCell ref="AA13:AB13"/>
    <mergeCell ref="C14:D14"/>
    <mergeCell ref="AA14:AB14"/>
    <mergeCell ref="C15:D15"/>
    <mergeCell ref="AA15:AB15"/>
    <mergeCell ref="AA19:AB19"/>
    <mergeCell ref="C20:D20"/>
    <mergeCell ref="AA20:AB20"/>
    <mergeCell ref="A21:A27"/>
    <mergeCell ref="C21:D21"/>
    <mergeCell ref="R21:R27"/>
    <mergeCell ref="AA21:AB21"/>
    <mergeCell ref="AA26:AB26"/>
    <mergeCell ref="C27:D27"/>
    <mergeCell ref="AA27:AB27"/>
    <mergeCell ref="A16:A20"/>
    <mergeCell ref="C16:D16"/>
    <mergeCell ref="R16:R20"/>
    <mergeCell ref="AA16:AB16"/>
    <mergeCell ref="AG28:AG35"/>
    <mergeCell ref="C29:D29"/>
    <mergeCell ref="AA29:AB29"/>
    <mergeCell ref="C30:D30"/>
    <mergeCell ref="AA30:AB30"/>
    <mergeCell ref="C31:D31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35:D35"/>
    <mergeCell ref="AA35:AB35"/>
    <mergeCell ref="A36:A40"/>
    <mergeCell ref="C36:D36"/>
    <mergeCell ref="R36:R40"/>
    <mergeCell ref="AA36:AB36"/>
    <mergeCell ref="AA31:AB31"/>
    <mergeCell ref="C32:D32"/>
    <mergeCell ref="AA32:AB32"/>
    <mergeCell ref="C33:D33"/>
    <mergeCell ref="AA33:AB33"/>
    <mergeCell ref="C34:D34"/>
    <mergeCell ref="AA34:AB34"/>
    <mergeCell ref="A28:A35"/>
    <mergeCell ref="C28:D28"/>
    <mergeCell ref="R28:R35"/>
    <mergeCell ref="AA28:AB28"/>
    <mergeCell ref="AG41:AG45"/>
    <mergeCell ref="C42:D42"/>
    <mergeCell ref="AA42:AB42"/>
    <mergeCell ref="C43:D43"/>
    <mergeCell ref="AA43:AB43"/>
    <mergeCell ref="C44:D44"/>
    <mergeCell ref="AG36:AG40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AA44:AB44"/>
    <mergeCell ref="C45:D45"/>
    <mergeCell ref="AA45:AB45"/>
    <mergeCell ref="A46:A52"/>
    <mergeCell ref="C46:D46"/>
    <mergeCell ref="R46:R52"/>
    <mergeCell ref="AA46:AB46"/>
    <mergeCell ref="AA52:AB52"/>
    <mergeCell ref="A41:A45"/>
    <mergeCell ref="C41:D41"/>
    <mergeCell ref="R41:R45"/>
    <mergeCell ref="AA41:AB41"/>
    <mergeCell ref="AG46:AG52"/>
    <mergeCell ref="C47:D47"/>
    <mergeCell ref="AA47:AB47"/>
    <mergeCell ref="C48:D48"/>
    <mergeCell ref="AA48:AB48"/>
    <mergeCell ref="AA49:AB49"/>
    <mergeCell ref="AA50:AB50"/>
    <mergeCell ref="C51:D51"/>
    <mergeCell ref="AA51:AB51"/>
    <mergeCell ref="C52:D52"/>
    <mergeCell ref="A53:A59"/>
    <mergeCell ref="C53:D53"/>
    <mergeCell ref="R53:R59"/>
    <mergeCell ref="AA53:AB53"/>
    <mergeCell ref="AG53:AG59"/>
    <mergeCell ref="C54:D54"/>
    <mergeCell ref="AA54:AB54"/>
    <mergeCell ref="C55:D55"/>
    <mergeCell ref="AA55:AB55"/>
    <mergeCell ref="C56:D56"/>
    <mergeCell ref="AA56:AB56"/>
    <mergeCell ref="C57:D57"/>
    <mergeCell ref="AA57:AB57"/>
    <mergeCell ref="C58:D58"/>
    <mergeCell ref="AA58:AB58"/>
    <mergeCell ref="C59:D59"/>
    <mergeCell ref="AA59:AB59"/>
    <mergeCell ref="AA63:AB63"/>
    <mergeCell ref="C64:D64"/>
    <mergeCell ref="AA64:AB64"/>
    <mergeCell ref="A60:A65"/>
    <mergeCell ref="C60:D60"/>
    <mergeCell ref="R60:R65"/>
    <mergeCell ref="AA60:AB60"/>
    <mergeCell ref="AG60:AG65"/>
    <mergeCell ref="C61:D61"/>
    <mergeCell ref="AA61:AB61"/>
    <mergeCell ref="C62:D62"/>
    <mergeCell ref="AA62:AB62"/>
    <mergeCell ref="C63:D63"/>
    <mergeCell ref="C65:D65"/>
    <mergeCell ref="AA65:AB65"/>
  </mergeCells>
  <phoneticPr fontId="3" type="noConversion"/>
  <conditionalFormatting sqref="O5:O65">
    <cfRule type="cellIs" dxfId="221" priority="9" operator="greaterThan">
      <formula>0</formula>
    </cfRule>
  </conditionalFormatting>
  <conditionalFormatting sqref="P5:P65">
    <cfRule type="cellIs" dxfId="220" priority="1" operator="lessThan">
      <formula>0</formula>
    </cfRule>
  </conditionalFormatting>
  <conditionalFormatting sqref="Q5:Q65 AF5:AF65">
    <cfRule type="cellIs" dxfId="219" priority="10" operator="greaterThan">
      <formula>1</formula>
    </cfRule>
    <cfRule type="cellIs" dxfId="218" priority="11" operator="lessThan">
      <formula>0.8</formula>
    </cfRule>
  </conditionalFormatting>
  <conditionalFormatting sqref="R5:R11 AG5:AG11">
    <cfRule type="cellIs" dxfId="217" priority="37" operator="lessThan">
      <formula>0.8</formula>
    </cfRule>
  </conditionalFormatting>
  <conditionalFormatting sqref="AE5:AE65">
    <cfRule type="cellIs" dxfId="216" priority="12" operator="lessThan">
      <formula>0</formula>
    </cfRule>
  </conditionalFormatting>
  <conditionalFormatting sqref="AG16:AG56 R16:R65">
    <cfRule type="cellIs" dxfId="215" priority="13" operator="lessThan">
      <formula>0.8</formula>
    </cfRule>
  </conditionalFormatting>
  <dataValidations count="1">
    <dataValidation type="list" allowBlank="1" showInputMessage="1" showErrorMessage="1" sqref="AB10 AA5:AB9 AB57:AB58 AB12:AB53 AA10:AA58 AA59:AB65" xr:uid="{00000000-0002-0000-07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Q32"/>
  <sheetViews>
    <sheetView zoomScale="85" zoomScaleNormal="85" workbookViewId="0"/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2399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2400</v>
      </c>
      <c r="C3" s="154" t="str">
        <f>TEXT('0426 4度C'!A2,"yyyy.mm.ddaaaa")</f>
        <v>2026.04.26星期日</v>
      </c>
      <c r="D3" s="155"/>
      <c r="E3" s="33" t="s">
        <v>2401</v>
      </c>
      <c r="F3" s="156">
        <f>'0426 4度C'!D1</f>
        <v>186632</v>
      </c>
      <c r="G3" s="157"/>
      <c r="H3" s="33" t="s">
        <v>2402</v>
      </c>
      <c r="I3" s="158">
        <f>'0426 4度C'!F1</f>
        <v>6136087.4000000004</v>
      </c>
      <c r="J3" s="159"/>
      <c r="K3" s="34"/>
      <c r="L3" s="35"/>
      <c r="M3" s="35"/>
      <c r="N3" s="35"/>
    </row>
    <row r="4" spans="2:17" ht="28.5" customHeight="1">
      <c r="B4" s="160" t="s">
        <v>2403</v>
      </c>
      <c r="C4" s="146" t="s">
        <v>2404</v>
      </c>
      <c r="D4" s="147"/>
      <c r="E4" s="163" t="s">
        <v>2405</v>
      </c>
      <c r="F4" s="164"/>
      <c r="G4" s="163" t="s">
        <v>2406</v>
      </c>
      <c r="H4" s="164"/>
      <c r="I4" s="163" t="s">
        <v>2407</v>
      </c>
      <c r="J4" s="164"/>
      <c r="K4" s="144" t="s">
        <v>2408</v>
      </c>
      <c r="L4" s="145"/>
      <c r="M4" s="145" t="s">
        <v>2409</v>
      </c>
      <c r="N4" s="145"/>
    </row>
    <row r="5" spans="2:17" ht="28.5" customHeight="1">
      <c r="B5" s="161"/>
      <c r="C5" s="146" t="s">
        <v>2410</v>
      </c>
      <c r="D5" s="147"/>
      <c r="E5" s="146" t="s">
        <v>2411</v>
      </c>
      <c r="F5" s="147"/>
      <c r="G5" s="148" t="s">
        <v>2412</v>
      </c>
      <c r="H5" s="149"/>
      <c r="I5" s="150" t="s">
        <v>2413</v>
      </c>
      <c r="J5" s="151"/>
      <c r="K5" s="36" t="s">
        <v>2414</v>
      </c>
      <c r="L5" s="37" t="s">
        <v>2415</v>
      </c>
      <c r="M5" s="36" t="s">
        <v>2414</v>
      </c>
      <c r="N5" s="37" t="s">
        <v>2416</v>
      </c>
    </row>
    <row r="6" spans="2:17" ht="28.5" customHeight="1">
      <c r="B6" s="161"/>
      <c r="C6" s="146" t="s">
        <v>54</v>
      </c>
      <c r="D6" s="147"/>
      <c r="E6" s="138">
        <f>AVERAGE(D13:M13)</f>
        <v>156.33516237634737</v>
      </c>
      <c r="F6" s="139">
        <f>AVERAGE(D31:O31,D13:J13)</f>
        <v>162.54229545827405</v>
      </c>
      <c r="G6" s="140">
        <f>AVERAGE(D13:J13)</f>
        <v>162.54229545827405</v>
      </c>
      <c r="H6" s="141"/>
      <c r="I6" s="140">
        <f>AVERAGE(K13:M13)</f>
        <v>141.85185185185185</v>
      </c>
      <c r="J6" s="141"/>
      <c r="K6" s="142">
        <f>'0426 4度C'!Y2</f>
        <v>0</v>
      </c>
      <c r="L6" s="127">
        <f>'0426 4度C'!Z2</f>
        <v>0</v>
      </c>
      <c r="M6" s="143">
        <f>'0426 4度C'!AC2</f>
        <v>60</v>
      </c>
      <c r="N6" s="127">
        <f>'0426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150.00304825614171</v>
      </c>
      <c r="F7" s="131">
        <f>AVERAGE(D32:O32,D14:J14)</f>
        <v>156.07885939101354</v>
      </c>
      <c r="G7" s="132">
        <f>AVERAGE(D14:J14)</f>
        <v>156.07885939101354</v>
      </c>
      <c r="H7" s="133"/>
      <c r="I7" s="132">
        <f>AVERAGE(K14:M14)</f>
        <v>135.82615560810748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0.95956075268891428</v>
      </c>
      <c r="F8" s="135">
        <f>AVERAGE(D15:J15,D33:O33)</f>
        <v>0.96041781242164048</v>
      </c>
      <c r="G8" s="136">
        <f>AVERAGE(D15:J15)</f>
        <v>0.96041781242164048</v>
      </c>
      <c r="H8" s="137"/>
      <c r="I8" s="136">
        <f>AVERAGE(K15:M15)</f>
        <v>0.95756094664588665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2417</v>
      </c>
      <c r="N9" s="35"/>
      <c r="O9" s="35"/>
      <c r="P9" s="35"/>
      <c r="Q9" s="35"/>
    </row>
    <row r="10" spans="2:17" ht="30" customHeight="1">
      <c r="B10" s="110" t="s">
        <v>196</v>
      </c>
      <c r="C10" s="111"/>
      <c r="D10" s="112" t="s">
        <v>2418</v>
      </c>
      <c r="E10" s="113"/>
      <c r="F10" s="113"/>
      <c r="G10" s="113"/>
      <c r="H10" s="113"/>
      <c r="I10" s="113"/>
      <c r="J10" s="114"/>
      <c r="K10" s="115" t="s">
        <v>2419</v>
      </c>
      <c r="L10" s="116"/>
      <c r="M10" s="117"/>
      <c r="P10" s="41"/>
      <c r="Q10" s="41"/>
    </row>
    <row r="11" spans="2:17" ht="17.25" customHeight="1">
      <c r="B11" s="118" t="s">
        <v>2420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2421</v>
      </c>
      <c r="C13" s="48" t="s">
        <v>2422</v>
      </c>
      <c r="D13" s="49">
        <f>SUMIFS('0426 4度C'!$K:$K,'0426 4度C'!$A:$A,"新豐6線",'0426 4度C'!$B:$B,"平均")</f>
        <v>122.44897959183675</v>
      </c>
      <c r="E13" s="50">
        <f>SUMIFS('0426 4度C'!$K:$K,'0426 4度C'!$A:$A,"新豐2線",'0426 4度C'!$B:$B,"平均")</f>
        <v>83.333333333333329</v>
      </c>
      <c r="F13" s="51">
        <f>SUMIFS('0426 4度C'!$K:$K,'0426 4度C'!$A:$A,"新豐5線",'0426 4度C'!$B:$B,"平均")</f>
        <v>105.88235294117646</v>
      </c>
      <c r="G13" s="51">
        <f>SUMIFS('0426 4度C'!$K:$K,'0426 4度C'!$A:$A,"新豐7線",'0426 4度C'!$B:$B,"平均")</f>
        <v>128.2051282051282</v>
      </c>
      <c r="H13" s="51">
        <f>SUMIFS('0426 4度C'!$K:$K,'0426 4度C'!$A:$A,"新豐3線",'0426 4度C'!$B:$B,"平均")</f>
        <v>315.78947368421052</v>
      </c>
      <c r="I13" s="51">
        <f>SUMIFS('0426 4度C'!$K:$K,'0426 4度C'!$A:$A,"新豐1線",'0426 4度C'!$B:$B,"平均")</f>
        <v>103.44827586206897</v>
      </c>
      <c r="J13" s="52">
        <f>SUMIFS('0426 4度C'!$K:$K,'0426 4度C'!$A:$A,"新豐10線",'0426 4度C'!$B:$B,"平均")</f>
        <v>278.68852459016398</v>
      </c>
      <c r="K13" s="53">
        <f>SUMIFS('0426 4度C'!$K:$K,'0426 4度C'!$A:$A,"新豐8線",'0426 4度C'!$B:$B,"平均")</f>
        <v>133.33333333333334</v>
      </c>
      <c r="L13" s="54">
        <f>SUMIFS('0426 4度C'!$K:$K,'0426 4度C'!$A:$A,"新豐9線",'0426 4度C'!$B:$B,"平均")</f>
        <v>142.22222222222223</v>
      </c>
      <c r="M13" s="52">
        <f>SUMIFS('0426 4度C'!$K:$K,'0426 4度C'!$A:$A,"新豐4線",'0426 4度C'!$B:$B,"平均")</f>
        <v>150</v>
      </c>
    </row>
    <row r="14" spans="2:17" ht="39.6" customHeight="1">
      <c r="B14" s="123"/>
      <c r="C14" s="55" t="s">
        <v>2423</v>
      </c>
      <c r="D14" s="56">
        <f>SUMIFS('0426 4度C'!$N:$N,'0426 4度C'!$A:$A,"新豐6線",'0426 4度C'!$B:$B,"平均")</f>
        <v>117.89927441441587</v>
      </c>
      <c r="E14" s="57">
        <f>SUMIFS('0426 4度C'!$N:$N,'0426 4度C'!$A:$A,"新豐2線",'0426 4度C'!$B:$B,"平均")</f>
        <v>79.656368196556585</v>
      </c>
      <c r="F14" s="57">
        <f>SUMIFS('0426 4度C'!$N:$N,'0426 4度C'!$A:$A,"新豐5線",'0426 4度C'!$B:$B,"平均")</f>
        <v>102.16459146604711</v>
      </c>
      <c r="G14" s="57">
        <f>SUMIFS('0426 4度C'!$N:$N,'0426 4度C'!$A:$A,"新豐7線",'0426 4度C'!$B:$B,"平均")</f>
        <v>123.0071533701602</v>
      </c>
      <c r="H14" s="57">
        <f>SUMIFS('0426 4度C'!$N:$N,'0426 4度C'!$A:$A,"新豐3線",'0426 4度C'!$B:$B,"平均")</f>
        <v>302.54193175245803</v>
      </c>
      <c r="I14" s="57">
        <f>SUMIFS('0426 4度C'!$N:$N,'0426 4度C'!$A:$A,"新豐1線",'0426 4度C'!$B:$B,"平均")</f>
        <v>99.353660086418742</v>
      </c>
      <c r="J14" s="58">
        <f>SUMIFS('0426 4度C'!$N:$N,'0426 4度C'!$A:$A,"新豐10線",'0426 4度C'!$B:$B,"平均")</f>
        <v>267.92903645103831</v>
      </c>
      <c r="K14" s="59">
        <f>SUMIFS('0426 4度C'!$N:$N,'0426 4度C'!$A:$A,"新豐8線",'0426 4度C'!$B:$B,"平均")</f>
        <v>127.93983991117375</v>
      </c>
      <c r="L14" s="60">
        <f>SUMIFS('0426 4度C'!$N:$N,'0426 4度C'!$A:$A,"新豐9線",'0426 4度C'!$B:$B,"平均")</f>
        <v>135.88990495871735</v>
      </c>
      <c r="M14" s="58">
        <f>SUMIFS('0426 4度C'!$N:$N,'0426 4度C'!$A:$A,"新豐4線",'0426 4度C'!$B:$B,"平均")</f>
        <v>143.64872195443132</v>
      </c>
    </row>
    <row r="15" spans="2:17" ht="40.15" customHeight="1">
      <c r="B15" s="124"/>
      <c r="C15" s="61" t="s">
        <v>2424</v>
      </c>
      <c r="D15" s="62">
        <f t="shared" ref="D15:M15" si="0">D14/D13</f>
        <v>0.96284407438439623</v>
      </c>
      <c r="E15" s="63">
        <f t="shared" si="0"/>
        <v>0.95587641835867909</v>
      </c>
      <c r="F15" s="63">
        <f t="shared" si="0"/>
        <v>0.96488780829044507</v>
      </c>
      <c r="G15" s="63">
        <f t="shared" si="0"/>
        <v>0.95945579628724953</v>
      </c>
      <c r="H15" s="63">
        <f t="shared" si="0"/>
        <v>0.95804945054945045</v>
      </c>
      <c r="I15" s="63">
        <f t="shared" si="0"/>
        <v>0.96041871416871449</v>
      </c>
      <c r="J15" s="64">
        <f t="shared" si="0"/>
        <v>0.96139242491254906</v>
      </c>
      <c r="K15" s="62">
        <f t="shared" si="0"/>
        <v>0.9595487993338031</v>
      </c>
      <c r="L15" s="63">
        <f t="shared" si="0"/>
        <v>0.95547589424098134</v>
      </c>
      <c r="M15" s="64">
        <f t="shared" si="0"/>
        <v>0.9576581463628755</v>
      </c>
    </row>
    <row r="16" spans="2:17" ht="17.25" customHeight="1">
      <c r="B16" s="125" t="s">
        <v>2425</v>
      </c>
      <c r="C16" s="65" t="s">
        <v>2426</v>
      </c>
      <c r="D16" s="66">
        <f>VLOOKUP("新豐6線",'0426 4度C'!$A:$T,19,0)</f>
        <v>0.70833333333333337</v>
      </c>
      <c r="E16" s="67">
        <f>VLOOKUP("新豐2線",'0426 4度C'!$A:$T,19,0)</f>
        <v>0.20833333333333334</v>
      </c>
      <c r="F16" s="67">
        <f>VLOOKUP("新豐5線",'0426 4度C'!$A:$T,19,0)</f>
        <v>0.20833333333333334</v>
      </c>
      <c r="G16" s="67">
        <f>VLOOKUP("新豐7線",'0426 4度C'!$A:$T,19,0)</f>
        <v>0.29166666666666669</v>
      </c>
      <c r="H16" s="67">
        <f>VLOOKUP("新豐3線",'0426 4度C'!$A:$T,19,0)</f>
        <v>8.3333333333333329E-2</v>
      </c>
      <c r="I16" s="67">
        <f>VLOOKUP("新豐1線",'0426 4度C'!$A:$T,19,0)</f>
        <v>0.33333333333333331</v>
      </c>
      <c r="J16" s="68">
        <f>VLOOKUP("新豐10線",'0426 4度C'!$A:$T,19,0)</f>
        <v>0.20833333333333334</v>
      </c>
      <c r="K16" s="69">
        <f>VLOOKUP("新豐8線",'0426 4度C'!$A:$T,19,0)</f>
        <v>8.3333333333333329E-2</v>
      </c>
      <c r="L16" s="70">
        <f>VLOOKUP("新豐9線",'0426 4度C'!$A:$T,19,0)</f>
        <v>8.3333333333333329E-2</v>
      </c>
      <c r="M16" s="71">
        <f>VLOOKUP("新豐4線",'0426 4度C'!$A:$T,19,0)</f>
        <v>8.3333333333333329E-2</v>
      </c>
    </row>
    <row r="17" spans="2:13" ht="17.25" customHeight="1">
      <c r="B17" s="126"/>
      <c r="C17" s="65" t="s">
        <v>2427</v>
      </c>
      <c r="D17" s="69">
        <f>LOOKUP(2,1/(('0426 4度C'!$A:$A="新豐6線")*('0426 4度C'!$T:$T&lt;&gt;"")),'0426 4度C'!$T:$T)</f>
        <v>0.93055555555555558</v>
      </c>
      <c r="E17" s="67">
        <f>LOOKUP(2,1/(('0426 4度C'!$A:$A="新豐2線")*('0426 4度C'!$T:$T&lt;&gt;"")),'0426 4度C'!$T:$T)</f>
        <v>0.69305555555555554</v>
      </c>
      <c r="F17" s="67">
        <f>LOOKUP(2,1/(('0426 4度C'!$A:$A="新豐5線")*('0426 4度C'!$T:$T&lt;&gt;"")),'0426 4度C'!$T:$T)</f>
        <v>0.89999999999999991</v>
      </c>
      <c r="G17" s="67">
        <f>LOOKUP(2,1/(('0426 4度C'!$A:$A="新豐7線")*('0426 4度C'!$T:$T&lt;&gt;"")),'0426 4度C'!$T:$T)</f>
        <v>0.82777777777777783</v>
      </c>
      <c r="H17" s="67">
        <f>LOOKUP(2,1/(('0426 4度C'!$A:$A="新豐3線")*('0426 4度C'!$T:$T&lt;&gt;"")),'0426 4度C'!$T:$T)</f>
        <v>0.46666666666666667</v>
      </c>
      <c r="I17" s="67">
        <f>LOOKUP(2,1/(('0426 4度C'!$A:$A="新豐1線")*('0426 4度C'!$T:$T&lt;&gt;"")),'0426 4度C'!$T:$T)</f>
        <v>0.83333333333333337</v>
      </c>
      <c r="J17" s="68">
        <f>LOOKUP(2,1/(('0426 4度C'!$A:$A="新豐10線")*('0426 4度C'!$T:$T&lt;&gt;"")),'0426 4度C'!$T:$T)</f>
        <v>0.4493055555555554</v>
      </c>
      <c r="K17" s="66">
        <f>LOOKUP(2,1/(('0426 4度C'!$A:$A="新豐8線")*('0426 4度C'!$T:$T&lt;&gt;"")),'0426 4度C'!$T:$T)</f>
        <v>0.69999999999999984</v>
      </c>
      <c r="L17" s="67">
        <f>LOOKUP(2,1/(('0426 4度C'!$A:$A="新豐9線")*('0426 4度C'!$T:$T&lt;&gt;"")),'0426 4度C'!$T:$T)</f>
        <v>0.76458333333333317</v>
      </c>
      <c r="M17" s="68">
        <f>LOOKUP(2,1/(('0426 4度C'!$A:$A="新豐4線")*('0426 4度C'!$T:$T&lt;&gt;"")),'0426 4度C'!$T:$T)</f>
        <v>0.72152777777777766</v>
      </c>
    </row>
    <row r="18" spans="2:13" ht="17.25" customHeight="1">
      <c r="B18" s="104" t="s">
        <v>2428</v>
      </c>
      <c r="C18" s="72" t="s">
        <v>2429</v>
      </c>
      <c r="D18" s="73">
        <f>SUMIFS('0426 4度C'!$Y:$Y,'0426 4度C'!$A:$A,"新豐6線",'0426 4度C'!$B:$B,"平均")</f>
        <v>0</v>
      </c>
      <c r="E18" s="74">
        <f>SUMIFS('0426 4度C'!$Y:$Y,'0426 4度C'!$A:$A,"新豐2線",'0426 4度C'!$B:$B,"平均")</f>
        <v>0</v>
      </c>
      <c r="F18" s="74">
        <f>SUMIFS('0426 4度C'!$Y:$Y,'0426 4度C'!$A:$A,"新豐5線",'0426 4度C'!$B:$B,"平均")</f>
        <v>0</v>
      </c>
      <c r="G18" s="74">
        <f>SUMIFS('0426 4度C'!$Y:$Y,'0426 4度C'!$A:$A,"新豐7線",'0426 4度C'!$B:$B,"平均")</f>
        <v>0</v>
      </c>
      <c r="H18" s="74">
        <f>SUMIFS('0426 4度C'!$Y:$Y,'0426 4度C'!$A:$A,"新豐3線",'0426 4度C'!$B:$B,"平均")</f>
        <v>0</v>
      </c>
      <c r="I18" s="74">
        <f>SUMIFS('0426 4度C'!$Y:$Y,'0426 4度C'!$A:$A,"新豐1線",'0426 4度C'!$B:$B,"平均")</f>
        <v>0</v>
      </c>
      <c r="J18" s="75">
        <f>SUMIFS('0426 4度C'!$Y:$Y,'0426 4度C'!$A:$A,"新豐10線",'0426 4度C'!$B:$B,"平均")</f>
        <v>0</v>
      </c>
      <c r="K18" s="76">
        <f>SUMIFS('0426 4度C'!$Y:$Y,'0426 4度C'!$A:$A,"新豐8線",'0426 4度C'!$B:$B,"平均")</f>
        <v>0</v>
      </c>
      <c r="L18" s="74">
        <f>SUMIFS('0426 4度C'!$Y:$Y,'0426 4度C'!$A:$A,"新豐9線",'0426 4度C'!$B:$B,"平均")</f>
        <v>0</v>
      </c>
      <c r="M18" s="75">
        <f>SUMIFS('0426 4度C'!$Y:$Y,'0426 4度C'!$A:$A,"新豐4線",'0426 4度C'!$B:$B,"平均")</f>
        <v>0</v>
      </c>
    </row>
    <row r="19" spans="2:13" ht="17.25" customHeight="1">
      <c r="B19" s="105"/>
      <c r="C19" s="72" t="s">
        <v>2430</v>
      </c>
      <c r="D19" s="73">
        <f>SUMIFS('0426 4度C'!$Z:$Z,'0426 4度C'!$A:$A,"新豐6線",'0426 4度C'!$B:$B,"平均")</f>
        <v>0</v>
      </c>
      <c r="E19" s="74">
        <f>SUMIFS('0426 4度C'!$Z:$Z,'0426 4度C'!$A:$A,"新豐2線",'0426 4度C'!$B:$B,"平均")</f>
        <v>0</v>
      </c>
      <c r="F19" s="74">
        <f>SUMIFS('0426 4度C'!$Z:$Z,'0426 4度C'!$A:$A,"新豐5線",'0426 4度C'!$B:$B,"平均")</f>
        <v>0</v>
      </c>
      <c r="G19" s="74">
        <f>SUMIFS('0426 4度C'!$Z:$Z,'0426 4度C'!$A:$A,"新豐7線",'0426 4度C'!$B:$B,"平均")</f>
        <v>0</v>
      </c>
      <c r="H19" s="74">
        <f>SUMIFS('0426 4度C'!$Z:$Z,'0426 4度C'!$A:$A,"新豐3線",'0426 4度C'!$B:$B,"平均")</f>
        <v>0</v>
      </c>
      <c r="I19" s="74">
        <f>SUMIFS('0426 4度C'!$Z:$Z,'0426 4度C'!$A:$A,"新豐1線",'0426 4度C'!$B:$B,"平均")</f>
        <v>0</v>
      </c>
      <c r="J19" s="75">
        <f>SUMIFS('0426 4度C'!$Z:$Z,'0426 4度C'!$A:$A,"新豐10線",'0426 4度C'!$B:$B,"平均")</f>
        <v>0</v>
      </c>
      <c r="K19" s="76">
        <f>SUMIFS('0426 4度C'!$Z:$Z,'0426 4度C'!$A:$A,"新豐8線",'0426 4度C'!$B:$B,"平均")</f>
        <v>0</v>
      </c>
      <c r="L19" s="74">
        <f>SUMIFS('0426 4度C'!$Z:$Z,'0426 4度C'!$A:$A,"新豐9線",'0426 4度C'!$B:$B,"平均")</f>
        <v>0</v>
      </c>
      <c r="M19" s="75">
        <f>SUMIFS('0426 4度C'!$Z:$Z,'0426 4度C'!$A:$A,"新豐4線",'0426 4度C'!$B:$B,"平均")</f>
        <v>0</v>
      </c>
    </row>
    <row r="20" spans="2:13" ht="17.25" customHeight="1">
      <c r="B20" s="104" t="s">
        <v>2431</v>
      </c>
      <c r="C20" s="72" t="s">
        <v>2429</v>
      </c>
      <c r="D20" s="73">
        <f>SUMIFS('0426 4度C'!$AC:$AC,'0426 4度C'!$A:$A,"新豐6線",'0426 4度C'!$B:$B,"平均")</f>
        <v>6</v>
      </c>
      <c r="E20" s="74">
        <f>SUMIFS('0426 4度C'!$AC:$AC,'0426 4度C'!$A:$A,"新豐2線",'0426 4度C'!$B:$B,"平均")</f>
        <v>4</v>
      </c>
      <c r="F20" s="74">
        <f>SUMIFS('0426 4度C'!$AC:$AC,'0426 4度C'!$A:$A,"新豐5線",'0426 4度C'!$B:$B,"平均")</f>
        <v>5</v>
      </c>
      <c r="G20" s="74">
        <f>SUMIFS('0426 4度C'!$AC:$AC,'0426 4度C'!$A:$A,"新豐7線",'0426 4度C'!$B:$B,"平均")</f>
        <v>5</v>
      </c>
      <c r="H20" s="74">
        <f>SUMIFS('0426 4度C'!$AC:$AC,'0426 4度C'!$A:$A,"新豐3線",'0426 4度C'!$B:$B,"平均")</f>
        <v>4</v>
      </c>
      <c r="I20" s="74">
        <f>SUMIFS('0426 4度C'!$AC:$AC,'0426 4度C'!$A:$A,"新豐1線",'0426 4度C'!$B:$B,"平均")</f>
        <v>6</v>
      </c>
      <c r="J20" s="75">
        <f>SUMIFS('0426 4度C'!$AC:$AC,'0426 4度C'!$A:$A,"新豐10線",'0426 4度C'!$B:$B,"平均")</f>
        <v>6</v>
      </c>
      <c r="K20" s="76">
        <f>SUMIFS('0426 4度C'!$AC:$AC,'0426 4度C'!$A:$A,"新豐8線",'0426 4度C'!$B:$B,"平均")</f>
        <v>8</v>
      </c>
      <c r="L20" s="74">
        <f>SUMIFS('0426 4度C'!$AC:$AC,'0426 4度C'!$A:$A,"新豐9線",'0426 4度C'!$B:$B,"平均")</f>
        <v>8</v>
      </c>
      <c r="M20" s="75">
        <f>SUMIFS('0426 4度C'!$AC:$AC,'0426 4度C'!$A:$A,"新豐4線",'0426 4度C'!$B:$B,"平均")</f>
        <v>8</v>
      </c>
    </row>
    <row r="21" spans="2:13" ht="17.25" customHeight="1">
      <c r="B21" s="105"/>
      <c r="C21" s="72" t="s">
        <v>2432</v>
      </c>
      <c r="D21" s="73">
        <f>SUMIFS('0426 4度C'!$AD:$AD,'0426 4度C'!$A:$A,"新豐6線",'0426 4度C'!$B:$B,"平均")</f>
        <v>0</v>
      </c>
      <c r="E21" s="74">
        <f>SUMIFS('0426 4度C'!$AD:$AD,'0426 4度C'!$A:$A,"新豐2線",'0426 4度C'!$B:$B,"平均")</f>
        <v>0</v>
      </c>
      <c r="F21" s="74">
        <f>SUMIFS('0426 4度C'!$AD:$AD,'0426 4度C'!$A:$A,"新豐5線",'0426 4度C'!$B:$B,"平均")</f>
        <v>0</v>
      </c>
      <c r="G21" s="74">
        <f>SUMIFS('0426 4度C'!$AD:$AD,'0426 4度C'!$A:$A,"新豐7線",'0426 4度C'!$B:$B,"平均")</f>
        <v>0</v>
      </c>
      <c r="H21" s="74">
        <f>SUMIFS('0426 4度C'!$AD:$AD,'0426 4度C'!$A:$A,"新豐3線",'0426 4度C'!$B:$B,"平均")</f>
        <v>0</v>
      </c>
      <c r="I21" s="74">
        <f>SUMIFS('0426 4度C'!$AD:$AD,'0426 4度C'!$A:$A,"新豐1線",'0426 4度C'!$B:$B,"平均")</f>
        <v>0</v>
      </c>
      <c r="J21" s="75">
        <f>SUMIFS('0426 4度C'!$AD:$AD,'0426 4度C'!$A:$A,"新豐10線",'0426 4度C'!$B:$B,"平均")</f>
        <v>0</v>
      </c>
      <c r="K21" s="76">
        <f>SUMIFS('0426 4度C'!$AD:$AD,'0426 4度C'!$A:$A,"新豐8線",'0426 4度C'!$B:$B,"平均")</f>
        <v>0</v>
      </c>
      <c r="L21" s="74">
        <f>SUMIFS('0426 4度C'!$AD:$AD,'0426 4度C'!$A:$A,"新豐9線",'0426 4度C'!$B:$B,"平均")</f>
        <v>0</v>
      </c>
      <c r="M21" s="75">
        <f>SUMIFS('0426 4度C'!$AD:$AD,'0426 4度C'!$A:$A,"新豐4線",'0426 4度C'!$B:$B,"平均")</f>
        <v>0</v>
      </c>
    </row>
    <row r="22" spans="2:13" ht="17.25" customHeight="1">
      <c r="B22" s="106" t="s">
        <v>2433</v>
      </c>
      <c r="C22" s="107"/>
      <c r="D22" s="77">
        <f>SUMIFS('0426 4度C'!$I:$I,'0426 4度C'!$A:$A,"新豐6線",'0426 4度C'!$B:$B,"平均")</f>
        <v>16.333333333333332</v>
      </c>
      <c r="E22" s="78">
        <f>SUMIFS('0426 4度C'!$I:$I,'0426 4度C'!$A:$A,"新豐2線",'0426 4度C'!$B:$B,"平均")</f>
        <v>18</v>
      </c>
      <c r="F22" s="78">
        <f>SUMIFS('0426 4度C'!$I:$I,'0426 4度C'!$A:$A,"新豐5線",'0426 4度C'!$B:$B,"平均")</f>
        <v>17</v>
      </c>
      <c r="G22" s="78">
        <f>SUMIFS('0426 4度C'!$I:$I,'0426 4度C'!$A:$A,"新豐7線",'0426 4度C'!$B:$B,"平均")</f>
        <v>15.6</v>
      </c>
      <c r="H22" s="78">
        <f>SUMIFS('0426 4度C'!$I:$I,'0426 4度C'!$A:$A,"新豐3線",'0426 4度C'!$B:$B,"平均")</f>
        <v>9.5</v>
      </c>
      <c r="I22" s="78">
        <f>SUMIFS('0426 4度C'!$I:$I,'0426 4度C'!$A:$A,"新豐1線",'0426 4度C'!$B:$B,"平均")</f>
        <v>19.333333333333332</v>
      </c>
      <c r="J22" s="79">
        <f>SUMIFS('0426 4度C'!$I:$I,'0426 4度C'!$A:$A,"新豐10線",'0426 4度C'!$B:$B,"平均")</f>
        <v>10.166666666666666</v>
      </c>
      <c r="K22" s="77">
        <f>SUMIFS('0426 4度C'!$I:$I,'0426 4度C'!$A:$A,"新豐8線",'0426 4度C'!$B:$B,"平均")</f>
        <v>18</v>
      </c>
      <c r="L22" s="78">
        <f>SUMIFS('0426 4度C'!$I:$I,'0426 4度C'!$A:$A,"新豐9線",'0426 4度C'!$B:$B,"平均")</f>
        <v>16.875</v>
      </c>
      <c r="M22" s="79">
        <f>SUMIFS('0426 4度C'!$I:$I,'0426 4度C'!$A:$A,"新豐4線",'0426 4度C'!$B:$B,"平均")</f>
        <v>16</v>
      </c>
    </row>
    <row r="23" spans="2:13" ht="17.25" customHeight="1">
      <c r="B23" s="106" t="s">
        <v>2434</v>
      </c>
      <c r="C23" s="107"/>
      <c r="D23" s="80" t="s">
        <v>67</v>
      </c>
      <c r="E23" s="81" t="s">
        <v>68</v>
      </c>
      <c r="F23" s="81" t="s">
        <v>2435</v>
      </c>
      <c r="G23" s="81" t="s">
        <v>317</v>
      </c>
      <c r="H23" s="81" t="s">
        <v>69</v>
      </c>
      <c r="I23" s="81" t="s">
        <v>67</v>
      </c>
      <c r="J23" s="82" t="s">
        <v>69</v>
      </c>
      <c r="K23" s="80" t="s">
        <v>2436</v>
      </c>
      <c r="L23" s="81" t="s">
        <v>2437</v>
      </c>
      <c r="M23" s="82" t="s">
        <v>2436</v>
      </c>
    </row>
    <row r="24" spans="2:13" ht="17.25" customHeight="1">
      <c r="B24" s="106" t="s">
        <v>2438</v>
      </c>
      <c r="C24" s="107"/>
      <c r="D24" s="80"/>
      <c r="E24" s="81"/>
      <c r="F24" s="81" t="s">
        <v>2439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2440</v>
      </c>
      <c r="C25" s="109"/>
      <c r="D25" s="83"/>
      <c r="E25" s="84" t="s">
        <v>2441</v>
      </c>
      <c r="F25" s="102" t="s">
        <v>2442</v>
      </c>
      <c r="G25" s="103"/>
      <c r="H25" s="84" t="s">
        <v>2443</v>
      </c>
      <c r="I25" s="84" t="s">
        <v>2444</v>
      </c>
      <c r="J25" s="85" t="s">
        <v>2445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1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3">
    <pageSetUpPr fitToPage="1"/>
  </sheetPr>
  <dimension ref="A1:AG75"/>
  <sheetViews>
    <sheetView topLeftCell="P1" zoomScale="80" zoomScaleNormal="80"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2446</v>
      </c>
      <c r="B1" s="1"/>
      <c r="C1" s="2" t="s">
        <v>2447</v>
      </c>
      <c r="D1" s="3">
        <f>SUM(F5:F74)</f>
        <v>186632</v>
      </c>
      <c r="E1" s="88" t="s">
        <v>2448</v>
      </c>
      <c r="F1" s="1">
        <f>SUM(G5:G74)</f>
        <v>6136087.4000000004</v>
      </c>
      <c r="G1" s="1" t="s">
        <v>2449</v>
      </c>
      <c r="H1" s="4">
        <f>L11+L16+L51+L58+L22+L65+L37+L46+L28+L74</f>
        <v>156.80833333333334</v>
      </c>
      <c r="I1" s="215" t="s">
        <v>2450</v>
      </c>
      <c r="J1" s="215"/>
      <c r="K1" s="215"/>
      <c r="L1" s="215" t="s">
        <v>2451</v>
      </c>
      <c r="M1" s="215"/>
      <c r="N1" s="215"/>
      <c r="O1" s="215" t="s">
        <v>2452</v>
      </c>
      <c r="P1" s="215"/>
      <c r="Q1" s="215"/>
      <c r="R1" s="215"/>
      <c r="S1" s="215" t="s">
        <v>2453</v>
      </c>
      <c r="T1" s="215"/>
      <c r="U1" s="215"/>
      <c r="V1" s="215"/>
      <c r="W1" s="215"/>
      <c r="X1" s="215"/>
      <c r="Y1" s="5" t="s">
        <v>2454</v>
      </c>
      <c r="Z1" s="6" t="s">
        <v>2455</v>
      </c>
      <c r="AA1" s="216" t="s">
        <v>2456</v>
      </c>
      <c r="AB1" s="216"/>
      <c r="AC1" s="97" t="s">
        <v>2454</v>
      </c>
      <c r="AD1" s="6" t="s">
        <v>2457</v>
      </c>
      <c r="AE1" s="215" t="s">
        <v>2458</v>
      </c>
      <c r="AF1" s="217"/>
      <c r="AG1" s="217"/>
    </row>
    <row r="2" spans="1:33" ht="26.25" customHeight="1">
      <c r="A2" s="26">
        <v>46138</v>
      </c>
      <c r="B2" s="27" t="s">
        <v>547</v>
      </c>
      <c r="C2" s="2" t="s">
        <v>2459</v>
      </c>
      <c r="D2" s="8">
        <f>AVERAGE(N11,N16,N51,N58,N22,N65,N28,N37,N46,N74)</f>
        <v>150.00304825614171</v>
      </c>
      <c r="E2" s="9" t="s">
        <v>0</v>
      </c>
      <c r="F2" s="10">
        <f>F1/D1</f>
        <v>32.878002700501526</v>
      </c>
      <c r="G2" s="1" t="s">
        <v>658</v>
      </c>
      <c r="H2" s="96">
        <f>COUNT(H5:H74)</f>
        <v>14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SUM(Y11+Y16+Y22+Y28+Y37+Y46+Y51+Y58+Y65+Y74)</f>
        <v>0</v>
      </c>
      <c r="Z2" s="11">
        <f>SUM(Z11+Z16+Z22+Z28+Z37+Z46+Z51+Z58+Z65+Z74)</f>
        <v>0</v>
      </c>
      <c r="AA2" s="216"/>
      <c r="AB2" s="216"/>
      <c r="AC2" s="11">
        <v>60</v>
      </c>
      <c r="AD2" s="11">
        <f>SUM(AD11+AD16+AD22+AD28+AD37+AD46+AD51+AD58+AD65+AD74)</f>
        <v>0</v>
      </c>
      <c r="AE2" s="217"/>
      <c r="AF2" s="217"/>
      <c r="AG2" s="217"/>
    </row>
    <row r="3" spans="1:33" ht="40.5" customHeight="1">
      <c r="A3" s="168" t="s">
        <v>2460</v>
      </c>
      <c r="B3" s="168" t="s">
        <v>2461</v>
      </c>
      <c r="C3" s="168" t="s">
        <v>2462</v>
      </c>
      <c r="D3" s="168"/>
      <c r="E3" s="213" t="s">
        <v>2463</v>
      </c>
      <c r="F3" s="168" t="s">
        <v>2464</v>
      </c>
      <c r="G3" s="213" t="s">
        <v>2465</v>
      </c>
      <c r="H3" s="207" t="s">
        <v>2466</v>
      </c>
      <c r="I3" s="205" t="s">
        <v>2467</v>
      </c>
      <c r="J3" s="202" t="s">
        <v>2468</v>
      </c>
      <c r="K3" s="212" t="s">
        <v>2469</v>
      </c>
      <c r="L3" s="205" t="s">
        <v>2467</v>
      </c>
      <c r="M3" s="202" t="s">
        <v>2468</v>
      </c>
      <c r="N3" s="212" t="s">
        <v>2459</v>
      </c>
      <c r="O3" s="205" t="s">
        <v>2467</v>
      </c>
      <c r="P3" s="212" t="s">
        <v>2459</v>
      </c>
      <c r="Q3" s="203" t="s">
        <v>2470</v>
      </c>
      <c r="R3" s="181" t="s">
        <v>2471</v>
      </c>
      <c r="S3" s="168" t="s">
        <v>1</v>
      </c>
      <c r="T3" s="168"/>
      <c r="U3" s="207" t="s">
        <v>2</v>
      </c>
      <c r="V3" s="207" t="s">
        <v>2472</v>
      </c>
      <c r="W3" s="168" t="s">
        <v>2473</v>
      </c>
      <c r="X3" s="168"/>
      <c r="Y3" s="208" t="s">
        <v>2474</v>
      </c>
      <c r="Z3" s="167"/>
      <c r="AA3" s="209" t="s">
        <v>2475</v>
      </c>
      <c r="AB3" s="210"/>
      <c r="AC3" s="208" t="s">
        <v>2476</v>
      </c>
      <c r="AD3" s="167"/>
      <c r="AE3" s="202" t="s">
        <v>2477</v>
      </c>
      <c r="AF3" s="203" t="s">
        <v>2478</v>
      </c>
      <c r="AG3" s="181" t="s">
        <v>2479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2480</v>
      </c>
      <c r="X4" s="88" t="s">
        <v>2481</v>
      </c>
      <c r="Y4" s="90" t="s">
        <v>2482</v>
      </c>
      <c r="Z4" s="90" t="s">
        <v>2483</v>
      </c>
      <c r="AA4" s="211"/>
      <c r="AB4" s="210"/>
      <c r="AC4" s="90" t="s">
        <v>2484</v>
      </c>
      <c r="AD4" s="90" t="s">
        <v>2485</v>
      </c>
      <c r="AE4" s="202"/>
      <c r="AF4" s="203"/>
      <c r="AG4" s="181"/>
    </row>
    <row r="5" spans="1:33">
      <c r="A5" s="204" t="s">
        <v>2486</v>
      </c>
      <c r="B5" s="28" t="s">
        <v>5</v>
      </c>
      <c r="C5" s="206" t="s">
        <v>6</v>
      </c>
      <c r="D5" s="206"/>
      <c r="E5" s="28">
        <v>50.67</v>
      </c>
      <c r="F5" s="88">
        <v>1765</v>
      </c>
      <c r="G5" s="88">
        <f t="shared" ref="G5:G10" si="0">E5*F5</f>
        <v>89432.55</v>
      </c>
      <c r="H5" s="30" t="s">
        <v>53</v>
      </c>
      <c r="I5" s="95">
        <v>17</v>
      </c>
      <c r="J5" s="13">
        <v>2000</v>
      </c>
      <c r="K5" s="12">
        <f t="shared" ref="K5:K68" si="1">J5/I5</f>
        <v>117.64705882352941</v>
      </c>
      <c r="L5" s="95">
        <v>17</v>
      </c>
      <c r="M5" s="13">
        <f t="shared" ref="M5:M10" si="2">F5/V5*60</f>
        <v>1925.4545454545469</v>
      </c>
      <c r="N5" s="12">
        <f t="shared" ref="N5:N68" si="3">M5/L5</f>
        <v>113.26203208556159</v>
      </c>
      <c r="O5" s="14">
        <f t="shared" ref="O5:O68" si="4">L5-I5</f>
        <v>0</v>
      </c>
      <c r="P5" s="15">
        <f t="shared" ref="P5:P68" si="5">N5-K5</f>
        <v>-4.3850267379678201</v>
      </c>
      <c r="Q5" s="91">
        <f t="shared" ref="Q5:Q68" si="6">N5/K5</f>
        <v>0.96272727272727354</v>
      </c>
      <c r="R5" s="177">
        <f>Q11</f>
        <v>0.96284407438439623</v>
      </c>
      <c r="S5" s="21">
        <v>0.70833333333333337</v>
      </c>
      <c r="T5" s="21">
        <v>0.74652777777777779</v>
      </c>
      <c r="U5" s="88"/>
      <c r="V5" s="30">
        <f t="shared" ref="V5:V10" si="7">(T5-S5)*24*60</f>
        <v>54.999999999999964</v>
      </c>
      <c r="W5" s="16"/>
      <c r="X5" s="17"/>
      <c r="Y5" s="17"/>
      <c r="Z5" s="17"/>
      <c r="AA5" s="168"/>
      <c r="AB5" s="168"/>
      <c r="AC5" s="18">
        <v>6</v>
      </c>
      <c r="AD5" s="18"/>
      <c r="AE5" s="14">
        <f t="shared" ref="AE5:AE57" si="8">M5-J5</f>
        <v>-74.54545454545314</v>
      </c>
      <c r="AF5" s="91">
        <f t="shared" ref="AF5:AF68" si="9">M5/J5</f>
        <v>0.96272727272727343</v>
      </c>
      <c r="AG5" s="177">
        <f>AF11</f>
        <v>0.96284407438439623</v>
      </c>
    </row>
    <row r="6" spans="1:33">
      <c r="A6" s="205" t="s">
        <v>2487</v>
      </c>
      <c r="B6" s="28" t="s">
        <v>5</v>
      </c>
      <c r="C6" s="206" t="s">
        <v>7</v>
      </c>
      <c r="D6" s="206"/>
      <c r="E6" s="28">
        <v>54.09</v>
      </c>
      <c r="F6" s="88">
        <v>1444</v>
      </c>
      <c r="G6" s="88">
        <f t="shared" si="0"/>
        <v>78105.960000000006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1925.3333333333333</v>
      </c>
      <c r="N6" s="12">
        <f t="shared" si="3"/>
        <v>101.33333333333333</v>
      </c>
      <c r="O6" s="14">
        <f t="shared" si="4"/>
        <v>0</v>
      </c>
      <c r="P6" s="15">
        <f t="shared" si="5"/>
        <v>-3.9298245614035068</v>
      </c>
      <c r="Q6" s="91">
        <f t="shared" si="6"/>
        <v>0.96266666666666667</v>
      </c>
      <c r="R6" s="177"/>
      <c r="S6" s="21">
        <v>0.75208333333333333</v>
      </c>
      <c r="T6" s="21">
        <v>0.78333333333333333</v>
      </c>
      <c r="U6" s="88">
        <f t="shared" ref="U6:U10" si="10">IF(S6=TIME(17,0,0),"",(S6-T5)*24*60)</f>
        <v>7.9999999999999716</v>
      </c>
      <c r="V6" s="30">
        <f t="shared" si="7"/>
        <v>45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-74.666666666666742</v>
      </c>
      <c r="AF6" s="91">
        <f t="shared" si="9"/>
        <v>0.96266666666666667</v>
      </c>
      <c r="AG6" s="177"/>
    </row>
    <row r="7" spans="1:33">
      <c r="A7" s="205" t="s">
        <v>2487</v>
      </c>
      <c r="B7" s="28" t="s">
        <v>5</v>
      </c>
      <c r="C7" s="200" t="s">
        <v>16</v>
      </c>
      <c r="D7" s="201"/>
      <c r="E7" s="28">
        <v>50.67</v>
      </c>
      <c r="F7" s="88">
        <v>900</v>
      </c>
      <c r="G7" s="88">
        <f t="shared" si="0"/>
        <v>45603</v>
      </c>
      <c r="H7" s="30">
        <v>2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1928.5714285714246</v>
      </c>
      <c r="N7" s="12">
        <f t="shared" si="3"/>
        <v>128.5714285714283</v>
      </c>
      <c r="O7" s="14">
        <f t="shared" si="4"/>
        <v>0</v>
      </c>
      <c r="P7" s="15">
        <f t="shared" si="5"/>
        <v>-4.7619047619050434</v>
      </c>
      <c r="Q7" s="91">
        <f t="shared" si="6"/>
        <v>0.96428571428571219</v>
      </c>
      <c r="R7" s="177"/>
      <c r="S7" s="21">
        <v>0.78888888888888886</v>
      </c>
      <c r="T7" s="21">
        <v>0.80833333333333335</v>
      </c>
      <c r="U7" s="88">
        <f t="shared" si="10"/>
        <v>7.9999999999999716</v>
      </c>
      <c r="V7" s="30">
        <f t="shared" si="7"/>
        <v>28.00000000000006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-71.428571428575424</v>
      </c>
      <c r="AF7" s="91">
        <f t="shared" si="9"/>
        <v>0.9642857142857123</v>
      </c>
      <c r="AG7" s="177"/>
    </row>
    <row r="8" spans="1:33">
      <c r="A8" s="205" t="s">
        <v>2487</v>
      </c>
      <c r="B8" s="28" t="s">
        <v>5</v>
      </c>
      <c r="C8" s="200" t="s">
        <v>1270</v>
      </c>
      <c r="D8" s="201"/>
      <c r="E8" s="28">
        <v>52.86</v>
      </c>
      <c r="F8" s="88">
        <v>1000</v>
      </c>
      <c r="G8" s="88">
        <f t="shared" si="0"/>
        <v>52860</v>
      </c>
      <c r="H8" s="30">
        <v>2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1935.483870967739</v>
      </c>
      <c r="N8" s="12">
        <f t="shared" si="3"/>
        <v>120.96774193548369</v>
      </c>
      <c r="O8" s="14">
        <f t="shared" si="4"/>
        <v>0</v>
      </c>
      <c r="P8" s="15">
        <f t="shared" si="5"/>
        <v>-4.0322580645163129</v>
      </c>
      <c r="Q8" s="91">
        <f t="shared" si="6"/>
        <v>0.96774193548386944</v>
      </c>
      <c r="R8" s="177"/>
      <c r="S8" s="21">
        <v>0.81388888888888888</v>
      </c>
      <c r="T8" s="21">
        <v>0.8354166666666667</v>
      </c>
      <c r="U8" s="88">
        <f t="shared" si="10"/>
        <v>7.9999999999999716</v>
      </c>
      <c r="V8" s="30">
        <f t="shared" si="7"/>
        <v>31.00000000000005</v>
      </c>
      <c r="W8" s="16">
        <f>T8</f>
        <v>0.8354166666666667</v>
      </c>
      <c r="X8" s="16">
        <f>S9</f>
        <v>0.875</v>
      </c>
      <c r="Y8" s="22"/>
      <c r="Z8" s="22"/>
      <c r="AA8" s="172"/>
      <c r="AB8" s="173"/>
      <c r="AC8" s="18"/>
      <c r="AD8" s="20"/>
      <c r="AE8" s="14">
        <f t="shared" si="8"/>
        <v>-64.516129032261006</v>
      </c>
      <c r="AF8" s="91">
        <f t="shared" si="9"/>
        <v>0.96774193548386944</v>
      </c>
      <c r="AG8" s="177"/>
    </row>
    <row r="9" spans="1:33">
      <c r="A9" s="205" t="s">
        <v>2488</v>
      </c>
      <c r="B9" s="28" t="s">
        <v>5</v>
      </c>
      <c r="C9" s="200" t="s">
        <v>1270</v>
      </c>
      <c r="D9" s="201"/>
      <c r="E9" s="28">
        <v>52.86</v>
      </c>
      <c r="F9" s="88">
        <v>1354</v>
      </c>
      <c r="G9" s="88">
        <f t="shared" si="0"/>
        <v>71572.44</v>
      </c>
      <c r="H9" s="30" t="s">
        <v>53</v>
      </c>
      <c r="I9" s="95">
        <v>16</v>
      </c>
      <c r="J9" s="13">
        <v>2000</v>
      </c>
      <c r="K9" s="12">
        <f t="shared" si="1"/>
        <v>125</v>
      </c>
      <c r="L9" s="95">
        <v>16</v>
      </c>
      <c r="M9" s="13">
        <f t="shared" si="2"/>
        <v>1934.2857142857135</v>
      </c>
      <c r="N9" s="12">
        <f t="shared" si="3"/>
        <v>120.8928571428571</v>
      </c>
      <c r="O9" s="14">
        <f t="shared" si="4"/>
        <v>0</v>
      </c>
      <c r="P9" s="15">
        <f t="shared" si="5"/>
        <v>-4.1071428571429038</v>
      </c>
      <c r="Q9" s="91">
        <f t="shared" si="6"/>
        <v>0.96714285714285675</v>
      </c>
      <c r="R9" s="177"/>
      <c r="S9" s="21">
        <v>0.875</v>
      </c>
      <c r="T9" s="21">
        <v>0.90416666666666667</v>
      </c>
      <c r="U9" s="88">
        <f t="shared" si="10"/>
        <v>56.999999999999957</v>
      </c>
      <c r="V9" s="30">
        <f t="shared" si="7"/>
        <v>42.000000000000014</v>
      </c>
      <c r="W9" s="16"/>
      <c r="X9" s="16"/>
      <c r="Y9" s="19"/>
      <c r="Z9" s="19"/>
      <c r="AA9" s="172"/>
      <c r="AB9" s="173"/>
      <c r="AC9" s="18"/>
      <c r="AD9" s="20"/>
      <c r="AE9" s="14">
        <f t="shared" si="8"/>
        <v>-65.714285714286461</v>
      </c>
      <c r="AF9" s="91">
        <f t="shared" si="9"/>
        <v>0.96714285714285675</v>
      </c>
      <c r="AG9" s="177"/>
    </row>
    <row r="10" spans="1:33">
      <c r="A10" s="205" t="s">
        <v>2487</v>
      </c>
      <c r="B10" s="28" t="s">
        <v>5</v>
      </c>
      <c r="C10" s="200" t="s">
        <v>16</v>
      </c>
      <c r="D10" s="201"/>
      <c r="E10" s="28">
        <v>50.67</v>
      </c>
      <c r="F10" s="88">
        <v>1016</v>
      </c>
      <c r="G10" s="88">
        <f t="shared" si="0"/>
        <v>51480.72</v>
      </c>
      <c r="H10" s="30" t="s">
        <v>53</v>
      </c>
      <c r="I10" s="95">
        <v>15</v>
      </c>
      <c r="J10" s="13">
        <v>2000</v>
      </c>
      <c r="K10" s="12">
        <f t="shared" si="1"/>
        <v>133.33333333333334</v>
      </c>
      <c r="L10" s="95">
        <v>15</v>
      </c>
      <c r="M10" s="13">
        <f t="shared" si="2"/>
        <v>1904.9999999999975</v>
      </c>
      <c r="N10" s="12">
        <f t="shared" si="3"/>
        <v>126.99999999999983</v>
      </c>
      <c r="O10" s="14">
        <f t="shared" si="4"/>
        <v>0</v>
      </c>
      <c r="P10" s="15">
        <f t="shared" si="5"/>
        <v>-6.3333333333335133</v>
      </c>
      <c r="Q10" s="91">
        <f t="shared" si="6"/>
        <v>0.95249999999999868</v>
      </c>
      <c r="R10" s="177"/>
      <c r="S10" s="21">
        <v>0.90833333333333333</v>
      </c>
      <c r="T10" s="21">
        <v>0.93055555555555558</v>
      </c>
      <c r="U10" s="88">
        <f t="shared" si="10"/>
        <v>5.9999999999999787</v>
      </c>
      <c r="V10" s="30">
        <f t="shared" si="7"/>
        <v>32.000000000000043</v>
      </c>
      <c r="W10" s="16"/>
      <c r="X10" s="16"/>
      <c r="Y10" s="19"/>
      <c r="Z10" s="19"/>
      <c r="AA10" s="172"/>
      <c r="AB10" s="173"/>
      <c r="AC10" s="18"/>
      <c r="AD10" s="20"/>
      <c r="AE10" s="14">
        <f t="shared" si="8"/>
        <v>-95.000000000002501</v>
      </c>
      <c r="AF10" s="91">
        <f t="shared" si="9"/>
        <v>0.95249999999999879</v>
      </c>
      <c r="AG10" s="177"/>
    </row>
    <row r="11" spans="1:33">
      <c r="A11" s="205" t="s">
        <v>2488</v>
      </c>
      <c r="B11" s="28" t="s">
        <v>2489</v>
      </c>
      <c r="C11" s="178"/>
      <c r="D11" s="178"/>
      <c r="E11" s="92"/>
      <c r="F11" s="12"/>
      <c r="G11" s="12"/>
      <c r="H11" s="88"/>
      <c r="I11" s="23">
        <v>16.333333333333332</v>
      </c>
      <c r="J11" s="13">
        <v>2000</v>
      </c>
      <c r="K11" s="12">
        <f t="shared" si="1"/>
        <v>122.44897959183675</v>
      </c>
      <c r="L11" s="23">
        <v>16.333333333333332</v>
      </c>
      <c r="M11" s="13">
        <f>AVERAGE(M5:M10)</f>
        <v>1925.6881487687924</v>
      </c>
      <c r="N11" s="12">
        <f t="shared" si="3"/>
        <v>117.89927441441587</v>
      </c>
      <c r="O11" s="14">
        <f t="shared" si="4"/>
        <v>0</v>
      </c>
      <c r="P11" s="15">
        <f t="shared" si="5"/>
        <v>-4.5497051774208757</v>
      </c>
      <c r="Q11" s="91">
        <f t="shared" si="6"/>
        <v>0.96284407438439623</v>
      </c>
      <c r="R11" s="177"/>
      <c r="S11" s="21"/>
      <c r="T11" s="21"/>
      <c r="U11" s="88"/>
      <c r="V11" s="30"/>
      <c r="W11" s="12"/>
      <c r="X11" s="12"/>
      <c r="Y11" s="24">
        <f>SUM(Y5:Y10)</f>
        <v>0</v>
      </c>
      <c r="Z11" s="24">
        <f>SUM(Z5:Z10)</f>
        <v>0</v>
      </c>
      <c r="AA11" s="167"/>
      <c r="AB11" s="167"/>
      <c r="AC11" s="24">
        <v>6</v>
      </c>
      <c r="AD11" s="24">
        <f>SUM(AD5:AD10)</f>
        <v>0</v>
      </c>
      <c r="AE11" s="14">
        <f t="shared" si="8"/>
        <v>-74.311851231207584</v>
      </c>
      <c r="AF11" s="91">
        <f t="shared" si="9"/>
        <v>0.96284407438439623</v>
      </c>
      <c r="AG11" s="177"/>
    </row>
    <row r="12" spans="1:33" ht="15.75" customHeight="1">
      <c r="A12" s="199" t="s">
        <v>2490</v>
      </c>
      <c r="B12" s="28" t="s">
        <v>9</v>
      </c>
      <c r="C12" s="200" t="s">
        <v>10</v>
      </c>
      <c r="D12" s="201"/>
      <c r="E12" s="28">
        <v>39.619999999999997</v>
      </c>
      <c r="F12" s="88">
        <v>3400</v>
      </c>
      <c r="G12" s="88">
        <f t="shared" ref="G12:G15" si="11">E12*F12</f>
        <v>134708</v>
      </c>
      <c r="H12" s="30">
        <v>2</v>
      </c>
      <c r="I12" s="95">
        <v>19</v>
      </c>
      <c r="J12" s="13">
        <v>1500</v>
      </c>
      <c r="K12" s="12">
        <f t="shared" si="1"/>
        <v>78.94736842105263</v>
      </c>
      <c r="L12" s="95">
        <v>19</v>
      </c>
      <c r="M12" s="13">
        <f t="shared" ref="M12:M15" si="12">F12/V12*60</f>
        <v>1436.6197183098589</v>
      </c>
      <c r="N12" s="12">
        <f t="shared" si="3"/>
        <v>75.611564121571519</v>
      </c>
      <c r="O12" s="14">
        <f t="shared" si="4"/>
        <v>0</v>
      </c>
      <c r="P12" s="15">
        <f t="shared" si="5"/>
        <v>-3.3358042994811115</v>
      </c>
      <c r="Q12" s="91">
        <f t="shared" si="6"/>
        <v>0.95774647887323927</v>
      </c>
      <c r="R12" s="177">
        <f>Q16</f>
        <v>0.95587641835867909</v>
      </c>
      <c r="S12" s="21">
        <v>0.20833333333333334</v>
      </c>
      <c r="T12" s="21">
        <v>0.30694444444444446</v>
      </c>
      <c r="U12" s="88"/>
      <c r="V12" s="30">
        <f t="shared" ref="V12:V15" si="13">(T12-S12)*24*60</f>
        <v>142.00000000000003</v>
      </c>
      <c r="W12" s="16"/>
      <c r="X12" s="16"/>
      <c r="Y12" s="16"/>
      <c r="Z12" s="16"/>
      <c r="AA12" s="168"/>
      <c r="AB12" s="168"/>
      <c r="AC12" s="18">
        <v>4</v>
      </c>
      <c r="AD12" s="18"/>
      <c r="AE12" s="14">
        <f t="shared" si="8"/>
        <v>-63.380281690141146</v>
      </c>
      <c r="AF12" s="91">
        <f t="shared" si="9"/>
        <v>0.95774647887323927</v>
      </c>
      <c r="AG12" s="177">
        <f>AF16</f>
        <v>0.95587641835867909</v>
      </c>
    </row>
    <row r="13" spans="1:33" ht="15.75" customHeight="1">
      <c r="A13" s="199" t="s">
        <v>2490</v>
      </c>
      <c r="B13" s="28" t="s">
        <v>9</v>
      </c>
      <c r="C13" s="200" t="s">
        <v>11</v>
      </c>
      <c r="D13" s="201"/>
      <c r="E13" s="28">
        <v>39.799999999999997</v>
      </c>
      <c r="F13" s="88">
        <v>5100</v>
      </c>
      <c r="G13" s="88">
        <f t="shared" si="11"/>
        <v>202980</v>
      </c>
      <c r="H13" s="30">
        <v>2</v>
      </c>
      <c r="I13" s="95">
        <v>17</v>
      </c>
      <c r="J13" s="13">
        <v>1500</v>
      </c>
      <c r="K13" s="12">
        <f t="shared" si="1"/>
        <v>88.235294117647058</v>
      </c>
      <c r="L13" s="95">
        <v>17</v>
      </c>
      <c r="M13" s="13">
        <f t="shared" si="12"/>
        <v>1429.9065420560744</v>
      </c>
      <c r="N13" s="12">
        <f t="shared" si="3"/>
        <v>84.112149532710262</v>
      </c>
      <c r="O13" s="14">
        <f t="shared" si="4"/>
        <v>0</v>
      </c>
      <c r="P13" s="15">
        <f t="shared" si="5"/>
        <v>-4.1231445849367958</v>
      </c>
      <c r="Q13" s="91">
        <f t="shared" si="6"/>
        <v>0.95327102803738295</v>
      </c>
      <c r="R13" s="177"/>
      <c r="S13" s="21">
        <v>0.31111111111111112</v>
      </c>
      <c r="T13" s="21">
        <v>0.45972222222222225</v>
      </c>
      <c r="U13" s="88">
        <f t="shared" ref="U13:U15" si="14">IF(S13=TIME(17,0,0),"",(S13-T12)*24*60)</f>
        <v>5.9999999999999787</v>
      </c>
      <c r="V13" s="30">
        <f t="shared" si="13"/>
        <v>214.00000000000003</v>
      </c>
      <c r="W13" s="16">
        <f>T13</f>
        <v>0.45972222222222225</v>
      </c>
      <c r="X13" s="16">
        <f>S14</f>
        <v>0.49930555555555556</v>
      </c>
      <c r="Y13" s="16"/>
      <c r="Z13" s="16"/>
      <c r="AA13" s="168"/>
      <c r="AB13" s="168"/>
      <c r="AC13" s="18"/>
      <c r="AD13" s="18"/>
      <c r="AE13" s="14">
        <f t="shared" si="8"/>
        <v>-70.093457943925614</v>
      </c>
      <c r="AF13" s="91">
        <f t="shared" si="9"/>
        <v>0.95327102803738295</v>
      </c>
      <c r="AG13" s="177"/>
    </row>
    <row r="14" spans="1:33" ht="15.75" customHeight="1">
      <c r="A14" s="199" t="s">
        <v>2491</v>
      </c>
      <c r="B14" s="28" t="s">
        <v>9</v>
      </c>
      <c r="C14" s="200" t="s">
        <v>11</v>
      </c>
      <c r="D14" s="201"/>
      <c r="E14" s="28">
        <v>39.799999999999997</v>
      </c>
      <c r="F14" s="88">
        <v>3983</v>
      </c>
      <c r="G14" s="88">
        <f t="shared" si="11"/>
        <v>158523.4</v>
      </c>
      <c r="H14" s="30" t="s">
        <v>53</v>
      </c>
      <c r="I14" s="95">
        <v>17</v>
      </c>
      <c r="J14" s="13">
        <v>1500</v>
      </c>
      <c r="K14" s="12">
        <f t="shared" si="1"/>
        <v>88.235294117647058</v>
      </c>
      <c r="L14" s="95">
        <v>17</v>
      </c>
      <c r="M14" s="13">
        <f t="shared" si="12"/>
        <v>1431.0179640718557</v>
      </c>
      <c r="N14" s="12">
        <f t="shared" si="3"/>
        <v>84.177527298344444</v>
      </c>
      <c r="O14" s="14">
        <f t="shared" si="4"/>
        <v>0</v>
      </c>
      <c r="P14" s="15">
        <f t="shared" si="5"/>
        <v>-4.0577668193026142</v>
      </c>
      <c r="Q14" s="91">
        <f t="shared" si="6"/>
        <v>0.95401197604790366</v>
      </c>
      <c r="R14" s="177"/>
      <c r="S14" s="21">
        <v>0.49930555555555556</v>
      </c>
      <c r="T14" s="21">
        <v>0.61527777777777781</v>
      </c>
      <c r="U14" s="88">
        <f t="shared" si="14"/>
        <v>56.999999999999957</v>
      </c>
      <c r="V14" s="30">
        <f t="shared" si="13"/>
        <v>167.00000000000006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8"/>
        <v>-68.982035928144342</v>
      </c>
      <c r="AF14" s="91">
        <f t="shared" si="9"/>
        <v>0.95401197604790378</v>
      </c>
      <c r="AG14" s="177"/>
    </row>
    <row r="15" spans="1:33" ht="15.75" customHeight="1">
      <c r="A15" s="199" t="s">
        <v>2490</v>
      </c>
      <c r="B15" s="28" t="s">
        <v>9</v>
      </c>
      <c r="C15" s="200" t="s">
        <v>10</v>
      </c>
      <c r="D15" s="201"/>
      <c r="E15" s="28">
        <v>39.619999999999997</v>
      </c>
      <c r="F15" s="88">
        <v>2516</v>
      </c>
      <c r="G15" s="88">
        <f t="shared" si="11"/>
        <v>99683.92</v>
      </c>
      <c r="H15" s="30" t="s">
        <v>53</v>
      </c>
      <c r="I15" s="95">
        <v>19</v>
      </c>
      <c r="J15" s="13">
        <v>1500</v>
      </c>
      <c r="K15" s="12">
        <f t="shared" si="1"/>
        <v>78.94736842105263</v>
      </c>
      <c r="L15" s="95">
        <v>19</v>
      </c>
      <c r="M15" s="13">
        <f t="shared" si="12"/>
        <v>1437.7142857142867</v>
      </c>
      <c r="N15" s="12">
        <f t="shared" si="3"/>
        <v>75.669172932330881</v>
      </c>
      <c r="O15" s="14">
        <f t="shared" si="4"/>
        <v>0</v>
      </c>
      <c r="P15" s="15">
        <f t="shared" si="5"/>
        <v>-3.2781954887217495</v>
      </c>
      <c r="Q15" s="91">
        <f t="shared" si="6"/>
        <v>0.95847619047619115</v>
      </c>
      <c r="R15" s="177"/>
      <c r="S15" s="21">
        <v>0.62013888888888891</v>
      </c>
      <c r="T15" s="21">
        <v>0.69305555555555554</v>
      </c>
      <c r="U15" s="88">
        <f t="shared" si="14"/>
        <v>6.9999999999999751</v>
      </c>
      <c r="V15" s="30">
        <f t="shared" si="13"/>
        <v>104.99999999999994</v>
      </c>
      <c r="W15" s="16"/>
      <c r="X15" s="16"/>
      <c r="Y15" s="16"/>
      <c r="Z15" s="16"/>
      <c r="AA15" s="172"/>
      <c r="AB15" s="173"/>
      <c r="AC15" s="18"/>
      <c r="AD15" s="18"/>
      <c r="AE15" s="14">
        <f t="shared" si="8"/>
        <v>-62.285714285713311</v>
      </c>
      <c r="AF15" s="91">
        <f t="shared" si="9"/>
        <v>0.95847619047619115</v>
      </c>
      <c r="AG15" s="177"/>
    </row>
    <row r="16" spans="1:33" ht="16.5" customHeight="1">
      <c r="A16" s="199" t="s">
        <v>2491</v>
      </c>
      <c r="B16" s="28" t="s">
        <v>2492</v>
      </c>
      <c r="C16" s="178"/>
      <c r="D16" s="178"/>
      <c r="E16" s="92"/>
      <c r="F16" s="13"/>
      <c r="G16" s="13"/>
      <c r="H16" s="88"/>
      <c r="I16" s="23">
        <v>18</v>
      </c>
      <c r="J16" s="13">
        <v>1500</v>
      </c>
      <c r="K16" s="12">
        <f t="shared" si="1"/>
        <v>83.333333333333329</v>
      </c>
      <c r="L16" s="23">
        <v>18</v>
      </c>
      <c r="M16" s="13">
        <f>AVERAGE(M12:M15)</f>
        <v>1433.8146275380186</v>
      </c>
      <c r="N16" s="12">
        <f t="shared" si="3"/>
        <v>79.656368196556585</v>
      </c>
      <c r="O16" s="14">
        <f t="shared" si="4"/>
        <v>0</v>
      </c>
      <c r="P16" s="15">
        <f t="shared" si="5"/>
        <v>-3.6769651367767437</v>
      </c>
      <c r="Q16" s="91">
        <f t="shared" si="6"/>
        <v>0.95587641835867909</v>
      </c>
      <c r="R16" s="177"/>
      <c r="S16" s="21"/>
      <c r="T16" s="21"/>
      <c r="U16" s="12"/>
      <c r="V16" s="30"/>
      <c r="W16" s="12"/>
      <c r="X16" s="12"/>
      <c r="Y16" s="24">
        <f>SUM(Y12:Y15)</f>
        <v>0</v>
      </c>
      <c r="Z16" s="24">
        <f>SUM(Z12:Z15)</f>
        <v>0</v>
      </c>
      <c r="AA16" s="167"/>
      <c r="AB16" s="167"/>
      <c r="AC16" s="24">
        <v>4</v>
      </c>
      <c r="AD16" s="24">
        <f>SUM(AD12:AD15)</f>
        <v>0</v>
      </c>
      <c r="AE16" s="14">
        <f t="shared" si="8"/>
        <v>-66.185372461981387</v>
      </c>
      <c r="AF16" s="91">
        <f t="shared" si="9"/>
        <v>0.95587641835867909</v>
      </c>
      <c r="AG16" s="177"/>
    </row>
    <row r="17" spans="1:33" ht="16.5" customHeight="1">
      <c r="A17" s="197" t="s">
        <v>2493</v>
      </c>
      <c r="B17" s="88" t="s">
        <v>12</v>
      </c>
      <c r="C17" s="193" t="s">
        <v>13</v>
      </c>
      <c r="D17" s="193"/>
      <c r="E17" s="28">
        <v>41</v>
      </c>
      <c r="F17" s="88">
        <v>2276</v>
      </c>
      <c r="G17" s="88">
        <f t="shared" ref="G17:G21" si="15">E17*F17</f>
        <v>93316</v>
      </c>
      <c r="H17" s="30" t="s">
        <v>53</v>
      </c>
      <c r="I17" s="95">
        <v>26</v>
      </c>
      <c r="J17" s="13">
        <v>1500</v>
      </c>
      <c r="K17" s="12">
        <f t="shared" si="1"/>
        <v>57.692307692307693</v>
      </c>
      <c r="L17" s="95">
        <v>26</v>
      </c>
      <c r="M17" s="13">
        <f t="shared" ref="M17:M21" si="16">F17/V17*60</f>
        <v>1437.473684210526</v>
      </c>
      <c r="N17" s="12">
        <f t="shared" si="3"/>
        <v>55.287449392712539</v>
      </c>
      <c r="O17" s="14">
        <f t="shared" si="4"/>
        <v>0</v>
      </c>
      <c r="P17" s="15">
        <f t="shared" si="5"/>
        <v>-2.4048582995951548</v>
      </c>
      <c r="Q17" s="91">
        <f t="shared" si="6"/>
        <v>0.95831578947368401</v>
      </c>
      <c r="R17" s="177">
        <f>Q22</f>
        <v>0.96488780829044507</v>
      </c>
      <c r="S17" s="21">
        <v>0.20833333333333334</v>
      </c>
      <c r="T17" s="21">
        <v>0.27430555555555558</v>
      </c>
      <c r="U17" s="88"/>
      <c r="V17" s="30">
        <f t="shared" ref="V17:V21" si="17">(T17-S17)*24*60</f>
        <v>95.000000000000028</v>
      </c>
      <c r="W17" s="21"/>
      <c r="X17" s="21"/>
      <c r="Y17" s="21"/>
      <c r="Z17" s="21"/>
      <c r="AA17" s="168"/>
      <c r="AB17" s="168"/>
      <c r="AC17" s="18">
        <v>5</v>
      </c>
      <c r="AD17" s="18"/>
      <c r="AE17" s="14">
        <f t="shared" si="8"/>
        <v>-62.526315789473983</v>
      </c>
      <c r="AF17" s="91">
        <f t="shared" si="9"/>
        <v>0.95831578947368401</v>
      </c>
      <c r="AG17" s="177">
        <f>AF22</f>
        <v>0.96488780829044496</v>
      </c>
    </row>
    <row r="18" spans="1:33" ht="16.5" customHeight="1">
      <c r="A18" s="198" t="s">
        <v>2494</v>
      </c>
      <c r="B18" s="88" t="s">
        <v>5</v>
      </c>
      <c r="C18" s="193" t="s">
        <v>20</v>
      </c>
      <c r="D18" s="193"/>
      <c r="E18" s="28">
        <v>53.68</v>
      </c>
      <c r="F18" s="88">
        <v>1543</v>
      </c>
      <c r="G18" s="88">
        <f t="shared" si="15"/>
        <v>82828.240000000005</v>
      </c>
      <c r="H18" s="30" t="s">
        <v>53</v>
      </c>
      <c r="I18" s="95">
        <v>16</v>
      </c>
      <c r="J18" s="13">
        <v>1500</v>
      </c>
      <c r="K18" s="12">
        <f t="shared" si="1"/>
        <v>93.75</v>
      </c>
      <c r="L18" s="95">
        <v>16</v>
      </c>
      <c r="M18" s="13">
        <f t="shared" si="16"/>
        <v>1446.5625000000018</v>
      </c>
      <c r="N18" s="12">
        <f t="shared" si="3"/>
        <v>90.410156250000114</v>
      </c>
      <c r="O18" s="14">
        <f t="shared" si="4"/>
        <v>0</v>
      </c>
      <c r="P18" s="15">
        <f t="shared" si="5"/>
        <v>-3.3398437499998863</v>
      </c>
      <c r="Q18" s="91">
        <f t="shared" si="6"/>
        <v>0.9643750000000012</v>
      </c>
      <c r="R18" s="177"/>
      <c r="S18" s="21">
        <v>0.70833333333333337</v>
      </c>
      <c r="T18" s="21">
        <v>0.75277777777777777</v>
      </c>
      <c r="U18" s="88" t="str">
        <f t="shared" ref="U18:U21" si="18">IF(S18=TIME(17,0,0),"",(S18-T17)*24*60)</f>
        <v/>
      </c>
      <c r="V18" s="30">
        <f t="shared" si="17"/>
        <v>63.999999999999929</v>
      </c>
      <c r="W18" s="16"/>
      <c r="X18" s="16"/>
      <c r="Y18" s="16"/>
      <c r="Z18" s="16"/>
      <c r="AA18" s="168"/>
      <c r="AB18" s="168"/>
      <c r="AC18" s="18"/>
      <c r="AD18" s="18"/>
      <c r="AE18" s="14">
        <f t="shared" si="8"/>
        <v>-53.437499999998181</v>
      </c>
      <c r="AF18" s="91">
        <f t="shared" si="9"/>
        <v>0.9643750000000012</v>
      </c>
      <c r="AG18" s="177"/>
    </row>
    <row r="19" spans="1:33" ht="16.5" customHeight="1">
      <c r="A19" s="198" t="s">
        <v>2494</v>
      </c>
      <c r="B19" s="88" t="s">
        <v>5</v>
      </c>
      <c r="C19" s="193" t="s">
        <v>15</v>
      </c>
      <c r="D19" s="193"/>
      <c r="E19" s="28">
        <v>50.92</v>
      </c>
      <c r="F19" s="88">
        <v>1000</v>
      </c>
      <c r="G19" s="88">
        <f t="shared" si="15"/>
        <v>50920</v>
      </c>
      <c r="H19" s="30">
        <v>2</v>
      </c>
      <c r="I19" s="95">
        <v>15</v>
      </c>
      <c r="J19" s="13">
        <v>2000</v>
      </c>
      <c r="K19" s="12">
        <f t="shared" si="1"/>
        <v>133.33333333333334</v>
      </c>
      <c r="L19" s="95">
        <v>15</v>
      </c>
      <c r="M19" s="13">
        <f t="shared" si="16"/>
        <v>1935.483870967739</v>
      </c>
      <c r="N19" s="12">
        <f t="shared" si="3"/>
        <v>129.03225806451593</v>
      </c>
      <c r="O19" s="14">
        <f t="shared" si="4"/>
        <v>0</v>
      </c>
      <c r="P19" s="15">
        <f t="shared" si="5"/>
        <v>-4.3010752688174136</v>
      </c>
      <c r="Q19" s="91">
        <f t="shared" si="6"/>
        <v>0.96774193548386944</v>
      </c>
      <c r="R19" s="177"/>
      <c r="S19" s="21">
        <v>0.75763888888888886</v>
      </c>
      <c r="T19" s="21">
        <v>0.77916666666666667</v>
      </c>
      <c r="U19" s="88">
        <f t="shared" si="18"/>
        <v>6.9999999999999751</v>
      </c>
      <c r="V19" s="30">
        <f t="shared" si="17"/>
        <v>31.00000000000005</v>
      </c>
      <c r="W19" s="16"/>
      <c r="X19" s="16"/>
      <c r="Y19" s="16"/>
      <c r="Z19" s="16"/>
      <c r="AA19" s="168"/>
      <c r="AB19" s="168"/>
      <c r="AC19" s="18"/>
      <c r="AD19" s="18"/>
      <c r="AE19" s="14">
        <f t="shared" si="8"/>
        <v>-64.516129032261006</v>
      </c>
      <c r="AF19" s="91">
        <f t="shared" si="9"/>
        <v>0.96774193548386944</v>
      </c>
      <c r="AG19" s="177"/>
    </row>
    <row r="20" spans="1:33" ht="16.5" customHeight="1">
      <c r="A20" s="198" t="s">
        <v>2495</v>
      </c>
      <c r="B20" s="88" t="s">
        <v>5</v>
      </c>
      <c r="C20" s="193" t="s">
        <v>21</v>
      </c>
      <c r="D20" s="193"/>
      <c r="E20" s="28">
        <v>57.3</v>
      </c>
      <c r="F20" s="88">
        <v>1867</v>
      </c>
      <c r="G20" s="88">
        <f t="shared" si="15"/>
        <v>106979.09999999999</v>
      </c>
      <c r="H20" s="30" t="s">
        <v>53</v>
      </c>
      <c r="I20" s="95">
        <v>13</v>
      </c>
      <c r="J20" s="13">
        <v>2000</v>
      </c>
      <c r="K20" s="12">
        <f t="shared" si="1"/>
        <v>153.84615384615384</v>
      </c>
      <c r="L20" s="95">
        <v>13</v>
      </c>
      <c r="M20" s="13">
        <f t="shared" si="16"/>
        <v>1931.3793103448288</v>
      </c>
      <c r="N20" s="12">
        <f t="shared" si="3"/>
        <v>148.56763925729453</v>
      </c>
      <c r="O20" s="14">
        <f t="shared" si="4"/>
        <v>0</v>
      </c>
      <c r="P20" s="15">
        <f t="shared" si="5"/>
        <v>-5.2785145888593092</v>
      </c>
      <c r="Q20" s="91">
        <f t="shared" si="6"/>
        <v>0.96568965517241445</v>
      </c>
      <c r="R20" s="177"/>
      <c r="S20" s="21">
        <v>0.78263888888888888</v>
      </c>
      <c r="T20" s="21">
        <v>0.82291666666666663</v>
      </c>
      <c r="U20" s="88">
        <f t="shared" si="18"/>
        <v>4.9999999999999822</v>
      </c>
      <c r="V20" s="30">
        <f t="shared" si="17"/>
        <v>57.999999999999957</v>
      </c>
      <c r="W20" s="16">
        <f>T20</f>
        <v>0.82291666666666663</v>
      </c>
      <c r="X20" s="16">
        <f>S21</f>
        <v>0.86180555555555549</v>
      </c>
      <c r="Y20" s="16"/>
      <c r="Z20" s="16"/>
      <c r="AA20" s="168"/>
      <c r="AB20" s="168"/>
      <c r="AC20" s="18"/>
      <c r="AD20" s="18"/>
      <c r="AE20" s="14">
        <f t="shared" si="8"/>
        <v>-68.620689655171191</v>
      </c>
      <c r="AF20" s="91">
        <f t="shared" si="9"/>
        <v>0.96568965517241445</v>
      </c>
      <c r="AG20" s="177"/>
    </row>
    <row r="21" spans="1:33" ht="16.5" customHeight="1">
      <c r="A21" s="198" t="s">
        <v>2494</v>
      </c>
      <c r="B21" s="88" t="s">
        <v>5</v>
      </c>
      <c r="C21" s="193" t="s">
        <v>15</v>
      </c>
      <c r="D21" s="193"/>
      <c r="E21" s="28">
        <v>50.92</v>
      </c>
      <c r="F21" s="88">
        <v>1772</v>
      </c>
      <c r="G21" s="88">
        <f t="shared" si="15"/>
        <v>90230.24</v>
      </c>
      <c r="H21" s="30" t="s">
        <v>53</v>
      </c>
      <c r="I21" s="95">
        <v>15</v>
      </c>
      <c r="J21" s="13">
        <v>2000</v>
      </c>
      <c r="K21" s="12">
        <f t="shared" si="1"/>
        <v>133.33333333333334</v>
      </c>
      <c r="L21" s="95">
        <v>15</v>
      </c>
      <c r="M21" s="13">
        <f t="shared" si="16"/>
        <v>1933.0909090909104</v>
      </c>
      <c r="N21" s="12">
        <f t="shared" si="3"/>
        <v>128.87272727272736</v>
      </c>
      <c r="O21" s="14">
        <f t="shared" si="4"/>
        <v>0</v>
      </c>
      <c r="P21" s="15">
        <f t="shared" si="5"/>
        <v>-4.4606060606059827</v>
      </c>
      <c r="Q21" s="91">
        <f t="shared" si="6"/>
        <v>0.96654545454545515</v>
      </c>
      <c r="R21" s="177"/>
      <c r="S21" s="21">
        <v>0.86180555555555549</v>
      </c>
      <c r="T21" s="21">
        <v>0.89999999999999991</v>
      </c>
      <c r="U21" s="88">
        <f t="shared" si="18"/>
        <v>55.999999999999957</v>
      </c>
      <c r="V21" s="30">
        <f t="shared" si="17"/>
        <v>54.999999999999964</v>
      </c>
      <c r="W21" s="16"/>
      <c r="X21" s="16"/>
      <c r="Y21" s="16"/>
      <c r="Z21" s="16"/>
      <c r="AA21" s="168"/>
      <c r="AB21" s="168"/>
      <c r="AC21" s="18"/>
      <c r="AD21" s="18"/>
      <c r="AE21" s="14">
        <f t="shared" si="8"/>
        <v>-66.909090909089628</v>
      </c>
      <c r="AF21" s="91">
        <f t="shared" si="9"/>
        <v>0.96654545454545515</v>
      </c>
      <c r="AG21" s="177"/>
    </row>
    <row r="22" spans="1:33" ht="16.5" customHeight="1">
      <c r="A22" s="198" t="s">
        <v>2495</v>
      </c>
      <c r="B22" s="28" t="s">
        <v>2496</v>
      </c>
      <c r="C22" s="178"/>
      <c r="D22" s="178"/>
      <c r="E22" s="92"/>
      <c r="F22" s="12"/>
      <c r="G22" s="12"/>
      <c r="H22" s="88"/>
      <c r="I22" s="23">
        <v>17</v>
      </c>
      <c r="J22" s="13">
        <v>1800</v>
      </c>
      <c r="K22" s="12">
        <f t="shared" si="1"/>
        <v>105.88235294117646</v>
      </c>
      <c r="L22" s="23">
        <v>17</v>
      </c>
      <c r="M22" s="13">
        <f>AVERAGE(M17:M21)</f>
        <v>1736.7980549228009</v>
      </c>
      <c r="N22" s="12">
        <f t="shared" si="3"/>
        <v>102.16459146604711</v>
      </c>
      <c r="O22" s="14">
        <f t="shared" si="4"/>
        <v>0</v>
      </c>
      <c r="P22" s="15">
        <f t="shared" si="5"/>
        <v>-3.7177614751293504</v>
      </c>
      <c r="Q22" s="91">
        <f t="shared" si="6"/>
        <v>0.96488780829044507</v>
      </c>
      <c r="R22" s="177"/>
      <c r="S22" s="21"/>
      <c r="T22" s="21"/>
      <c r="U22" s="88"/>
      <c r="V22" s="30"/>
      <c r="W22" s="12"/>
      <c r="X22" s="12"/>
      <c r="Y22" s="24">
        <f>SUM(Y17:Y21)</f>
        <v>0</v>
      </c>
      <c r="Z22" s="24">
        <f>SUM(Z17:Z21)</f>
        <v>0</v>
      </c>
      <c r="AA22" s="167"/>
      <c r="AB22" s="167"/>
      <c r="AC22" s="24">
        <v>5</v>
      </c>
      <c r="AD22" s="24">
        <f>SUM(AD17:AD21)</f>
        <v>0</v>
      </c>
      <c r="AE22" s="14">
        <f t="shared" si="8"/>
        <v>-63.201945077199071</v>
      </c>
      <c r="AF22" s="91">
        <f t="shared" si="9"/>
        <v>0.96488780829044496</v>
      </c>
      <c r="AG22" s="177"/>
    </row>
    <row r="23" spans="1:33" ht="15.75" customHeight="1">
      <c r="A23" s="195" t="s">
        <v>2497</v>
      </c>
      <c r="B23" s="28" t="s">
        <v>5</v>
      </c>
      <c r="C23" s="193" t="s">
        <v>17</v>
      </c>
      <c r="D23" s="193"/>
      <c r="E23" s="28">
        <v>57.73</v>
      </c>
      <c r="F23" s="88">
        <v>2942</v>
      </c>
      <c r="G23" s="88">
        <f t="shared" ref="G23:G27" si="19">E23*F23</f>
        <v>169841.66</v>
      </c>
      <c r="H23" s="30" t="s">
        <v>53</v>
      </c>
      <c r="I23" s="95">
        <v>14</v>
      </c>
      <c r="J23" s="13">
        <v>2000</v>
      </c>
      <c r="K23" s="12">
        <f t="shared" si="1"/>
        <v>142.85714285714286</v>
      </c>
      <c r="L23" s="95">
        <v>14</v>
      </c>
      <c r="M23" s="13">
        <f t="shared" ref="M23:M27" si="20">F23/V23*60</f>
        <v>1918.695652173913</v>
      </c>
      <c r="N23" s="12">
        <f t="shared" si="3"/>
        <v>137.04968944099377</v>
      </c>
      <c r="O23" s="14">
        <f t="shared" si="4"/>
        <v>0</v>
      </c>
      <c r="P23" s="15">
        <f t="shared" si="5"/>
        <v>-5.8074534161490874</v>
      </c>
      <c r="Q23" s="91">
        <f t="shared" si="6"/>
        <v>0.95934782608695635</v>
      </c>
      <c r="R23" s="177">
        <f>Q28</f>
        <v>0.95945579628724953</v>
      </c>
      <c r="S23" s="21">
        <v>0.29166666666666669</v>
      </c>
      <c r="T23" s="21">
        <v>0.35555555555555557</v>
      </c>
      <c r="U23" s="88"/>
      <c r="V23" s="30">
        <f t="shared" ref="V23:V27" si="21">(T23-S23)*24*60</f>
        <v>92</v>
      </c>
      <c r="W23" s="21"/>
      <c r="X23" s="21"/>
      <c r="Y23" s="21"/>
      <c r="Z23" s="21"/>
      <c r="AA23" s="168"/>
      <c r="AB23" s="168"/>
      <c r="AC23" s="18">
        <v>5</v>
      </c>
      <c r="AD23" s="18"/>
      <c r="AE23" s="14">
        <f t="shared" si="8"/>
        <v>-81.304347826086996</v>
      </c>
      <c r="AF23" s="91">
        <f t="shared" si="9"/>
        <v>0.95934782608695646</v>
      </c>
      <c r="AG23" s="177">
        <f>AF28</f>
        <v>0.95945579628724953</v>
      </c>
    </row>
    <row r="24" spans="1:33" ht="15.75" customHeight="1">
      <c r="A24" s="196" t="s">
        <v>2497</v>
      </c>
      <c r="B24" s="28" t="s">
        <v>5</v>
      </c>
      <c r="C24" s="193" t="s">
        <v>18</v>
      </c>
      <c r="D24" s="193"/>
      <c r="E24" s="28">
        <v>53.68</v>
      </c>
      <c r="F24" s="88">
        <v>1480</v>
      </c>
      <c r="G24" s="88">
        <f t="shared" si="19"/>
        <v>79446.399999999994</v>
      </c>
      <c r="H24" s="30" t="s">
        <v>53</v>
      </c>
      <c r="I24" s="95">
        <v>16</v>
      </c>
      <c r="J24" s="13">
        <v>2000</v>
      </c>
      <c r="K24" s="12">
        <f t="shared" si="1"/>
        <v>125</v>
      </c>
      <c r="L24" s="95">
        <v>16</v>
      </c>
      <c r="M24" s="13">
        <f t="shared" si="20"/>
        <v>1930.4347826086955</v>
      </c>
      <c r="N24" s="12">
        <f t="shared" si="3"/>
        <v>120.65217391304347</v>
      </c>
      <c r="O24" s="14">
        <f t="shared" si="4"/>
        <v>0</v>
      </c>
      <c r="P24" s="15">
        <f t="shared" si="5"/>
        <v>-4.3478260869565304</v>
      </c>
      <c r="Q24" s="91">
        <f t="shared" si="6"/>
        <v>0.9652173913043478</v>
      </c>
      <c r="R24" s="177"/>
      <c r="S24" s="21">
        <v>0.3611111111111111</v>
      </c>
      <c r="T24" s="21">
        <v>0.39305555555555555</v>
      </c>
      <c r="U24" s="88">
        <f t="shared" ref="U24:U27" si="22">IF(S24=TIME(17,0,0),"",(S24-T23)*24*60)</f>
        <v>7.9999999999999716</v>
      </c>
      <c r="V24" s="30">
        <f t="shared" si="21"/>
        <v>46</v>
      </c>
      <c r="W24" s="16"/>
      <c r="X24" s="88"/>
      <c r="Y24" s="88"/>
      <c r="Z24" s="88"/>
      <c r="AA24" s="168"/>
      <c r="AB24" s="168"/>
      <c r="AC24" s="18"/>
      <c r="AD24" s="18"/>
      <c r="AE24" s="14">
        <f t="shared" si="8"/>
        <v>-69.565217391304486</v>
      </c>
      <c r="AF24" s="91">
        <f t="shared" si="9"/>
        <v>0.9652173913043478</v>
      </c>
      <c r="AG24" s="177"/>
    </row>
    <row r="25" spans="1:33" ht="15.75" customHeight="1">
      <c r="A25" s="196" t="s">
        <v>2498</v>
      </c>
      <c r="B25" s="28" t="s">
        <v>5</v>
      </c>
      <c r="C25" s="193" t="s">
        <v>73</v>
      </c>
      <c r="D25" s="193"/>
      <c r="E25" s="28">
        <v>50.67</v>
      </c>
      <c r="F25" s="88">
        <v>3066</v>
      </c>
      <c r="G25" s="88">
        <f t="shared" si="19"/>
        <v>155354.22</v>
      </c>
      <c r="H25" s="30" t="s">
        <v>53</v>
      </c>
      <c r="I25" s="95">
        <v>17</v>
      </c>
      <c r="J25" s="13">
        <v>2000</v>
      </c>
      <c r="K25" s="12">
        <f t="shared" si="1"/>
        <v>117.64705882352941</v>
      </c>
      <c r="L25" s="95">
        <v>17</v>
      </c>
      <c r="M25" s="13">
        <f t="shared" si="20"/>
        <v>1916.2500000000007</v>
      </c>
      <c r="N25" s="12">
        <f t="shared" si="3"/>
        <v>112.72058823529416</v>
      </c>
      <c r="O25" s="14">
        <f t="shared" si="4"/>
        <v>0</v>
      </c>
      <c r="P25" s="15">
        <f t="shared" si="5"/>
        <v>-4.9264705882352473</v>
      </c>
      <c r="Q25" s="91">
        <f t="shared" si="6"/>
        <v>0.95812500000000045</v>
      </c>
      <c r="R25" s="177"/>
      <c r="S25" s="21">
        <v>0.39861111111111108</v>
      </c>
      <c r="T25" s="21">
        <v>0.46527777777777773</v>
      </c>
      <c r="U25" s="88">
        <f t="shared" si="22"/>
        <v>7.9999999999999716</v>
      </c>
      <c r="V25" s="30">
        <f t="shared" si="21"/>
        <v>95.999999999999972</v>
      </c>
      <c r="W25" s="16"/>
      <c r="X25" s="88"/>
      <c r="Y25" s="88"/>
      <c r="Z25" s="88"/>
      <c r="AA25" s="168"/>
      <c r="AB25" s="168"/>
      <c r="AC25" s="18"/>
      <c r="AD25" s="18"/>
      <c r="AE25" s="14">
        <f t="shared" si="8"/>
        <v>-83.749999999999318</v>
      </c>
      <c r="AF25" s="91">
        <f t="shared" si="9"/>
        <v>0.95812500000000034</v>
      </c>
      <c r="AG25" s="177"/>
    </row>
    <row r="26" spans="1:33" ht="15.75" customHeight="1">
      <c r="A26" s="196" t="s">
        <v>2497</v>
      </c>
      <c r="B26" s="28" t="s">
        <v>5</v>
      </c>
      <c r="C26" s="193" t="s">
        <v>19</v>
      </c>
      <c r="D26" s="193"/>
      <c r="E26" s="28">
        <v>50.49</v>
      </c>
      <c r="F26" s="88">
        <v>2389</v>
      </c>
      <c r="G26" s="88">
        <f t="shared" si="19"/>
        <v>120620.61</v>
      </c>
      <c r="H26" s="30" t="s">
        <v>53</v>
      </c>
      <c r="I26" s="95">
        <v>15</v>
      </c>
      <c r="J26" s="13">
        <v>2000</v>
      </c>
      <c r="K26" s="12">
        <f t="shared" si="1"/>
        <v>133.33333333333334</v>
      </c>
      <c r="L26" s="95">
        <v>15</v>
      </c>
      <c r="M26" s="13">
        <f t="shared" si="20"/>
        <v>1911.1999999999987</v>
      </c>
      <c r="N26" s="12">
        <f t="shared" si="3"/>
        <v>127.41333333333324</v>
      </c>
      <c r="O26" s="14">
        <f t="shared" si="4"/>
        <v>0</v>
      </c>
      <c r="P26" s="15">
        <f t="shared" si="5"/>
        <v>-5.9200000000001012</v>
      </c>
      <c r="Q26" s="91">
        <f t="shared" si="6"/>
        <v>0.95559999999999923</v>
      </c>
      <c r="R26" s="177"/>
      <c r="S26" s="21">
        <v>0.70833333333333337</v>
      </c>
      <c r="T26" s="21">
        <v>0.76041666666666674</v>
      </c>
      <c r="U26" s="88" t="str">
        <f t="shared" si="22"/>
        <v/>
      </c>
      <c r="V26" s="30">
        <f t="shared" si="21"/>
        <v>75.000000000000057</v>
      </c>
      <c r="W26" s="16"/>
      <c r="X26" s="88"/>
      <c r="Y26" s="88"/>
      <c r="Z26" s="88"/>
      <c r="AA26" s="168"/>
      <c r="AB26" s="168"/>
      <c r="AC26" s="18"/>
      <c r="AD26" s="18"/>
      <c r="AE26" s="14">
        <f t="shared" si="8"/>
        <v>-88.800000000001319</v>
      </c>
      <c r="AF26" s="91">
        <f t="shared" si="9"/>
        <v>0.95559999999999934</v>
      </c>
      <c r="AG26" s="177"/>
    </row>
    <row r="27" spans="1:33" ht="15.75" customHeight="1">
      <c r="A27" s="196" t="s">
        <v>2497</v>
      </c>
      <c r="B27" s="28" t="s">
        <v>5</v>
      </c>
      <c r="C27" s="193" t="s">
        <v>14</v>
      </c>
      <c r="D27" s="193"/>
      <c r="E27" s="28">
        <v>50.98</v>
      </c>
      <c r="F27" s="88">
        <v>2845</v>
      </c>
      <c r="G27" s="88">
        <f t="shared" si="19"/>
        <v>145038.09999999998</v>
      </c>
      <c r="H27" s="30" t="s">
        <v>53</v>
      </c>
      <c r="I27" s="95">
        <v>16</v>
      </c>
      <c r="J27" s="13">
        <v>2000</v>
      </c>
      <c r="K27" s="12">
        <f t="shared" si="1"/>
        <v>125</v>
      </c>
      <c r="L27" s="95">
        <v>16</v>
      </c>
      <c r="M27" s="13">
        <f t="shared" si="20"/>
        <v>1917.9775280898875</v>
      </c>
      <c r="N27" s="12">
        <f t="shared" si="3"/>
        <v>119.87359550561797</v>
      </c>
      <c r="O27" s="14">
        <f t="shared" si="4"/>
        <v>0</v>
      </c>
      <c r="P27" s="15">
        <f t="shared" si="5"/>
        <v>-5.1264044943820295</v>
      </c>
      <c r="Q27" s="91">
        <f t="shared" si="6"/>
        <v>0.95898876404494371</v>
      </c>
      <c r="R27" s="177"/>
      <c r="S27" s="21">
        <v>0.76597222222222228</v>
      </c>
      <c r="T27" s="21">
        <v>0.82777777777777783</v>
      </c>
      <c r="U27" s="88">
        <f t="shared" si="22"/>
        <v>7.9999999999999716</v>
      </c>
      <c r="V27" s="30">
        <f t="shared" si="21"/>
        <v>89</v>
      </c>
      <c r="W27" s="16"/>
      <c r="X27" s="16"/>
      <c r="Y27" s="88"/>
      <c r="Z27" s="88"/>
      <c r="AA27" s="168"/>
      <c r="AB27" s="168"/>
      <c r="AC27" s="18"/>
      <c r="AD27" s="18"/>
      <c r="AE27" s="14">
        <f t="shared" si="8"/>
        <v>-82.022471910112472</v>
      </c>
      <c r="AF27" s="91">
        <f t="shared" si="9"/>
        <v>0.95898876404494371</v>
      </c>
      <c r="AG27" s="177"/>
    </row>
    <row r="28" spans="1:33" ht="15.75" customHeight="1">
      <c r="A28" s="196" t="s">
        <v>2497</v>
      </c>
      <c r="B28" s="28" t="s">
        <v>2499</v>
      </c>
      <c r="C28" s="178"/>
      <c r="D28" s="178"/>
      <c r="E28" s="92"/>
      <c r="F28" s="88"/>
      <c r="G28" s="88"/>
      <c r="H28" s="88"/>
      <c r="I28" s="23">
        <v>15.6</v>
      </c>
      <c r="J28" s="13">
        <v>2000</v>
      </c>
      <c r="K28" s="12">
        <f t="shared" si="1"/>
        <v>128.2051282051282</v>
      </c>
      <c r="L28" s="23">
        <v>15.6</v>
      </c>
      <c r="M28" s="13">
        <f>AVERAGE(M23:M27)</f>
        <v>1918.9115925744991</v>
      </c>
      <c r="N28" s="12">
        <f t="shared" si="3"/>
        <v>123.0071533701602</v>
      </c>
      <c r="O28" s="14">
        <f t="shared" si="4"/>
        <v>0</v>
      </c>
      <c r="P28" s="15">
        <f t="shared" si="5"/>
        <v>-5.1979748349680079</v>
      </c>
      <c r="Q28" s="91">
        <f t="shared" si="6"/>
        <v>0.95945579628724953</v>
      </c>
      <c r="R28" s="177"/>
      <c r="S28" s="21"/>
      <c r="T28" s="21"/>
      <c r="U28" s="12"/>
      <c r="V28" s="30"/>
      <c r="W28" s="12"/>
      <c r="X28" s="12"/>
      <c r="Y28" s="24">
        <f>SUM(Y23:Y27)</f>
        <v>0</v>
      </c>
      <c r="Z28" s="24">
        <f>SUM(Z23:Z27)</f>
        <v>0</v>
      </c>
      <c r="AA28" s="167"/>
      <c r="AB28" s="167"/>
      <c r="AC28" s="24">
        <v>5</v>
      </c>
      <c r="AD28" s="24">
        <f>SUM(AD23:AD27)</f>
        <v>0</v>
      </c>
      <c r="AE28" s="14">
        <f t="shared" si="8"/>
        <v>-81.088407425500918</v>
      </c>
      <c r="AF28" s="91">
        <f t="shared" si="9"/>
        <v>0.95945579628724953</v>
      </c>
      <c r="AG28" s="177"/>
    </row>
    <row r="29" spans="1:33" ht="15.75" customHeight="1">
      <c r="A29" s="194" t="s">
        <v>2500</v>
      </c>
      <c r="B29" s="28" t="s">
        <v>22</v>
      </c>
      <c r="C29" s="193" t="s">
        <v>23</v>
      </c>
      <c r="D29" s="193"/>
      <c r="E29" s="28">
        <v>31.29</v>
      </c>
      <c r="F29" s="88">
        <v>6800</v>
      </c>
      <c r="G29" s="88">
        <f t="shared" ref="G29:G36" si="23">E29*F29</f>
        <v>212772</v>
      </c>
      <c r="H29" s="30">
        <v>2</v>
      </c>
      <c r="I29" s="95">
        <v>18</v>
      </c>
      <c r="J29" s="13">
        <v>2400</v>
      </c>
      <c r="K29" s="12">
        <f t="shared" si="1"/>
        <v>133.33333333333334</v>
      </c>
      <c r="L29" s="95">
        <v>18</v>
      </c>
      <c r="M29" s="13">
        <f t="shared" ref="M29:M36" si="24">F29/V29*60</f>
        <v>2292.1348314606744</v>
      </c>
      <c r="N29" s="12">
        <f t="shared" si="3"/>
        <v>127.34082397003746</v>
      </c>
      <c r="O29" s="14">
        <f t="shared" si="4"/>
        <v>0</v>
      </c>
      <c r="P29" s="15">
        <f t="shared" si="5"/>
        <v>-5.9925093632958806</v>
      </c>
      <c r="Q29" s="91">
        <f t="shared" si="6"/>
        <v>0.9550561797752809</v>
      </c>
      <c r="R29" s="177">
        <f>Q37</f>
        <v>0.9595487993338031</v>
      </c>
      <c r="S29" s="21">
        <v>8.3333333333333329E-2</v>
      </c>
      <c r="T29" s="21">
        <v>0.20694444444444443</v>
      </c>
      <c r="U29" s="88"/>
      <c r="V29" s="30">
        <f t="shared" ref="V29:V36" si="25">(T29-S29)*24*60</f>
        <v>177.99999999999997</v>
      </c>
      <c r="W29" s="16">
        <f>T29</f>
        <v>0.20694444444444443</v>
      </c>
      <c r="X29" s="16">
        <f>S30</f>
        <v>0.22638888888888889</v>
      </c>
      <c r="Y29" s="16"/>
      <c r="Z29" s="16"/>
      <c r="AA29" s="168"/>
      <c r="AB29" s="168"/>
      <c r="AC29" s="18">
        <v>8</v>
      </c>
      <c r="AD29" s="18"/>
      <c r="AE29" s="14">
        <f t="shared" si="8"/>
        <v>-107.86516853932562</v>
      </c>
      <c r="AF29" s="91">
        <f t="shared" si="9"/>
        <v>0.95505617977528101</v>
      </c>
      <c r="AG29" s="177">
        <f>AF37</f>
        <v>0.9595487993338031</v>
      </c>
    </row>
    <row r="30" spans="1:33" ht="15.75" customHeight="1">
      <c r="A30" s="194" t="s">
        <v>2501</v>
      </c>
      <c r="B30" s="28" t="s">
        <v>22</v>
      </c>
      <c r="C30" s="193" t="s">
        <v>24</v>
      </c>
      <c r="D30" s="193"/>
      <c r="E30" s="28">
        <v>25.98</v>
      </c>
      <c r="F30" s="88">
        <v>3658</v>
      </c>
      <c r="G30" s="88">
        <f t="shared" si="23"/>
        <v>95034.84</v>
      </c>
      <c r="H30" s="30" t="s">
        <v>53</v>
      </c>
      <c r="I30" s="95">
        <v>21</v>
      </c>
      <c r="J30" s="13">
        <v>2400</v>
      </c>
      <c r="K30" s="12">
        <f t="shared" si="1"/>
        <v>114.28571428571429</v>
      </c>
      <c r="L30" s="95">
        <v>21</v>
      </c>
      <c r="M30" s="13">
        <f t="shared" si="24"/>
        <v>2286.25</v>
      </c>
      <c r="N30" s="12">
        <f t="shared" si="3"/>
        <v>108.86904761904762</v>
      </c>
      <c r="O30" s="14">
        <f t="shared" si="4"/>
        <v>0</v>
      </c>
      <c r="P30" s="15">
        <f t="shared" si="5"/>
        <v>-5.4166666666666714</v>
      </c>
      <c r="Q30" s="91">
        <f t="shared" si="6"/>
        <v>0.95260416666666659</v>
      </c>
      <c r="R30" s="177"/>
      <c r="S30" s="21">
        <v>0.22638888888888889</v>
      </c>
      <c r="T30" s="21">
        <v>0.29305555555555557</v>
      </c>
      <c r="U30" s="88">
        <f t="shared" ref="U30:U36" si="26">(S30-T29)*24*60</f>
        <v>28.000000000000021</v>
      </c>
      <c r="V30" s="30">
        <f t="shared" si="25"/>
        <v>96.000000000000014</v>
      </c>
      <c r="W30" s="16"/>
      <c r="X30" s="16"/>
      <c r="Y30" s="16"/>
      <c r="Z30" s="16"/>
      <c r="AA30" s="168"/>
      <c r="AB30" s="168"/>
      <c r="AC30" s="18"/>
      <c r="AD30" s="18"/>
      <c r="AE30" s="14">
        <f t="shared" si="8"/>
        <v>-113.75</v>
      </c>
      <c r="AF30" s="91">
        <f t="shared" si="9"/>
        <v>0.9526041666666667</v>
      </c>
      <c r="AG30" s="177"/>
    </row>
    <row r="31" spans="1:33" ht="15.75" customHeight="1">
      <c r="A31" s="194" t="s">
        <v>2501</v>
      </c>
      <c r="B31" s="28" t="s">
        <v>22</v>
      </c>
      <c r="C31" s="193" t="s">
        <v>26</v>
      </c>
      <c r="D31" s="193"/>
      <c r="E31" s="28">
        <v>25.99</v>
      </c>
      <c r="F31" s="88">
        <v>3000</v>
      </c>
      <c r="G31" s="88">
        <f t="shared" si="23"/>
        <v>77970</v>
      </c>
      <c r="H31" s="30">
        <v>2</v>
      </c>
      <c r="I31" s="95">
        <v>14</v>
      </c>
      <c r="J31" s="13">
        <v>2400</v>
      </c>
      <c r="K31" s="12">
        <f t="shared" si="1"/>
        <v>171.42857142857142</v>
      </c>
      <c r="L31" s="95">
        <v>14</v>
      </c>
      <c r="M31" s="13">
        <f t="shared" si="24"/>
        <v>2307.692307692309</v>
      </c>
      <c r="N31" s="12">
        <f t="shared" si="3"/>
        <v>164.83516483516493</v>
      </c>
      <c r="O31" s="14">
        <f t="shared" si="4"/>
        <v>0</v>
      </c>
      <c r="P31" s="15">
        <f t="shared" si="5"/>
        <v>-6.5934065934064847</v>
      </c>
      <c r="Q31" s="91">
        <f t="shared" si="6"/>
        <v>0.96153846153846212</v>
      </c>
      <c r="R31" s="177"/>
      <c r="S31" s="21">
        <v>0.29652777777777778</v>
      </c>
      <c r="T31" s="21">
        <v>0.35069444444444442</v>
      </c>
      <c r="U31" s="88">
        <f t="shared" si="26"/>
        <v>4.9999999999999822</v>
      </c>
      <c r="V31" s="30">
        <f t="shared" si="25"/>
        <v>77.999999999999957</v>
      </c>
      <c r="W31" s="16"/>
      <c r="X31" s="16"/>
      <c r="Y31" s="16"/>
      <c r="Z31" s="16"/>
      <c r="AA31" s="168"/>
      <c r="AB31" s="168"/>
      <c r="AC31" s="18"/>
      <c r="AD31" s="18"/>
      <c r="AE31" s="14">
        <f t="shared" si="8"/>
        <v>-92.307692307691013</v>
      </c>
      <c r="AF31" s="91">
        <f t="shared" si="9"/>
        <v>0.96153846153846212</v>
      </c>
      <c r="AG31" s="177"/>
    </row>
    <row r="32" spans="1:33" ht="15.75" customHeight="1">
      <c r="A32" s="194" t="s">
        <v>2501</v>
      </c>
      <c r="B32" s="28" t="s">
        <v>22</v>
      </c>
      <c r="C32" s="193" t="s">
        <v>27</v>
      </c>
      <c r="D32" s="193"/>
      <c r="E32" s="28">
        <v>26.18</v>
      </c>
      <c r="F32" s="88">
        <v>1977</v>
      </c>
      <c r="G32" s="88">
        <f t="shared" si="23"/>
        <v>51757.86</v>
      </c>
      <c r="H32" s="30" t="s">
        <v>53</v>
      </c>
      <c r="I32" s="95">
        <v>19</v>
      </c>
      <c r="J32" s="13">
        <v>2400</v>
      </c>
      <c r="K32" s="12">
        <f t="shared" si="1"/>
        <v>126.31578947368421</v>
      </c>
      <c r="L32" s="95">
        <v>19</v>
      </c>
      <c r="M32" s="13">
        <f t="shared" si="24"/>
        <v>2325.8823529411775</v>
      </c>
      <c r="N32" s="12">
        <f t="shared" si="3"/>
        <v>122.4148606811146</v>
      </c>
      <c r="O32" s="14">
        <f t="shared" si="4"/>
        <v>0</v>
      </c>
      <c r="P32" s="15">
        <f t="shared" si="5"/>
        <v>-3.9009287925696015</v>
      </c>
      <c r="Q32" s="91">
        <f t="shared" si="6"/>
        <v>0.96911764705882397</v>
      </c>
      <c r="R32" s="177"/>
      <c r="S32" s="21">
        <v>0.35624999999999996</v>
      </c>
      <c r="T32" s="21">
        <v>0.39166666666666661</v>
      </c>
      <c r="U32" s="88">
        <f t="shared" si="26"/>
        <v>7.9999999999999716</v>
      </c>
      <c r="V32" s="30">
        <f t="shared" si="25"/>
        <v>50.999999999999979</v>
      </c>
      <c r="W32" s="16"/>
      <c r="X32" s="16"/>
      <c r="Y32" s="16"/>
      <c r="Z32" s="16"/>
      <c r="AA32" s="168"/>
      <c r="AB32" s="168"/>
      <c r="AC32" s="18"/>
      <c r="AD32" s="18"/>
      <c r="AE32" s="14">
        <f t="shared" si="8"/>
        <v>-74.117647058822513</v>
      </c>
      <c r="AF32" s="91">
        <f t="shared" si="9"/>
        <v>0.96911764705882397</v>
      </c>
      <c r="AG32" s="177"/>
    </row>
    <row r="33" spans="1:33" ht="15.75" customHeight="1">
      <c r="A33" s="194" t="s">
        <v>2501</v>
      </c>
      <c r="B33" s="28" t="s">
        <v>22</v>
      </c>
      <c r="C33" s="193" t="s">
        <v>25</v>
      </c>
      <c r="D33" s="193"/>
      <c r="E33" s="28">
        <v>26.2</v>
      </c>
      <c r="F33" s="88">
        <v>3800</v>
      </c>
      <c r="G33" s="88">
        <f t="shared" si="23"/>
        <v>99560</v>
      </c>
      <c r="H33" s="30">
        <v>2</v>
      </c>
      <c r="I33" s="95">
        <v>20</v>
      </c>
      <c r="J33" s="13">
        <v>2400</v>
      </c>
      <c r="K33" s="12">
        <f t="shared" si="1"/>
        <v>120</v>
      </c>
      <c r="L33" s="95">
        <v>20</v>
      </c>
      <c r="M33" s="13">
        <f t="shared" si="24"/>
        <v>2303.0303030303039</v>
      </c>
      <c r="N33" s="12">
        <f t="shared" si="3"/>
        <v>115.1515151515152</v>
      </c>
      <c r="O33" s="14">
        <f t="shared" si="4"/>
        <v>0</v>
      </c>
      <c r="P33" s="15">
        <f t="shared" si="5"/>
        <v>-4.8484848484848015</v>
      </c>
      <c r="Q33" s="91">
        <f t="shared" si="6"/>
        <v>0.95959595959596</v>
      </c>
      <c r="R33" s="177"/>
      <c r="S33" s="21">
        <v>0.39583333333333326</v>
      </c>
      <c r="T33" s="21">
        <v>0.46458333333333324</v>
      </c>
      <c r="U33" s="88">
        <f t="shared" si="26"/>
        <v>5.9999999999999787</v>
      </c>
      <c r="V33" s="30">
        <f t="shared" si="25"/>
        <v>98.999999999999972</v>
      </c>
      <c r="W33" s="16">
        <f>T33</f>
        <v>0.46458333333333324</v>
      </c>
      <c r="X33" s="16">
        <f>S34</f>
        <v>0.50486111111111098</v>
      </c>
      <c r="Y33" s="16"/>
      <c r="Z33" s="16"/>
      <c r="AA33" s="168"/>
      <c r="AB33" s="168"/>
      <c r="AC33" s="18"/>
      <c r="AD33" s="18"/>
      <c r="AE33" s="14">
        <f t="shared" si="8"/>
        <v>-96.969696969696088</v>
      </c>
      <c r="AF33" s="91">
        <f t="shared" si="9"/>
        <v>0.95959595959596</v>
      </c>
      <c r="AG33" s="177"/>
    </row>
    <row r="34" spans="1:33" ht="15.75" customHeight="1">
      <c r="A34" s="194" t="s">
        <v>2500</v>
      </c>
      <c r="B34" s="28" t="s">
        <v>22</v>
      </c>
      <c r="C34" s="193" t="s">
        <v>23</v>
      </c>
      <c r="D34" s="193"/>
      <c r="E34" s="28">
        <v>31.29</v>
      </c>
      <c r="F34" s="88">
        <v>4993</v>
      </c>
      <c r="G34" s="88">
        <f t="shared" si="23"/>
        <v>156230.97</v>
      </c>
      <c r="H34" s="30" t="s">
        <v>53</v>
      </c>
      <c r="I34" s="95">
        <v>18</v>
      </c>
      <c r="J34" s="13">
        <v>2400</v>
      </c>
      <c r="K34" s="12">
        <f t="shared" si="1"/>
        <v>133.33333333333334</v>
      </c>
      <c r="L34" s="95">
        <v>18</v>
      </c>
      <c r="M34" s="13">
        <f t="shared" si="24"/>
        <v>2286.8702290076335</v>
      </c>
      <c r="N34" s="12">
        <f t="shared" si="3"/>
        <v>127.04834605597964</v>
      </c>
      <c r="O34" s="14">
        <f t="shared" si="4"/>
        <v>0</v>
      </c>
      <c r="P34" s="15">
        <f t="shared" si="5"/>
        <v>-6.2849872773537072</v>
      </c>
      <c r="Q34" s="91">
        <f t="shared" si="6"/>
        <v>0.95286259541984719</v>
      </c>
      <c r="R34" s="177"/>
      <c r="S34" s="21">
        <v>0.50486111111111098</v>
      </c>
      <c r="T34" s="21">
        <v>0.59583333333333321</v>
      </c>
      <c r="U34" s="88">
        <f t="shared" si="26"/>
        <v>57.999999999999957</v>
      </c>
      <c r="V34" s="30">
        <f t="shared" si="25"/>
        <v>131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8"/>
        <v>-113.1297709923665</v>
      </c>
      <c r="AF34" s="91">
        <f t="shared" si="9"/>
        <v>0.9528625954198473</v>
      </c>
      <c r="AG34" s="177"/>
    </row>
    <row r="35" spans="1:33" ht="15.75" customHeight="1">
      <c r="A35" s="194" t="s">
        <v>2500</v>
      </c>
      <c r="B35" s="28" t="s">
        <v>22</v>
      </c>
      <c r="C35" s="193" t="s">
        <v>25</v>
      </c>
      <c r="D35" s="193"/>
      <c r="E35" s="28">
        <v>26.2</v>
      </c>
      <c r="F35" s="88">
        <v>2883</v>
      </c>
      <c r="G35" s="88">
        <f t="shared" si="23"/>
        <v>75534.599999999991</v>
      </c>
      <c r="H35" s="30" t="s">
        <v>53</v>
      </c>
      <c r="I35" s="95">
        <v>20</v>
      </c>
      <c r="J35" s="13">
        <v>2400</v>
      </c>
      <c r="K35" s="12">
        <f t="shared" si="1"/>
        <v>120</v>
      </c>
      <c r="L35" s="95">
        <v>20</v>
      </c>
      <c r="M35" s="13">
        <f t="shared" si="24"/>
        <v>2306.3999999999983</v>
      </c>
      <c r="N35" s="12">
        <f t="shared" si="3"/>
        <v>115.31999999999991</v>
      </c>
      <c r="O35" s="14">
        <f t="shared" si="4"/>
        <v>0</v>
      </c>
      <c r="P35" s="15">
        <f t="shared" si="5"/>
        <v>-4.6800000000000921</v>
      </c>
      <c r="Q35" s="91">
        <f t="shared" si="6"/>
        <v>0.96099999999999919</v>
      </c>
      <c r="R35" s="177"/>
      <c r="S35" s="21">
        <v>0.59930555555555542</v>
      </c>
      <c r="T35" s="21">
        <v>0.6513888888888888</v>
      </c>
      <c r="U35" s="88">
        <f t="shared" si="26"/>
        <v>4.9999999999999822</v>
      </c>
      <c r="V35" s="30">
        <f t="shared" si="25"/>
        <v>75.000000000000057</v>
      </c>
      <c r="W35" s="16"/>
      <c r="X35" s="16"/>
      <c r="Y35" s="16"/>
      <c r="Z35" s="16"/>
      <c r="AA35" s="168"/>
      <c r="AB35" s="168"/>
      <c r="AC35" s="18"/>
      <c r="AD35" s="18"/>
      <c r="AE35" s="14">
        <f t="shared" si="8"/>
        <v>-93.600000000001728</v>
      </c>
      <c r="AF35" s="91">
        <f t="shared" si="9"/>
        <v>0.9609999999999993</v>
      </c>
      <c r="AG35" s="177"/>
    </row>
    <row r="36" spans="1:33" ht="15.75" customHeight="1">
      <c r="A36" s="194" t="s">
        <v>2502</v>
      </c>
      <c r="B36" s="28" t="s">
        <v>22</v>
      </c>
      <c r="C36" s="100" t="s">
        <v>26</v>
      </c>
      <c r="D36" s="101"/>
      <c r="E36" s="28">
        <v>25.99</v>
      </c>
      <c r="F36" s="88">
        <v>2508</v>
      </c>
      <c r="G36" s="88">
        <f t="shared" si="23"/>
        <v>65182.92</v>
      </c>
      <c r="H36" s="30" t="s">
        <v>53</v>
      </c>
      <c r="I36" s="95">
        <v>14</v>
      </c>
      <c r="J36" s="13">
        <v>2400</v>
      </c>
      <c r="K36" s="12">
        <f t="shared" si="1"/>
        <v>171.42857142857142</v>
      </c>
      <c r="L36" s="95">
        <v>14</v>
      </c>
      <c r="M36" s="13">
        <f t="shared" si="24"/>
        <v>2315.0769230769256</v>
      </c>
      <c r="N36" s="12">
        <f t="shared" si="3"/>
        <v>165.36263736263754</v>
      </c>
      <c r="O36" s="14">
        <f t="shared" si="4"/>
        <v>0</v>
      </c>
      <c r="P36" s="15">
        <f t="shared" si="5"/>
        <v>-6.0659340659338739</v>
      </c>
      <c r="Q36" s="91">
        <f t="shared" si="6"/>
        <v>0.96461538461538576</v>
      </c>
      <c r="R36" s="177"/>
      <c r="S36" s="21">
        <v>0.65486111111111101</v>
      </c>
      <c r="T36" s="21">
        <v>0.69999999999999984</v>
      </c>
      <c r="U36" s="88">
        <f t="shared" si="26"/>
        <v>4.9999999999999822</v>
      </c>
      <c r="V36" s="30">
        <f t="shared" si="25"/>
        <v>64.999999999999929</v>
      </c>
      <c r="W36" s="16"/>
      <c r="X36" s="16"/>
      <c r="Y36" s="16"/>
      <c r="Z36" s="16"/>
      <c r="AA36" s="98"/>
      <c r="AB36" s="99"/>
      <c r="AC36" s="18"/>
      <c r="AD36" s="18"/>
      <c r="AE36" s="14">
        <f t="shared" si="8"/>
        <v>-84.923076923074404</v>
      </c>
      <c r="AF36" s="91">
        <f t="shared" si="9"/>
        <v>0.96461538461538565</v>
      </c>
      <c r="AG36" s="177"/>
    </row>
    <row r="37" spans="1:33" ht="15.75" customHeight="1">
      <c r="A37" s="194" t="s">
        <v>2501</v>
      </c>
      <c r="B37" s="28" t="s">
        <v>2492</v>
      </c>
      <c r="C37" s="178"/>
      <c r="D37" s="178"/>
      <c r="E37" s="92"/>
      <c r="F37" s="88"/>
      <c r="G37" s="88"/>
      <c r="H37" s="88"/>
      <c r="I37" s="23">
        <v>18</v>
      </c>
      <c r="J37" s="13">
        <v>2400</v>
      </c>
      <c r="K37" s="12">
        <f t="shared" si="1"/>
        <v>133.33333333333334</v>
      </c>
      <c r="L37" s="23">
        <v>18</v>
      </c>
      <c r="M37" s="13">
        <f>AVERAGE(M29:M36)</f>
        <v>2302.9171184011275</v>
      </c>
      <c r="N37" s="12">
        <f t="shared" si="3"/>
        <v>127.93983991117375</v>
      </c>
      <c r="O37" s="14">
        <f t="shared" si="4"/>
        <v>0</v>
      </c>
      <c r="P37" s="15">
        <f t="shared" si="5"/>
        <v>-5.3934934221595938</v>
      </c>
      <c r="Q37" s="91">
        <f t="shared" si="6"/>
        <v>0.9595487993338031</v>
      </c>
      <c r="R37" s="177"/>
      <c r="S37" s="21"/>
      <c r="T37" s="21"/>
      <c r="U37" s="88"/>
      <c r="V37" s="30"/>
      <c r="W37" s="88"/>
      <c r="X37" s="88"/>
      <c r="Y37" s="24">
        <f>SUM(Y29:Y36)</f>
        <v>0</v>
      </c>
      <c r="Z37" s="24">
        <f>SUM(Z29:Z36)</f>
        <v>0</v>
      </c>
      <c r="AA37" s="167"/>
      <c r="AB37" s="167"/>
      <c r="AC37" s="24">
        <v>8</v>
      </c>
      <c r="AD37" s="24">
        <f>SUM(AD29:AD36)</f>
        <v>0</v>
      </c>
      <c r="AE37" s="14">
        <f t="shared" si="8"/>
        <v>-97.082881598872518</v>
      </c>
      <c r="AF37" s="91">
        <f t="shared" si="9"/>
        <v>0.9595487993338031</v>
      </c>
      <c r="AG37" s="177"/>
    </row>
    <row r="38" spans="1:33" ht="15.75" customHeight="1">
      <c r="A38" s="191" t="s">
        <v>2503</v>
      </c>
      <c r="B38" s="28" t="s">
        <v>22</v>
      </c>
      <c r="C38" s="169" t="s">
        <v>28</v>
      </c>
      <c r="D38" s="169"/>
      <c r="E38" s="28">
        <v>26.2</v>
      </c>
      <c r="F38" s="88">
        <v>5000</v>
      </c>
      <c r="G38" s="88">
        <f t="shared" ref="G38:G45" si="27">E38*F38</f>
        <v>131000</v>
      </c>
      <c r="H38" s="30">
        <v>2</v>
      </c>
      <c r="I38" s="95">
        <v>18</v>
      </c>
      <c r="J38" s="13">
        <v>2400</v>
      </c>
      <c r="K38" s="12">
        <f t="shared" si="1"/>
        <v>133.33333333333334</v>
      </c>
      <c r="L38" s="95">
        <v>18</v>
      </c>
      <c r="M38" s="13">
        <f t="shared" ref="M38:M45" si="28">F38/V38*60</f>
        <v>2290.0763358778627</v>
      </c>
      <c r="N38" s="12">
        <f t="shared" si="3"/>
        <v>127.2264631043257</v>
      </c>
      <c r="O38" s="14">
        <f t="shared" si="4"/>
        <v>0</v>
      </c>
      <c r="P38" s="15">
        <f t="shared" si="5"/>
        <v>-6.1068702290076402</v>
      </c>
      <c r="Q38" s="91">
        <f t="shared" si="6"/>
        <v>0.95419847328244267</v>
      </c>
      <c r="R38" s="177">
        <f>Q46</f>
        <v>0.95547589424098134</v>
      </c>
      <c r="S38" s="21">
        <v>8.3333333333333329E-2</v>
      </c>
      <c r="T38" s="21">
        <v>0.17430555555555555</v>
      </c>
      <c r="U38" s="88"/>
      <c r="V38" s="30">
        <f t="shared" ref="V38:V45" si="29">(T38-S38)*24*60</f>
        <v>131</v>
      </c>
      <c r="W38" s="21">
        <f>T38</f>
        <v>0.17430555555555555</v>
      </c>
      <c r="X38" s="21">
        <f>S39</f>
        <v>0.19513888888888889</v>
      </c>
      <c r="Y38" s="21"/>
      <c r="Z38" s="21"/>
      <c r="AA38" s="168"/>
      <c r="AB38" s="168"/>
      <c r="AC38" s="18">
        <v>8</v>
      </c>
      <c r="AD38" s="18"/>
      <c r="AE38" s="14">
        <f t="shared" si="8"/>
        <v>-109.92366412213732</v>
      </c>
      <c r="AF38" s="91">
        <f t="shared" si="9"/>
        <v>0.95419847328244278</v>
      </c>
      <c r="AG38" s="177">
        <f>AF46</f>
        <v>0.95547589424098134</v>
      </c>
    </row>
    <row r="39" spans="1:33" ht="15.75" customHeight="1">
      <c r="A39" s="191" t="s">
        <v>2503</v>
      </c>
      <c r="B39" s="28" t="s">
        <v>22</v>
      </c>
      <c r="C39" s="169" t="s">
        <v>49</v>
      </c>
      <c r="D39" s="169"/>
      <c r="E39" s="28">
        <v>20.2</v>
      </c>
      <c r="F39" s="88">
        <v>2594</v>
      </c>
      <c r="G39" s="88">
        <f t="shared" si="27"/>
        <v>52398.799999999996</v>
      </c>
      <c r="H39" s="30" t="s">
        <v>53</v>
      </c>
      <c r="I39" s="95">
        <v>15</v>
      </c>
      <c r="J39" s="13">
        <v>2400</v>
      </c>
      <c r="K39" s="12">
        <f t="shared" si="1"/>
        <v>160</v>
      </c>
      <c r="L39" s="95">
        <v>15</v>
      </c>
      <c r="M39" s="13">
        <f t="shared" si="28"/>
        <v>2288.8235294117649</v>
      </c>
      <c r="N39" s="12">
        <f t="shared" si="3"/>
        <v>152.58823529411765</v>
      </c>
      <c r="O39" s="14">
        <f t="shared" si="4"/>
        <v>0</v>
      </c>
      <c r="P39" s="15">
        <f t="shared" si="5"/>
        <v>-7.4117647058823479</v>
      </c>
      <c r="Q39" s="91">
        <f t="shared" si="6"/>
        <v>0.95367647058823535</v>
      </c>
      <c r="R39" s="177"/>
      <c r="S39" s="21">
        <v>0.19513888888888889</v>
      </c>
      <c r="T39" s="21">
        <v>0.24236111111111111</v>
      </c>
      <c r="U39" s="88">
        <f t="shared" ref="U39:U45" si="30">(S39-T38)*24*60</f>
        <v>30.000000000000014</v>
      </c>
      <c r="V39" s="30">
        <f t="shared" si="29"/>
        <v>68</v>
      </c>
      <c r="W39" s="88"/>
      <c r="X39" s="88"/>
      <c r="Y39" s="88"/>
      <c r="Z39" s="88"/>
      <c r="AA39" s="168"/>
      <c r="AB39" s="168"/>
      <c r="AC39" s="18"/>
      <c r="AD39" s="18"/>
      <c r="AE39" s="14">
        <f t="shared" si="8"/>
        <v>-111.17647058823513</v>
      </c>
      <c r="AF39" s="91">
        <f t="shared" si="9"/>
        <v>0.95367647058823535</v>
      </c>
      <c r="AG39" s="177"/>
    </row>
    <row r="40" spans="1:33">
      <c r="A40" s="192" t="s">
        <v>2503</v>
      </c>
      <c r="B40" s="28" t="s">
        <v>22</v>
      </c>
      <c r="C40" s="169" t="s">
        <v>32</v>
      </c>
      <c r="D40" s="169"/>
      <c r="E40" s="28">
        <v>20.52</v>
      </c>
      <c r="F40" s="88">
        <v>3400</v>
      </c>
      <c r="G40" s="88">
        <f t="shared" si="27"/>
        <v>69768</v>
      </c>
      <c r="H40" s="30" t="s">
        <v>53</v>
      </c>
      <c r="I40" s="95">
        <v>18</v>
      </c>
      <c r="J40" s="13">
        <v>2400</v>
      </c>
      <c r="K40" s="12">
        <f t="shared" si="1"/>
        <v>133.33333333333334</v>
      </c>
      <c r="L40" s="95">
        <v>18</v>
      </c>
      <c r="M40" s="13">
        <f t="shared" si="28"/>
        <v>2292.1348314606744</v>
      </c>
      <c r="N40" s="12">
        <f t="shared" si="3"/>
        <v>127.34082397003746</v>
      </c>
      <c r="O40" s="14">
        <f t="shared" si="4"/>
        <v>0</v>
      </c>
      <c r="P40" s="15">
        <f t="shared" si="5"/>
        <v>-5.9925093632958806</v>
      </c>
      <c r="Q40" s="91">
        <f t="shared" si="6"/>
        <v>0.9550561797752809</v>
      </c>
      <c r="R40" s="177"/>
      <c r="S40" s="21">
        <v>0.24791666666666667</v>
      </c>
      <c r="T40" s="21">
        <v>0.30972222222222223</v>
      </c>
      <c r="U40" s="88">
        <f t="shared" si="30"/>
        <v>8.0000000000000107</v>
      </c>
      <c r="V40" s="30">
        <f t="shared" si="29"/>
        <v>89</v>
      </c>
      <c r="W40" s="88"/>
      <c r="X40" s="88"/>
      <c r="Y40" s="88"/>
      <c r="Z40" s="88"/>
      <c r="AA40" s="168"/>
      <c r="AB40" s="168"/>
      <c r="AC40" s="18"/>
      <c r="AD40" s="18"/>
      <c r="AE40" s="14">
        <f t="shared" si="8"/>
        <v>-107.86516853932562</v>
      </c>
      <c r="AF40" s="91">
        <f t="shared" si="9"/>
        <v>0.95505617977528101</v>
      </c>
      <c r="AG40" s="177"/>
    </row>
    <row r="41" spans="1:33">
      <c r="A41" s="192" t="s">
        <v>2503</v>
      </c>
      <c r="B41" s="28" t="s">
        <v>22</v>
      </c>
      <c r="C41" s="169" t="s">
        <v>30</v>
      </c>
      <c r="D41" s="169"/>
      <c r="E41" s="28">
        <v>26.39</v>
      </c>
      <c r="F41" s="88">
        <v>5800</v>
      </c>
      <c r="G41" s="88">
        <f t="shared" si="27"/>
        <v>153062</v>
      </c>
      <c r="H41" s="30">
        <v>2</v>
      </c>
      <c r="I41" s="95">
        <v>19</v>
      </c>
      <c r="J41" s="13">
        <v>2400</v>
      </c>
      <c r="K41" s="12">
        <f t="shared" si="1"/>
        <v>126.31578947368421</v>
      </c>
      <c r="L41" s="95">
        <v>19</v>
      </c>
      <c r="M41" s="13">
        <f t="shared" si="28"/>
        <v>2289.4736842105258</v>
      </c>
      <c r="N41" s="12">
        <f t="shared" si="3"/>
        <v>120.49861495844873</v>
      </c>
      <c r="O41" s="14">
        <f t="shared" si="4"/>
        <v>0</v>
      </c>
      <c r="P41" s="15">
        <f t="shared" si="5"/>
        <v>-5.8171745152354788</v>
      </c>
      <c r="Q41" s="91">
        <f t="shared" si="6"/>
        <v>0.95394736842105243</v>
      </c>
      <c r="R41" s="177"/>
      <c r="S41" s="21">
        <v>0.31319444444444444</v>
      </c>
      <c r="T41" s="21">
        <v>0.41875000000000001</v>
      </c>
      <c r="U41" s="88">
        <f t="shared" si="30"/>
        <v>4.9999999999999822</v>
      </c>
      <c r="V41" s="30">
        <f t="shared" si="29"/>
        <v>152.00000000000003</v>
      </c>
      <c r="W41" s="16"/>
      <c r="X41" s="16"/>
      <c r="Y41" s="16"/>
      <c r="Z41" s="16"/>
      <c r="AA41" s="168"/>
      <c r="AB41" s="168"/>
      <c r="AC41" s="18"/>
      <c r="AD41" s="18"/>
      <c r="AE41" s="14">
        <f t="shared" si="8"/>
        <v>-110.52631578947421</v>
      </c>
      <c r="AF41" s="91">
        <f t="shared" si="9"/>
        <v>0.95394736842105243</v>
      </c>
      <c r="AG41" s="177"/>
    </row>
    <row r="42" spans="1:33">
      <c r="A42" s="192" t="s">
        <v>2503</v>
      </c>
      <c r="B42" s="28" t="s">
        <v>22</v>
      </c>
      <c r="C42" s="169" t="s">
        <v>51</v>
      </c>
      <c r="D42" s="169"/>
      <c r="E42" s="28">
        <v>24.43</v>
      </c>
      <c r="F42" s="88">
        <v>4600</v>
      </c>
      <c r="G42" s="88">
        <f t="shared" si="27"/>
        <v>112378</v>
      </c>
      <c r="H42" s="30">
        <v>2</v>
      </c>
      <c r="I42" s="95">
        <v>14</v>
      </c>
      <c r="J42" s="13">
        <v>2400</v>
      </c>
      <c r="K42" s="12">
        <f t="shared" si="1"/>
        <v>171.42857142857142</v>
      </c>
      <c r="L42" s="95">
        <v>14</v>
      </c>
      <c r="M42" s="13">
        <f t="shared" si="28"/>
        <v>2300.0000000000005</v>
      </c>
      <c r="N42" s="12">
        <f t="shared" si="3"/>
        <v>164.28571428571431</v>
      </c>
      <c r="O42" s="14">
        <f t="shared" si="4"/>
        <v>0</v>
      </c>
      <c r="P42" s="15">
        <f t="shared" si="5"/>
        <v>-7.1428571428571104</v>
      </c>
      <c r="Q42" s="91">
        <f t="shared" si="6"/>
        <v>0.95833333333333348</v>
      </c>
      <c r="R42" s="177"/>
      <c r="S42" s="21">
        <v>0.4236111111111111</v>
      </c>
      <c r="T42" s="21">
        <v>0.50694444444444442</v>
      </c>
      <c r="U42" s="88">
        <f t="shared" si="30"/>
        <v>6.9999999999999751</v>
      </c>
      <c r="V42" s="30">
        <f t="shared" si="29"/>
        <v>119.99999999999997</v>
      </c>
      <c r="W42" s="16">
        <f>T42</f>
        <v>0.50694444444444442</v>
      </c>
      <c r="X42" s="16">
        <f>S43</f>
        <v>0.54861111111111105</v>
      </c>
      <c r="Y42" s="16"/>
      <c r="Z42" s="16"/>
      <c r="AA42" s="168"/>
      <c r="AB42" s="168"/>
      <c r="AC42" s="18"/>
      <c r="AD42" s="18"/>
      <c r="AE42" s="14">
        <f t="shared" si="8"/>
        <v>-99.999999999999545</v>
      </c>
      <c r="AF42" s="91">
        <f t="shared" si="9"/>
        <v>0.95833333333333348</v>
      </c>
      <c r="AG42" s="177"/>
    </row>
    <row r="43" spans="1:33">
      <c r="A43" s="192" t="s">
        <v>2503</v>
      </c>
      <c r="B43" s="28" t="s">
        <v>22</v>
      </c>
      <c r="C43" s="169" t="s">
        <v>30</v>
      </c>
      <c r="D43" s="169"/>
      <c r="E43" s="28">
        <v>26.39</v>
      </c>
      <c r="F43" s="88">
        <v>4010</v>
      </c>
      <c r="G43" s="88">
        <f t="shared" si="27"/>
        <v>105823.90000000001</v>
      </c>
      <c r="H43" s="30" t="s">
        <v>53</v>
      </c>
      <c r="I43" s="95">
        <v>19</v>
      </c>
      <c r="J43" s="13">
        <v>2400</v>
      </c>
      <c r="K43" s="12">
        <f t="shared" si="1"/>
        <v>126.31578947368421</v>
      </c>
      <c r="L43" s="95">
        <v>19</v>
      </c>
      <c r="M43" s="13">
        <f t="shared" si="28"/>
        <v>2291.4285714285725</v>
      </c>
      <c r="N43" s="12">
        <f t="shared" si="3"/>
        <v>120.60150375939855</v>
      </c>
      <c r="O43" s="14">
        <f t="shared" si="4"/>
        <v>0</v>
      </c>
      <c r="P43" s="15">
        <f t="shared" si="5"/>
        <v>-5.7142857142856514</v>
      </c>
      <c r="Q43" s="91">
        <f t="shared" si="6"/>
        <v>0.95476190476190526</v>
      </c>
      <c r="R43" s="177"/>
      <c r="S43" s="21">
        <v>0.54861111111111105</v>
      </c>
      <c r="T43" s="21">
        <v>0.62152777777777768</v>
      </c>
      <c r="U43" s="88">
        <f t="shared" si="30"/>
        <v>59.999999999999943</v>
      </c>
      <c r="V43" s="30">
        <f t="shared" si="29"/>
        <v>104.99999999999994</v>
      </c>
      <c r="W43" s="16"/>
      <c r="X43" s="16"/>
      <c r="Y43" s="16"/>
      <c r="Z43" s="16"/>
      <c r="AA43" s="168"/>
      <c r="AB43" s="168"/>
      <c r="AC43" s="18"/>
      <c r="AD43" s="18"/>
      <c r="AE43" s="14">
        <f t="shared" si="8"/>
        <v>-108.57142857142753</v>
      </c>
      <c r="AF43" s="91">
        <f t="shared" si="9"/>
        <v>0.95476190476190514</v>
      </c>
      <c r="AG43" s="177"/>
    </row>
    <row r="44" spans="1:33">
      <c r="A44" s="192" t="s">
        <v>2503</v>
      </c>
      <c r="B44" s="28" t="s">
        <v>22</v>
      </c>
      <c r="C44" s="169" t="s">
        <v>28</v>
      </c>
      <c r="D44" s="169"/>
      <c r="E44" s="28">
        <v>26.2</v>
      </c>
      <c r="F44" s="88">
        <v>3707</v>
      </c>
      <c r="G44" s="88">
        <f t="shared" si="27"/>
        <v>97123.4</v>
      </c>
      <c r="H44" s="30" t="s">
        <v>53</v>
      </c>
      <c r="I44" s="95">
        <v>18</v>
      </c>
      <c r="J44" s="13">
        <v>2400</v>
      </c>
      <c r="K44" s="12">
        <f t="shared" si="1"/>
        <v>133.33333333333334</v>
      </c>
      <c r="L44" s="95">
        <v>18</v>
      </c>
      <c r="M44" s="13">
        <f t="shared" si="28"/>
        <v>2292.9896907216503</v>
      </c>
      <c r="N44" s="12">
        <f t="shared" si="3"/>
        <v>127.38831615120279</v>
      </c>
      <c r="O44" s="14">
        <f t="shared" si="4"/>
        <v>0</v>
      </c>
      <c r="P44" s="15">
        <f t="shared" si="5"/>
        <v>-5.945017182130556</v>
      </c>
      <c r="Q44" s="91">
        <f t="shared" si="6"/>
        <v>0.95541237113402089</v>
      </c>
      <c r="R44" s="177"/>
      <c r="S44" s="21">
        <v>0.62638888888888877</v>
      </c>
      <c r="T44" s="21">
        <v>0.69374999999999987</v>
      </c>
      <c r="U44" s="88">
        <f t="shared" si="30"/>
        <v>6.9999999999999751</v>
      </c>
      <c r="V44" s="30">
        <f t="shared" si="29"/>
        <v>96.999999999999972</v>
      </c>
      <c r="W44" s="16"/>
      <c r="X44" s="16"/>
      <c r="Y44" s="19"/>
      <c r="Z44" s="19"/>
      <c r="AA44" s="172"/>
      <c r="AB44" s="173"/>
      <c r="AC44" s="18"/>
      <c r="AD44" s="18"/>
      <c r="AE44" s="14">
        <f t="shared" si="8"/>
        <v>-107.01030927834972</v>
      </c>
      <c r="AF44" s="91">
        <f t="shared" si="9"/>
        <v>0.955412371134021</v>
      </c>
      <c r="AG44" s="177"/>
    </row>
    <row r="45" spans="1:33">
      <c r="A45" s="192" t="s">
        <v>2504</v>
      </c>
      <c r="B45" s="28" t="s">
        <v>22</v>
      </c>
      <c r="C45" s="169" t="s">
        <v>51</v>
      </c>
      <c r="D45" s="169"/>
      <c r="E45" s="28">
        <v>24.43</v>
      </c>
      <c r="F45" s="88">
        <v>3642</v>
      </c>
      <c r="G45" s="88">
        <f t="shared" si="27"/>
        <v>88974.06</v>
      </c>
      <c r="H45" s="30" t="s">
        <v>53</v>
      </c>
      <c r="I45" s="95">
        <v>14</v>
      </c>
      <c r="J45" s="13">
        <v>2400</v>
      </c>
      <c r="K45" s="12">
        <f t="shared" si="1"/>
        <v>171.42857142857142</v>
      </c>
      <c r="L45" s="95">
        <v>14</v>
      </c>
      <c r="M45" s="13">
        <f t="shared" si="28"/>
        <v>2300.21052631579</v>
      </c>
      <c r="N45" s="12">
        <f t="shared" si="3"/>
        <v>164.30075187969928</v>
      </c>
      <c r="O45" s="14">
        <f t="shared" si="4"/>
        <v>0</v>
      </c>
      <c r="P45" s="15">
        <f t="shared" si="5"/>
        <v>-7.1278195488721394</v>
      </c>
      <c r="Q45" s="91">
        <f t="shared" si="6"/>
        <v>0.95842105263157917</v>
      </c>
      <c r="R45" s="177"/>
      <c r="S45" s="21">
        <v>0.69861111111111096</v>
      </c>
      <c r="T45" s="21">
        <v>0.76458333333333317</v>
      </c>
      <c r="U45" s="88">
        <f t="shared" si="30"/>
        <v>6.9999999999999751</v>
      </c>
      <c r="V45" s="30">
        <f t="shared" si="29"/>
        <v>94.999999999999986</v>
      </c>
      <c r="W45" s="16"/>
      <c r="X45" s="16"/>
      <c r="Y45" s="19"/>
      <c r="Z45" s="19"/>
      <c r="AA45" s="172"/>
      <c r="AB45" s="173"/>
      <c r="AC45" s="18"/>
      <c r="AD45" s="18"/>
      <c r="AE45" s="14">
        <f t="shared" si="8"/>
        <v>-99.789473684209952</v>
      </c>
      <c r="AF45" s="91">
        <f t="shared" si="9"/>
        <v>0.95842105263157917</v>
      </c>
      <c r="AG45" s="177"/>
    </row>
    <row r="46" spans="1:33">
      <c r="A46" s="192" t="s">
        <v>2503</v>
      </c>
      <c r="B46" s="12" t="s">
        <v>2496</v>
      </c>
      <c r="C46" s="178"/>
      <c r="D46" s="178"/>
      <c r="E46" s="92"/>
      <c r="F46" s="12"/>
      <c r="G46" s="12"/>
      <c r="H46" s="88"/>
      <c r="I46" s="23">
        <v>16.875</v>
      </c>
      <c r="J46" s="13">
        <v>2400</v>
      </c>
      <c r="K46" s="12">
        <f t="shared" si="1"/>
        <v>142.22222222222223</v>
      </c>
      <c r="L46" s="23">
        <v>16.875</v>
      </c>
      <c r="M46" s="13">
        <f>AVERAGE(M38:M45)</f>
        <v>2293.1421461783552</v>
      </c>
      <c r="N46" s="12">
        <f t="shared" si="3"/>
        <v>135.88990495871735</v>
      </c>
      <c r="O46" s="14">
        <f t="shared" si="4"/>
        <v>0</v>
      </c>
      <c r="P46" s="15">
        <f t="shared" si="5"/>
        <v>-6.3323172635048763</v>
      </c>
      <c r="Q46" s="91">
        <f t="shared" si="6"/>
        <v>0.95547589424098134</v>
      </c>
      <c r="R46" s="177"/>
      <c r="S46" s="21"/>
      <c r="T46" s="21"/>
      <c r="U46" s="12"/>
      <c r="V46" s="30"/>
      <c r="W46" s="12"/>
      <c r="X46" s="12"/>
      <c r="Y46" s="24">
        <f>SUM(Y38:Y45)</f>
        <v>0</v>
      </c>
      <c r="Z46" s="24">
        <f>SUM(Z38:Z45)</f>
        <v>0</v>
      </c>
      <c r="AA46" s="167"/>
      <c r="AB46" s="167"/>
      <c r="AC46" s="24">
        <v>8</v>
      </c>
      <c r="AD46" s="24">
        <f>SUM(AD38:AD45)</f>
        <v>0</v>
      </c>
      <c r="AE46" s="14">
        <f t="shared" si="8"/>
        <v>-106.85785382164477</v>
      </c>
      <c r="AF46" s="91">
        <f t="shared" si="9"/>
        <v>0.95547589424098134</v>
      </c>
      <c r="AG46" s="177"/>
    </row>
    <row r="47" spans="1:33" ht="15.75" customHeight="1">
      <c r="A47" s="188" t="s">
        <v>2505</v>
      </c>
      <c r="B47" s="28" t="s">
        <v>33</v>
      </c>
      <c r="C47" s="170" t="s">
        <v>72</v>
      </c>
      <c r="D47" s="171"/>
      <c r="E47" s="28">
        <v>34.35</v>
      </c>
      <c r="F47" s="88">
        <v>2701</v>
      </c>
      <c r="G47" s="88">
        <f t="shared" ref="G47:G50" si="31">E47*F47</f>
        <v>92779.35</v>
      </c>
      <c r="H47" s="30" t="s">
        <v>53</v>
      </c>
      <c r="I47" s="95">
        <v>8</v>
      </c>
      <c r="J47" s="13">
        <v>3000</v>
      </c>
      <c r="K47" s="12">
        <f t="shared" si="1"/>
        <v>375</v>
      </c>
      <c r="L47" s="95">
        <v>8</v>
      </c>
      <c r="M47" s="13">
        <f t="shared" ref="M47:M50" si="32">F47/V47*60</f>
        <v>2893.9285714285711</v>
      </c>
      <c r="N47" s="13">
        <f t="shared" si="3"/>
        <v>361.74107142857139</v>
      </c>
      <c r="O47" s="14">
        <f t="shared" si="4"/>
        <v>0</v>
      </c>
      <c r="P47" s="15">
        <f t="shared" si="5"/>
        <v>-13.258928571428612</v>
      </c>
      <c r="Q47" s="91">
        <f t="shared" si="6"/>
        <v>0.96464285714285702</v>
      </c>
      <c r="R47" s="183">
        <f>Q51</f>
        <v>0.95804945054945045</v>
      </c>
      <c r="S47" s="21">
        <v>8.3333333333333329E-2</v>
      </c>
      <c r="T47" s="21">
        <v>0.12222222222222222</v>
      </c>
      <c r="U47" s="21"/>
      <c r="V47" s="30">
        <f t="shared" ref="V47:V50" si="33">(T47-S47)*24*60</f>
        <v>56</v>
      </c>
      <c r="W47" s="16">
        <f>T47</f>
        <v>0.12222222222222222</v>
      </c>
      <c r="X47" s="16">
        <f>S48</f>
        <v>0.14097222222222222</v>
      </c>
      <c r="Y47" s="19"/>
      <c r="Z47" s="19"/>
      <c r="AA47" s="172"/>
      <c r="AB47" s="173"/>
      <c r="AC47" s="18">
        <v>4</v>
      </c>
      <c r="AD47" s="18"/>
      <c r="AE47" s="14">
        <f t="shared" si="8"/>
        <v>-106.0714285714289</v>
      </c>
      <c r="AF47" s="91">
        <f t="shared" si="9"/>
        <v>0.96464285714285702</v>
      </c>
      <c r="AG47" s="183">
        <f>AF51</f>
        <v>0.95804945054945045</v>
      </c>
    </row>
    <row r="48" spans="1:33" ht="15.75" customHeight="1">
      <c r="A48" s="189" t="s">
        <v>271</v>
      </c>
      <c r="B48" s="28" t="s">
        <v>33</v>
      </c>
      <c r="C48" s="170" t="s">
        <v>48</v>
      </c>
      <c r="D48" s="171"/>
      <c r="E48" s="28">
        <v>35.119999999999997</v>
      </c>
      <c r="F48" s="88">
        <v>6494</v>
      </c>
      <c r="G48" s="88">
        <f t="shared" si="31"/>
        <v>228069.27999999997</v>
      </c>
      <c r="H48" s="30" t="s">
        <v>53</v>
      </c>
      <c r="I48" s="95">
        <v>10</v>
      </c>
      <c r="J48" s="13">
        <v>3000</v>
      </c>
      <c r="K48" s="12">
        <f t="shared" si="1"/>
        <v>300</v>
      </c>
      <c r="L48" s="95">
        <v>10</v>
      </c>
      <c r="M48" s="13">
        <f t="shared" si="32"/>
        <v>2865</v>
      </c>
      <c r="N48" s="13">
        <f t="shared" si="3"/>
        <v>286.5</v>
      </c>
      <c r="O48" s="14">
        <f t="shared" si="4"/>
        <v>0</v>
      </c>
      <c r="P48" s="15">
        <f t="shared" si="5"/>
        <v>-13.5</v>
      </c>
      <c r="Q48" s="91">
        <f t="shared" si="6"/>
        <v>0.95499999999999996</v>
      </c>
      <c r="R48" s="184"/>
      <c r="S48" s="21">
        <v>0.14097222222222222</v>
      </c>
      <c r="T48" s="21">
        <v>0.23541666666666666</v>
      </c>
      <c r="U48" s="88">
        <f t="shared" ref="U48:U50" si="34">(S48-T47)*24*60</f>
        <v>27.000000000000004</v>
      </c>
      <c r="V48" s="30">
        <f t="shared" si="33"/>
        <v>136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-135</v>
      </c>
      <c r="AF48" s="91">
        <f t="shared" si="9"/>
        <v>0.95499999999999996</v>
      </c>
      <c r="AG48" s="184"/>
    </row>
    <row r="49" spans="1:33" ht="15.75" customHeight="1">
      <c r="A49" s="189" t="s">
        <v>2506</v>
      </c>
      <c r="B49" s="28" t="s">
        <v>33</v>
      </c>
      <c r="C49" s="170" t="s">
        <v>36</v>
      </c>
      <c r="D49" s="171"/>
      <c r="E49" s="28">
        <v>21.13</v>
      </c>
      <c r="F49" s="88">
        <v>6511</v>
      </c>
      <c r="G49" s="88">
        <f t="shared" si="31"/>
        <v>137577.43</v>
      </c>
      <c r="H49" s="30" t="s">
        <v>53</v>
      </c>
      <c r="I49" s="95">
        <v>10</v>
      </c>
      <c r="J49" s="13">
        <v>3000</v>
      </c>
      <c r="K49" s="12">
        <f t="shared" si="1"/>
        <v>300</v>
      </c>
      <c r="L49" s="95">
        <v>10</v>
      </c>
      <c r="M49" s="13">
        <f t="shared" si="32"/>
        <v>2872.4999999999986</v>
      </c>
      <c r="N49" s="13">
        <f t="shared" si="3"/>
        <v>287.24999999999989</v>
      </c>
      <c r="O49" s="14">
        <f t="shared" si="4"/>
        <v>0</v>
      </c>
      <c r="P49" s="15">
        <f t="shared" si="5"/>
        <v>-12.750000000000114</v>
      </c>
      <c r="Q49" s="91">
        <f t="shared" si="6"/>
        <v>0.95749999999999957</v>
      </c>
      <c r="R49" s="184"/>
      <c r="S49" s="21">
        <v>0.24027777777777778</v>
      </c>
      <c r="T49" s="21">
        <v>0.33472222222222225</v>
      </c>
      <c r="U49" s="88">
        <f t="shared" si="34"/>
        <v>7.0000000000000151</v>
      </c>
      <c r="V49" s="30">
        <f t="shared" si="33"/>
        <v>136.00000000000006</v>
      </c>
      <c r="W49" s="16"/>
      <c r="X49" s="16"/>
      <c r="Y49" s="19"/>
      <c r="Z49" s="19"/>
      <c r="AA49" s="172"/>
      <c r="AB49" s="173"/>
      <c r="AC49" s="18"/>
      <c r="AD49" s="18"/>
      <c r="AE49" s="14">
        <f t="shared" si="8"/>
        <v>-127.50000000000136</v>
      </c>
      <c r="AF49" s="91">
        <f t="shared" si="9"/>
        <v>0.95749999999999957</v>
      </c>
      <c r="AG49" s="184"/>
    </row>
    <row r="50" spans="1:33" ht="15.75" customHeight="1">
      <c r="A50" s="189" t="s">
        <v>2506</v>
      </c>
      <c r="B50" s="28" t="s">
        <v>33</v>
      </c>
      <c r="C50" s="170" t="s">
        <v>37</v>
      </c>
      <c r="D50" s="171"/>
      <c r="E50" s="28">
        <v>27.17</v>
      </c>
      <c r="F50" s="88">
        <v>8691</v>
      </c>
      <c r="G50" s="88">
        <f t="shared" si="31"/>
        <v>236134.47</v>
      </c>
      <c r="H50" s="30" t="s">
        <v>53</v>
      </c>
      <c r="I50" s="95">
        <v>10</v>
      </c>
      <c r="J50" s="13">
        <v>3000</v>
      </c>
      <c r="K50" s="12">
        <f t="shared" si="1"/>
        <v>300</v>
      </c>
      <c r="L50" s="95">
        <v>10</v>
      </c>
      <c r="M50" s="13">
        <f t="shared" si="32"/>
        <v>2865.1648351648355</v>
      </c>
      <c r="N50" s="13">
        <f t="shared" si="3"/>
        <v>286.51648351648356</v>
      </c>
      <c r="O50" s="14">
        <f t="shared" si="4"/>
        <v>0</v>
      </c>
      <c r="P50" s="15">
        <f t="shared" si="5"/>
        <v>-13.483516483516439</v>
      </c>
      <c r="Q50" s="91">
        <f t="shared" si="6"/>
        <v>0.95505494505494515</v>
      </c>
      <c r="R50" s="184"/>
      <c r="S50" s="21">
        <v>0.34027777777777779</v>
      </c>
      <c r="T50" s="21">
        <v>0.46666666666666667</v>
      </c>
      <c r="U50" s="88">
        <f t="shared" si="34"/>
        <v>7.9999999999999716</v>
      </c>
      <c r="V50" s="30">
        <f t="shared" si="33"/>
        <v>182</v>
      </c>
      <c r="W50" s="16"/>
      <c r="X50" s="16"/>
      <c r="Y50" s="19"/>
      <c r="Z50" s="19"/>
      <c r="AA50" s="172"/>
      <c r="AB50" s="173"/>
      <c r="AC50" s="18"/>
      <c r="AD50" s="18"/>
      <c r="AE50" s="14">
        <f t="shared" si="8"/>
        <v>-134.83516483516451</v>
      </c>
      <c r="AF50" s="91">
        <f t="shared" si="9"/>
        <v>0.95505494505494515</v>
      </c>
      <c r="AG50" s="184"/>
    </row>
    <row r="51" spans="1:33" ht="15.75" customHeight="1">
      <c r="A51" s="190" t="s">
        <v>2506</v>
      </c>
      <c r="B51" s="28" t="s">
        <v>168</v>
      </c>
      <c r="C51" s="165"/>
      <c r="D51" s="166"/>
      <c r="E51" s="89"/>
      <c r="F51" s="88"/>
      <c r="G51" s="88"/>
      <c r="H51" s="88"/>
      <c r="I51" s="23">
        <v>9.5</v>
      </c>
      <c r="J51" s="13">
        <v>3000</v>
      </c>
      <c r="K51" s="12">
        <f t="shared" si="1"/>
        <v>315.78947368421052</v>
      </c>
      <c r="L51" s="23">
        <v>9.5</v>
      </c>
      <c r="M51" s="13">
        <f>AVERAGE(M47:M50)</f>
        <v>2874.1483516483513</v>
      </c>
      <c r="N51" s="12">
        <f t="shared" si="3"/>
        <v>302.54193175245803</v>
      </c>
      <c r="O51" s="14">
        <f t="shared" si="4"/>
        <v>0</v>
      </c>
      <c r="P51" s="15">
        <f t="shared" si="5"/>
        <v>-13.247541931752494</v>
      </c>
      <c r="Q51" s="91">
        <f t="shared" si="6"/>
        <v>0.95804945054945045</v>
      </c>
      <c r="R51" s="185"/>
      <c r="S51" s="21"/>
      <c r="T51" s="21"/>
      <c r="U51" s="88"/>
      <c r="V51" s="30"/>
      <c r="W51" s="16"/>
      <c r="X51" s="16"/>
      <c r="Y51" s="24">
        <f>SUM(Y47:Y50)</f>
        <v>0</v>
      </c>
      <c r="Z51" s="24">
        <f>SUM(Z47:Z50)</f>
        <v>0</v>
      </c>
      <c r="AA51" s="186"/>
      <c r="AB51" s="187"/>
      <c r="AC51" s="24">
        <v>4</v>
      </c>
      <c r="AD51" s="24">
        <f>SUM(AD47:AD50)</f>
        <v>0</v>
      </c>
      <c r="AE51" s="14">
        <f t="shared" si="8"/>
        <v>-125.85164835164869</v>
      </c>
      <c r="AF51" s="91">
        <f t="shared" si="9"/>
        <v>0.95804945054945045</v>
      </c>
      <c r="AG51" s="185"/>
    </row>
    <row r="52" spans="1:33" ht="15.75" customHeight="1">
      <c r="A52" s="181" t="s">
        <v>2507</v>
      </c>
      <c r="B52" s="28" t="s">
        <v>5</v>
      </c>
      <c r="C52" s="169" t="s">
        <v>41</v>
      </c>
      <c r="D52" s="169"/>
      <c r="E52" s="28">
        <v>51.75</v>
      </c>
      <c r="F52" s="29">
        <v>1048</v>
      </c>
      <c r="G52" s="88">
        <f t="shared" ref="G52:G57" si="35">E52*F52</f>
        <v>54234</v>
      </c>
      <c r="H52" s="30" t="s">
        <v>53</v>
      </c>
      <c r="I52" s="95">
        <v>25</v>
      </c>
      <c r="J52" s="13">
        <v>2000</v>
      </c>
      <c r="K52" s="12">
        <f t="shared" si="1"/>
        <v>80</v>
      </c>
      <c r="L52" s="95">
        <v>25</v>
      </c>
      <c r="M52" s="13">
        <f t="shared" ref="M52" si="36">F52/V52*60</f>
        <v>1905.4545454545475</v>
      </c>
      <c r="N52" s="13">
        <f t="shared" si="3"/>
        <v>76.218181818181904</v>
      </c>
      <c r="O52" s="14">
        <f t="shared" si="4"/>
        <v>0</v>
      </c>
      <c r="P52" s="15">
        <f t="shared" si="5"/>
        <v>-3.781818181818096</v>
      </c>
      <c r="Q52" s="91">
        <f t="shared" si="6"/>
        <v>0.95272727272727376</v>
      </c>
      <c r="R52" s="177">
        <f>Q58</f>
        <v>0.96041871416871449</v>
      </c>
      <c r="S52" s="21">
        <v>0.33333333333333331</v>
      </c>
      <c r="T52" s="21">
        <v>0.35624999999999996</v>
      </c>
      <c r="U52" s="21"/>
      <c r="V52" s="30">
        <f t="shared" ref="V52:V57" si="37">(T52-S52)*24*60</f>
        <v>32.999999999999964</v>
      </c>
      <c r="W52" s="21"/>
      <c r="X52" s="21"/>
      <c r="Y52" s="21"/>
      <c r="Z52" s="21"/>
      <c r="AA52" s="168"/>
      <c r="AB52" s="168"/>
      <c r="AC52" s="18">
        <v>6</v>
      </c>
      <c r="AD52" s="18"/>
      <c r="AE52" s="14">
        <f t="shared" si="8"/>
        <v>-94.545454545452458</v>
      </c>
      <c r="AF52" s="91">
        <f t="shared" si="9"/>
        <v>0.95272727272727376</v>
      </c>
      <c r="AG52" s="177">
        <f>AF58</f>
        <v>0.96041871416871449</v>
      </c>
    </row>
    <row r="53" spans="1:33" ht="15.75" customHeight="1">
      <c r="A53" s="181" t="s">
        <v>2507</v>
      </c>
      <c r="B53" s="28" t="s">
        <v>5</v>
      </c>
      <c r="C53" s="169" t="s">
        <v>40</v>
      </c>
      <c r="D53" s="169"/>
      <c r="E53" s="28">
        <v>56.43</v>
      </c>
      <c r="F53" s="29">
        <v>1767</v>
      </c>
      <c r="G53" s="88">
        <f t="shared" si="35"/>
        <v>99711.81</v>
      </c>
      <c r="H53" s="30" t="s">
        <v>53</v>
      </c>
      <c r="I53" s="95">
        <v>22</v>
      </c>
      <c r="J53" s="13">
        <v>2000</v>
      </c>
      <c r="K53" s="12">
        <f t="shared" si="1"/>
        <v>90.909090909090907</v>
      </c>
      <c r="L53" s="95">
        <v>22</v>
      </c>
      <c r="M53" s="13">
        <f>F53/V53*60</f>
        <v>1927.6363636363649</v>
      </c>
      <c r="N53" s="13">
        <f t="shared" si="3"/>
        <v>87.619834710743859</v>
      </c>
      <c r="O53" s="14">
        <f t="shared" si="4"/>
        <v>0</v>
      </c>
      <c r="P53" s="15">
        <f t="shared" si="5"/>
        <v>-3.2892561983470472</v>
      </c>
      <c r="Q53" s="91">
        <f t="shared" si="6"/>
        <v>0.96381818181818246</v>
      </c>
      <c r="R53" s="177"/>
      <c r="S53" s="21">
        <v>0.36180555555555549</v>
      </c>
      <c r="T53" s="21">
        <v>0.39999999999999991</v>
      </c>
      <c r="U53" s="88">
        <f t="shared" ref="U53:U57" si="38">IF(S53=TIME(17,0,0),"",(S53-T52)*24*60)</f>
        <v>7.9999999999999716</v>
      </c>
      <c r="V53" s="30">
        <f t="shared" si="37"/>
        <v>54.999999999999964</v>
      </c>
      <c r="W53" s="16"/>
      <c r="X53" s="16"/>
      <c r="Y53" s="16"/>
      <c r="Z53" s="16"/>
      <c r="AA53" s="168"/>
      <c r="AB53" s="168"/>
      <c r="AC53" s="18"/>
      <c r="AD53" s="18"/>
      <c r="AE53" s="14">
        <f t="shared" si="8"/>
        <v>-72.363636363635123</v>
      </c>
      <c r="AF53" s="91">
        <f t="shared" si="9"/>
        <v>0.96381818181818246</v>
      </c>
      <c r="AG53" s="177"/>
    </row>
    <row r="54" spans="1:33" ht="15.75" customHeight="1">
      <c r="A54" s="181" t="s">
        <v>2508</v>
      </c>
      <c r="B54" s="28" t="s">
        <v>9</v>
      </c>
      <c r="C54" s="170" t="s">
        <v>39</v>
      </c>
      <c r="D54" s="171"/>
      <c r="E54" s="28">
        <v>46</v>
      </c>
      <c r="F54" s="29">
        <v>2819</v>
      </c>
      <c r="G54" s="88">
        <f t="shared" si="35"/>
        <v>129674</v>
      </c>
      <c r="H54" s="30" t="s">
        <v>53</v>
      </c>
      <c r="I54" s="95">
        <v>17</v>
      </c>
      <c r="J54" s="13">
        <v>2000</v>
      </c>
      <c r="K54" s="12">
        <f t="shared" si="1"/>
        <v>117.64705882352941</v>
      </c>
      <c r="L54" s="95">
        <v>17</v>
      </c>
      <c r="M54" s="13">
        <f t="shared" ref="M54:M57" si="39">F54/V54*60</f>
        <v>1922.0454545454545</v>
      </c>
      <c r="N54" s="13">
        <f t="shared" si="3"/>
        <v>113.06149732620321</v>
      </c>
      <c r="O54" s="14">
        <f t="shared" si="4"/>
        <v>0</v>
      </c>
      <c r="P54" s="15">
        <f t="shared" si="5"/>
        <v>-4.5855614973261964</v>
      </c>
      <c r="Q54" s="91">
        <f t="shared" si="6"/>
        <v>0.96102272727272731</v>
      </c>
      <c r="R54" s="177"/>
      <c r="S54" s="21">
        <v>0.40486111111111101</v>
      </c>
      <c r="T54" s="21">
        <v>0.46597222222222212</v>
      </c>
      <c r="U54" s="88">
        <f t="shared" si="38"/>
        <v>6.9999999999999751</v>
      </c>
      <c r="V54" s="30">
        <f t="shared" si="37"/>
        <v>88</v>
      </c>
      <c r="W54" s="16"/>
      <c r="X54" s="16"/>
      <c r="Y54" s="19"/>
      <c r="Z54" s="19"/>
      <c r="AA54" s="168"/>
      <c r="AB54" s="168"/>
      <c r="AC54" s="18"/>
      <c r="AD54" s="18"/>
      <c r="AE54" s="14">
        <f t="shared" si="8"/>
        <v>-77.954545454545496</v>
      </c>
      <c r="AF54" s="91">
        <f t="shared" si="9"/>
        <v>0.96102272727272731</v>
      </c>
      <c r="AG54" s="177"/>
    </row>
    <row r="55" spans="1:33" ht="15.75" customHeight="1">
      <c r="A55" s="181" t="s">
        <v>2507</v>
      </c>
      <c r="B55" s="28" t="s">
        <v>5</v>
      </c>
      <c r="C55" s="93" t="s">
        <v>45</v>
      </c>
      <c r="D55" s="94"/>
      <c r="E55" s="28">
        <v>55.32</v>
      </c>
      <c r="F55" s="29">
        <v>1772</v>
      </c>
      <c r="G55" s="88">
        <f t="shared" si="35"/>
        <v>98027.04</v>
      </c>
      <c r="H55" s="30" t="s">
        <v>53</v>
      </c>
      <c r="I55" s="95">
        <v>15</v>
      </c>
      <c r="J55" s="13">
        <v>2000</v>
      </c>
      <c r="K55" s="12">
        <f t="shared" si="1"/>
        <v>133.33333333333334</v>
      </c>
      <c r="L55" s="95">
        <v>15</v>
      </c>
      <c r="M55" s="13">
        <f t="shared" si="39"/>
        <v>1933.0909090909104</v>
      </c>
      <c r="N55" s="13">
        <f t="shared" si="3"/>
        <v>128.87272727272736</v>
      </c>
      <c r="O55" s="14">
        <f t="shared" si="4"/>
        <v>0</v>
      </c>
      <c r="P55" s="15">
        <f t="shared" si="5"/>
        <v>-4.4606060606059827</v>
      </c>
      <c r="Q55" s="91">
        <f t="shared" si="6"/>
        <v>0.96654545454545515</v>
      </c>
      <c r="R55" s="177"/>
      <c r="S55" s="21">
        <v>0.70833333333333337</v>
      </c>
      <c r="T55" s="21">
        <v>0.74652777777777779</v>
      </c>
      <c r="U55" s="88" t="str">
        <f t="shared" si="38"/>
        <v/>
      </c>
      <c r="V55" s="30">
        <f t="shared" si="37"/>
        <v>54.999999999999964</v>
      </c>
      <c r="W55" s="16"/>
      <c r="X55" s="16"/>
      <c r="Y55" s="19"/>
      <c r="Z55" s="19"/>
      <c r="AA55" s="168"/>
      <c r="AB55" s="168"/>
      <c r="AC55" s="18"/>
      <c r="AD55" s="18"/>
      <c r="AE55" s="14">
        <f t="shared" si="8"/>
        <v>-66.909090909089628</v>
      </c>
      <c r="AF55" s="91">
        <f t="shared" si="9"/>
        <v>0.96654545454545515</v>
      </c>
      <c r="AG55" s="177"/>
    </row>
    <row r="56" spans="1:33" ht="15.75" customHeight="1">
      <c r="A56" s="181" t="s">
        <v>2507</v>
      </c>
      <c r="B56" s="28" t="s">
        <v>5</v>
      </c>
      <c r="C56" s="93" t="s">
        <v>44</v>
      </c>
      <c r="D56" s="94"/>
      <c r="E56" s="28">
        <v>55.56</v>
      </c>
      <c r="F56" s="29">
        <v>2377</v>
      </c>
      <c r="G56" s="88">
        <f t="shared" si="35"/>
        <v>132066.12</v>
      </c>
      <c r="H56" s="30" t="s">
        <v>53</v>
      </c>
      <c r="I56" s="95">
        <v>17</v>
      </c>
      <c r="J56" s="13">
        <v>2000</v>
      </c>
      <c r="K56" s="12">
        <f t="shared" si="1"/>
        <v>117.64705882352941</v>
      </c>
      <c r="L56" s="95">
        <v>17</v>
      </c>
      <c r="M56" s="13">
        <f t="shared" si="39"/>
        <v>1927.2972972972959</v>
      </c>
      <c r="N56" s="13">
        <f t="shared" si="3"/>
        <v>113.37042925278212</v>
      </c>
      <c r="O56" s="14">
        <f t="shared" si="4"/>
        <v>0</v>
      </c>
      <c r="P56" s="15">
        <f t="shared" si="5"/>
        <v>-4.2766295707472892</v>
      </c>
      <c r="Q56" s="91">
        <f t="shared" si="6"/>
        <v>0.96364864864864808</v>
      </c>
      <c r="R56" s="177"/>
      <c r="S56" s="21">
        <v>0.75</v>
      </c>
      <c r="T56" s="21">
        <v>0.80138888888888893</v>
      </c>
      <c r="U56" s="88">
        <f t="shared" si="38"/>
        <v>4.9999999999999822</v>
      </c>
      <c r="V56" s="30">
        <f t="shared" si="37"/>
        <v>74.000000000000057</v>
      </c>
      <c r="W56" s="16"/>
      <c r="X56" s="16"/>
      <c r="Y56" s="19"/>
      <c r="Z56" s="19"/>
      <c r="AA56" s="168"/>
      <c r="AB56" s="168"/>
      <c r="AC56" s="18"/>
      <c r="AD56" s="18"/>
      <c r="AE56" s="14">
        <f t="shared" si="8"/>
        <v>-72.702702702704073</v>
      </c>
      <c r="AF56" s="91">
        <f t="shared" si="9"/>
        <v>0.96364864864864797</v>
      </c>
      <c r="AG56" s="177"/>
    </row>
    <row r="57" spans="1:33" ht="15.75" customHeight="1">
      <c r="A57" s="181" t="s">
        <v>2507</v>
      </c>
      <c r="B57" s="28" t="s">
        <v>5</v>
      </c>
      <c r="C57" s="170" t="s">
        <v>43</v>
      </c>
      <c r="D57" s="171"/>
      <c r="E57" s="28">
        <v>54.29</v>
      </c>
      <c r="F57" s="29">
        <v>1273</v>
      </c>
      <c r="G57" s="88">
        <f t="shared" si="35"/>
        <v>69111.17</v>
      </c>
      <c r="H57" s="30" t="s">
        <v>53</v>
      </c>
      <c r="I57" s="95">
        <v>20</v>
      </c>
      <c r="J57" s="13">
        <v>2000</v>
      </c>
      <c r="K57" s="12">
        <f t="shared" si="1"/>
        <v>100</v>
      </c>
      <c r="L57" s="95">
        <v>20</v>
      </c>
      <c r="M57" s="13">
        <f t="shared" si="39"/>
        <v>1909.4999999999993</v>
      </c>
      <c r="N57" s="13">
        <f t="shared" si="3"/>
        <v>95.474999999999966</v>
      </c>
      <c r="O57" s="14">
        <f t="shared" si="4"/>
        <v>0</v>
      </c>
      <c r="P57" s="15">
        <f t="shared" si="5"/>
        <v>-4.5250000000000341</v>
      </c>
      <c r="Q57" s="91">
        <f t="shared" si="6"/>
        <v>0.95474999999999965</v>
      </c>
      <c r="R57" s="177"/>
      <c r="S57" s="21">
        <v>0.80555555555555558</v>
      </c>
      <c r="T57" s="21">
        <v>0.83333333333333337</v>
      </c>
      <c r="U57" s="88">
        <f t="shared" si="38"/>
        <v>5.9999999999999787</v>
      </c>
      <c r="V57" s="30">
        <f t="shared" si="37"/>
        <v>40.000000000000014</v>
      </c>
      <c r="W57" s="16"/>
      <c r="X57" s="16"/>
      <c r="Y57" s="19"/>
      <c r="Z57" s="19"/>
      <c r="AA57" s="172"/>
      <c r="AB57" s="173"/>
      <c r="AC57" s="18"/>
      <c r="AD57" s="18"/>
      <c r="AE57" s="14">
        <f t="shared" si="8"/>
        <v>-90.500000000000682</v>
      </c>
      <c r="AF57" s="91">
        <f t="shared" si="9"/>
        <v>0.95474999999999965</v>
      </c>
      <c r="AG57" s="177"/>
    </row>
    <row r="58" spans="1:33">
      <c r="A58" s="182" t="s">
        <v>2508</v>
      </c>
      <c r="B58" s="28" t="s">
        <v>2496</v>
      </c>
      <c r="C58" s="178"/>
      <c r="D58" s="178"/>
      <c r="E58" s="92"/>
      <c r="F58" s="12"/>
      <c r="G58" s="12"/>
      <c r="H58" s="88"/>
      <c r="I58" s="23">
        <v>19.333333333333332</v>
      </c>
      <c r="J58" s="13">
        <v>2000</v>
      </c>
      <c r="K58" s="12">
        <f t="shared" si="1"/>
        <v>103.44827586206897</v>
      </c>
      <c r="L58" s="23">
        <v>19.333333333333332</v>
      </c>
      <c r="M58" s="13">
        <f>AVERAGE(M52:M57)</f>
        <v>1920.8374283374289</v>
      </c>
      <c r="N58" s="12">
        <f t="shared" si="3"/>
        <v>99.353660086418742</v>
      </c>
      <c r="O58" s="14">
        <f t="shared" si="4"/>
        <v>0</v>
      </c>
      <c r="P58" s="15">
        <f t="shared" si="5"/>
        <v>-4.0946157756502259</v>
      </c>
      <c r="Q58" s="91">
        <f t="shared" si="6"/>
        <v>0.96041871416871449</v>
      </c>
      <c r="R58" s="177"/>
      <c r="S58" s="21"/>
      <c r="T58" s="21"/>
      <c r="U58" s="88"/>
      <c r="V58" s="30"/>
      <c r="W58" s="12"/>
      <c r="X58" s="12"/>
      <c r="Y58" s="24">
        <f>SUM(Y52:Y57)</f>
        <v>0</v>
      </c>
      <c r="Z58" s="24">
        <f>SUM(Z52:Z57)</f>
        <v>0</v>
      </c>
      <c r="AA58" s="167"/>
      <c r="AB58" s="167"/>
      <c r="AC58" s="24">
        <v>6</v>
      </c>
      <c r="AD58" s="24">
        <f>SUM(AD52:AD57)</f>
        <v>0</v>
      </c>
      <c r="AE58" s="14">
        <f>M58-J58</f>
        <v>-79.162571662571054</v>
      </c>
      <c r="AF58" s="91">
        <f t="shared" si="9"/>
        <v>0.96041871416871449</v>
      </c>
      <c r="AG58" s="177"/>
    </row>
    <row r="59" spans="1:33" ht="15.75" customHeight="1">
      <c r="A59" s="179" t="s">
        <v>2509</v>
      </c>
      <c r="B59" s="88" t="s">
        <v>33</v>
      </c>
      <c r="C59" s="169" t="s">
        <v>46</v>
      </c>
      <c r="D59" s="169"/>
      <c r="E59" s="28">
        <v>37.85</v>
      </c>
      <c r="F59" s="29">
        <v>1135</v>
      </c>
      <c r="G59" s="88">
        <f t="shared" ref="G59:G64" si="40">E59*F59</f>
        <v>42959.75</v>
      </c>
      <c r="H59" s="30" t="s">
        <v>53</v>
      </c>
      <c r="I59" s="95">
        <v>12</v>
      </c>
      <c r="J59" s="13">
        <v>2000</v>
      </c>
      <c r="K59" s="12">
        <f t="shared" si="1"/>
        <v>166.66666666666666</v>
      </c>
      <c r="L59" s="95">
        <v>12</v>
      </c>
      <c r="M59" s="13">
        <f t="shared" ref="M59:M64" si="41">F59/V59*60</f>
        <v>1945.7142857142862</v>
      </c>
      <c r="N59" s="12">
        <f t="shared" si="3"/>
        <v>162.1428571428572</v>
      </c>
      <c r="O59" s="14">
        <f t="shared" si="4"/>
        <v>0</v>
      </c>
      <c r="P59" s="15">
        <f t="shared" si="5"/>
        <v>-4.5238095238094616</v>
      </c>
      <c r="Q59" s="91">
        <f t="shared" si="6"/>
        <v>0.9728571428571432</v>
      </c>
      <c r="R59" s="177">
        <f>Q65</f>
        <v>0.96139242491254906</v>
      </c>
      <c r="S59" s="21">
        <v>0.20833333333333334</v>
      </c>
      <c r="T59" s="21">
        <v>0.2326388888888889</v>
      </c>
      <c r="U59" s="88"/>
      <c r="V59" s="30">
        <f t="shared" ref="V59:V64" si="42">(T59-S59)*24*60</f>
        <v>34.999999999999993</v>
      </c>
      <c r="W59" s="21"/>
      <c r="X59" s="21"/>
      <c r="Y59" s="21"/>
      <c r="Z59" s="21"/>
      <c r="AA59" s="168"/>
      <c r="AB59" s="168"/>
      <c r="AC59" s="18">
        <v>6</v>
      </c>
      <c r="AD59" s="18"/>
      <c r="AE59" s="14">
        <f t="shared" ref="AE59:AE74" si="43">M59-J59</f>
        <v>-54.285714285713766</v>
      </c>
      <c r="AF59" s="91">
        <f t="shared" si="9"/>
        <v>0.97285714285714309</v>
      </c>
      <c r="AG59" s="177">
        <f>AF65</f>
        <v>0.96139242491254917</v>
      </c>
    </row>
    <row r="60" spans="1:33" ht="15.75" customHeight="1">
      <c r="A60" s="179" t="s">
        <v>2509</v>
      </c>
      <c r="B60" s="88" t="s">
        <v>33</v>
      </c>
      <c r="C60" s="169" t="s">
        <v>47</v>
      </c>
      <c r="D60" s="169"/>
      <c r="E60" s="28">
        <v>34.36</v>
      </c>
      <c r="F60" s="29">
        <v>2509</v>
      </c>
      <c r="G60" s="88">
        <f t="shared" si="40"/>
        <v>86209.24</v>
      </c>
      <c r="H60" s="30" t="s">
        <v>53</v>
      </c>
      <c r="I60" s="95">
        <v>10</v>
      </c>
      <c r="J60" s="13">
        <v>3000</v>
      </c>
      <c r="K60" s="12">
        <f t="shared" si="1"/>
        <v>300</v>
      </c>
      <c r="L60" s="95">
        <v>10</v>
      </c>
      <c r="M60" s="13">
        <f t="shared" si="41"/>
        <v>2895.0000000000018</v>
      </c>
      <c r="N60" s="12">
        <f t="shared" si="3"/>
        <v>289.50000000000017</v>
      </c>
      <c r="O60" s="14">
        <f t="shared" si="4"/>
        <v>0</v>
      </c>
      <c r="P60" s="15">
        <f t="shared" si="5"/>
        <v>-10.499999999999829</v>
      </c>
      <c r="Q60" s="91">
        <f t="shared" si="6"/>
        <v>0.96500000000000052</v>
      </c>
      <c r="R60" s="177"/>
      <c r="S60" s="21">
        <v>0.2361111111111111</v>
      </c>
      <c r="T60" s="21">
        <v>0.2722222222222222</v>
      </c>
      <c r="U60" s="88">
        <f t="shared" ref="U60:U64" si="44">(S60-T59)*24*60</f>
        <v>4.9999999999999822</v>
      </c>
      <c r="V60" s="30">
        <f t="shared" si="42"/>
        <v>51.999999999999972</v>
      </c>
      <c r="W60" s="88"/>
      <c r="X60" s="88"/>
      <c r="Y60" s="88"/>
      <c r="Z60" s="88"/>
      <c r="AA60" s="168"/>
      <c r="AB60" s="168"/>
      <c r="AC60" s="18"/>
      <c r="AD60" s="18"/>
      <c r="AE60" s="14">
        <f t="shared" si="43"/>
        <v>-104.99999999999818</v>
      </c>
      <c r="AF60" s="91">
        <f t="shared" si="9"/>
        <v>0.96500000000000064</v>
      </c>
      <c r="AG60" s="177"/>
    </row>
    <row r="61" spans="1:33" ht="15.75" customHeight="1">
      <c r="A61" s="179" t="s">
        <v>2510</v>
      </c>
      <c r="B61" s="88" t="s">
        <v>33</v>
      </c>
      <c r="C61" s="169" t="s">
        <v>34</v>
      </c>
      <c r="D61" s="169"/>
      <c r="E61" s="28">
        <v>34.36</v>
      </c>
      <c r="F61" s="29">
        <v>1366</v>
      </c>
      <c r="G61" s="88">
        <f t="shared" si="40"/>
        <v>46935.76</v>
      </c>
      <c r="H61" s="30" t="s">
        <v>53</v>
      </c>
      <c r="I61" s="95">
        <v>10</v>
      </c>
      <c r="J61" s="13">
        <v>3000</v>
      </c>
      <c r="K61" s="12">
        <f t="shared" si="1"/>
        <v>300</v>
      </c>
      <c r="L61" s="95">
        <v>10</v>
      </c>
      <c r="M61" s="13">
        <f t="shared" si="41"/>
        <v>2927.1428571428592</v>
      </c>
      <c r="N61" s="12">
        <f t="shared" si="3"/>
        <v>292.71428571428589</v>
      </c>
      <c r="O61" s="14">
        <f t="shared" si="4"/>
        <v>0</v>
      </c>
      <c r="P61" s="15">
        <f t="shared" si="5"/>
        <v>-7.2857142857141071</v>
      </c>
      <c r="Q61" s="91">
        <f t="shared" si="6"/>
        <v>0.97571428571428631</v>
      </c>
      <c r="R61" s="177"/>
      <c r="S61" s="21">
        <v>0.27569444444444441</v>
      </c>
      <c r="T61" s="21">
        <v>0.29513888888888884</v>
      </c>
      <c r="U61" s="88">
        <f t="shared" si="44"/>
        <v>4.9999999999999822</v>
      </c>
      <c r="V61" s="30">
        <f t="shared" si="42"/>
        <v>27.999999999999979</v>
      </c>
      <c r="W61" s="88"/>
      <c r="X61" s="88"/>
      <c r="Y61" s="88"/>
      <c r="Z61" s="88"/>
      <c r="AA61" s="168"/>
      <c r="AB61" s="168"/>
      <c r="AC61" s="18"/>
      <c r="AD61" s="18"/>
      <c r="AE61" s="14">
        <f t="shared" si="43"/>
        <v>-72.857142857140843</v>
      </c>
      <c r="AF61" s="91">
        <f t="shared" si="9"/>
        <v>0.97571428571428642</v>
      </c>
      <c r="AG61" s="177"/>
    </row>
    <row r="62" spans="1:33" ht="15.75" customHeight="1">
      <c r="A62" s="179" t="s">
        <v>2509</v>
      </c>
      <c r="B62" s="88" t="s">
        <v>33</v>
      </c>
      <c r="C62" s="169" t="s">
        <v>35</v>
      </c>
      <c r="D62" s="169"/>
      <c r="E62" s="28">
        <v>26.78</v>
      </c>
      <c r="F62" s="29">
        <v>2711</v>
      </c>
      <c r="G62" s="88">
        <f t="shared" si="40"/>
        <v>72600.58</v>
      </c>
      <c r="H62" s="30" t="s">
        <v>53</v>
      </c>
      <c r="I62" s="95">
        <v>10</v>
      </c>
      <c r="J62" s="13">
        <v>3000</v>
      </c>
      <c r="K62" s="12">
        <f t="shared" si="1"/>
        <v>300</v>
      </c>
      <c r="L62" s="95">
        <v>10</v>
      </c>
      <c r="M62" s="13">
        <f t="shared" si="41"/>
        <v>2853.6842105263181</v>
      </c>
      <c r="N62" s="12">
        <f t="shared" si="3"/>
        <v>285.36842105263179</v>
      </c>
      <c r="O62" s="14">
        <f t="shared" si="4"/>
        <v>0</v>
      </c>
      <c r="P62" s="15">
        <f t="shared" si="5"/>
        <v>-14.631578947368212</v>
      </c>
      <c r="Q62" s="91">
        <f t="shared" si="6"/>
        <v>0.95122807017543931</v>
      </c>
      <c r="R62" s="177"/>
      <c r="S62" s="21">
        <v>0.29999999999999993</v>
      </c>
      <c r="T62" s="21">
        <v>0.33958333333333324</v>
      </c>
      <c r="U62" s="88">
        <f t="shared" si="44"/>
        <v>6.9999999999999751</v>
      </c>
      <c r="V62" s="30">
        <f t="shared" si="42"/>
        <v>56.999999999999957</v>
      </c>
      <c r="W62" s="88"/>
      <c r="X62" s="88"/>
      <c r="Y62" s="88"/>
      <c r="Z62" s="88"/>
      <c r="AA62" s="168"/>
      <c r="AB62" s="168"/>
      <c r="AC62" s="18"/>
      <c r="AD62" s="18"/>
      <c r="AE62" s="14">
        <f t="shared" si="43"/>
        <v>-146.31578947368189</v>
      </c>
      <c r="AF62" s="91">
        <f t="shared" si="9"/>
        <v>0.95122807017543942</v>
      </c>
      <c r="AG62" s="177"/>
    </row>
    <row r="63" spans="1:33">
      <c r="A63" s="180" t="s">
        <v>175</v>
      </c>
      <c r="B63" s="88" t="s">
        <v>33</v>
      </c>
      <c r="C63" s="169" t="s">
        <v>756</v>
      </c>
      <c r="D63" s="169"/>
      <c r="E63" s="28">
        <v>37.880000000000003</v>
      </c>
      <c r="F63" s="29">
        <v>2621</v>
      </c>
      <c r="G63" s="88">
        <f t="shared" si="40"/>
        <v>99283.48000000001</v>
      </c>
      <c r="H63" s="30" t="s">
        <v>53</v>
      </c>
      <c r="I63" s="95">
        <v>10</v>
      </c>
      <c r="J63" s="13">
        <v>3000</v>
      </c>
      <c r="K63" s="12">
        <f t="shared" si="1"/>
        <v>300</v>
      </c>
      <c r="L63" s="95">
        <v>10</v>
      </c>
      <c r="M63" s="13">
        <f t="shared" si="41"/>
        <v>2859.2727272727288</v>
      </c>
      <c r="N63" s="12">
        <f t="shared" si="3"/>
        <v>285.92727272727291</v>
      </c>
      <c r="O63" s="14">
        <f t="shared" si="4"/>
        <v>0</v>
      </c>
      <c r="P63" s="15">
        <f t="shared" si="5"/>
        <v>-14.072727272727093</v>
      </c>
      <c r="Q63" s="91">
        <f t="shared" si="6"/>
        <v>0.95309090909090965</v>
      </c>
      <c r="R63" s="177"/>
      <c r="S63" s="21">
        <v>0.34444444444444433</v>
      </c>
      <c r="T63" s="21">
        <v>0.38263888888888875</v>
      </c>
      <c r="U63" s="88">
        <f t="shared" si="44"/>
        <v>6.9999999999999751</v>
      </c>
      <c r="V63" s="30">
        <f t="shared" si="42"/>
        <v>54.999999999999964</v>
      </c>
      <c r="W63" s="16"/>
      <c r="X63" s="16"/>
      <c r="Y63" s="16"/>
      <c r="Z63" s="16"/>
      <c r="AA63" s="168"/>
      <c r="AB63" s="168"/>
      <c r="AC63" s="18"/>
      <c r="AD63" s="18"/>
      <c r="AE63" s="14">
        <f t="shared" si="43"/>
        <v>-140.72727272727116</v>
      </c>
      <c r="AF63" s="91">
        <f t="shared" si="9"/>
        <v>0.95309090909090965</v>
      </c>
      <c r="AG63" s="177"/>
    </row>
    <row r="64" spans="1:33" ht="15" customHeight="1">
      <c r="A64" s="180" t="s">
        <v>2509</v>
      </c>
      <c r="B64" s="88" t="s">
        <v>33</v>
      </c>
      <c r="C64" s="170" t="s">
        <v>38</v>
      </c>
      <c r="D64" s="171"/>
      <c r="E64" s="28">
        <v>35.869999999999997</v>
      </c>
      <c r="F64" s="29">
        <v>4342</v>
      </c>
      <c r="G64" s="88">
        <f t="shared" si="40"/>
        <v>155747.53999999998</v>
      </c>
      <c r="H64" s="30" t="s">
        <v>53</v>
      </c>
      <c r="I64" s="95">
        <v>9</v>
      </c>
      <c r="J64" s="13">
        <v>3000</v>
      </c>
      <c r="K64" s="12">
        <f t="shared" si="1"/>
        <v>333.33333333333331</v>
      </c>
      <c r="L64" s="95">
        <v>9</v>
      </c>
      <c r="M64" s="13">
        <f t="shared" si="41"/>
        <v>2862.8571428571431</v>
      </c>
      <c r="N64" s="12">
        <f t="shared" si="3"/>
        <v>318.09523809523813</v>
      </c>
      <c r="O64" s="14">
        <f t="shared" si="4"/>
        <v>0</v>
      </c>
      <c r="P64" s="15">
        <f t="shared" si="5"/>
        <v>-15.238095238095184</v>
      </c>
      <c r="Q64" s="91">
        <f t="shared" si="6"/>
        <v>0.9542857142857144</v>
      </c>
      <c r="R64" s="177"/>
      <c r="S64" s="21">
        <v>0.38611111111111096</v>
      </c>
      <c r="T64" s="21">
        <v>0.4493055555555554</v>
      </c>
      <c r="U64" s="88">
        <f t="shared" si="44"/>
        <v>4.9999999999999822</v>
      </c>
      <c r="V64" s="30">
        <f t="shared" si="42"/>
        <v>91</v>
      </c>
      <c r="W64" s="88"/>
      <c r="X64" s="88"/>
      <c r="Y64" s="98"/>
      <c r="Z64" s="98"/>
      <c r="AA64" s="172"/>
      <c r="AB64" s="173"/>
      <c r="AC64" s="18"/>
      <c r="AD64" s="18"/>
      <c r="AE64" s="14">
        <f t="shared" si="43"/>
        <v>-137.14285714285688</v>
      </c>
      <c r="AF64" s="91">
        <f t="shared" si="9"/>
        <v>0.9542857142857144</v>
      </c>
      <c r="AG64" s="177"/>
    </row>
    <row r="65" spans="1:33">
      <c r="A65" s="180" t="s">
        <v>2509</v>
      </c>
      <c r="B65" s="28" t="s">
        <v>2492</v>
      </c>
      <c r="C65" s="178"/>
      <c r="D65" s="178"/>
      <c r="E65" s="92"/>
      <c r="F65" s="12"/>
      <c r="G65" s="12"/>
      <c r="H65" s="88"/>
      <c r="I65" s="23">
        <v>10.166666666666666</v>
      </c>
      <c r="J65" s="13">
        <v>2833.3333333333335</v>
      </c>
      <c r="K65" s="12">
        <f t="shared" si="1"/>
        <v>278.68852459016398</v>
      </c>
      <c r="L65" s="23">
        <v>10.166666666666666</v>
      </c>
      <c r="M65" s="13">
        <f>AVERAGE(M59:M64)</f>
        <v>2723.9452039188895</v>
      </c>
      <c r="N65" s="12">
        <f t="shared" si="3"/>
        <v>267.92903645103831</v>
      </c>
      <c r="O65" s="14">
        <f t="shared" si="4"/>
        <v>0</v>
      </c>
      <c r="P65" s="15">
        <f t="shared" si="5"/>
        <v>-10.759488139125665</v>
      </c>
      <c r="Q65" s="91">
        <f t="shared" si="6"/>
        <v>0.96139242491254906</v>
      </c>
      <c r="R65" s="177"/>
      <c r="S65" s="21"/>
      <c r="T65" s="21"/>
      <c r="U65" s="12"/>
      <c r="V65" s="30"/>
      <c r="W65" s="12"/>
      <c r="X65" s="12"/>
      <c r="Y65" s="24">
        <f>SUM(Y59:Y64)</f>
        <v>0</v>
      </c>
      <c r="Z65" s="24">
        <f>SUM(Z59:Z64)</f>
        <v>0</v>
      </c>
      <c r="AA65" s="167"/>
      <c r="AB65" s="167"/>
      <c r="AC65" s="24">
        <v>6</v>
      </c>
      <c r="AD65" s="24">
        <f>SUM(AD59:AD64)</f>
        <v>0</v>
      </c>
      <c r="AE65" s="14">
        <f t="shared" si="43"/>
        <v>-109.38812941444394</v>
      </c>
      <c r="AF65" s="91">
        <f t="shared" si="9"/>
        <v>0.96139242491254917</v>
      </c>
      <c r="AG65" s="177"/>
    </row>
    <row r="66" spans="1:33" ht="15.75" customHeight="1">
      <c r="A66" s="174" t="s">
        <v>281</v>
      </c>
      <c r="B66" s="88" t="s">
        <v>22</v>
      </c>
      <c r="C66" s="169" t="s">
        <v>29</v>
      </c>
      <c r="D66" s="169"/>
      <c r="E66" s="28">
        <v>20.52</v>
      </c>
      <c r="F66" s="88">
        <v>3600</v>
      </c>
      <c r="G66" s="88">
        <f t="shared" ref="G66:G73" si="45">E66*F66</f>
        <v>73872</v>
      </c>
      <c r="H66" s="30">
        <v>2</v>
      </c>
      <c r="I66" s="95">
        <v>18</v>
      </c>
      <c r="J66" s="13">
        <v>2400</v>
      </c>
      <c r="K66" s="12">
        <f t="shared" si="1"/>
        <v>133.33333333333334</v>
      </c>
      <c r="L66" s="95">
        <v>18</v>
      </c>
      <c r="M66" s="13">
        <f t="shared" ref="M66:M73" si="46">F66/V66*60</f>
        <v>2297.8723404255315</v>
      </c>
      <c r="N66" s="12">
        <f t="shared" si="3"/>
        <v>127.65957446808508</v>
      </c>
      <c r="O66" s="14">
        <f t="shared" si="4"/>
        <v>0</v>
      </c>
      <c r="P66" s="15">
        <f t="shared" si="5"/>
        <v>-5.67375886524826</v>
      </c>
      <c r="Q66" s="91">
        <f t="shared" si="6"/>
        <v>0.95744680851063801</v>
      </c>
      <c r="R66" s="177">
        <f>Q74</f>
        <v>0.9576581463628755</v>
      </c>
      <c r="S66" s="21">
        <v>8.3333333333333329E-2</v>
      </c>
      <c r="T66" s="21">
        <v>0.14861111111111111</v>
      </c>
      <c r="U66" s="21"/>
      <c r="V66" s="30">
        <f t="shared" ref="V66:V73" si="47">(T66-S66)*24*60</f>
        <v>94.000000000000014</v>
      </c>
      <c r="W66" s="16">
        <f>T66</f>
        <v>0.14861111111111111</v>
      </c>
      <c r="X66" s="16">
        <f>S67</f>
        <v>0.16944444444444445</v>
      </c>
      <c r="Y66" s="16"/>
      <c r="Z66" s="16"/>
      <c r="AA66" s="168"/>
      <c r="AB66" s="168"/>
      <c r="AC66" s="18">
        <v>8</v>
      </c>
      <c r="AD66" s="18"/>
      <c r="AE66" s="14">
        <f t="shared" si="43"/>
        <v>-102.12765957446845</v>
      </c>
      <c r="AF66" s="91">
        <f t="shared" si="9"/>
        <v>0.95744680851063813</v>
      </c>
      <c r="AG66" s="177">
        <f>AF74</f>
        <v>0.9576581463628755</v>
      </c>
    </row>
    <row r="67" spans="1:33" ht="15.75" customHeight="1">
      <c r="A67" s="175" t="s">
        <v>2511</v>
      </c>
      <c r="B67" s="88" t="s">
        <v>22</v>
      </c>
      <c r="C67" s="169" t="s">
        <v>50</v>
      </c>
      <c r="D67" s="169"/>
      <c r="E67" s="28">
        <v>24.45</v>
      </c>
      <c r="F67" s="88">
        <v>3261</v>
      </c>
      <c r="G67" s="88">
        <f t="shared" si="45"/>
        <v>79731.45</v>
      </c>
      <c r="H67" s="30" t="s">
        <v>53</v>
      </c>
      <c r="I67" s="95">
        <v>19</v>
      </c>
      <c r="J67" s="13">
        <v>2400</v>
      </c>
      <c r="K67" s="12">
        <f t="shared" si="1"/>
        <v>126.31578947368421</v>
      </c>
      <c r="L67" s="95">
        <v>19</v>
      </c>
      <c r="M67" s="13">
        <f t="shared" si="46"/>
        <v>2301.8823529411761</v>
      </c>
      <c r="N67" s="12">
        <f t="shared" si="3"/>
        <v>121.1517027863777</v>
      </c>
      <c r="O67" s="14">
        <f t="shared" si="4"/>
        <v>0</v>
      </c>
      <c r="P67" s="15">
        <f t="shared" si="5"/>
        <v>-5.1640866873065079</v>
      </c>
      <c r="Q67" s="91">
        <f t="shared" si="6"/>
        <v>0.95911764705882352</v>
      </c>
      <c r="R67" s="177"/>
      <c r="S67" s="21">
        <v>0.16944444444444445</v>
      </c>
      <c r="T67" s="21">
        <v>0.22847222222222224</v>
      </c>
      <c r="U67" s="88">
        <f t="shared" ref="U67:U73" si="48">(S67-T66)*24*60</f>
        <v>30.000000000000014</v>
      </c>
      <c r="V67" s="30">
        <f t="shared" si="47"/>
        <v>85.000000000000014</v>
      </c>
      <c r="W67" s="16"/>
      <c r="X67" s="16"/>
      <c r="Y67" s="16"/>
      <c r="Z67" s="16"/>
      <c r="AA67" s="168"/>
      <c r="AB67" s="168"/>
      <c r="AC67" s="18"/>
      <c r="AD67" s="18"/>
      <c r="AE67" s="14">
        <f t="shared" si="43"/>
        <v>-98.117647058823877</v>
      </c>
      <c r="AF67" s="91">
        <f t="shared" si="9"/>
        <v>0.95911764705882341</v>
      </c>
      <c r="AG67" s="177"/>
    </row>
    <row r="68" spans="1:33" ht="15.75" customHeight="1">
      <c r="A68" s="175" t="s">
        <v>2512</v>
      </c>
      <c r="B68" s="88" t="s">
        <v>22</v>
      </c>
      <c r="C68" s="169" t="s">
        <v>31</v>
      </c>
      <c r="D68" s="169"/>
      <c r="E68" s="28">
        <v>20.21</v>
      </c>
      <c r="F68" s="88">
        <v>3358</v>
      </c>
      <c r="G68" s="88">
        <f t="shared" si="45"/>
        <v>67865.180000000008</v>
      </c>
      <c r="H68" s="30" t="s">
        <v>53</v>
      </c>
      <c r="I68" s="95">
        <v>15</v>
      </c>
      <c r="J68" s="13">
        <v>2400</v>
      </c>
      <c r="K68" s="12">
        <f t="shared" si="1"/>
        <v>160</v>
      </c>
      <c r="L68" s="95">
        <v>15</v>
      </c>
      <c r="M68" s="13">
        <f t="shared" si="46"/>
        <v>2289.5454545454554</v>
      </c>
      <c r="N68" s="12">
        <f t="shared" si="3"/>
        <v>152.63636363636368</v>
      </c>
      <c r="O68" s="14">
        <f t="shared" si="4"/>
        <v>0</v>
      </c>
      <c r="P68" s="15">
        <f t="shared" si="5"/>
        <v>-7.3636363636363171</v>
      </c>
      <c r="Q68" s="91">
        <f t="shared" si="6"/>
        <v>0.95397727272727306</v>
      </c>
      <c r="R68" s="177"/>
      <c r="S68" s="21">
        <v>0.23402777777777781</v>
      </c>
      <c r="T68" s="21">
        <v>0.2951388888888889</v>
      </c>
      <c r="U68" s="88">
        <f t="shared" si="48"/>
        <v>8.0000000000000107</v>
      </c>
      <c r="V68" s="30">
        <f t="shared" si="47"/>
        <v>87.999999999999972</v>
      </c>
      <c r="W68" s="16"/>
      <c r="X68" s="16"/>
      <c r="Y68" s="16"/>
      <c r="Z68" s="16"/>
      <c r="AA68" s="168"/>
      <c r="AB68" s="168"/>
      <c r="AC68" s="18"/>
      <c r="AD68" s="18"/>
      <c r="AE68" s="14">
        <f t="shared" si="43"/>
        <v>-110.45454545454459</v>
      </c>
      <c r="AF68" s="91">
        <f t="shared" si="9"/>
        <v>0.95397727272727306</v>
      </c>
      <c r="AG68" s="177"/>
    </row>
    <row r="69" spans="1:33" ht="15.75" customHeight="1">
      <c r="A69" s="175" t="s">
        <v>281</v>
      </c>
      <c r="B69" s="88" t="s">
        <v>22</v>
      </c>
      <c r="C69" s="169" t="s">
        <v>52</v>
      </c>
      <c r="D69" s="169"/>
      <c r="E69" s="28">
        <v>19.02</v>
      </c>
      <c r="F69" s="88">
        <v>6700</v>
      </c>
      <c r="G69" s="88">
        <f t="shared" si="45"/>
        <v>127434</v>
      </c>
      <c r="H69" s="30">
        <v>2</v>
      </c>
      <c r="I69" s="95">
        <v>14</v>
      </c>
      <c r="J69" s="13">
        <v>2400</v>
      </c>
      <c r="K69" s="12">
        <f t="shared" ref="K69:K74" si="49">J69/I69</f>
        <v>171.42857142857142</v>
      </c>
      <c r="L69" s="95">
        <v>14</v>
      </c>
      <c r="M69" s="13">
        <f t="shared" si="46"/>
        <v>2284.090909090909</v>
      </c>
      <c r="N69" s="12">
        <f t="shared" ref="N69:N74" si="50">M69/L69</f>
        <v>163.14935064935065</v>
      </c>
      <c r="O69" s="14">
        <f t="shared" ref="O69:O74" si="51">L69-I69</f>
        <v>0</v>
      </c>
      <c r="P69" s="15">
        <f t="shared" ref="P69:P74" si="52">N69-K69</f>
        <v>-8.2792207792207648</v>
      </c>
      <c r="Q69" s="91">
        <f t="shared" ref="Q69:Q74" si="53">N69/K69</f>
        <v>0.95170454545454553</v>
      </c>
      <c r="R69" s="177"/>
      <c r="S69" s="21">
        <v>0.3</v>
      </c>
      <c r="T69" s="21">
        <v>0.42222222222222222</v>
      </c>
      <c r="U69" s="88">
        <f t="shared" si="48"/>
        <v>6.9999999999999751</v>
      </c>
      <c r="V69" s="30">
        <f t="shared" si="47"/>
        <v>176</v>
      </c>
      <c r="W69" s="16"/>
      <c r="X69" s="16"/>
      <c r="Y69" s="16"/>
      <c r="Z69" s="16"/>
      <c r="AA69" s="168"/>
      <c r="AB69" s="168"/>
      <c r="AC69" s="18"/>
      <c r="AD69" s="18"/>
      <c r="AE69" s="14">
        <f t="shared" si="43"/>
        <v>-115.90909090909099</v>
      </c>
      <c r="AF69" s="91">
        <f t="shared" ref="AF69:AF74" si="54">M69/J69</f>
        <v>0.95170454545454541</v>
      </c>
      <c r="AG69" s="177"/>
    </row>
    <row r="70" spans="1:33" ht="15.75" customHeight="1">
      <c r="A70" s="175" t="s">
        <v>281</v>
      </c>
      <c r="B70" s="88" t="s">
        <v>22</v>
      </c>
      <c r="C70" s="169" t="s">
        <v>70</v>
      </c>
      <c r="D70" s="169"/>
      <c r="E70" s="28">
        <v>22.69</v>
      </c>
      <c r="F70" s="88">
        <v>3300</v>
      </c>
      <c r="G70" s="88">
        <f t="shared" si="45"/>
        <v>74877</v>
      </c>
      <c r="H70" s="30">
        <v>2</v>
      </c>
      <c r="I70" s="95">
        <v>15</v>
      </c>
      <c r="J70" s="13">
        <v>2400</v>
      </c>
      <c r="K70" s="12">
        <f t="shared" si="49"/>
        <v>160</v>
      </c>
      <c r="L70" s="95">
        <v>15</v>
      </c>
      <c r="M70" s="13">
        <f t="shared" si="46"/>
        <v>2302.3255813953483</v>
      </c>
      <c r="N70" s="12">
        <f t="shared" si="50"/>
        <v>153.48837209302323</v>
      </c>
      <c r="O70" s="14">
        <f t="shared" si="51"/>
        <v>0</v>
      </c>
      <c r="P70" s="15">
        <f t="shared" si="52"/>
        <v>-6.51162790697677</v>
      </c>
      <c r="Q70" s="91">
        <f t="shared" si="53"/>
        <v>0.95930232558139517</v>
      </c>
      <c r="R70" s="177"/>
      <c r="S70" s="21">
        <v>0.42708333333333331</v>
      </c>
      <c r="T70" s="21">
        <v>0.48680555555555555</v>
      </c>
      <c r="U70" s="88">
        <f t="shared" si="48"/>
        <v>6.9999999999999751</v>
      </c>
      <c r="V70" s="30">
        <f t="shared" si="47"/>
        <v>86.000000000000014</v>
      </c>
      <c r="W70" s="16">
        <f>T70</f>
        <v>0.48680555555555555</v>
      </c>
      <c r="X70" s="16">
        <f>S71</f>
        <v>0.52847222222222212</v>
      </c>
      <c r="Y70" s="16"/>
      <c r="Z70" s="16"/>
      <c r="AA70" s="168"/>
      <c r="AB70" s="168"/>
      <c r="AC70" s="18"/>
      <c r="AD70" s="18"/>
      <c r="AE70" s="14">
        <f t="shared" si="43"/>
        <v>-97.674418604651692</v>
      </c>
      <c r="AF70" s="91">
        <f t="shared" si="54"/>
        <v>0.95930232558139517</v>
      </c>
      <c r="AG70" s="177"/>
    </row>
    <row r="71" spans="1:33" ht="15.75" customHeight="1">
      <c r="A71" s="175" t="s">
        <v>2512</v>
      </c>
      <c r="B71" s="88" t="s">
        <v>22</v>
      </c>
      <c r="C71" s="169" t="s">
        <v>52</v>
      </c>
      <c r="D71" s="169"/>
      <c r="E71" s="28">
        <v>19.02</v>
      </c>
      <c r="F71" s="88">
        <v>5325</v>
      </c>
      <c r="G71" s="88">
        <f t="shared" si="45"/>
        <v>101281.5</v>
      </c>
      <c r="H71" s="30" t="s">
        <v>53</v>
      </c>
      <c r="I71" s="95">
        <v>14</v>
      </c>
      <c r="J71" s="13">
        <v>2400</v>
      </c>
      <c r="K71" s="12">
        <f t="shared" si="49"/>
        <v>171.42857142857142</v>
      </c>
      <c r="L71" s="95">
        <v>14</v>
      </c>
      <c r="M71" s="13">
        <f t="shared" si="46"/>
        <v>2298.5611510791364</v>
      </c>
      <c r="N71" s="12">
        <f t="shared" si="50"/>
        <v>164.18293936279545</v>
      </c>
      <c r="O71" s="14">
        <f t="shared" si="51"/>
        <v>0</v>
      </c>
      <c r="P71" s="15">
        <f t="shared" si="52"/>
        <v>-7.2456320657759647</v>
      </c>
      <c r="Q71" s="91">
        <f t="shared" si="53"/>
        <v>0.95773381294964022</v>
      </c>
      <c r="R71" s="177"/>
      <c r="S71" s="21">
        <v>0.52847222222222212</v>
      </c>
      <c r="T71" s="21">
        <v>0.62499999999999989</v>
      </c>
      <c r="U71" s="88">
        <f t="shared" si="48"/>
        <v>59.999999999999865</v>
      </c>
      <c r="V71" s="30">
        <f t="shared" si="47"/>
        <v>139</v>
      </c>
      <c r="W71" s="16"/>
      <c r="X71" s="16"/>
      <c r="Y71" s="16"/>
      <c r="Z71" s="16"/>
      <c r="AA71" s="168"/>
      <c r="AB71" s="168"/>
      <c r="AC71" s="18"/>
      <c r="AD71" s="18"/>
      <c r="AE71" s="14">
        <f t="shared" si="43"/>
        <v>-101.43884892086362</v>
      </c>
      <c r="AF71" s="91">
        <f t="shared" si="54"/>
        <v>0.95773381294964011</v>
      </c>
      <c r="AG71" s="177"/>
    </row>
    <row r="72" spans="1:33" ht="15.75" customHeight="1">
      <c r="A72" s="175" t="s">
        <v>2512</v>
      </c>
      <c r="B72" s="88" t="s">
        <v>22</v>
      </c>
      <c r="C72" s="170" t="s">
        <v>29</v>
      </c>
      <c r="D72" s="171"/>
      <c r="E72" s="28">
        <v>20.52</v>
      </c>
      <c r="F72" s="88">
        <v>2695</v>
      </c>
      <c r="G72" s="88">
        <f t="shared" si="45"/>
        <v>55301.4</v>
      </c>
      <c r="H72" s="30" t="s">
        <v>53</v>
      </c>
      <c r="I72" s="95">
        <v>18</v>
      </c>
      <c r="J72" s="13">
        <v>2400</v>
      </c>
      <c r="K72" s="12">
        <f t="shared" si="49"/>
        <v>133.33333333333334</v>
      </c>
      <c r="L72" s="95">
        <v>18</v>
      </c>
      <c r="M72" s="13">
        <f t="shared" si="46"/>
        <v>2309.9999999999973</v>
      </c>
      <c r="N72" s="12">
        <f t="shared" si="50"/>
        <v>128.33333333333317</v>
      </c>
      <c r="O72" s="14">
        <f t="shared" si="51"/>
        <v>0</v>
      </c>
      <c r="P72" s="15">
        <f t="shared" si="52"/>
        <v>-5.0000000000001705</v>
      </c>
      <c r="Q72" s="91">
        <f t="shared" si="53"/>
        <v>0.96249999999999869</v>
      </c>
      <c r="R72" s="177"/>
      <c r="S72" s="21">
        <v>0.62916666666666654</v>
      </c>
      <c r="T72" s="21">
        <v>0.6777777777777777</v>
      </c>
      <c r="U72" s="88">
        <f t="shared" si="48"/>
        <v>5.9999999999999787</v>
      </c>
      <c r="V72" s="30">
        <f t="shared" si="47"/>
        <v>70.000000000000071</v>
      </c>
      <c r="W72" s="16"/>
      <c r="X72" s="16"/>
      <c r="Y72" s="19"/>
      <c r="Z72" s="19"/>
      <c r="AA72" s="172"/>
      <c r="AB72" s="173"/>
      <c r="AC72" s="18"/>
      <c r="AD72" s="18"/>
      <c r="AE72" s="14">
        <f t="shared" si="43"/>
        <v>-90.000000000002728</v>
      </c>
      <c r="AF72" s="91">
        <f t="shared" si="54"/>
        <v>0.96249999999999891</v>
      </c>
      <c r="AG72" s="177"/>
    </row>
    <row r="73" spans="1:33" ht="15.75" customHeight="1">
      <c r="A73" s="175" t="s">
        <v>281</v>
      </c>
      <c r="B73" s="88" t="s">
        <v>22</v>
      </c>
      <c r="C73" s="170" t="s">
        <v>70</v>
      </c>
      <c r="D73" s="171"/>
      <c r="E73" s="28">
        <v>22.69</v>
      </c>
      <c r="F73" s="88">
        <v>2226</v>
      </c>
      <c r="G73" s="88">
        <f t="shared" si="45"/>
        <v>50507.94</v>
      </c>
      <c r="H73" s="30" t="s">
        <v>53</v>
      </c>
      <c r="I73" s="95">
        <v>15</v>
      </c>
      <c r="J73" s="13">
        <v>2400</v>
      </c>
      <c r="K73" s="12">
        <f t="shared" si="49"/>
        <v>160</v>
      </c>
      <c r="L73" s="95">
        <v>15</v>
      </c>
      <c r="M73" s="13">
        <f t="shared" si="46"/>
        <v>2302.7586206896567</v>
      </c>
      <c r="N73" s="12">
        <f t="shared" si="50"/>
        <v>153.51724137931043</v>
      </c>
      <c r="O73" s="14">
        <f t="shared" si="51"/>
        <v>0</v>
      </c>
      <c r="P73" s="15">
        <f t="shared" si="52"/>
        <v>-6.482758620689566</v>
      </c>
      <c r="Q73" s="91">
        <f t="shared" si="53"/>
        <v>0.95948275862069021</v>
      </c>
      <c r="R73" s="177"/>
      <c r="S73" s="21">
        <v>0.68124999999999991</v>
      </c>
      <c r="T73" s="21">
        <v>0.72152777777777766</v>
      </c>
      <c r="U73" s="88">
        <f t="shared" si="48"/>
        <v>4.9999999999999822</v>
      </c>
      <c r="V73" s="30">
        <f t="shared" si="47"/>
        <v>57.999999999999957</v>
      </c>
      <c r="W73" s="16"/>
      <c r="X73" s="16"/>
      <c r="Y73" s="19"/>
      <c r="Z73" s="19"/>
      <c r="AA73" s="172"/>
      <c r="AB73" s="173"/>
      <c r="AC73" s="18"/>
      <c r="AD73" s="18"/>
      <c r="AE73" s="14">
        <f t="shared" si="43"/>
        <v>-97.241379310343291</v>
      </c>
      <c r="AF73" s="91">
        <f t="shared" si="54"/>
        <v>0.95948275862069032</v>
      </c>
      <c r="AG73" s="177"/>
    </row>
    <row r="74" spans="1:33" ht="16.5" customHeight="1">
      <c r="A74" s="176" t="s">
        <v>281</v>
      </c>
      <c r="B74" s="28" t="s">
        <v>2496</v>
      </c>
      <c r="C74" s="165"/>
      <c r="D74" s="166"/>
      <c r="E74" s="92"/>
      <c r="F74" s="12"/>
      <c r="G74" s="12"/>
      <c r="H74" s="88"/>
      <c r="I74" s="23">
        <v>16</v>
      </c>
      <c r="J74" s="13">
        <v>2400</v>
      </c>
      <c r="K74" s="12">
        <f t="shared" si="49"/>
        <v>150</v>
      </c>
      <c r="L74" s="23">
        <v>16</v>
      </c>
      <c r="M74" s="13">
        <f>AVERAGE(M66:M73)</f>
        <v>2298.3795512709012</v>
      </c>
      <c r="N74" s="12">
        <f t="shared" si="50"/>
        <v>143.64872195443132</v>
      </c>
      <c r="O74" s="14">
        <f t="shared" si="51"/>
        <v>0</v>
      </c>
      <c r="P74" s="15">
        <f t="shared" si="52"/>
        <v>-6.3512780455686766</v>
      </c>
      <c r="Q74" s="91">
        <f t="shared" si="53"/>
        <v>0.9576581463628755</v>
      </c>
      <c r="R74" s="177"/>
      <c r="S74" s="21"/>
      <c r="T74" s="21"/>
      <c r="U74" s="12"/>
      <c r="V74" s="30"/>
      <c r="W74" s="12"/>
      <c r="X74" s="12"/>
      <c r="Y74" s="24">
        <f>SUM(Y66:Y73)</f>
        <v>0</v>
      </c>
      <c r="Z74" s="24">
        <f>SUM(Z66:Z73)</f>
        <v>0</v>
      </c>
      <c r="AA74" s="167"/>
      <c r="AB74" s="167"/>
      <c r="AC74" s="24">
        <v>8</v>
      </c>
      <c r="AD74" s="24">
        <f>SUM(AD66:AD73)</f>
        <v>0</v>
      </c>
      <c r="AE74" s="14">
        <f t="shared" si="43"/>
        <v>-101.62044872909883</v>
      </c>
      <c r="AF74" s="91">
        <f t="shared" si="54"/>
        <v>0.9576581463628755</v>
      </c>
      <c r="AG74" s="177"/>
    </row>
    <row r="75" spans="1:33">
      <c r="D75" s="87"/>
      <c r="E75" s="87"/>
    </row>
  </sheetData>
  <mergeCells count="199">
    <mergeCell ref="AG66:AG74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66:A74"/>
    <mergeCell ref="C66:D66"/>
    <mergeCell ref="R66:R74"/>
    <mergeCell ref="AA66:AB66"/>
    <mergeCell ref="AA71:AB71"/>
    <mergeCell ref="C72:D72"/>
    <mergeCell ref="AA72:AB72"/>
    <mergeCell ref="C73:D73"/>
    <mergeCell ref="AA73:AB73"/>
    <mergeCell ref="C74:D74"/>
    <mergeCell ref="AA74:AB74"/>
    <mergeCell ref="AG59:AG65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C64:D64"/>
    <mergeCell ref="C65:D65"/>
    <mergeCell ref="AA65:AB65"/>
    <mergeCell ref="A59:A65"/>
    <mergeCell ref="C59:D59"/>
    <mergeCell ref="R59:R65"/>
    <mergeCell ref="AA59:AB59"/>
    <mergeCell ref="AA64:AB64"/>
    <mergeCell ref="A52:A58"/>
    <mergeCell ref="C52:D52"/>
    <mergeCell ref="R52:R58"/>
    <mergeCell ref="AA52:AB52"/>
    <mergeCell ref="AG52:AG58"/>
    <mergeCell ref="C53:D53"/>
    <mergeCell ref="AA53:AB53"/>
    <mergeCell ref="C54:D54"/>
    <mergeCell ref="AA54:AB54"/>
    <mergeCell ref="AA55:AB55"/>
    <mergeCell ref="AG47:AG51"/>
    <mergeCell ref="C48:D48"/>
    <mergeCell ref="AA48:AB48"/>
    <mergeCell ref="C49:D49"/>
    <mergeCell ref="AA49:AB49"/>
    <mergeCell ref="C50:D50"/>
    <mergeCell ref="AA50:AB50"/>
    <mergeCell ref="C51:D51"/>
    <mergeCell ref="AA51:AB51"/>
    <mergeCell ref="AA56:AB56"/>
    <mergeCell ref="C57:D57"/>
    <mergeCell ref="AA57:AB57"/>
    <mergeCell ref="C58:D58"/>
    <mergeCell ref="AA58:AB58"/>
    <mergeCell ref="A47:A51"/>
    <mergeCell ref="C47:D47"/>
    <mergeCell ref="R47:R51"/>
    <mergeCell ref="AA47:AB47"/>
    <mergeCell ref="AG38:AG46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A29:A37"/>
    <mergeCell ref="C29:D29"/>
    <mergeCell ref="R29:R37"/>
    <mergeCell ref="AA29:AB29"/>
    <mergeCell ref="C37:D37"/>
    <mergeCell ref="AA37:AB37"/>
    <mergeCell ref="A38:A46"/>
    <mergeCell ref="C38:D38"/>
    <mergeCell ref="R38:R46"/>
    <mergeCell ref="AA38:AB38"/>
    <mergeCell ref="AA43:AB43"/>
    <mergeCell ref="C44:D44"/>
    <mergeCell ref="AA44:AB44"/>
    <mergeCell ref="C45:D45"/>
    <mergeCell ref="AA45:AB45"/>
    <mergeCell ref="C46:D46"/>
    <mergeCell ref="AA46:AB46"/>
    <mergeCell ref="AG29:AG37"/>
    <mergeCell ref="C30:D30"/>
    <mergeCell ref="AA30:AB30"/>
    <mergeCell ref="C31:D31"/>
    <mergeCell ref="AA31:AB31"/>
    <mergeCell ref="C32:D32"/>
    <mergeCell ref="AG23:AG28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AA32:AB32"/>
    <mergeCell ref="C33:D33"/>
    <mergeCell ref="AA33:AB33"/>
    <mergeCell ref="C34:D34"/>
    <mergeCell ref="AA34:AB34"/>
    <mergeCell ref="C35:D35"/>
    <mergeCell ref="AA35:AB35"/>
    <mergeCell ref="A23:A28"/>
    <mergeCell ref="C23:D23"/>
    <mergeCell ref="R23:R28"/>
    <mergeCell ref="AA23:AB23"/>
    <mergeCell ref="AA28:AB28"/>
    <mergeCell ref="A17:A22"/>
    <mergeCell ref="C17:D17"/>
    <mergeCell ref="R17:R22"/>
    <mergeCell ref="AA17:AB17"/>
    <mergeCell ref="AG17:AG22"/>
    <mergeCell ref="C18:D18"/>
    <mergeCell ref="AA18:AB18"/>
    <mergeCell ref="C19:D19"/>
    <mergeCell ref="AA19:AB19"/>
    <mergeCell ref="C20:D20"/>
    <mergeCell ref="AG12:AG16"/>
    <mergeCell ref="C13:D13"/>
    <mergeCell ref="AA13:AB13"/>
    <mergeCell ref="C14:D14"/>
    <mergeCell ref="AA14:AB14"/>
    <mergeCell ref="C15:D15"/>
    <mergeCell ref="AA15:AB15"/>
    <mergeCell ref="C16:D16"/>
    <mergeCell ref="AA16:AB16"/>
    <mergeCell ref="AA20:AB20"/>
    <mergeCell ref="C21:D21"/>
    <mergeCell ref="AA21:AB21"/>
    <mergeCell ref="C22:D22"/>
    <mergeCell ref="AA22:AB22"/>
    <mergeCell ref="A12:A16"/>
    <mergeCell ref="C12:D12"/>
    <mergeCell ref="R12:R16"/>
    <mergeCell ref="AA12:AB12"/>
    <mergeCell ref="C7:D7"/>
    <mergeCell ref="AA7:AB7"/>
    <mergeCell ref="C8:D8"/>
    <mergeCell ref="AA8:AB8"/>
    <mergeCell ref="C9:D9"/>
    <mergeCell ref="AA9:AB9"/>
    <mergeCell ref="A5:A11"/>
    <mergeCell ref="C5:D5"/>
    <mergeCell ref="R5:R11"/>
    <mergeCell ref="AA5:AB5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C11:D11"/>
    <mergeCell ref="AA11:AB11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4">
    <cfRule type="cellIs" dxfId="213" priority="1" operator="greaterThan">
      <formula>0</formula>
    </cfRule>
  </conditionalFormatting>
  <conditionalFormatting sqref="P5:P74">
    <cfRule type="cellIs" dxfId="212" priority="4" operator="lessThan">
      <formula>0</formula>
    </cfRule>
  </conditionalFormatting>
  <conditionalFormatting sqref="Q5:Q74">
    <cfRule type="cellIs" dxfId="211" priority="2" operator="greaterThan">
      <formula>1</formula>
    </cfRule>
    <cfRule type="cellIs" dxfId="210" priority="3" operator="lessThan">
      <formula>0.8</formula>
    </cfRule>
  </conditionalFormatting>
  <conditionalFormatting sqref="R5:R12 AG5:AG12">
    <cfRule type="cellIs" dxfId="209" priority="52" operator="lessThan">
      <formula>0.8</formula>
    </cfRule>
  </conditionalFormatting>
  <conditionalFormatting sqref="R17:R74">
    <cfRule type="cellIs" dxfId="208" priority="5" operator="lessThan">
      <formula>0.8</formula>
    </cfRule>
  </conditionalFormatting>
  <conditionalFormatting sqref="AE5:AE74">
    <cfRule type="cellIs" dxfId="207" priority="17" operator="lessThan">
      <formula>0</formula>
    </cfRule>
  </conditionalFormatting>
  <conditionalFormatting sqref="AF5:AF74">
    <cfRule type="cellIs" dxfId="206" priority="15" operator="greaterThan">
      <formula>1</formula>
    </cfRule>
    <cfRule type="cellIs" dxfId="205" priority="16" operator="lessThan">
      <formula>0.8</formula>
    </cfRule>
  </conditionalFormatting>
  <conditionalFormatting sqref="AG17:AG62">
    <cfRule type="cellIs" dxfId="204" priority="18" operator="lessThan">
      <formula>0.8</formula>
    </cfRule>
  </conditionalFormatting>
  <dataValidations count="1">
    <dataValidation type="list" allowBlank="1" showInputMessage="1" showErrorMessage="1" sqref="AA5:AB9 AB10:AB11 AB63:AB64 AA10:AA64 AB13:AB59 AA65:AB74" xr:uid="{00000000-0002-0000-09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Q32"/>
  <sheetViews>
    <sheetView zoomScale="85" zoomScaleNormal="85" workbookViewId="0">
      <selection activeCell="G11" sqref="G11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2309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2310</v>
      </c>
      <c r="C3" s="154" t="str">
        <f>TEXT('0425 4度C'!A2,"yyyy.mm.ddaaaa")</f>
        <v>2026.04.25星期六</v>
      </c>
      <c r="D3" s="155"/>
      <c r="E3" s="33" t="s">
        <v>77</v>
      </c>
      <c r="F3" s="156">
        <f>'0425 4度C'!D1</f>
        <v>141051</v>
      </c>
      <c r="G3" s="157"/>
      <c r="H3" s="33" t="s">
        <v>2311</v>
      </c>
      <c r="I3" s="158">
        <f>'0425 4度C'!F1</f>
        <v>4752687.5699999984</v>
      </c>
      <c r="J3" s="159"/>
      <c r="K3" s="34"/>
      <c r="L3" s="35"/>
      <c r="M3" s="35"/>
      <c r="N3" s="35"/>
    </row>
    <row r="4" spans="2:17" ht="28.5" customHeight="1">
      <c r="B4" s="160" t="s">
        <v>79</v>
      </c>
      <c r="C4" s="146" t="s">
        <v>2312</v>
      </c>
      <c r="D4" s="147"/>
      <c r="E4" s="163" t="s">
        <v>2313</v>
      </c>
      <c r="F4" s="164"/>
      <c r="G4" s="163" t="s">
        <v>2314</v>
      </c>
      <c r="H4" s="164"/>
      <c r="I4" s="163" t="s">
        <v>2315</v>
      </c>
      <c r="J4" s="164"/>
      <c r="K4" s="144" t="s">
        <v>2316</v>
      </c>
      <c r="L4" s="145"/>
      <c r="M4" s="145" t="s">
        <v>2317</v>
      </c>
      <c r="N4" s="145"/>
    </row>
    <row r="5" spans="2:17" ht="28.5" customHeight="1">
      <c r="B5" s="161"/>
      <c r="C5" s="146" t="s">
        <v>2318</v>
      </c>
      <c r="D5" s="147"/>
      <c r="E5" s="146" t="s">
        <v>2319</v>
      </c>
      <c r="F5" s="147"/>
      <c r="G5" s="148" t="s">
        <v>2320</v>
      </c>
      <c r="H5" s="149"/>
      <c r="I5" s="150" t="s">
        <v>2321</v>
      </c>
      <c r="J5" s="151"/>
      <c r="K5" s="36" t="s">
        <v>2322</v>
      </c>
      <c r="L5" s="37" t="s">
        <v>2323</v>
      </c>
      <c r="M5" s="36" t="s">
        <v>2322</v>
      </c>
      <c r="N5" s="37" t="s">
        <v>2324</v>
      </c>
    </row>
    <row r="6" spans="2:17" ht="28.5" customHeight="1">
      <c r="B6" s="161"/>
      <c r="C6" s="146" t="s">
        <v>54</v>
      </c>
      <c r="D6" s="147"/>
      <c r="E6" s="138">
        <f>AVERAGE(D13:M13)</f>
        <v>156.41256119173644</v>
      </c>
      <c r="F6" s="139">
        <f>AVERAGE(D31:O31,D13:J13)</f>
        <v>163.24079118619679</v>
      </c>
      <c r="G6" s="140">
        <f>AVERAGE(D13:J13)</f>
        <v>163.24079118619679</v>
      </c>
      <c r="H6" s="141"/>
      <c r="I6" s="140">
        <f>AVERAGE(K13:M13)</f>
        <v>140.48002453799555</v>
      </c>
      <c r="J6" s="141"/>
      <c r="K6" s="142">
        <f>'0425 4度C'!Y2</f>
        <v>0</v>
      </c>
      <c r="L6" s="127">
        <f>'0425 4度C'!Z2</f>
        <v>0</v>
      </c>
      <c r="M6" s="143">
        <f>'0425 4度C'!AC2</f>
        <v>49</v>
      </c>
      <c r="N6" s="127">
        <f>'0425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150.19177879213805</v>
      </c>
      <c r="F7" s="131">
        <f>AVERAGE(D32:O32,D14:J14)</f>
        <v>156.87647801009689</v>
      </c>
      <c r="G7" s="132">
        <f>AVERAGE(D14:J14)</f>
        <v>156.87647801009689</v>
      </c>
      <c r="H7" s="133"/>
      <c r="I7" s="132">
        <f>AVERAGE(K14:M14)</f>
        <v>134.59414728356742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0.95981693372365162</v>
      </c>
      <c r="F8" s="135">
        <f>AVERAGE(D15:J15,D33:O33)</f>
        <v>0.96058109183595142</v>
      </c>
      <c r="G8" s="136">
        <f>AVERAGE(D15:J15)</f>
        <v>0.96058109183595142</v>
      </c>
      <c r="H8" s="137"/>
      <c r="I8" s="136">
        <f>AVERAGE(K15:M15)</f>
        <v>0.95803389812828543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2325</v>
      </c>
      <c r="N9" s="35"/>
      <c r="O9" s="35"/>
      <c r="P9" s="35"/>
      <c r="Q9" s="35"/>
    </row>
    <row r="10" spans="2:17" ht="30" customHeight="1">
      <c r="B10" s="110" t="s">
        <v>2326</v>
      </c>
      <c r="C10" s="111"/>
      <c r="D10" s="112" t="s">
        <v>2327</v>
      </c>
      <c r="E10" s="113"/>
      <c r="F10" s="113"/>
      <c r="G10" s="113"/>
      <c r="H10" s="113"/>
      <c r="I10" s="113"/>
      <c r="J10" s="114"/>
      <c r="K10" s="115" t="s">
        <v>2328</v>
      </c>
      <c r="L10" s="116"/>
      <c r="M10" s="117"/>
      <c r="P10" s="41"/>
      <c r="Q10" s="41"/>
    </row>
    <row r="11" spans="2:17" ht="17.25" customHeight="1">
      <c r="B11" s="118" t="s">
        <v>2329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2330</v>
      </c>
      <c r="C13" s="48" t="s">
        <v>2331</v>
      </c>
      <c r="D13" s="49">
        <f>SUMIFS('0425 4度C'!$K:$K,'0425 4度C'!$A:$A,"新豐6線",'0425 4度C'!$B:$B,"平均")</f>
        <v>120.48192771084337</v>
      </c>
      <c r="E13" s="50">
        <f>SUMIFS('0425 4度C'!$K:$K,'0425 4度C'!$A:$A,"新豐2線",'0425 4度C'!$B:$B,"平均")</f>
        <v>84.905660377358487</v>
      </c>
      <c r="F13" s="51">
        <f>SUMIFS('0425 4度C'!$K:$K,'0425 4度C'!$A:$A,"新豐5線",'0425 4度C'!$B:$B,"平均")</f>
        <v>100</v>
      </c>
      <c r="G13" s="51">
        <f>SUMIFS('0425 4度C'!$K:$K,'0425 4度C'!$A:$A,"新豐7線",'0425 4度C'!$B:$B,"平均")</f>
        <v>128.2051282051282</v>
      </c>
      <c r="H13" s="51">
        <f>SUMIFS('0425 4度C'!$K:$K,'0425 4度C'!$A:$A,"新豐3線",'0425 4度C'!$B:$B,"平均")</f>
        <v>315.78947368421052</v>
      </c>
      <c r="I13" s="51">
        <f>SUMIFS('0425 4度C'!$K:$K,'0425 4度C'!$A:$A,"新豐1線",'0425 4度C'!$B:$B,"平均")</f>
        <v>103.44827586206897</v>
      </c>
      <c r="J13" s="52">
        <f>SUMIFS('0425 4度C'!$K:$K,'0425 4度C'!$A:$A,"新豐10線",'0425 4度C'!$B:$B,"平均")</f>
        <v>289.85507246376812</v>
      </c>
      <c r="K13" s="53">
        <f>SUMIFS('0425 4度C'!$K:$K,'0425 4度C'!$A:$A,"新豐8線",'0425 4度C'!$B:$B,"平均")</f>
        <v>130.43478260869566</v>
      </c>
      <c r="L13" s="54">
        <f>SUMIFS('0425 4度C'!$K:$K,'0425 4度C'!$A:$A,"新豐9線",'0425 4度C'!$B:$B,"平均")</f>
        <v>142.85714285714286</v>
      </c>
      <c r="M13" s="52">
        <f>SUMIFS('0425 4度C'!$K:$K,'0425 4度C'!$A:$A,"新豐4線",'0425 4度C'!$B:$B,"平均")</f>
        <v>148.14814814814815</v>
      </c>
    </row>
    <row r="14" spans="2:17" ht="39.6" customHeight="1">
      <c r="B14" s="123"/>
      <c r="C14" s="55" t="s">
        <v>2332</v>
      </c>
      <c r="D14" s="56">
        <f>SUMIFS('0425 4度C'!$N:$N,'0425 4度C'!$A:$A,"新豐6線",'0425 4度C'!$B:$B,"平均")</f>
        <v>116.24769292183127</v>
      </c>
      <c r="E14" s="57">
        <f>SUMIFS('0425 4度C'!$N:$N,'0425 4度C'!$A:$A,"新豐2線",'0425 4度C'!$B:$B,"平均")</f>
        <v>81.121859441819694</v>
      </c>
      <c r="F14" s="57">
        <f>SUMIFS('0425 4度C'!$N:$N,'0425 4度C'!$A:$A,"新豐5線",'0425 4度C'!$B:$B,"平均")</f>
        <v>95.925411191487427</v>
      </c>
      <c r="G14" s="57">
        <f>SUMIFS('0425 4度C'!$N:$N,'0425 4度C'!$A:$A,"新豐7線",'0425 4度C'!$B:$B,"平均")</f>
        <v>122.51908023081424</v>
      </c>
      <c r="H14" s="57">
        <f>SUMIFS('0425 4度C'!$N:$N,'0425 4度C'!$A:$A,"新豐3線",'0425 4度C'!$B:$B,"平均")</f>
        <v>303.0236460781897</v>
      </c>
      <c r="I14" s="57">
        <f>SUMIFS('0425 4度C'!$N:$N,'0425 4度C'!$A:$A,"新豐1線",'0425 4度C'!$B:$B,"平均")</f>
        <v>99.848015115154126</v>
      </c>
      <c r="J14" s="58">
        <f>SUMIFS('0425 4度C'!$N:$N,'0425 4度C'!$A:$A,"新豐10線",'0425 4度C'!$B:$B,"平均")</f>
        <v>279.44964109138181</v>
      </c>
      <c r="K14" s="59">
        <f>SUMIFS('0425 4度C'!$N:$N,'0425 4度C'!$A:$A,"新豐8線",'0425 4度C'!$B:$B,"平均")</f>
        <v>124.81007180839947</v>
      </c>
      <c r="L14" s="60">
        <f>SUMIFS('0425 4度C'!$N:$N,'0425 4度C'!$A:$A,"新豐9線",'0425 4度C'!$B:$B,"平均")</f>
        <v>136.64391760633401</v>
      </c>
      <c r="M14" s="58">
        <f>SUMIFS('0425 4度C'!$N:$N,'0425 4度C'!$A:$A,"新豐4線",'0425 4度C'!$B:$B,"平均")</f>
        <v>142.32845243596879</v>
      </c>
    </row>
    <row r="15" spans="2:17" ht="40.15" customHeight="1">
      <c r="B15" s="124"/>
      <c r="C15" s="61" t="s">
        <v>2333</v>
      </c>
      <c r="D15" s="62">
        <f t="shared" ref="D15:M15" si="0">D14/D13</f>
        <v>0.96485585125119966</v>
      </c>
      <c r="E15" s="63">
        <f t="shared" si="0"/>
        <v>0.95543523342587644</v>
      </c>
      <c r="F15" s="63">
        <f t="shared" si="0"/>
        <v>0.95925411191487431</v>
      </c>
      <c r="G15" s="63">
        <f t="shared" si="0"/>
        <v>0.95564882580035104</v>
      </c>
      <c r="H15" s="63">
        <f t="shared" si="0"/>
        <v>0.95957487924760076</v>
      </c>
      <c r="I15" s="63">
        <f t="shared" si="0"/>
        <v>0.96519747944648981</v>
      </c>
      <c r="J15" s="64">
        <f t="shared" si="0"/>
        <v>0.96410126176526723</v>
      </c>
      <c r="K15" s="62">
        <f t="shared" si="0"/>
        <v>0.95687721719772922</v>
      </c>
      <c r="L15" s="63">
        <f t="shared" si="0"/>
        <v>0.95650742324433802</v>
      </c>
      <c r="M15" s="64">
        <f t="shared" si="0"/>
        <v>0.96071705394278928</v>
      </c>
    </row>
    <row r="16" spans="2:17" ht="17.25" customHeight="1">
      <c r="B16" s="125" t="s">
        <v>2334</v>
      </c>
      <c r="C16" s="65" t="s">
        <v>2335</v>
      </c>
      <c r="D16" s="66">
        <f>VLOOKUP("新豐6線",'0425 4度C'!$A:$T,19,0)</f>
        <v>0.70833333333333337</v>
      </c>
      <c r="E16" s="67">
        <f>VLOOKUP("新豐2線",'0425 4度C'!$A:$T,19,0)</f>
        <v>0.20833333333333334</v>
      </c>
      <c r="F16" s="67">
        <f>VLOOKUP("新豐5線",'0425 4度C'!$A:$T,19,0)</f>
        <v>0.20833333333333334</v>
      </c>
      <c r="G16" s="67">
        <f>VLOOKUP("新豐7線",'0425 4度C'!$A:$T,19,0)</f>
        <v>0.29166666666666669</v>
      </c>
      <c r="H16" s="67">
        <f>VLOOKUP("新豐3線",'0425 4度C'!$A:$T,19,0)</f>
        <v>8.3333333333333329E-2</v>
      </c>
      <c r="I16" s="67">
        <f>VLOOKUP("新豐1線",'0425 4度C'!$A:$T,19,0)</f>
        <v>0.33333333333333331</v>
      </c>
      <c r="J16" s="68">
        <f>VLOOKUP("新豐10線",'0425 4度C'!$A:$T,19,0)</f>
        <v>0.20833333333333334</v>
      </c>
      <c r="K16" s="69">
        <f>VLOOKUP("新豐8線",'0425 4度C'!$A:$T,19,0)</f>
        <v>8.3333333333333329E-2</v>
      </c>
      <c r="L16" s="70">
        <f>VLOOKUP("新豐9線",'0425 4度C'!$A:$T,19,0)</f>
        <v>8.3333333333333329E-2</v>
      </c>
      <c r="M16" s="71">
        <f>VLOOKUP("新豐4線",'0425 4度C'!$A:$T,19,0)</f>
        <v>8.3333333333333329E-2</v>
      </c>
    </row>
    <row r="17" spans="2:13" ht="17.25" customHeight="1">
      <c r="B17" s="126"/>
      <c r="C17" s="65" t="s">
        <v>2336</v>
      </c>
      <c r="D17" s="69">
        <f>LOOKUP(2,1/(('0425 4度C'!$A:$A="新豐6線")*('0425 4度C'!$T:$T&lt;&gt;"")),'0425 4度C'!$T:$T)</f>
        <v>0.90208333333333335</v>
      </c>
      <c r="E17" s="67">
        <f>LOOKUP(2,1/(('0425 4度C'!$A:$A="新豐2線")*('0425 4度C'!$T:$T&lt;&gt;"")),'0425 4度C'!$T:$T)</f>
        <v>0.59444444444444444</v>
      </c>
      <c r="F17" s="67">
        <f>LOOKUP(2,1/(('0425 4度C'!$A:$A="新豐5線")*('0425 4度C'!$T:$T&lt;&gt;"")),'0425 4度C'!$T:$T)</f>
        <v>0.83819444444444446</v>
      </c>
      <c r="G17" s="67">
        <f>LOOKUP(2,1/(('0425 4度C'!$A:$A="新豐7線")*('0425 4度C'!$T:$T&lt;&gt;"")),'0425 4度C'!$T:$T)</f>
        <v>0.81319444444444444</v>
      </c>
      <c r="H17" s="67">
        <f>LOOKUP(2,1/(('0425 4度C'!$A:$A="新豐3線")*('0425 4度C'!$T:$T&lt;&gt;"")),'0425 4度C'!$T:$T)</f>
        <v>0.38125000000000003</v>
      </c>
      <c r="I17" s="67">
        <f>LOOKUP(2,1/(('0425 4度C'!$A:$A="新豐1線")*('0425 4度C'!$T:$T&lt;&gt;"")),'0425 4度C'!$T:$T)</f>
        <v>0.81041666666666667</v>
      </c>
      <c r="J17" s="68">
        <f>LOOKUP(2,1/(('0425 4度C'!$A:$A="新豐10線")*('0425 4度C'!$T:$T&lt;&gt;"")),'0425 4度C'!$T:$T)</f>
        <v>0.44374999999999992</v>
      </c>
      <c r="K17" s="66">
        <f>LOOKUP(2,1/(('0425 4度C'!$A:$A="新豐8線")*('0425 4度C'!$T:$T&lt;&gt;"")),'0425 4度C'!$T:$T)</f>
        <v>0.49583333333333335</v>
      </c>
      <c r="L17" s="67">
        <f>LOOKUP(2,1/(('0425 4度C'!$A:$A="新豐9線")*('0425 4度C'!$T:$T&lt;&gt;"")),'0425 4度C'!$T:$T)</f>
        <v>0.51527777777777772</v>
      </c>
      <c r="M17" s="68">
        <f>LOOKUP(2,1/(('0425 4度C'!$A:$A="新豐4線")*('0425 4度C'!$T:$T&lt;&gt;"")),'0425 4度C'!$T:$T)</f>
        <v>0.49236111111111108</v>
      </c>
    </row>
    <row r="18" spans="2:13" ht="17.25" customHeight="1">
      <c r="B18" s="104" t="s">
        <v>104</v>
      </c>
      <c r="C18" s="72" t="s">
        <v>2337</v>
      </c>
      <c r="D18" s="73">
        <f>SUMIFS('0425 4度C'!$Y:$Y,'0425 4度C'!$A:$A,"新豐6線",'0425 4度C'!$B:$B,"平均")</f>
        <v>0</v>
      </c>
      <c r="E18" s="74">
        <f>SUMIFS('0425 4度C'!$Y:$Y,'0425 4度C'!$A:$A,"新豐2線",'0425 4度C'!$B:$B,"平均")</f>
        <v>0</v>
      </c>
      <c r="F18" s="74">
        <f>SUMIFS('0425 4度C'!$Y:$Y,'0425 4度C'!$A:$A,"新豐5線",'0425 4度C'!$B:$B,"平均")</f>
        <v>0</v>
      </c>
      <c r="G18" s="74">
        <f>SUMIFS('0425 4度C'!$Y:$Y,'0425 4度C'!$A:$A,"新豐7線",'0425 4度C'!$B:$B,"平均")</f>
        <v>0</v>
      </c>
      <c r="H18" s="74">
        <f>SUMIFS('0425 4度C'!$Y:$Y,'0425 4度C'!$A:$A,"新豐3線",'0425 4度C'!$B:$B,"平均")</f>
        <v>0</v>
      </c>
      <c r="I18" s="74">
        <f>SUMIFS('0425 4度C'!$Y:$Y,'0425 4度C'!$A:$A,"新豐1線",'0425 4度C'!$B:$B,"平均")</f>
        <v>0</v>
      </c>
      <c r="J18" s="75">
        <f>SUMIFS('0425 4度C'!$Y:$Y,'0425 4度C'!$A:$A,"新豐10線",'0425 4度C'!$B:$B,"平均")</f>
        <v>0</v>
      </c>
      <c r="K18" s="76">
        <f>SUMIFS('0425 4度C'!$Y:$Y,'0425 4度C'!$A:$A,"新豐8線",'0425 4度C'!$B:$B,"平均")</f>
        <v>0</v>
      </c>
      <c r="L18" s="74">
        <f>SUMIFS('0425 4度C'!$Y:$Y,'0425 4度C'!$A:$A,"新豐9線",'0425 4度C'!$B:$B,"平均")</f>
        <v>0</v>
      </c>
      <c r="M18" s="75">
        <f>SUMIFS('0425 4度C'!$Y:$Y,'0425 4度C'!$A:$A,"新豐4線",'0425 4度C'!$B:$B,"平均")</f>
        <v>0</v>
      </c>
    </row>
    <row r="19" spans="2:13" ht="17.25" customHeight="1">
      <c r="B19" s="105"/>
      <c r="C19" s="72" t="s">
        <v>2338</v>
      </c>
      <c r="D19" s="73">
        <f>SUMIFS('0425 4度C'!$Z:$Z,'0425 4度C'!$A:$A,"新豐6線",'0425 4度C'!$B:$B,"平均")</f>
        <v>0</v>
      </c>
      <c r="E19" s="74">
        <f>SUMIFS('0425 4度C'!$Z:$Z,'0425 4度C'!$A:$A,"新豐2線",'0425 4度C'!$B:$B,"平均")</f>
        <v>0</v>
      </c>
      <c r="F19" s="74">
        <f>SUMIFS('0425 4度C'!$Z:$Z,'0425 4度C'!$A:$A,"新豐5線",'0425 4度C'!$B:$B,"平均")</f>
        <v>0</v>
      </c>
      <c r="G19" s="74">
        <f>SUMIFS('0425 4度C'!$Z:$Z,'0425 4度C'!$A:$A,"新豐7線",'0425 4度C'!$B:$B,"平均")</f>
        <v>0</v>
      </c>
      <c r="H19" s="74">
        <f>SUMIFS('0425 4度C'!$Z:$Z,'0425 4度C'!$A:$A,"新豐3線",'0425 4度C'!$B:$B,"平均")</f>
        <v>0</v>
      </c>
      <c r="I19" s="74">
        <f>SUMIFS('0425 4度C'!$Z:$Z,'0425 4度C'!$A:$A,"新豐1線",'0425 4度C'!$B:$B,"平均")</f>
        <v>0</v>
      </c>
      <c r="J19" s="75">
        <f>SUMIFS('0425 4度C'!$Z:$Z,'0425 4度C'!$A:$A,"新豐10線",'0425 4度C'!$B:$B,"平均")</f>
        <v>0</v>
      </c>
      <c r="K19" s="76">
        <f>SUMIFS('0425 4度C'!$Z:$Z,'0425 4度C'!$A:$A,"新豐8線",'0425 4度C'!$B:$B,"平均")</f>
        <v>0</v>
      </c>
      <c r="L19" s="74">
        <f>SUMIFS('0425 4度C'!$Z:$Z,'0425 4度C'!$A:$A,"新豐9線",'0425 4度C'!$B:$B,"平均")</f>
        <v>0</v>
      </c>
      <c r="M19" s="75">
        <f>SUMIFS('0425 4度C'!$Z:$Z,'0425 4度C'!$A:$A,"新豐4線",'0425 4度C'!$B:$B,"平均")</f>
        <v>0</v>
      </c>
    </row>
    <row r="20" spans="2:13" ht="17.25" customHeight="1">
      <c r="B20" s="104" t="s">
        <v>107</v>
      </c>
      <c r="C20" s="72" t="s">
        <v>2337</v>
      </c>
      <c r="D20" s="73">
        <f>SUMIFS('0425 4度C'!$AC:$AC,'0425 4度C'!$A:$A,"新豐6線",'0425 4度C'!$B:$B,"平均")</f>
        <v>5</v>
      </c>
      <c r="E20" s="74">
        <f>SUMIFS('0425 4度C'!$AC:$AC,'0425 4度C'!$A:$A,"新豐2線",'0425 4度C'!$B:$B,"平均")</f>
        <v>3</v>
      </c>
      <c r="F20" s="74">
        <f>SUMIFS('0425 4度C'!$AC:$AC,'0425 4度C'!$A:$A,"新豐5線",'0425 4度C'!$B:$B,"平均")</f>
        <v>4</v>
      </c>
      <c r="G20" s="74">
        <f>SUMIFS('0425 4度C'!$AC:$AC,'0425 4度C'!$A:$A,"新豐7線",'0425 4度C'!$B:$B,"平均")</f>
        <v>5</v>
      </c>
      <c r="H20" s="74">
        <f>SUMIFS('0425 4度C'!$AC:$AC,'0425 4度C'!$A:$A,"新豐3線",'0425 4度C'!$B:$B,"平均")</f>
        <v>4</v>
      </c>
      <c r="I20" s="74">
        <f>SUMIFS('0425 4度C'!$AC:$AC,'0425 4度C'!$A:$A,"新豐1線",'0425 4度C'!$B:$B,"平均")</f>
        <v>6</v>
      </c>
      <c r="J20" s="75">
        <f>SUMIFS('0425 4度C'!$AC:$AC,'0425 4度C'!$A:$A,"新豐10線",'0425 4度C'!$B:$B,"平均")</f>
        <v>7</v>
      </c>
      <c r="K20" s="76">
        <f>SUMIFS('0425 4度C'!$AC:$AC,'0425 4度C'!$A:$A,"新豐8線",'0425 4度C'!$B:$B,"平均")</f>
        <v>5</v>
      </c>
      <c r="L20" s="74">
        <f>SUMIFS('0425 4度C'!$AC:$AC,'0425 4度C'!$A:$A,"新豐9線",'0425 4度C'!$B:$B,"平均")</f>
        <v>5</v>
      </c>
      <c r="M20" s="75">
        <f>SUMIFS('0425 4度C'!$AC:$AC,'0425 4度C'!$A:$A,"新豐4線",'0425 4度C'!$B:$B,"平均")</f>
        <v>5</v>
      </c>
    </row>
    <row r="21" spans="2:13" ht="17.25" customHeight="1">
      <c r="B21" s="105"/>
      <c r="C21" s="72" t="s">
        <v>2339</v>
      </c>
      <c r="D21" s="73">
        <f>SUMIFS('0425 4度C'!$AD:$AD,'0425 4度C'!$A:$A,"新豐6線",'0425 4度C'!$B:$B,"平均")</f>
        <v>0</v>
      </c>
      <c r="E21" s="74">
        <f>SUMIFS('0425 4度C'!$AD:$AD,'0425 4度C'!$A:$A,"新豐2線",'0425 4度C'!$B:$B,"平均")</f>
        <v>0</v>
      </c>
      <c r="F21" s="74">
        <f>SUMIFS('0425 4度C'!$AD:$AD,'0425 4度C'!$A:$A,"新豐5線",'0425 4度C'!$B:$B,"平均")</f>
        <v>0</v>
      </c>
      <c r="G21" s="74">
        <f>SUMIFS('0425 4度C'!$AD:$AD,'0425 4度C'!$A:$A,"新豐7線",'0425 4度C'!$B:$B,"平均")</f>
        <v>0</v>
      </c>
      <c r="H21" s="74">
        <f>SUMIFS('0425 4度C'!$AD:$AD,'0425 4度C'!$A:$A,"新豐3線",'0425 4度C'!$B:$B,"平均")</f>
        <v>0</v>
      </c>
      <c r="I21" s="74">
        <f>SUMIFS('0425 4度C'!$AD:$AD,'0425 4度C'!$A:$A,"新豐1線",'0425 4度C'!$B:$B,"平均")</f>
        <v>0</v>
      </c>
      <c r="J21" s="75">
        <f>SUMIFS('0425 4度C'!$AD:$AD,'0425 4度C'!$A:$A,"新豐10線",'0425 4度C'!$B:$B,"平均")</f>
        <v>0</v>
      </c>
      <c r="K21" s="76">
        <f>SUMIFS('0425 4度C'!$AD:$AD,'0425 4度C'!$A:$A,"新豐8線",'0425 4度C'!$B:$B,"平均")</f>
        <v>0</v>
      </c>
      <c r="L21" s="74">
        <f>SUMIFS('0425 4度C'!$AD:$AD,'0425 4度C'!$A:$A,"新豐9線",'0425 4度C'!$B:$B,"平均")</f>
        <v>0</v>
      </c>
      <c r="M21" s="75">
        <f>SUMIFS('0425 4度C'!$AD:$AD,'0425 4度C'!$A:$A,"新豐4線",'0425 4度C'!$B:$B,"平均")</f>
        <v>0</v>
      </c>
    </row>
    <row r="22" spans="2:13" ht="17.25" customHeight="1">
      <c r="B22" s="106" t="s">
        <v>2340</v>
      </c>
      <c r="C22" s="107"/>
      <c r="D22" s="77">
        <f>SUMIFS('0425 4度C'!$I:$I,'0425 4度C'!$A:$A,"新豐6線",'0425 4度C'!$B:$B,"平均")</f>
        <v>16.600000000000001</v>
      </c>
      <c r="E22" s="78">
        <f>SUMIFS('0425 4度C'!$I:$I,'0425 4度C'!$A:$A,"新豐2線",'0425 4度C'!$B:$B,"平均")</f>
        <v>17.666666666666668</v>
      </c>
      <c r="F22" s="78">
        <f>SUMIFS('0425 4度C'!$I:$I,'0425 4度C'!$A:$A,"新豐5線",'0425 4度C'!$B:$B,"平均")</f>
        <v>17.5</v>
      </c>
      <c r="G22" s="78">
        <f>SUMIFS('0425 4度C'!$I:$I,'0425 4度C'!$A:$A,"新豐7線",'0425 4度C'!$B:$B,"平均")</f>
        <v>15.6</v>
      </c>
      <c r="H22" s="78">
        <f>SUMIFS('0425 4度C'!$I:$I,'0425 4度C'!$A:$A,"新豐3線",'0425 4度C'!$B:$B,"平均")</f>
        <v>9.5</v>
      </c>
      <c r="I22" s="78">
        <f>SUMIFS('0425 4度C'!$I:$I,'0425 4度C'!$A:$A,"新豐1線",'0425 4度C'!$B:$B,"平均")</f>
        <v>19.333333333333332</v>
      </c>
      <c r="J22" s="79">
        <f>SUMIFS('0425 4度C'!$I:$I,'0425 4度C'!$A:$A,"新豐10線",'0425 4度C'!$B:$B,"平均")</f>
        <v>9.8571428571428577</v>
      </c>
      <c r="K22" s="77">
        <f>SUMIFS('0425 4度C'!$I:$I,'0425 4度C'!$A:$A,"新豐8線",'0425 4度C'!$B:$B,"平均")</f>
        <v>18.399999999999999</v>
      </c>
      <c r="L22" s="78">
        <f>SUMIFS('0425 4度C'!$I:$I,'0425 4度C'!$A:$A,"新豐9線",'0425 4度C'!$B:$B,"平均")</f>
        <v>16.8</v>
      </c>
      <c r="M22" s="79">
        <f>SUMIFS('0425 4度C'!$I:$I,'0425 4度C'!$A:$A,"新豐4線",'0425 4度C'!$B:$B,"平均")</f>
        <v>16.2</v>
      </c>
    </row>
    <row r="23" spans="2:13" ht="17.25" customHeight="1">
      <c r="B23" s="106" t="s">
        <v>2341</v>
      </c>
      <c r="C23" s="107"/>
      <c r="D23" s="80" t="s">
        <v>67</v>
      </c>
      <c r="E23" s="81" t="s">
        <v>68</v>
      </c>
      <c r="F23" s="81" t="s">
        <v>2342</v>
      </c>
      <c r="G23" s="81" t="s">
        <v>111</v>
      </c>
      <c r="H23" s="81" t="s">
        <v>69</v>
      </c>
      <c r="I23" s="81" t="s">
        <v>67</v>
      </c>
      <c r="J23" s="82" t="s">
        <v>69</v>
      </c>
      <c r="K23" s="80" t="s">
        <v>2343</v>
      </c>
      <c r="L23" s="81" t="s">
        <v>112</v>
      </c>
      <c r="M23" s="82" t="s">
        <v>2344</v>
      </c>
    </row>
    <row r="24" spans="2:13" ht="17.25" customHeight="1">
      <c r="B24" s="106" t="s">
        <v>2345</v>
      </c>
      <c r="C24" s="107"/>
      <c r="D24" s="80"/>
      <c r="E24" s="81"/>
      <c r="F24" s="81" t="s">
        <v>2346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2347</v>
      </c>
      <c r="C25" s="109"/>
      <c r="D25" s="83"/>
      <c r="E25" s="84" t="s">
        <v>2348</v>
      </c>
      <c r="F25" s="102" t="s">
        <v>2349</v>
      </c>
      <c r="G25" s="103"/>
      <c r="H25" s="84" t="s">
        <v>2350</v>
      </c>
      <c r="I25" s="84" t="s">
        <v>2351</v>
      </c>
      <c r="J25" s="85" t="s">
        <v>2350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0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G64"/>
  <sheetViews>
    <sheetView zoomScale="80" zoomScaleNormal="80" workbookViewId="0">
      <pane ySplit="4" topLeftCell="A5" activePane="bottomLeft" state="frozen"/>
      <selection activeCell="I7" sqref="I7:J7"/>
      <selection pane="bottomLeft" activeCell="H17" sqref="H17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2352</v>
      </c>
      <c r="B1" s="1"/>
      <c r="C1" s="2" t="s">
        <v>2353</v>
      </c>
      <c r="D1" s="3">
        <f>SUM(F5:F63)</f>
        <v>141051</v>
      </c>
      <c r="E1" s="88" t="s">
        <v>2354</v>
      </c>
      <c r="F1" s="1">
        <f>SUM(G5:G63)</f>
        <v>4752687.5699999984</v>
      </c>
      <c r="G1" s="1" t="s">
        <v>2355</v>
      </c>
      <c r="H1" s="4">
        <f>L10+L14+L42+L49+L19+L57+L31+L37+L25+L63</f>
        <v>157.45714285714286</v>
      </c>
      <c r="I1" s="215" t="s">
        <v>2356</v>
      </c>
      <c r="J1" s="215"/>
      <c r="K1" s="215"/>
      <c r="L1" s="215" t="s">
        <v>2357</v>
      </c>
      <c r="M1" s="215"/>
      <c r="N1" s="215"/>
      <c r="O1" s="215" t="s">
        <v>2358</v>
      </c>
      <c r="P1" s="215"/>
      <c r="Q1" s="215"/>
      <c r="R1" s="215"/>
      <c r="S1" s="215" t="s">
        <v>2359</v>
      </c>
      <c r="T1" s="215"/>
      <c r="U1" s="215"/>
      <c r="V1" s="215"/>
      <c r="W1" s="215"/>
      <c r="X1" s="215"/>
      <c r="Y1" s="5" t="s">
        <v>2360</v>
      </c>
      <c r="Z1" s="6" t="s">
        <v>2361</v>
      </c>
      <c r="AA1" s="216" t="s">
        <v>2362</v>
      </c>
      <c r="AB1" s="216"/>
      <c r="AC1" s="97" t="s">
        <v>2360</v>
      </c>
      <c r="AD1" s="6" t="s">
        <v>2363</v>
      </c>
      <c r="AE1" s="215" t="s">
        <v>2364</v>
      </c>
      <c r="AF1" s="217"/>
      <c r="AG1" s="217"/>
    </row>
    <row r="2" spans="1:33" ht="26.25" customHeight="1">
      <c r="A2" s="26">
        <v>46137</v>
      </c>
      <c r="B2" s="27" t="s">
        <v>437</v>
      </c>
      <c r="C2" s="2" t="s">
        <v>2330</v>
      </c>
      <c r="D2" s="8">
        <f>AVERAGE(N10,N14,N42,N49,N19,N57,N25,N31,N37,N63)</f>
        <v>150.19177879213808</v>
      </c>
      <c r="E2" s="9" t="s">
        <v>0</v>
      </c>
      <c r="F2" s="10">
        <f>F1/D1</f>
        <v>33.694816555713878</v>
      </c>
      <c r="G2" s="1" t="s">
        <v>2365</v>
      </c>
      <c r="H2" s="96">
        <f>COUNT(H5:H63)</f>
        <v>2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SUM(Y10+Y14+Y19+Y25+Y31+Y37+Y42+Y49+Y57+Y63)</f>
        <v>0</v>
      </c>
      <c r="Z2" s="11">
        <f>SUM(Z10+Z14+Z19+Z25+Z31+Z37+Z42+Z49+Z57+Z63)</f>
        <v>0</v>
      </c>
      <c r="AA2" s="216"/>
      <c r="AB2" s="216"/>
      <c r="AC2" s="11">
        <v>49</v>
      </c>
      <c r="AD2" s="11">
        <f>SUM(AD10+AD14+AD19+AD25+AD31+AD37+AD42+AD49+AD57+AD63)</f>
        <v>0</v>
      </c>
      <c r="AE2" s="217"/>
      <c r="AF2" s="217"/>
      <c r="AG2" s="217"/>
    </row>
    <row r="3" spans="1:33" ht="40.5" customHeight="1">
      <c r="A3" s="168" t="s">
        <v>2366</v>
      </c>
      <c r="B3" s="168" t="s">
        <v>2367</v>
      </c>
      <c r="C3" s="168" t="s">
        <v>2368</v>
      </c>
      <c r="D3" s="168"/>
      <c r="E3" s="213" t="s">
        <v>2369</v>
      </c>
      <c r="F3" s="168" t="s">
        <v>2370</v>
      </c>
      <c r="G3" s="213" t="s">
        <v>2371</v>
      </c>
      <c r="H3" s="207" t="s">
        <v>2372</v>
      </c>
      <c r="I3" s="205" t="s">
        <v>2373</v>
      </c>
      <c r="J3" s="202" t="s">
        <v>2374</v>
      </c>
      <c r="K3" s="212" t="s">
        <v>2330</v>
      </c>
      <c r="L3" s="205" t="s">
        <v>2373</v>
      </c>
      <c r="M3" s="202" t="s">
        <v>2374</v>
      </c>
      <c r="N3" s="212" t="s">
        <v>2330</v>
      </c>
      <c r="O3" s="205" t="s">
        <v>2373</v>
      </c>
      <c r="P3" s="212" t="s">
        <v>2330</v>
      </c>
      <c r="Q3" s="203" t="s">
        <v>2375</v>
      </c>
      <c r="R3" s="181" t="s">
        <v>2376</v>
      </c>
      <c r="S3" s="168" t="s">
        <v>1</v>
      </c>
      <c r="T3" s="168"/>
      <c r="U3" s="207" t="s">
        <v>2</v>
      </c>
      <c r="V3" s="207" t="s">
        <v>2377</v>
      </c>
      <c r="W3" s="168" t="s">
        <v>2378</v>
      </c>
      <c r="X3" s="168"/>
      <c r="Y3" s="208" t="s">
        <v>2379</v>
      </c>
      <c r="Z3" s="167"/>
      <c r="AA3" s="209" t="s">
        <v>2380</v>
      </c>
      <c r="AB3" s="210"/>
      <c r="AC3" s="208" t="s">
        <v>2381</v>
      </c>
      <c r="AD3" s="167"/>
      <c r="AE3" s="202" t="s">
        <v>2374</v>
      </c>
      <c r="AF3" s="203" t="s">
        <v>2382</v>
      </c>
      <c r="AG3" s="181" t="s">
        <v>2376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2383</v>
      </c>
      <c r="X4" s="88" t="s">
        <v>2384</v>
      </c>
      <c r="Y4" s="90" t="s">
        <v>2337</v>
      </c>
      <c r="Z4" s="90" t="s">
        <v>2385</v>
      </c>
      <c r="AA4" s="211"/>
      <c r="AB4" s="210"/>
      <c r="AC4" s="90" t="s">
        <v>2386</v>
      </c>
      <c r="AD4" s="90" t="s">
        <v>2387</v>
      </c>
      <c r="AE4" s="202"/>
      <c r="AF4" s="203"/>
      <c r="AG4" s="181"/>
    </row>
    <row r="5" spans="1:33">
      <c r="A5" s="204" t="s">
        <v>2388</v>
      </c>
      <c r="B5" s="28" t="s">
        <v>5</v>
      </c>
      <c r="C5" s="206" t="s">
        <v>6</v>
      </c>
      <c r="D5" s="206"/>
      <c r="E5" s="28">
        <v>50.67</v>
      </c>
      <c r="F5" s="88">
        <v>1394</v>
      </c>
      <c r="G5" s="88">
        <f t="shared" ref="G5:G9" si="0">E5*F5</f>
        <v>70633.98</v>
      </c>
      <c r="H5" s="30" t="s">
        <v>53</v>
      </c>
      <c r="I5" s="95">
        <v>17</v>
      </c>
      <c r="J5" s="13">
        <v>2000</v>
      </c>
      <c r="K5" s="12">
        <f t="shared" ref="K5:K63" si="1">J5/I5</f>
        <v>117.64705882352941</v>
      </c>
      <c r="L5" s="95">
        <v>17</v>
      </c>
      <c r="M5" s="13">
        <f t="shared" ref="M5:M9" si="2">F5/V5*60</f>
        <v>1945.1162790697672</v>
      </c>
      <c r="N5" s="12">
        <f t="shared" ref="N5:N63" si="3">M5/L5</f>
        <v>114.41860465116278</v>
      </c>
      <c r="O5" s="14">
        <f t="shared" ref="O5:O63" si="4">L5-I5</f>
        <v>0</v>
      </c>
      <c r="P5" s="15">
        <f t="shared" ref="P5:P63" si="5">N5-K5</f>
        <v>-3.2284541723666251</v>
      </c>
      <c r="Q5" s="91">
        <f t="shared" ref="Q5:Q63" si="6">N5/K5</f>
        <v>0.97255813953488368</v>
      </c>
      <c r="R5" s="177">
        <f>Q10</f>
        <v>0.96485585125119966</v>
      </c>
      <c r="S5" s="21">
        <v>0.70833333333333337</v>
      </c>
      <c r="T5" s="21">
        <v>0.73819444444444449</v>
      </c>
      <c r="U5" s="88"/>
      <c r="V5" s="30">
        <f t="shared" ref="V5:V9" si="7">(T5-S5)*24*60</f>
        <v>43.000000000000007</v>
      </c>
      <c r="W5" s="16"/>
      <c r="X5" s="17"/>
      <c r="Y5" s="17"/>
      <c r="Z5" s="17"/>
      <c r="AA5" s="168"/>
      <c r="AB5" s="168"/>
      <c r="AC5" s="18">
        <v>5</v>
      </c>
      <c r="AD5" s="18"/>
      <c r="AE5" s="14">
        <f t="shared" ref="AE5:AE48" si="8">M5-J5</f>
        <v>-54.883720930232812</v>
      </c>
      <c r="AF5" s="91">
        <f t="shared" ref="AF5:AF63" si="9">M5/J5</f>
        <v>0.97255813953488357</v>
      </c>
      <c r="AG5" s="177">
        <f>AF10</f>
        <v>0.96485585125119966</v>
      </c>
    </row>
    <row r="6" spans="1:33">
      <c r="A6" s="205" t="s">
        <v>162</v>
      </c>
      <c r="B6" s="28" t="s">
        <v>5</v>
      </c>
      <c r="C6" s="206" t="s">
        <v>7</v>
      </c>
      <c r="D6" s="206"/>
      <c r="E6" s="28">
        <v>54.09</v>
      </c>
      <c r="F6" s="88">
        <v>1179</v>
      </c>
      <c r="G6" s="88">
        <f t="shared" si="0"/>
        <v>63772.11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1911.8918918918905</v>
      </c>
      <c r="N6" s="12">
        <f t="shared" si="3"/>
        <v>100.62588904694161</v>
      </c>
      <c r="O6" s="14">
        <f t="shared" si="4"/>
        <v>0</v>
      </c>
      <c r="P6" s="15">
        <f t="shared" si="5"/>
        <v>-4.6372688477952266</v>
      </c>
      <c r="Q6" s="91">
        <f t="shared" si="6"/>
        <v>0.9559459459459454</v>
      </c>
      <c r="R6" s="177"/>
      <c r="S6" s="21">
        <v>0.74375000000000002</v>
      </c>
      <c r="T6" s="21">
        <v>0.76944444444444449</v>
      </c>
      <c r="U6" s="88">
        <f t="shared" ref="U6:U9" si="10">IF(S6=TIME(17,0,0),"",(S6-T5)*24*60)</f>
        <v>7.9999999999999716</v>
      </c>
      <c r="V6" s="30">
        <f t="shared" si="7"/>
        <v>37.000000000000028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-88.108108108109491</v>
      </c>
      <c r="AF6" s="91">
        <f t="shared" si="9"/>
        <v>0.95594594594594529</v>
      </c>
      <c r="AG6" s="177"/>
    </row>
    <row r="7" spans="1:33">
      <c r="A7" s="205" t="s">
        <v>162</v>
      </c>
      <c r="B7" s="28" t="s">
        <v>5</v>
      </c>
      <c r="C7" s="200" t="s">
        <v>16</v>
      </c>
      <c r="D7" s="201"/>
      <c r="E7" s="28">
        <v>50.67</v>
      </c>
      <c r="F7" s="88">
        <v>1654</v>
      </c>
      <c r="G7" s="88">
        <f t="shared" si="0"/>
        <v>83808.180000000008</v>
      </c>
      <c r="H7" s="30" t="s">
        <v>53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1908.4615384615395</v>
      </c>
      <c r="N7" s="12">
        <f t="shared" si="3"/>
        <v>127.2307692307693</v>
      </c>
      <c r="O7" s="14">
        <f t="shared" si="4"/>
        <v>0</v>
      </c>
      <c r="P7" s="15">
        <f t="shared" si="5"/>
        <v>-6.1025641025640454</v>
      </c>
      <c r="Q7" s="91">
        <f t="shared" si="6"/>
        <v>0.95423076923076966</v>
      </c>
      <c r="R7" s="177"/>
      <c r="S7" s="21">
        <v>0.77500000000000002</v>
      </c>
      <c r="T7" s="21">
        <v>0.81111111111111112</v>
      </c>
      <c r="U7" s="88">
        <f t="shared" si="10"/>
        <v>7.9999999999999716</v>
      </c>
      <c r="V7" s="30">
        <f t="shared" si="7"/>
        <v>51.999999999999972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-91.538461538460524</v>
      </c>
      <c r="AF7" s="91">
        <f t="shared" si="9"/>
        <v>0.95423076923076977</v>
      </c>
      <c r="AG7" s="177"/>
    </row>
    <row r="8" spans="1:33">
      <c r="A8" s="205" t="s">
        <v>2389</v>
      </c>
      <c r="B8" s="28" t="s">
        <v>5</v>
      </c>
      <c r="C8" s="200" t="s">
        <v>1270</v>
      </c>
      <c r="D8" s="201"/>
      <c r="E8" s="28">
        <v>52.86</v>
      </c>
      <c r="F8" s="88">
        <v>1200</v>
      </c>
      <c r="G8" s="88">
        <f t="shared" si="0"/>
        <v>63432</v>
      </c>
      <c r="H8" s="30">
        <v>2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1945.9459459459445</v>
      </c>
      <c r="N8" s="12">
        <f t="shared" si="3"/>
        <v>121.62162162162153</v>
      </c>
      <c r="O8" s="14">
        <f t="shared" si="4"/>
        <v>0</v>
      </c>
      <c r="P8" s="15">
        <f t="shared" si="5"/>
        <v>-3.3783783783784713</v>
      </c>
      <c r="Q8" s="91">
        <f t="shared" si="6"/>
        <v>0.97297297297297225</v>
      </c>
      <c r="R8" s="177"/>
      <c r="S8" s="21">
        <v>0.81666666666666665</v>
      </c>
      <c r="T8" s="21">
        <v>0.84236111111111112</v>
      </c>
      <c r="U8" s="88">
        <f t="shared" si="10"/>
        <v>7.9999999999999716</v>
      </c>
      <c r="V8" s="30">
        <f t="shared" si="7"/>
        <v>37.000000000000028</v>
      </c>
      <c r="W8" s="16">
        <f>T8</f>
        <v>0.84236111111111112</v>
      </c>
      <c r="X8" s="16">
        <f>S9</f>
        <v>0.88263888888888886</v>
      </c>
      <c r="Y8" s="22"/>
      <c r="Z8" s="22"/>
      <c r="AA8" s="172"/>
      <c r="AB8" s="173"/>
      <c r="AC8" s="18"/>
      <c r="AD8" s="20"/>
      <c r="AE8" s="14">
        <f t="shared" si="8"/>
        <v>-54.054054054055541</v>
      </c>
      <c r="AF8" s="91">
        <f t="shared" si="9"/>
        <v>0.97297297297297225</v>
      </c>
      <c r="AG8" s="177"/>
    </row>
    <row r="9" spans="1:33">
      <c r="A9" s="205" t="s">
        <v>162</v>
      </c>
      <c r="B9" s="28" t="s">
        <v>5</v>
      </c>
      <c r="C9" s="200" t="s">
        <v>1270</v>
      </c>
      <c r="D9" s="201"/>
      <c r="E9" s="28">
        <v>52.86</v>
      </c>
      <c r="F9" s="88">
        <v>904</v>
      </c>
      <c r="G9" s="88">
        <f t="shared" si="0"/>
        <v>47785.440000000002</v>
      </c>
      <c r="H9" s="30" t="s">
        <v>53</v>
      </c>
      <c r="I9" s="95">
        <v>16</v>
      </c>
      <c r="J9" s="13">
        <v>2000</v>
      </c>
      <c r="K9" s="12">
        <f t="shared" si="1"/>
        <v>125</v>
      </c>
      <c r="L9" s="95">
        <v>16</v>
      </c>
      <c r="M9" s="13">
        <f t="shared" si="2"/>
        <v>1937.1428571428528</v>
      </c>
      <c r="N9" s="12">
        <f t="shared" si="3"/>
        <v>121.0714285714283</v>
      </c>
      <c r="O9" s="14">
        <f t="shared" si="4"/>
        <v>0</v>
      </c>
      <c r="P9" s="15">
        <f t="shared" si="5"/>
        <v>-3.9285714285717006</v>
      </c>
      <c r="Q9" s="91">
        <f t="shared" si="6"/>
        <v>0.96857142857142642</v>
      </c>
      <c r="R9" s="177"/>
      <c r="S9" s="21">
        <v>0.88263888888888886</v>
      </c>
      <c r="T9" s="21">
        <v>0.90208333333333335</v>
      </c>
      <c r="U9" s="88">
        <f t="shared" si="10"/>
        <v>57.999999999999957</v>
      </c>
      <c r="V9" s="30">
        <f t="shared" si="7"/>
        <v>28.00000000000006</v>
      </c>
      <c r="W9" s="16"/>
      <c r="X9" s="16"/>
      <c r="Y9" s="19"/>
      <c r="Z9" s="19"/>
      <c r="AA9" s="172"/>
      <c r="AB9" s="173"/>
      <c r="AC9" s="18"/>
      <c r="AD9" s="20"/>
      <c r="AE9" s="14">
        <f t="shared" si="8"/>
        <v>-62.85714285714721</v>
      </c>
      <c r="AF9" s="91">
        <f t="shared" si="9"/>
        <v>0.96857142857142642</v>
      </c>
      <c r="AG9" s="177"/>
    </row>
    <row r="10" spans="1:33">
      <c r="A10" s="205" t="s">
        <v>2389</v>
      </c>
      <c r="B10" s="28" t="s">
        <v>2390</v>
      </c>
      <c r="C10" s="178"/>
      <c r="D10" s="178"/>
      <c r="E10" s="92"/>
      <c r="F10" s="12"/>
      <c r="G10" s="12"/>
      <c r="H10" s="88"/>
      <c r="I10" s="23">
        <v>16.600000000000001</v>
      </c>
      <c r="J10" s="13">
        <v>2000</v>
      </c>
      <c r="K10" s="12">
        <f t="shared" si="1"/>
        <v>120.48192771084337</v>
      </c>
      <c r="L10" s="23">
        <v>16.600000000000001</v>
      </c>
      <c r="M10" s="13">
        <f>AVERAGE(M5:M9)</f>
        <v>1929.7117025023992</v>
      </c>
      <c r="N10" s="12">
        <f t="shared" si="3"/>
        <v>116.24769292183127</v>
      </c>
      <c r="O10" s="14">
        <f t="shared" si="4"/>
        <v>0</v>
      </c>
      <c r="P10" s="15">
        <f t="shared" si="5"/>
        <v>-4.2342347890120919</v>
      </c>
      <c r="Q10" s="91">
        <f t="shared" si="6"/>
        <v>0.96485585125119966</v>
      </c>
      <c r="R10" s="177"/>
      <c r="S10" s="21"/>
      <c r="T10" s="21"/>
      <c r="U10" s="88"/>
      <c r="V10" s="30"/>
      <c r="W10" s="12"/>
      <c r="X10" s="12"/>
      <c r="Y10" s="24">
        <f>SUM(Y5:Y9)</f>
        <v>0</v>
      </c>
      <c r="Z10" s="24">
        <f>SUM(Z5:Z9)</f>
        <v>0</v>
      </c>
      <c r="AA10" s="167"/>
      <c r="AB10" s="167"/>
      <c r="AC10" s="24">
        <v>5</v>
      </c>
      <c r="AD10" s="24">
        <f>SUM(AD5:AD9)</f>
        <v>0</v>
      </c>
      <c r="AE10" s="14">
        <f t="shared" si="8"/>
        <v>-70.288297497600752</v>
      </c>
      <c r="AF10" s="91">
        <f t="shared" si="9"/>
        <v>0.96485585125119966</v>
      </c>
      <c r="AG10" s="177"/>
    </row>
    <row r="11" spans="1:33" ht="15.75" customHeight="1">
      <c r="A11" s="199" t="s">
        <v>166</v>
      </c>
      <c r="B11" s="28" t="s">
        <v>9</v>
      </c>
      <c r="C11" s="200" t="s">
        <v>10</v>
      </c>
      <c r="D11" s="201"/>
      <c r="E11" s="28">
        <v>39.619999999999997</v>
      </c>
      <c r="F11" s="88">
        <v>4774</v>
      </c>
      <c r="G11" s="88">
        <f t="shared" ref="G11:G13" si="11">E11*F11</f>
        <v>189145.87999999998</v>
      </c>
      <c r="H11" s="30" t="s">
        <v>53</v>
      </c>
      <c r="I11" s="95">
        <v>19</v>
      </c>
      <c r="J11" s="13">
        <v>1500</v>
      </c>
      <c r="K11" s="12">
        <f t="shared" si="1"/>
        <v>78.94736842105263</v>
      </c>
      <c r="L11" s="95">
        <v>19</v>
      </c>
      <c r="M11" s="13">
        <f t="shared" ref="M11:M13" si="12">F11/V11*60</f>
        <v>1432.2000000000003</v>
      </c>
      <c r="N11" s="12">
        <f t="shared" si="3"/>
        <v>75.378947368421066</v>
      </c>
      <c r="O11" s="14">
        <f t="shared" si="4"/>
        <v>0</v>
      </c>
      <c r="P11" s="15">
        <f t="shared" si="5"/>
        <v>-3.5684210526315638</v>
      </c>
      <c r="Q11" s="91">
        <f t="shared" si="6"/>
        <v>0.9548000000000002</v>
      </c>
      <c r="R11" s="177">
        <f>Q14</f>
        <v>0.95543523342587644</v>
      </c>
      <c r="S11" s="21">
        <v>0.20833333333333334</v>
      </c>
      <c r="T11" s="21">
        <v>0.34722222222222221</v>
      </c>
      <c r="U11" s="88"/>
      <c r="V11" s="30">
        <f t="shared" ref="V11:V13" si="13">(T11-S11)*24*60</f>
        <v>199.99999999999997</v>
      </c>
      <c r="W11" s="16"/>
      <c r="X11" s="16"/>
      <c r="Y11" s="16"/>
      <c r="Z11" s="16"/>
      <c r="AA11" s="168"/>
      <c r="AB11" s="168"/>
      <c r="AC11" s="18">
        <v>3</v>
      </c>
      <c r="AD11" s="18"/>
      <c r="AE11" s="14">
        <f t="shared" si="8"/>
        <v>-67.799999999999727</v>
      </c>
      <c r="AF11" s="91">
        <f t="shared" si="9"/>
        <v>0.9548000000000002</v>
      </c>
      <c r="AG11" s="177">
        <f>AF14</f>
        <v>0.95543523342587655</v>
      </c>
    </row>
    <row r="12" spans="1:33" ht="15.75" customHeight="1">
      <c r="A12" s="199" t="s">
        <v>2391</v>
      </c>
      <c r="B12" s="28" t="s">
        <v>9</v>
      </c>
      <c r="C12" s="200" t="s">
        <v>11</v>
      </c>
      <c r="D12" s="201"/>
      <c r="E12" s="28">
        <v>39.799999999999997</v>
      </c>
      <c r="F12" s="88">
        <v>5000</v>
      </c>
      <c r="G12" s="88">
        <f t="shared" si="11"/>
        <v>199000</v>
      </c>
      <c r="H12" s="30">
        <v>2</v>
      </c>
      <c r="I12" s="95">
        <v>17</v>
      </c>
      <c r="J12" s="13">
        <v>1500</v>
      </c>
      <c r="K12" s="12">
        <f t="shared" si="1"/>
        <v>88.235294117647058</v>
      </c>
      <c r="L12" s="95">
        <v>17</v>
      </c>
      <c r="M12" s="13">
        <f t="shared" si="12"/>
        <v>1435.4066985645929</v>
      </c>
      <c r="N12" s="12">
        <f t="shared" si="3"/>
        <v>84.435688150858411</v>
      </c>
      <c r="O12" s="14">
        <f t="shared" si="4"/>
        <v>0</v>
      </c>
      <c r="P12" s="15">
        <f t="shared" si="5"/>
        <v>-3.799605966788647</v>
      </c>
      <c r="Q12" s="91">
        <f t="shared" si="6"/>
        <v>0.95693779904306198</v>
      </c>
      <c r="R12" s="177"/>
      <c r="S12" s="21">
        <v>0.35277777777777775</v>
      </c>
      <c r="T12" s="21">
        <v>0.49791666666666667</v>
      </c>
      <c r="U12" s="88">
        <f t="shared" ref="U12:U13" si="14">IF(S12=TIME(17,0,0),"",(S12-T11)*24*60)</f>
        <v>7.9999999999999716</v>
      </c>
      <c r="V12" s="30">
        <f t="shared" si="13"/>
        <v>209.00000000000006</v>
      </c>
      <c r="W12" s="16">
        <f>T12</f>
        <v>0.49791666666666667</v>
      </c>
      <c r="X12" s="16">
        <f>S13</f>
        <v>0.53819444444444442</v>
      </c>
      <c r="Y12" s="16"/>
      <c r="Z12" s="16"/>
      <c r="AA12" s="168"/>
      <c r="AB12" s="168"/>
      <c r="AC12" s="18"/>
      <c r="AD12" s="18"/>
      <c r="AE12" s="14">
        <f t="shared" si="8"/>
        <v>-64.593301435407056</v>
      </c>
      <c r="AF12" s="91">
        <f t="shared" si="9"/>
        <v>0.95693779904306198</v>
      </c>
      <c r="AG12" s="177"/>
    </row>
    <row r="13" spans="1:33" ht="15.75" customHeight="1">
      <c r="A13" s="199" t="s">
        <v>2391</v>
      </c>
      <c r="B13" s="28" t="s">
        <v>9</v>
      </c>
      <c r="C13" s="200" t="s">
        <v>11</v>
      </c>
      <c r="D13" s="201"/>
      <c r="E13" s="28">
        <v>39.799999999999997</v>
      </c>
      <c r="F13" s="88">
        <v>1933</v>
      </c>
      <c r="G13" s="88">
        <f t="shared" si="11"/>
        <v>76933.399999999994</v>
      </c>
      <c r="H13" s="30" t="s">
        <v>53</v>
      </c>
      <c r="I13" s="95">
        <v>17</v>
      </c>
      <c r="J13" s="13">
        <v>1500</v>
      </c>
      <c r="K13" s="12">
        <f t="shared" si="1"/>
        <v>88.235294117647058</v>
      </c>
      <c r="L13" s="95">
        <v>17</v>
      </c>
      <c r="M13" s="13">
        <f t="shared" si="12"/>
        <v>1431.8518518518513</v>
      </c>
      <c r="N13" s="12">
        <f t="shared" si="3"/>
        <v>84.226579520697129</v>
      </c>
      <c r="O13" s="14">
        <f t="shared" si="4"/>
        <v>0</v>
      </c>
      <c r="P13" s="15">
        <f t="shared" si="5"/>
        <v>-4.0087145969499289</v>
      </c>
      <c r="Q13" s="91">
        <f t="shared" si="6"/>
        <v>0.95456790123456747</v>
      </c>
      <c r="R13" s="177"/>
      <c r="S13" s="21">
        <v>0.53819444444444442</v>
      </c>
      <c r="T13" s="21">
        <v>0.59444444444444444</v>
      </c>
      <c r="U13" s="88">
        <f t="shared" si="14"/>
        <v>57.999999999999957</v>
      </c>
      <c r="V13" s="30">
        <f t="shared" si="13"/>
        <v>81.000000000000028</v>
      </c>
      <c r="W13" s="16"/>
      <c r="X13" s="16"/>
      <c r="Y13" s="16"/>
      <c r="Z13" s="16"/>
      <c r="AA13" s="168"/>
      <c r="AB13" s="168"/>
      <c r="AC13" s="18"/>
      <c r="AD13" s="18"/>
      <c r="AE13" s="14">
        <f t="shared" si="8"/>
        <v>-68.148148148148721</v>
      </c>
      <c r="AF13" s="91">
        <f t="shared" si="9"/>
        <v>0.95456790123456747</v>
      </c>
      <c r="AG13" s="177"/>
    </row>
    <row r="14" spans="1:33" ht="16.5" customHeight="1">
      <c r="A14" s="199" t="s">
        <v>166</v>
      </c>
      <c r="B14" s="28" t="s">
        <v>165</v>
      </c>
      <c r="C14" s="178"/>
      <c r="D14" s="178"/>
      <c r="E14" s="92"/>
      <c r="F14" s="13"/>
      <c r="G14" s="13"/>
      <c r="H14" s="88"/>
      <c r="I14" s="23">
        <v>17.666666666666668</v>
      </c>
      <c r="J14" s="13">
        <v>1500</v>
      </c>
      <c r="K14" s="12">
        <f t="shared" si="1"/>
        <v>84.905660377358487</v>
      </c>
      <c r="L14" s="23">
        <v>17.666666666666668</v>
      </c>
      <c r="M14" s="13">
        <f>AVERAGE(M11:M13)</f>
        <v>1433.1528501388148</v>
      </c>
      <c r="N14" s="12">
        <f t="shared" si="3"/>
        <v>81.121859441819694</v>
      </c>
      <c r="O14" s="14">
        <f t="shared" si="4"/>
        <v>0</v>
      </c>
      <c r="P14" s="15">
        <f t="shared" si="5"/>
        <v>-3.7838009355387925</v>
      </c>
      <c r="Q14" s="91">
        <f t="shared" si="6"/>
        <v>0.95543523342587644</v>
      </c>
      <c r="R14" s="177"/>
      <c r="S14" s="21"/>
      <c r="T14" s="21"/>
      <c r="U14" s="12"/>
      <c r="V14" s="30"/>
      <c r="W14" s="12"/>
      <c r="X14" s="12"/>
      <c r="Y14" s="24">
        <f>SUM(Y11:Y13)</f>
        <v>0</v>
      </c>
      <c r="Z14" s="24">
        <f>SUM(Z11:Z13)</f>
        <v>0</v>
      </c>
      <c r="AA14" s="167"/>
      <c r="AB14" s="167"/>
      <c r="AC14" s="24">
        <v>3</v>
      </c>
      <c r="AD14" s="24">
        <f>SUM(AD11:AD13)</f>
        <v>0</v>
      </c>
      <c r="AE14" s="14">
        <f t="shared" si="8"/>
        <v>-66.847149861185244</v>
      </c>
      <c r="AF14" s="91">
        <f t="shared" si="9"/>
        <v>0.95543523342587655</v>
      </c>
      <c r="AG14" s="177"/>
    </row>
    <row r="15" spans="1:33" ht="16.5" customHeight="1">
      <c r="A15" s="197" t="s">
        <v>2392</v>
      </c>
      <c r="B15" s="88" t="s">
        <v>12</v>
      </c>
      <c r="C15" s="193" t="s">
        <v>13</v>
      </c>
      <c r="D15" s="193"/>
      <c r="E15" s="28">
        <v>41</v>
      </c>
      <c r="F15" s="88">
        <v>1931</v>
      </c>
      <c r="G15" s="88">
        <f t="shared" ref="G15:G18" si="15">E15*F15</f>
        <v>79171</v>
      </c>
      <c r="H15" s="30" t="s">
        <v>53</v>
      </c>
      <c r="I15" s="95">
        <v>26</v>
      </c>
      <c r="J15" s="13">
        <v>1500</v>
      </c>
      <c r="K15" s="12">
        <f t="shared" si="1"/>
        <v>57.692307692307693</v>
      </c>
      <c r="L15" s="95">
        <v>26</v>
      </c>
      <c r="M15" s="13">
        <f t="shared" ref="M15:M18" si="16">F15/V15*60</f>
        <v>1430.3703703703707</v>
      </c>
      <c r="N15" s="12">
        <f t="shared" si="3"/>
        <v>55.014245014245027</v>
      </c>
      <c r="O15" s="14">
        <f t="shared" si="4"/>
        <v>0</v>
      </c>
      <c r="P15" s="15">
        <f t="shared" si="5"/>
        <v>-2.6780626780626662</v>
      </c>
      <c r="Q15" s="91">
        <f t="shared" si="6"/>
        <v>0.95358024691358045</v>
      </c>
      <c r="R15" s="177">
        <f>Q19</f>
        <v>0.95925411191487431</v>
      </c>
      <c r="S15" s="21">
        <v>0.20833333333333334</v>
      </c>
      <c r="T15" s="21">
        <v>0.26458333333333334</v>
      </c>
      <c r="U15" s="88"/>
      <c r="V15" s="30">
        <f t="shared" ref="V15:V18" si="17">(T15-S15)*24*60</f>
        <v>80.999999999999986</v>
      </c>
      <c r="W15" s="21"/>
      <c r="X15" s="21"/>
      <c r="Y15" s="21"/>
      <c r="Z15" s="21"/>
      <c r="AA15" s="168"/>
      <c r="AB15" s="168"/>
      <c r="AC15" s="18">
        <v>4</v>
      </c>
      <c r="AD15" s="18"/>
      <c r="AE15" s="14">
        <f t="shared" si="8"/>
        <v>-69.629629629629335</v>
      </c>
      <c r="AF15" s="91">
        <f t="shared" si="9"/>
        <v>0.95358024691358045</v>
      </c>
      <c r="AG15" s="177">
        <f>AF19</f>
        <v>0.95925411191487431</v>
      </c>
    </row>
    <row r="16" spans="1:33" ht="16.5" customHeight="1">
      <c r="A16" s="198" t="s">
        <v>169</v>
      </c>
      <c r="B16" s="88" t="s">
        <v>5</v>
      </c>
      <c r="C16" s="193" t="s">
        <v>20</v>
      </c>
      <c r="D16" s="193"/>
      <c r="E16" s="28">
        <v>53.68</v>
      </c>
      <c r="F16" s="88">
        <v>1273</v>
      </c>
      <c r="G16" s="88">
        <f t="shared" si="15"/>
        <v>68334.64</v>
      </c>
      <c r="H16" s="30" t="s">
        <v>53</v>
      </c>
      <c r="I16" s="95">
        <v>16</v>
      </c>
      <c r="J16" s="13">
        <v>1500</v>
      </c>
      <c r="K16" s="12">
        <f t="shared" si="1"/>
        <v>93.75</v>
      </c>
      <c r="L16" s="95">
        <v>16</v>
      </c>
      <c r="M16" s="13">
        <f t="shared" si="16"/>
        <v>1441.132075471699</v>
      </c>
      <c r="N16" s="12">
        <f t="shared" si="3"/>
        <v>90.070754716981185</v>
      </c>
      <c r="O16" s="14">
        <f t="shared" si="4"/>
        <v>0</v>
      </c>
      <c r="P16" s="15">
        <f t="shared" si="5"/>
        <v>-3.6792452830188154</v>
      </c>
      <c r="Q16" s="91">
        <f t="shared" si="6"/>
        <v>0.96075471698113268</v>
      </c>
      <c r="R16" s="177"/>
      <c r="S16" s="21">
        <v>0.70833333333333337</v>
      </c>
      <c r="T16" s="21">
        <v>0.74513888888888891</v>
      </c>
      <c r="U16" s="88" t="str">
        <f t="shared" ref="U16:U18" si="18">IF(S16=TIME(17,0,0),"",(S16-T15)*24*60)</f>
        <v/>
      </c>
      <c r="V16" s="30">
        <f t="shared" si="17"/>
        <v>52.999999999999972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-58.867924528301046</v>
      </c>
      <c r="AF16" s="91">
        <f t="shared" si="9"/>
        <v>0.96075471698113268</v>
      </c>
      <c r="AG16" s="177"/>
    </row>
    <row r="17" spans="1:33" ht="16.5" customHeight="1">
      <c r="A17" s="198" t="s">
        <v>2392</v>
      </c>
      <c r="B17" s="88" t="s">
        <v>5</v>
      </c>
      <c r="C17" s="193" t="s">
        <v>15</v>
      </c>
      <c r="D17" s="193"/>
      <c r="E17" s="28">
        <v>50.92</v>
      </c>
      <c r="F17" s="88">
        <v>2366</v>
      </c>
      <c r="G17" s="88">
        <f t="shared" si="15"/>
        <v>120476.72</v>
      </c>
      <c r="H17" s="30" t="s">
        <v>53</v>
      </c>
      <c r="I17" s="95">
        <v>15</v>
      </c>
      <c r="J17" s="13">
        <v>2000</v>
      </c>
      <c r="K17" s="12">
        <f t="shared" si="1"/>
        <v>133.33333333333334</v>
      </c>
      <c r="L17" s="95">
        <v>15</v>
      </c>
      <c r="M17" s="13">
        <f t="shared" si="16"/>
        <v>1918.3783783783767</v>
      </c>
      <c r="N17" s="12">
        <f t="shared" si="3"/>
        <v>127.89189189189179</v>
      </c>
      <c r="O17" s="14">
        <f t="shared" si="4"/>
        <v>0</v>
      </c>
      <c r="P17" s="15">
        <f t="shared" si="5"/>
        <v>-5.4414414414415546</v>
      </c>
      <c r="Q17" s="91">
        <f t="shared" si="6"/>
        <v>0.95918918918918838</v>
      </c>
      <c r="R17" s="177"/>
      <c r="S17" s="21">
        <v>0.74861111111111112</v>
      </c>
      <c r="T17" s="21">
        <v>0.8</v>
      </c>
      <c r="U17" s="88">
        <f t="shared" si="18"/>
        <v>4.9999999999999822</v>
      </c>
      <c r="V17" s="30">
        <f t="shared" si="17"/>
        <v>74.000000000000057</v>
      </c>
      <c r="W17" s="16"/>
      <c r="X17" s="16"/>
      <c r="Y17" s="16"/>
      <c r="Z17" s="16"/>
      <c r="AA17" s="168"/>
      <c r="AB17" s="168"/>
      <c r="AC17" s="18"/>
      <c r="AD17" s="18"/>
      <c r="AE17" s="14">
        <f t="shared" si="8"/>
        <v>-81.621621621623262</v>
      </c>
      <c r="AF17" s="91">
        <f t="shared" si="9"/>
        <v>0.95918918918918838</v>
      </c>
      <c r="AG17" s="177"/>
    </row>
    <row r="18" spans="1:33" ht="16.5" customHeight="1">
      <c r="A18" s="198" t="s">
        <v>169</v>
      </c>
      <c r="B18" s="88" t="s">
        <v>5</v>
      </c>
      <c r="C18" s="193" t="s">
        <v>21</v>
      </c>
      <c r="D18" s="193"/>
      <c r="E18" s="28">
        <v>57.3</v>
      </c>
      <c r="F18" s="88">
        <v>1572</v>
      </c>
      <c r="G18" s="88">
        <f t="shared" si="15"/>
        <v>90075.599999999991</v>
      </c>
      <c r="H18" s="30" t="s">
        <v>53</v>
      </c>
      <c r="I18" s="95">
        <v>13</v>
      </c>
      <c r="J18" s="13">
        <v>2000</v>
      </c>
      <c r="K18" s="12">
        <f t="shared" si="1"/>
        <v>153.84615384615384</v>
      </c>
      <c r="L18" s="95">
        <v>13</v>
      </c>
      <c r="M18" s="13">
        <f t="shared" si="16"/>
        <v>1924.8979591836742</v>
      </c>
      <c r="N18" s="12">
        <f t="shared" si="3"/>
        <v>148.06907378335956</v>
      </c>
      <c r="O18" s="14">
        <f t="shared" si="4"/>
        <v>0</v>
      </c>
      <c r="P18" s="15">
        <f t="shared" si="5"/>
        <v>-5.7770800627942833</v>
      </c>
      <c r="Q18" s="91">
        <f t="shared" si="6"/>
        <v>0.96244897959183717</v>
      </c>
      <c r="R18" s="177"/>
      <c r="S18" s="21">
        <v>0.8041666666666667</v>
      </c>
      <c r="T18" s="21">
        <v>0.83819444444444446</v>
      </c>
      <c r="U18" s="88">
        <f t="shared" si="18"/>
        <v>5.9999999999999787</v>
      </c>
      <c r="V18" s="30">
        <f t="shared" si="17"/>
        <v>48.999999999999986</v>
      </c>
      <c r="W18" s="16"/>
      <c r="X18" s="16"/>
      <c r="Y18" s="16"/>
      <c r="Z18" s="16"/>
      <c r="AA18" s="168"/>
      <c r="AB18" s="168"/>
      <c r="AC18" s="18"/>
      <c r="AD18" s="18"/>
      <c r="AE18" s="14">
        <f t="shared" si="8"/>
        <v>-75.102040816325825</v>
      </c>
      <c r="AF18" s="91">
        <f t="shared" si="9"/>
        <v>0.96244897959183706</v>
      </c>
      <c r="AG18" s="177"/>
    </row>
    <row r="19" spans="1:33" ht="16.5" customHeight="1">
      <c r="A19" s="198" t="s">
        <v>169</v>
      </c>
      <c r="B19" s="28" t="s">
        <v>2390</v>
      </c>
      <c r="C19" s="178"/>
      <c r="D19" s="178"/>
      <c r="E19" s="92"/>
      <c r="F19" s="12"/>
      <c r="G19" s="12"/>
      <c r="H19" s="88"/>
      <c r="I19" s="23">
        <v>17.5</v>
      </c>
      <c r="J19" s="13">
        <v>1750</v>
      </c>
      <c r="K19" s="12">
        <f t="shared" si="1"/>
        <v>100</v>
      </c>
      <c r="L19" s="23">
        <v>17.5</v>
      </c>
      <c r="M19" s="13">
        <f>AVERAGE(M15:M18)</f>
        <v>1678.69469585103</v>
      </c>
      <c r="N19" s="12">
        <f t="shared" si="3"/>
        <v>95.925411191487427</v>
      </c>
      <c r="O19" s="14">
        <f t="shared" si="4"/>
        <v>0</v>
      </c>
      <c r="P19" s="15">
        <f t="shared" si="5"/>
        <v>-4.0745888085125728</v>
      </c>
      <c r="Q19" s="91">
        <f t="shared" si="6"/>
        <v>0.95925411191487431</v>
      </c>
      <c r="R19" s="177"/>
      <c r="S19" s="21"/>
      <c r="T19" s="21"/>
      <c r="U19" s="88"/>
      <c r="V19" s="30"/>
      <c r="W19" s="12"/>
      <c r="X19" s="12"/>
      <c r="Y19" s="24">
        <f>SUM(Y15:Y18)</f>
        <v>0</v>
      </c>
      <c r="Z19" s="24">
        <f>SUM(Z15:Z18)</f>
        <v>0</v>
      </c>
      <c r="AA19" s="167"/>
      <c r="AB19" s="167"/>
      <c r="AC19" s="24">
        <v>4</v>
      </c>
      <c r="AD19" s="24">
        <f>SUM(AD15:AD18)</f>
        <v>0</v>
      </c>
      <c r="AE19" s="14">
        <f t="shared" si="8"/>
        <v>-71.305304148969981</v>
      </c>
      <c r="AF19" s="91">
        <f t="shared" si="9"/>
        <v>0.95925411191487431</v>
      </c>
      <c r="AG19" s="177"/>
    </row>
    <row r="20" spans="1:33" ht="15.75" customHeight="1">
      <c r="A20" s="195" t="s">
        <v>2393</v>
      </c>
      <c r="B20" s="28" t="s">
        <v>5</v>
      </c>
      <c r="C20" s="193" t="s">
        <v>17</v>
      </c>
      <c r="D20" s="193"/>
      <c r="E20" s="28">
        <v>57.73</v>
      </c>
      <c r="F20" s="88">
        <v>2253</v>
      </c>
      <c r="G20" s="88">
        <f t="shared" ref="G20:G24" si="19">E20*F20</f>
        <v>130065.68999999999</v>
      </c>
      <c r="H20" s="30" t="s">
        <v>53</v>
      </c>
      <c r="I20" s="95">
        <v>14</v>
      </c>
      <c r="J20" s="13">
        <v>2000</v>
      </c>
      <c r="K20" s="12">
        <f t="shared" si="1"/>
        <v>142.85714285714286</v>
      </c>
      <c r="L20" s="95">
        <v>14</v>
      </c>
      <c r="M20" s="13">
        <f t="shared" ref="M20:M24" si="20">F20/V20*60</f>
        <v>1903.9436619718315</v>
      </c>
      <c r="N20" s="12">
        <f t="shared" si="3"/>
        <v>135.99597585513081</v>
      </c>
      <c r="O20" s="14">
        <f t="shared" si="4"/>
        <v>0</v>
      </c>
      <c r="P20" s="15">
        <f t="shared" si="5"/>
        <v>-6.8611670020120528</v>
      </c>
      <c r="Q20" s="91">
        <f t="shared" si="6"/>
        <v>0.95197183098591565</v>
      </c>
      <c r="R20" s="177">
        <f>Q25</f>
        <v>0.95564882580035104</v>
      </c>
      <c r="S20" s="21">
        <v>0.29166666666666669</v>
      </c>
      <c r="T20" s="21">
        <v>0.34097222222222223</v>
      </c>
      <c r="U20" s="88"/>
      <c r="V20" s="30">
        <f t="shared" ref="V20:V24" si="21">(T20-S20)*24*60</f>
        <v>70.999999999999986</v>
      </c>
      <c r="W20" s="21"/>
      <c r="X20" s="21"/>
      <c r="Y20" s="21"/>
      <c r="Z20" s="21"/>
      <c r="AA20" s="168"/>
      <c r="AB20" s="168"/>
      <c r="AC20" s="18">
        <v>5</v>
      </c>
      <c r="AD20" s="18"/>
      <c r="AE20" s="14">
        <f t="shared" si="8"/>
        <v>-96.056338028168511</v>
      </c>
      <c r="AF20" s="91">
        <f t="shared" si="9"/>
        <v>0.95197183098591576</v>
      </c>
      <c r="AG20" s="177">
        <f>AF25</f>
        <v>0.95564882580035104</v>
      </c>
    </row>
    <row r="21" spans="1:33" ht="15.75" customHeight="1">
      <c r="A21" s="196" t="s">
        <v>2393</v>
      </c>
      <c r="B21" s="28" t="s">
        <v>5</v>
      </c>
      <c r="C21" s="193" t="s">
        <v>18</v>
      </c>
      <c r="D21" s="193"/>
      <c r="E21" s="28">
        <v>53.68</v>
      </c>
      <c r="F21" s="88">
        <v>1252</v>
      </c>
      <c r="G21" s="88">
        <f t="shared" si="19"/>
        <v>67207.360000000001</v>
      </c>
      <c r="H21" s="30" t="s">
        <v>53</v>
      </c>
      <c r="I21" s="95">
        <v>16</v>
      </c>
      <c r="J21" s="13">
        <v>2000</v>
      </c>
      <c r="K21" s="12">
        <f t="shared" si="1"/>
        <v>125</v>
      </c>
      <c r="L21" s="95">
        <v>16</v>
      </c>
      <c r="M21" s="13">
        <f t="shared" si="20"/>
        <v>1926.1538461538453</v>
      </c>
      <c r="N21" s="12">
        <f t="shared" si="3"/>
        <v>120.38461538461533</v>
      </c>
      <c r="O21" s="14">
        <f t="shared" si="4"/>
        <v>0</v>
      </c>
      <c r="P21" s="15">
        <f t="shared" si="5"/>
        <v>-4.61538461538467</v>
      </c>
      <c r="Q21" s="91">
        <f t="shared" si="6"/>
        <v>0.96307692307692261</v>
      </c>
      <c r="R21" s="177"/>
      <c r="S21" s="21">
        <v>0.34652777777777777</v>
      </c>
      <c r="T21" s="21">
        <v>0.37361111111111112</v>
      </c>
      <c r="U21" s="88">
        <f t="shared" ref="U21:U24" si="22">IF(S21=TIME(17,0,0),"",(S21-T20)*24*60)</f>
        <v>7.9999999999999716</v>
      </c>
      <c r="V21" s="30">
        <f t="shared" si="21"/>
        <v>39.000000000000021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8"/>
        <v>-73.846153846154721</v>
      </c>
      <c r="AF21" s="91">
        <f t="shared" si="9"/>
        <v>0.96307692307692261</v>
      </c>
      <c r="AG21" s="177"/>
    </row>
    <row r="22" spans="1:33" ht="15.75" customHeight="1">
      <c r="A22" s="196" t="s">
        <v>2393</v>
      </c>
      <c r="B22" s="28" t="s">
        <v>5</v>
      </c>
      <c r="C22" s="193" t="s">
        <v>73</v>
      </c>
      <c r="D22" s="193"/>
      <c r="E22" s="28">
        <v>50.67</v>
      </c>
      <c r="F22" s="88">
        <v>2318</v>
      </c>
      <c r="G22" s="88">
        <f t="shared" si="19"/>
        <v>117453.06</v>
      </c>
      <c r="H22" s="30" t="s">
        <v>53</v>
      </c>
      <c r="I22" s="95">
        <v>17</v>
      </c>
      <c r="J22" s="13">
        <v>2000</v>
      </c>
      <c r="K22" s="12">
        <f t="shared" si="1"/>
        <v>117.64705882352941</v>
      </c>
      <c r="L22" s="95">
        <v>17</v>
      </c>
      <c r="M22" s="13">
        <f t="shared" si="20"/>
        <v>1905.2054794520552</v>
      </c>
      <c r="N22" s="12">
        <f t="shared" si="3"/>
        <v>112.07091055600324</v>
      </c>
      <c r="O22" s="14">
        <f t="shared" si="4"/>
        <v>0</v>
      </c>
      <c r="P22" s="15">
        <f t="shared" si="5"/>
        <v>-5.5761482675261647</v>
      </c>
      <c r="Q22" s="91">
        <f t="shared" si="6"/>
        <v>0.9526027397260276</v>
      </c>
      <c r="R22" s="177"/>
      <c r="S22" s="21">
        <v>0.37708333333333333</v>
      </c>
      <c r="T22" s="21">
        <v>0.42777777777777776</v>
      </c>
      <c r="U22" s="88">
        <f t="shared" si="22"/>
        <v>4.9999999999999822</v>
      </c>
      <c r="V22" s="30">
        <f t="shared" si="21"/>
        <v>72.999999999999986</v>
      </c>
      <c r="W22" s="16"/>
      <c r="X22" s="88"/>
      <c r="Y22" s="88"/>
      <c r="Z22" s="88"/>
      <c r="AA22" s="168"/>
      <c r="AB22" s="168"/>
      <c r="AC22" s="18"/>
      <c r="AD22" s="18"/>
      <c r="AE22" s="14">
        <f t="shared" si="8"/>
        <v>-94.794520547944785</v>
      </c>
      <c r="AF22" s="91">
        <f t="shared" si="9"/>
        <v>0.9526027397260276</v>
      </c>
      <c r="AG22" s="177"/>
    </row>
    <row r="23" spans="1:33" ht="15.75" customHeight="1">
      <c r="A23" s="196" t="s">
        <v>170</v>
      </c>
      <c r="B23" s="28" t="s">
        <v>5</v>
      </c>
      <c r="C23" s="193" t="s">
        <v>19</v>
      </c>
      <c r="D23" s="193"/>
      <c r="E23" s="28">
        <v>50.49</v>
      </c>
      <c r="F23" s="88">
        <v>2103</v>
      </c>
      <c r="G23" s="88">
        <f t="shared" si="19"/>
        <v>106180.47</v>
      </c>
      <c r="H23" s="30" t="s">
        <v>53</v>
      </c>
      <c r="I23" s="95">
        <v>15</v>
      </c>
      <c r="J23" s="13">
        <v>2000</v>
      </c>
      <c r="K23" s="12">
        <f t="shared" si="1"/>
        <v>133.33333333333334</v>
      </c>
      <c r="L23" s="95">
        <v>15</v>
      </c>
      <c r="M23" s="13">
        <f t="shared" si="20"/>
        <v>1911.818181818184</v>
      </c>
      <c r="N23" s="12">
        <f t="shared" si="3"/>
        <v>127.4545454545456</v>
      </c>
      <c r="O23" s="14">
        <f t="shared" si="4"/>
        <v>0</v>
      </c>
      <c r="P23" s="15">
        <f t="shared" si="5"/>
        <v>-5.8787878787877474</v>
      </c>
      <c r="Q23" s="91">
        <f t="shared" si="6"/>
        <v>0.95590909090909193</v>
      </c>
      <c r="R23" s="177"/>
      <c r="S23" s="21">
        <v>0.70833333333333337</v>
      </c>
      <c r="T23" s="21">
        <v>0.75416666666666665</v>
      </c>
      <c r="U23" s="88" t="str">
        <f t="shared" si="22"/>
        <v/>
      </c>
      <c r="V23" s="30">
        <f t="shared" si="21"/>
        <v>65.999999999999929</v>
      </c>
      <c r="W23" s="16"/>
      <c r="X23" s="88"/>
      <c r="Y23" s="88"/>
      <c r="Z23" s="88"/>
      <c r="AA23" s="168"/>
      <c r="AB23" s="168"/>
      <c r="AC23" s="18"/>
      <c r="AD23" s="18"/>
      <c r="AE23" s="14">
        <f t="shared" si="8"/>
        <v>-88.18181818181597</v>
      </c>
      <c r="AF23" s="91">
        <f t="shared" si="9"/>
        <v>0.95590909090909204</v>
      </c>
      <c r="AG23" s="177"/>
    </row>
    <row r="24" spans="1:33" ht="15.75" customHeight="1">
      <c r="A24" s="196" t="s">
        <v>170</v>
      </c>
      <c r="B24" s="28" t="s">
        <v>5</v>
      </c>
      <c r="C24" s="193" t="s">
        <v>14</v>
      </c>
      <c r="D24" s="193"/>
      <c r="E24" s="28">
        <v>50.98</v>
      </c>
      <c r="F24" s="88">
        <v>2514</v>
      </c>
      <c r="G24" s="88">
        <f t="shared" si="19"/>
        <v>128163.71999999999</v>
      </c>
      <c r="H24" s="30" t="s">
        <v>53</v>
      </c>
      <c r="I24" s="95">
        <v>16</v>
      </c>
      <c r="J24" s="13">
        <v>2000</v>
      </c>
      <c r="K24" s="12">
        <f t="shared" si="1"/>
        <v>125</v>
      </c>
      <c r="L24" s="95">
        <v>16</v>
      </c>
      <c r="M24" s="13">
        <f t="shared" si="20"/>
        <v>1909.3670886075938</v>
      </c>
      <c r="N24" s="12">
        <f t="shared" si="3"/>
        <v>119.33544303797461</v>
      </c>
      <c r="O24" s="14">
        <f t="shared" si="4"/>
        <v>0</v>
      </c>
      <c r="P24" s="15">
        <f t="shared" si="5"/>
        <v>-5.6645569620253866</v>
      </c>
      <c r="Q24" s="91">
        <f t="shared" si="6"/>
        <v>0.95468354430379687</v>
      </c>
      <c r="R24" s="177"/>
      <c r="S24" s="21">
        <v>0.7583333333333333</v>
      </c>
      <c r="T24" s="21">
        <v>0.81319444444444444</v>
      </c>
      <c r="U24" s="88">
        <f t="shared" si="22"/>
        <v>5.9999999999999787</v>
      </c>
      <c r="V24" s="30">
        <f t="shared" si="21"/>
        <v>79.000000000000043</v>
      </c>
      <c r="W24" s="16"/>
      <c r="X24" s="16"/>
      <c r="Y24" s="88"/>
      <c r="Z24" s="88"/>
      <c r="AA24" s="168"/>
      <c r="AB24" s="168"/>
      <c r="AC24" s="18"/>
      <c r="AD24" s="18"/>
      <c r="AE24" s="14">
        <f t="shared" si="8"/>
        <v>-90.632911392406186</v>
      </c>
      <c r="AF24" s="91">
        <f t="shared" si="9"/>
        <v>0.95468354430379687</v>
      </c>
      <c r="AG24" s="177"/>
    </row>
    <row r="25" spans="1:33" ht="15.75" customHeight="1">
      <c r="A25" s="196" t="s">
        <v>2393</v>
      </c>
      <c r="B25" s="28" t="s">
        <v>165</v>
      </c>
      <c r="C25" s="178"/>
      <c r="D25" s="178"/>
      <c r="E25" s="92"/>
      <c r="F25" s="88"/>
      <c r="G25" s="88"/>
      <c r="H25" s="88"/>
      <c r="I25" s="23">
        <v>15.6</v>
      </c>
      <c r="J25" s="13">
        <v>2000</v>
      </c>
      <c r="K25" s="12">
        <f t="shared" si="1"/>
        <v>128.2051282051282</v>
      </c>
      <c r="L25" s="23">
        <v>15.6</v>
      </c>
      <c r="M25" s="13">
        <f>AVERAGE(M20:M24)</f>
        <v>1911.297651600702</v>
      </c>
      <c r="N25" s="12">
        <f t="shared" si="3"/>
        <v>122.51908023081424</v>
      </c>
      <c r="O25" s="14">
        <f t="shared" si="4"/>
        <v>0</v>
      </c>
      <c r="P25" s="15">
        <f t="shared" si="5"/>
        <v>-5.6860479743139649</v>
      </c>
      <c r="Q25" s="91">
        <f t="shared" si="6"/>
        <v>0.95564882580035104</v>
      </c>
      <c r="R25" s="177"/>
      <c r="S25" s="21"/>
      <c r="T25" s="21"/>
      <c r="U25" s="12"/>
      <c r="V25" s="30"/>
      <c r="W25" s="12"/>
      <c r="X25" s="12"/>
      <c r="Y25" s="24">
        <f>SUM(Y20:Y24)</f>
        <v>0</v>
      </c>
      <c r="Z25" s="24">
        <f>SUM(Z20:Z24)</f>
        <v>0</v>
      </c>
      <c r="AA25" s="167"/>
      <c r="AB25" s="167"/>
      <c r="AC25" s="24">
        <v>5</v>
      </c>
      <c r="AD25" s="24">
        <f>SUM(AD20:AD24)</f>
        <v>0</v>
      </c>
      <c r="AE25" s="14">
        <f t="shared" si="8"/>
        <v>-88.702348399297989</v>
      </c>
      <c r="AF25" s="91">
        <f t="shared" si="9"/>
        <v>0.95564882580035104</v>
      </c>
      <c r="AG25" s="177"/>
    </row>
    <row r="26" spans="1:33" ht="15.75" customHeight="1">
      <c r="A26" s="194" t="s">
        <v>171</v>
      </c>
      <c r="B26" s="28" t="s">
        <v>22</v>
      </c>
      <c r="C26" s="193" t="s">
        <v>23</v>
      </c>
      <c r="D26" s="193"/>
      <c r="E26" s="28">
        <v>31.29</v>
      </c>
      <c r="F26" s="88">
        <v>8293</v>
      </c>
      <c r="G26" s="88">
        <f t="shared" ref="G26:G30" si="23">E26*F26</f>
        <v>259487.97</v>
      </c>
      <c r="H26" s="30" t="s">
        <v>53</v>
      </c>
      <c r="I26" s="95">
        <v>18</v>
      </c>
      <c r="J26" s="13">
        <v>2400</v>
      </c>
      <c r="K26" s="12">
        <f t="shared" si="1"/>
        <v>133.33333333333334</v>
      </c>
      <c r="L26" s="95">
        <v>18</v>
      </c>
      <c r="M26" s="13">
        <f t="shared" ref="M26:M30" si="24">F26/V26*60</f>
        <v>2292.9953917050689</v>
      </c>
      <c r="N26" s="12">
        <f t="shared" si="3"/>
        <v>127.38863287250382</v>
      </c>
      <c r="O26" s="14">
        <f t="shared" si="4"/>
        <v>0</v>
      </c>
      <c r="P26" s="15">
        <f t="shared" si="5"/>
        <v>-5.9447004608295231</v>
      </c>
      <c r="Q26" s="91">
        <f t="shared" si="6"/>
        <v>0.95541474654377856</v>
      </c>
      <c r="R26" s="177">
        <f>Q31</f>
        <v>0.95687721719772922</v>
      </c>
      <c r="S26" s="21">
        <v>8.3333333333333329E-2</v>
      </c>
      <c r="T26" s="21">
        <v>0.23402777777777778</v>
      </c>
      <c r="U26" s="88"/>
      <c r="V26" s="30">
        <f t="shared" ref="V26:V30" si="25">(T26-S26)*24*60</f>
        <v>217.00000000000003</v>
      </c>
      <c r="W26" s="16">
        <f>T26</f>
        <v>0.23402777777777778</v>
      </c>
      <c r="X26" s="16">
        <f>S27</f>
        <v>0.25208333333333333</v>
      </c>
      <c r="Y26" s="16"/>
      <c r="Z26" s="16"/>
      <c r="AA26" s="168"/>
      <c r="AB26" s="168"/>
      <c r="AC26" s="18">
        <v>5</v>
      </c>
      <c r="AD26" s="18"/>
      <c r="AE26" s="14">
        <f t="shared" si="8"/>
        <v>-107.00460829493113</v>
      </c>
      <c r="AF26" s="91">
        <f t="shared" si="9"/>
        <v>0.95541474654377867</v>
      </c>
      <c r="AG26" s="177">
        <f>AF31</f>
        <v>0.95687721719772922</v>
      </c>
    </row>
    <row r="27" spans="1:33" ht="15.75" customHeight="1">
      <c r="A27" s="194" t="s">
        <v>2394</v>
      </c>
      <c r="B27" s="28" t="s">
        <v>22</v>
      </c>
      <c r="C27" s="193" t="s">
        <v>24</v>
      </c>
      <c r="D27" s="193"/>
      <c r="E27" s="28">
        <v>25.98</v>
      </c>
      <c r="F27" s="88">
        <v>2587</v>
      </c>
      <c r="G27" s="88">
        <f t="shared" si="23"/>
        <v>67210.259999999995</v>
      </c>
      <c r="H27" s="30" t="s">
        <v>53</v>
      </c>
      <c r="I27" s="95">
        <v>21</v>
      </c>
      <c r="J27" s="13">
        <v>2400</v>
      </c>
      <c r="K27" s="12">
        <f t="shared" si="1"/>
        <v>114.28571428571429</v>
      </c>
      <c r="L27" s="95">
        <v>21</v>
      </c>
      <c r="M27" s="13">
        <f t="shared" si="24"/>
        <v>2282.6470588235297</v>
      </c>
      <c r="N27" s="12">
        <f t="shared" si="3"/>
        <v>108.69747899159665</v>
      </c>
      <c r="O27" s="14">
        <f t="shared" si="4"/>
        <v>0</v>
      </c>
      <c r="P27" s="15">
        <f t="shared" si="5"/>
        <v>-5.5882352941176379</v>
      </c>
      <c r="Q27" s="91">
        <f t="shared" si="6"/>
        <v>0.95110294117647065</v>
      </c>
      <c r="R27" s="177"/>
      <c r="S27" s="21">
        <v>0.25208333333333333</v>
      </c>
      <c r="T27" s="21">
        <v>0.29930555555555555</v>
      </c>
      <c r="U27" s="88">
        <f t="shared" ref="U27:U30" si="26">(S27-T26)*24*60</f>
        <v>25.999999999999986</v>
      </c>
      <c r="V27" s="30">
        <f t="shared" si="25"/>
        <v>68</v>
      </c>
      <c r="W27" s="16"/>
      <c r="X27" s="16"/>
      <c r="Y27" s="16"/>
      <c r="Z27" s="16"/>
      <c r="AA27" s="168"/>
      <c r="AB27" s="168"/>
      <c r="AC27" s="18"/>
      <c r="AD27" s="18"/>
      <c r="AE27" s="14">
        <f t="shared" si="8"/>
        <v>-117.35294117647027</v>
      </c>
      <c r="AF27" s="91">
        <f t="shared" si="9"/>
        <v>0.95110294117647076</v>
      </c>
      <c r="AG27" s="177"/>
    </row>
    <row r="28" spans="1:33" ht="15.75" customHeight="1">
      <c r="A28" s="194" t="s">
        <v>171</v>
      </c>
      <c r="B28" s="28" t="s">
        <v>22</v>
      </c>
      <c r="C28" s="193" t="s">
        <v>26</v>
      </c>
      <c r="D28" s="193"/>
      <c r="E28" s="28">
        <v>25.99</v>
      </c>
      <c r="F28" s="88">
        <v>4005</v>
      </c>
      <c r="G28" s="88">
        <f t="shared" si="23"/>
        <v>104089.95</v>
      </c>
      <c r="H28" s="30" t="s">
        <v>53</v>
      </c>
      <c r="I28" s="95">
        <v>14</v>
      </c>
      <c r="J28" s="13">
        <v>2400</v>
      </c>
      <c r="K28" s="12">
        <f t="shared" si="1"/>
        <v>171.42857142857142</v>
      </c>
      <c r="L28" s="95">
        <v>14</v>
      </c>
      <c r="M28" s="13">
        <f t="shared" si="24"/>
        <v>2288.571428571428</v>
      </c>
      <c r="N28" s="12">
        <f t="shared" si="3"/>
        <v>163.46938775510199</v>
      </c>
      <c r="O28" s="14">
        <f t="shared" si="4"/>
        <v>0</v>
      </c>
      <c r="P28" s="15">
        <f t="shared" si="5"/>
        <v>-7.9591836734694255</v>
      </c>
      <c r="Q28" s="91">
        <f t="shared" si="6"/>
        <v>0.9535714285714284</v>
      </c>
      <c r="R28" s="177"/>
      <c r="S28" s="21">
        <v>0.3034722222222222</v>
      </c>
      <c r="T28" s="21">
        <v>0.37638888888888888</v>
      </c>
      <c r="U28" s="88">
        <f t="shared" si="26"/>
        <v>5.9999999999999787</v>
      </c>
      <c r="V28" s="30">
        <f t="shared" si="25"/>
        <v>105.00000000000003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-111.42857142857201</v>
      </c>
      <c r="AF28" s="91">
        <f t="shared" si="9"/>
        <v>0.95357142857142829</v>
      </c>
      <c r="AG28" s="177"/>
    </row>
    <row r="29" spans="1:33" ht="15.75" customHeight="1">
      <c r="A29" s="194" t="s">
        <v>171</v>
      </c>
      <c r="B29" s="28" t="s">
        <v>22</v>
      </c>
      <c r="C29" s="193" t="s">
        <v>27</v>
      </c>
      <c r="D29" s="193"/>
      <c r="E29" s="28">
        <v>26.18</v>
      </c>
      <c r="F29" s="88">
        <v>1280</v>
      </c>
      <c r="G29" s="88">
        <f t="shared" si="23"/>
        <v>33510.400000000001</v>
      </c>
      <c r="H29" s="30" t="s">
        <v>53</v>
      </c>
      <c r="I29" s="95">
        <v>19</v>
      </c>
      <c r="J29" s="13">
        <v>2400</v>
      </c>
      <c r="K29" s="12">
        <f t="shared" si="1"/>
        <v>126.31578947368421</v>
      </c>
      <c r="L29" s="95">
        <v>19</v>
      </c>
      <c r="M29" s="13">
        <f t="shared" si="24"/>
        <v>2327.2727272727243</v>
      </c>
      <c r="N29" s="12">
        <f t="shared" si="3"/>
        <v>122.48803827751181</v>
      </c>
      <c r="O29" s="14">
        <f t="shared" si="4"/>
        <v>0</v>
      </c>
      <c r="P29" s="15">
        <f t="shared" si="5"/>
        <v>-3.8277511961724002</v>
      </c>
      <c r="Q29" s="91">
        <f t="shared" si="6"/>
        <v>0.9696969696969685</v>
      </c>
      <c r="R29" s="177"/>
      <c r="S29" s="21">
        <v>0.38194444444444442</v>
      </c>
      <c r="T29" s="21">
        <v>0.40486111111111112</v>
      </c>
      <c r="U29" s="88">
        <f t="shared" si="26"/>
        <v>7.9999999999999716</v>
      </c>
      <c r="V29" s="30">
        <f t="shared" si="25"/>
        <v>33.000000000000043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8"/>
        <v>-72.727272727275704</v>
      </c>
      <c r="AF29" s="91">
        <f t="shared" si="9"/>
        <v>0.9696969696969685</v>
      </c>
      <c r="AG29" s="177"/>
    </row>
    <row r="30" spans="1:33" ht="15.75" customHeight="1">
      <c r="A30" s="194" t="s">
        <v>171</v>
      </c>
      <c r="B30" s="28" t="s">
        <v>22</v>
      </c>
      <c r="C30" s="193" t="s">
        <v>25</v>
      </c>
      <c r="D30" s="193"/>
      <c r="E30" s="28">
        <v>26.2</v>
      </c>
      <c r="F30" s="88">
        <v>4773</v>
      </c>
      <c r="G30" s="88">
        <f t="shared" si="23"/>
        <v>125052.59999999999</v>
      </c>
      <c r="H30" s="30" t="s">
        <v>53</v>
      </c>
      <c r="I30" s="95">
        <v>20</v>
      </c>
      <c r="J30" s="13">
        <v>2400</v>
      </c>
      <c r="K30" s="12">
        <f t="shared" si="1"/>
        <v>120</v>
      </c>
      <c r="L30" s="95">
        <v>20</v>
      </c>
      <c r="M30" s="13">
        <f t="shared" si="24"/>
        <v>2291.0399999999995</v>
      </c>
      <c r="N30" s="12">
        <f t="shared" si="3"/>
        <v>114.55199999999998</v>
      </c>
      <c r="O30" s="14">
        <f t="shared" si="4"/>
        <v>0</v>
      </c>
      <c r="P30" s="15">
        <f t="shared" si="5"/>
        <v>-5.4480000000000217</v>
      </c>
      <c r="Q30" s="91">
        <f t="shared" si="6"/>
        <v>0.95459999999999978</v>
      </c>
      <c r="R30" s="177"/>
      <c r="S30" s="21">
        <v>0.40902777777777777</v>
      </c>
      <c r="T30" s="21">
        <v>0.49583333333333335</v>
      </c>
      <c r="U30" s="88">
        <f t="shared" si="26"/>
        <v>5.9999999999999787</v>
      </c>
      <c r="V30" s="30">
        <f t="shared" si="25"/>
        <v>125.00000000000003</v>
      </c>
      <c r="W30" s="16"/>
      <c r="X30" s="16"/>
      <c r="Y30" s="16"/>
      <c r="Z30" s="16"/>
      <c r="AA30" s="168"/>
      <c r="AB30" s="168"/>
      <c r="AC30" s="18"/>
      <c r="AD30" s="18"/>
      <c r="AE30" s="14">
        <f t="shared" si="8"/>
        <v>-108.96000000000049</v>
      </c>
      <c r="AF30" s="91">
        <f t="shared" si="9"/>
        <v>0.95459999999999978</v>
      </c>
      <c r="AG30" s="177"/>
    </row>
    <row r="31" spans="1:33" ht="15.75" customHeight="1">
      <c r="A31" s="194" t="s">
        <v>171</v>
      </c>
      <c r="B31" s="28" t="s">
        <v>165</v>
      </c>
      <c r="C31" s="178"/>
      <c r="D31" s="178"/>
      <c r="E31" s="92"/>
      <c r="F31" s="88"/>
      <c r="G31" s="88"/>
      <c r="H31" s="88"/>
      <c r="I31" s="23">
        <v>18.399999999999999</v>
      </c>
      <c r="J31" s="13">
        <v>2400</v>
      </c>
      <c r="K31" s="12">
        <f t="shared" si="1"/>
        <v>130.43478260869566</v>
      </c>
      <c r="L31" s="23">
        <v>18.399999999999999</v>
      </c>
      <c r="M31" s="13">
        <f>AVERAGE(M26:M30)</f>
        <v>2296.5053212745502</v>
      </c>
      <c r="N31" s="12">
        <f t="shared" si="3"/>
        <v>124.81007180839947</v>
      </c>
      <c r="O31" s="14">
        <f t="shared" si="4"/>
        <v>0</v>
      </c>
      <c r="P31" s="15">
        <f t="shared" si="5"/>
        <v>-5.6247108002961852</v>
      </c>
      <c r="Q31" s="91">
        <f t="shared" si="6"/>
        <v>0.95687721719772922</v>
      </c>
      <c r="R31" s="177"/>
      <c r="S31" s="21"/>
      <c r="T31" s="21"/>
      <c r="U31" s="88"/>
      <c r="V31" s="30"/>
      <c r="W31" s="88"/>
      <c r="X31" s="88"/>
      <c r="Y31" s="24">
        <f>SUM(Y26:Y30)</f>
        <v>0</v>
      </c>
      <c r="Z31" s="24">
        <f>SUM(Z26:Z30)</f>
        <v>0</v>
      </c>
      <c r="AA31" s="167"/>
      <c r="AB31" s="167"/>
      <c r="AC31" s="24">
        <v>5</v>
      </c>
      <c r="AD31" s="24">
        <f>SUM(AD26:AD30)</f>
        <v>0</v>
      </c>
      <c r="AE31" s="14">
        <f t="shared" si="8"/>
        <v>-103.49467872544983</v>
      </c>
      <c r="AF31" s="91">
        <f t="shared" si="9"/>
        <v>0.95687721719772922</v>
      </c>
      <c r="AG31" s="177"/>
    </row>
    <row r="32" spans="1:33" ht="15.75" customHeight="1">
      <c r="A32" s="191" t="s">
        <v>2395</v>
      </c>
      <c r="B32" s="28" t="s">
        <v>22</v>
      </c>
      <c r="C32" s="169" t="s">
        <v>28</v>
      </c>
      <c r="D32" s="169"/>
      <c r="E32" s="28">
        <v>26.2</v>
      </c>
      <c r="F32" s="88">
        <v>6095</v>
      </c>
      <c r="G32" s="88">
        <f t="shared" ref="G32:G36" si="27">E32*F32</f>
        <v>159689</v>
      </c>
      <c r="H32" s="30" t="s">
        <v>53</v>
      </c>
      <c r="I32" s="95">
        <v>18</v>
      </c>
      <c r="J32" s="13">
        <v>2400</v>
      </c>
      <c r="K32" s="12">
        <f t="shared" si="1"/>
        <v>133.33333333333334</v>
      </c>
      <c r="L32" s="95">
        <v>18</v>
      </c>
      <c r="M32" s="13">
        <f t="shared" ref="M32:M36" si="28">F32/V32*60</f>
        <v>2285.6250000000005</v>
      </c>
      <c r="N32" s="12">
        <f t="shared" si="3"/>
        <v>126.97916666666669</v>
      </c>
      <c r="O32" s="14">
        <f t="shared" si="4"/>
        <v>0</v>
      </c>
      <c r="P32" s="15">
        <f t="shared" si="5"/>
        <v>-6.3541666666666572</v>
      </c>
      <c r="Q32" s="91">
        <f t="shared" si="6"/>
        <v>0.95234375000000004</v>
      </c>
      <c r="R32" s="177">
        <f>Q37</f>
        <v>0.95650742324433802</v>
      </c>
      <c r="S32" s="21">
        <v>8.3333333333333329E-2</v>
      </c>
      <c r="T32" s="21">
        <v>0.19444444444444442</v>
      </c>
      <c r="U32" s="88"/>
      <c r="V32" s="30">
        <f t="shared" ref="V32:V36" si="29">(T32-S32)*24*60</f>
        <v>159.99999999999997</v>
      </c>
      <c r="W32" s="21">
        <f>T32</f>
        <v>0.19444444444444442</v>
      </c>
      <c r="X32" s="21">
        <f>S33</f>
        <v>0.21458333333333332</v>
      </c>
      <c r="Y32" s="21"/>
      <c r="Z32" s="21"/>
      <c r="AA32" s="168"/>
      <c r="AB32" s="168"/>
      <c r="AC32" s="18">
        <v>5</v>
      </c>
      <c r="AD32" s="18"/>
      <c r="AE32" s="14">
        <f t="shared" si="8"/>
        <v>-114.37499999999955</v>
      </c>
      <c r="AF32" s="91">
        <f t="shared" si="9"/>
        <v>0.95234375000000016</v>
      </c>
      <c r="AG32" s="177">
        <f>AF37</f>
        <v>0.95650742324433813</v>
      </c>
    </row>
    <row r="33" spans="1:33" ht="15.75" customHeight="1">
      <c r="A33" s="191" t="s">
        <v>172</v>
      </c>
      <c r="B33" s="28" t="s">
        <v>22</v>
      </c>
      <c r="C33" s="169" t="s">
        <v>49</v>
      </c>
      <c r="D33" s="169"/>
      <c r="E33" s="28">
        <v>20.2</v>
      </c>
      <c r="F33" s="88">
        <v>1709</v>
      </c>
      <c r="G33" s="88">
        <f t="shared" si="27"/>
        <v>34521.799999999996</v>
      </c>
      <c r="H33" s="30" t="s">
        <v>53</v>
      </c>
      <c r="I33" s="95">
        <v>15</v>
      </c>
      <c r="J33" s="13">
        <v>2400</v>
      </c>
      <c r="K33" s="12">
        <f t="shared" si="1"/>
        <v>160</v>
      </c>
      <c r="L33" s="95">
        <v>15</v>
      </c>
      <c r="M33" s="13">
        <f t="shared" si="28"/>
        <v>2330.4545454545455</v>
      </c>
      <c r="N33" s="12">
        <f t="shared" si="3"/>
        <v>155.36363636363637</v>
      </c>
      <c r="O33" s="14">
        <f t="shared" si="4"/>
        <v>0</v>
      </c>
      <c r="P33" s="15">
        <f t="shared" si="5"/>
        <v>-4.636363636363626</v>
      </c>
      <c r="Q33" s="91">
        <f t="shared" si="6"/>
        <v>0.97102272727272732</v>
      </c>
      <c r="R33" s="177"/>
      <c r="S33" s="21">
        <v>0.21458333333333332</v>
      </c>
      <c r="T33" s="21">
        <v>0.24513888888888888</v>
      </c>
      <c r="U33" s="88">
        <f t="shared" ref="U33:U36" si="30">(S33-T32)*24*60</f>
        <v>29.000000000000018</v>
      </c>
      <c r="V33" s="30">
        <f t="shared" si="29"/>
        <v>44</v>
      </c>
      <c r="W33" s="88"/>
      <c r="X33" s="88"/>
      <c r="Y33" s="88"/>
      <c r="Z33" s="88"/>
      <c r="AA33" s="168"/>
      <c r="AB33" s="168"/>
      <c r="AC33" s="18"/>
      <c r="AD33" s="18"/>
      <c r="AE33" s="14">
        <f t="shared" si="8"/>
        <v>-69.545454545454504</v>
      </c>
      <c r="AF33" s="91">
        <f t="shared" si="9"/>
        <v>0.97102272727272732</v>
      </c>
      <c r="AG33" s="177"/>
    </row>
    <row r="34" spans="1:33">
      <c r="A34" s="192" t="s">
        <v>172</v>
      </c>
      <c r="B34" s="28" t="s">
        <v>22</v>
      </c>
      <c r="C34" s="169" t="s">
        <v>32</v>
      </c>
      <c r="D34" s="169"/>
      <c r="E34" s="28">
        <v>20.52</v>
      </c>
      <c r="F34" s="88">
        <v>2519</v>
      </c>
      <c r="G34" s="88">
        <f t="shared" si="27"/>
        <v>51689.88</v>
      </c>
      <c r="H34" s="30" t="s">
        <v>53</v>
      </c>
      <c r="I34" s="95">
        <v>18</v>
      </c>
      <c r="J34" s="13">
        <v>2400</v>
      </c>
      <c r="K34" s="12">
        <f t="shared" si="1"/>
        <v>133.33333333333334</v>
      </c>
      <c r="L34" s="95">
        <v>18</v>
      </c>
      <c r="M34" s="13">
        <f t="shared" si="28"/>
        <v>2290</v>
      </c>
      <c r="N34" s="12">
        <f t="shared" si="3"/>
        <v>127.22222222222223</v>
      </c>
      <c r="O34" s="14">
        <f t="shared" si="4"/>
        <v>0</v>
      </c>
      <c r="P34" s="15">
        <f t="shared" si="5"/>
        <v>-6.1111111111111143</v>
      </c>
      <c r="Q34" s="91">
        <f t="shared" si="6"/>
        <v>0.95416666666666661</v>
      </c>
      <c r="R34" s="177"/>
      <c r="S34" s="21">
        <v>0.25069444444444444</v>
      </c>
      <c r="T34" s="21">
        <v>0.29652777777777778</v>
      </c>
      <c r="U34" s="88">
        <f t="shared" si="30"/>
        <v>8.0000000000000107</v>
      </c>
      <c r="V34" s="30">
        <f t="shared" si="29"/>
        <v>66</v>
      </c>
      <c r="W34" s="88"/>
      <c r="X34" s="88"/>
      <c r="Y34" s="88"/>
      <c r="Z34" s="88"/>
      <c r="AA34" s="168"/>
      <c r="AB34" s="168"/>
      <c r="AC34" s="18"/>
      <c r="AD34" s="18"/>
      <c r="AE34" s="14">
        <f t="shared" si="8"/>
        <v>-110</v>
      </c>
      <c r="AF34" s="91">
        <f t="shared" si="9"/>
        <v>0.95416666666666672</v>
      </c>
      <c r="AG34" s="177"/>
    </row>
    <row r="35" spans="1:33">
      <c r="A35" s="192" t="s">
        <v>172</v>
      </c>
      <c r="B35" s="28" t="s">
        <v>22</v>
      </c>
      <c r="C35" s="169" t="s">
        <v>30</v>
      </c>
      <c r="D35" s="169"/>
      <c r="E35" s="28">
        <v>26.39</v>
      </c>
      <c r="F35" s="88">
        <v>5303</v>
      </c>
      <c r="G35" s="88">
        <f t="shared" si="27"/>
        <v>139946.17000000001</v>
      </c>
      <c r="H35" s="30" t="s">
        <v>53</v>
      </c>
      <c r="I35" s="95">
        <v>19</v>
      </c>
      <c r="J35" s="13">
        <v>2400</v>
      </c>
      <c r="K35" s="12">
        <f t="shared" si="1"/>
        <v>126.31578947368421</v>
      </c>
      <c r="L35" s="95">
        <v>19</v>
      </c>
      <c r="M35" s="13">
        <f t="shared" si="28"/>
        <v>2289.0647482014388</v>
      </c>
      <c r="N35" s="12">
        <f t="shared" si="3"/>
        <v>120.47709201060204</v>
      </c>
      <c r="O35" s="14">
        <f t="shared" si="4"/>
        <v>0</v>
      </c>
      <c r="P35" s="15">
        <f t="shared" si="5"/>
        <v>-5.8386974630821697</v>
      </c>
      <c r="Q35" s="91">
        <f t="shared" si="6"/>
        <v>0.95377697841726616</v>
      </c>
      <c r="R35" s="177"/>
      <c r="S35" s="21">
        <v>0.30069444444444443</v>
      </c>
      <c r="T35" s="21">
        <v>0.3972222222222222</v>
      </c>
      <c r="U35" s="88">
        <f t="shared" si="30"/>
        <v>5.9999999999999787</v>
      </c>
      <c r="V35" s="30">
        <f t="shared" si="29"/>
        <v>139</v>
      </c>
      <c r="W35" s="16"/>
      <c r="X35" s="16"/>
      <c r="Y35" s="16"/>
      <c r="Z35" s="16"/>
      <c r="AA35" s="168"/>
      <c r="AB35" s="168"/>
      <c r="AC35" s="18"/>
      <c r="AD35" s="18"/>
      <c r="AE35" s="14">
        <f t="shared" si="8"/>
        <v>-110.93525179856124</v>
      </c>
      <c r="AF35" s="91">
        <f t="shared" si="9"/>
        <v>0.95377697841726616</v>
      </c>
      <c r="AG35" s="177"/>
    </row>
    <row r="36" spans="1:33">
      <c r="A36" s="192" t="s">
        <v>172</v>
      </c>
      <c r="B36" s="28" t="s">
        <v>22</v>
      </c>
      <c r="C36" s="169" t="s">
        <v>51</v>
      </c>
      <c r="D36" s="169"/>
      <c r="E36" s="28">
        <v>24.43</v>
      </c>
      <c r="F36" s="88">
        <v>6202</v>
      </c>
      <c r="G36" s="88">
        <f t="shared" si="27"/>
        <v>151514.85999999999</v>
      </c>
      <c r="H36" s="30" t="s">
        <v>53</v>
      </c>
      <c r="I36" s="95">
        <v>14</v>
      </c>
      <c r="J36" s="13">
        <v>2400</v>
      </c>
      <c r="K36" s="12">
        <f t="shared" si="1"/>
        <v>171.42857142857142</v>
      </c>
      <c r="L36" s="95">
        <v>14</v>
      </c>
      <c r="M36" s="13">
        <f t="shared" si="28"/>
        <v>2282.9447852760736</v>
      </c>
      <c r="N36" s="12">
        <f t="shared" si="3"/>
        <v>163.06748466257667</v>
      </c>
      <c r="O36" s="14">
        <f t="shared" si="4"/>
        <v>0</v>
      </c>
      <c r="P36" s="15">
        <f t="shared" si="5"/>
        <v>-8.3610867659947417</v>
      </c>
      <c r="Q36" s="91">
        <f t="shared" si="6"/>
        <v>0.95122699386503062</v>
      </c>
      <c r="R36" s="177"/>
      <c r="S36" s="21">
        <v>0.40208333333333329</v>
      </c>
      <c r="T36" s="21">
        <v>0.51527777777777772</v>
      </c>
      <c r="U36" s="88">
        <f t="shared" si="30"/>
        <v>6.9999999999999751</v>
      </c>
      <c r="V36" s="30">
        <f t="shared" si="29"/>
        <v>162.99999999999997</v>
      </c>
      <c r="W36" s="16"/>
      <c r="X36" s="16"/>
      <c r="Y36" s="16"/>
      <c r="Z36" s="16"/>
      <c r="AA36" s="168"/>
      <c r="AB36" s="168"/>
      <c r="AC36" s="18"/>
      <c r="AD36" s="18"/>
      <c r="AE36" s="14">
        <f t="shared" si="8"/>
        <v>-117.05521472392638</v>
      </c>
      <c r="AF36" s="91">
        <f t="shared" si="9"/>
        <v>0.95122699386503062</v>
      </c>
      <c r="AG36" s="177"/>
    </row>
    <row r="37" spans="1:33">
      <c r="A37" s="192" t="s">
        <v>172</v>
      </c>
      <c r="B37" s="12" t="s">
        <v>165</v>
      </c>
      <c r="C37" s="178"/>
      <c r="D37" s="178"/>
      <c r="E37" s="92"/>
      <c r="F37" s="12"/>
      <c r="G37" s="12"/>
      <c r="H37" s="88"/>
      <c r="I37" s="23">
        <v>16.8</v>
      </c>
      <c r="J37" s="13">
        <v>2400</v>
      </c>
      <c r="K37" s="12">
        <f t="shared" si="1"/>
        <v>142.85714285714286</v>
      </c>
      <c r="L37" s="23">
        <v>16.8</v>
      </c>
      <c r="M37" s="13">
        <f>AVERAGE(M32:M36)</f>
        <v>2295.6178157864115</v>
      </c>
      <c r="N37" s="12">
        <f t="shared" si="3"/>
        <v>136.64391760633401</v>
      </c>
      <c r="O37" s="14">
        <f t="shared" si="4"/>
        <v>0</v>
      </c>
      <c r="P37" s="15">
        <f t="shared" si="5"/>
        <v>-6.213225250808847</v>
      </c>
      <c r="Q37" s="91">
        <f t="shared" si="6"/>
        <v>0.95650742324433802</v>
      </c>
      <c r="R37" s="177"/>
      <c r="S37" s="21"/>
      <c r="T37" s="21"/>
      <c r="U37" s="12"/>
      <c r="V37" s="30"/>
      <c r="W37" s="12"/>
      <c r="X37" s="12"/>
      <c r="Y37" s="24">
        <f>SUM(Y32:Y36)</f>
        <v>0</v>
      </c>
      <c r="Z37" s="24">
        <f>SUM(Z32:Z36)</f>
        <v>0</v>
      </c>
      <c r="AA37" s="167"/>
      <c r="AB37" s="167"/>
      <c r="AC37" s="24">
        <v>5</v>
      </c>
      <c r="AD37" s="24">
        <f>SUM(AD32:AD36)</f>
        <v>0</v>
      </c>
      <c r="AE37" s="14">
        <f t="shared" si="8"/>
        <v>-104.38218421358852</v>
      </c>
      <c r="AF37" s="91">
        <f t="shared" si="9"/>
        <v>0.95650742324433813</v>
      </c>
      <c r="AG37" s="177"/>
    </row>
    <row r="38" spans="1:33" ht="15.75" customHeight="1">
      <c r="A38" s="188" t="s">
        <v>173</v>
      </c>
      <c r="B38" s="28" t="s">
        <v>33</v>
      </c>
      <c r="C38" s="170" t="s">
        <v>72</v>
      </c>
      <c r="D38" s="171"/>
      <c r="E38" s="28">
        <v>34.35</v>
      </c>
      <c r="F38" s="88">
        <v>2281</v>
      </c>
      <c r="G38" s="88">
        <f t="shared" ref="G38:G41" si="31">E38*F38</f>
        <v>78352.350000000006</v>
      </c>
      <c r="H38" s="30" t="s">
        <v>53</v>
      </c>
      <c r="I38" s="95">
        <v>8</v>
      </c>
      <c r="J38" s="13">
        <v>3000</v>
      </c>
      <c r="K38" s="12">
        <f t="shared" si="1"/>
        <v>375</v>
      </c>
      <c r="L38" s="95">
        <v>8</v>
      </c>
      <c r="M38" s="13">
        <f t="shared" ref="M38:M41" si="32">F38/V38*60</f>
        <v>2911.9148936170204</v>
      </c>
      <c r="N38" s="13">
        <f t="shared" si="3"/>
        <v>363.98936170212755</v>
      </c>
      <c r="O38" s="14">
        <f t="shared" si="4"/>
        <v>0</v>
      </c>
      <c r="P38" s="15">
        <f t="shared" si="5"/>
        <v>-11.010638297872447</v>
      </c>
      <c r="Q38" s="91">
        <f t="shared" si="6"/>
        <v>0.97063829787234013</v>
      </c>
      <c r="R38" s="183">
        <f>Q42</f>
        <v>0.95957487924760076</v>
      </c>
      <c r="S38" s="21">
        <v>8.3333333333333329E-2</v>
      </c>
      <c r="T38" s="21">
        <v>0.11597222222222223</v>
      </c>
      <c r="U38" s="21"/>
      <c r="V38" s="30">
        <f t="shared" ref="V38:V41" si="33">(T38-S38)*24*60</f>
        <v>47.000000000000014</v>
      </c>
      <c r="W38" s="16">
        <f>T38</f>
        <v>0.11597222222222223</v>
      </c>
      <c r="X38" s="16">
        <f>S39</f>
        <v>0.13541666666666669</v>
      </c>
      <c r="Y38" s="19"/>
      <c r="Z38" s="19"/>
      <c r="AA38" s="172"/>
      <c r="AB38" s="173"/>
      <c r="AC38" s="18">
        <v>4</v>
      </c>
      <c r="AD38" s="18"/>
      <c r="AE38" s="14">
        <f t="shared" si="8"/>
        <v>-88.085106382979575</v>
      </c>
      <c r="AF38" s="91">
        <f t="shared" si="9"/>
        <v>0.97063829787234013</v>
      </c>
      <c r="AG38" s="183">
        <f>AF42</f>
        <v>0.95957487924760076</v>
      </c>
    </row>
    <row r="39" spans="1:33" ht="15.75" customHeight="1">
      <c r="A39" s="189" t="s">
        <v>173</v>
      </c>
      <c r="B39" s="28" t="s">
        <v>33</v>
      </c>
      <c r="C39" s="170" t="s">
        <v>48</v>
      </c>
      <c r="D39" s="171"/>
      <c r="E39" s="28">
        <v>35.119999999999997</v>
      </c>
      <c r="F39" s="88">
        <v>5115</v>
      </c>
      <c r="G39" s="88">
        <f t="shared" si="31"/>
        <v>179638.8</v>
      </c>
      <c r="H39" s="30" t="s">
        <v>53</v>
      </c>
      <c r="I39" s="95">
        <v>10</v>
      </c>
      <c r="J39" s="13">
        <v>3000</v>
      </c>
      <c r="K39" s="12">
        <f t="shared" si="1"/>
        <v>300</v>
      </c>
      <c r="L39" s="95">
        <v>10</v>
      </c>
      <c r="M39" s="13">
        <f t="shared" si="32"/>
        <v>2868.2242990654199</v>
      </c>
      <c r="N39" s="13">
        <f t="shared" si="3"/>
        <v>286.82242990654197</v>
      </c>
      <c r="O39" s="14">
        <f t="shared" si="4"/>
        <v>0</v>
      </c>
      <c r="P39" s="15">
        <f t="shared" si="5"/>
        <v>-13.17757009345803</v>
      </c>
      <c r="Q39" s="91">
        <f t="shared" si="6"/>
        <v>0.95607476635513988</v>
      </c>
      <c r="R39" s="184"/>
      <c r="S39" s="21">
        <v>0.13541666666666669</v>
      </c>
      <c r="T39" s="21">
        <v>0.20972222222222225</v>
      </c>
      <c r="U39" s="88">
        <f t="shared" ref="U39:U41" si="34">(S39-T38)*24*60</f>
        <v>28.000000000000021</v>
      </c>
      <c r="V39" s="30">
        <f t="shared" si="33"/>
        <v>107.00000000000001</v>
      </c>
      <c r="W39" s="16"/>
      <c r="X39" s="16"/>
      <c r="Y39" s="19"/>
      <c r="Z39" s="19"/>
      <c r="AA39" s="172"/>
      <c r="AB39" s="173"/>
      <c r="AC39" s="18"/>
      <c r="AD39" s="18"/>
      <c r="AE39" s="14">
        <f t="shared" si="8"/>
        <v>-131.77570093458007</v>
      </c>
      <c r="AF39" s="91">
        <f t="shared" si="9"/>
        <v>0.95607476635513999</v>
      </c>
      <c r="AG39" s="184"/>
    </row>
    <row r="40" spans="1:33" ht="15.75" customHeight="1">
      <c r="A40" s="189" t="s">
        <v>173</v>
      </c>
      <c r="B40" s="28" t="s">
        <v>33</v>
      </c>
      <c r="C40" s="170" t="s">
        <v>36</v>
      </c>
      <c r="D40" s="171"/>
      <c r="E40" s="28">
        <v>21.13</v>
      </c>
      <c r="F40" s="88">
        <v>4901</v>
      </c>
      <c r="G40" s="88">
        <f t="shared" si="31"/>
        <v>103558.12999999999</v>
      </c>
      <c r="H40" s="30" t="s">
        <v>53</v>
      </c>
      <c r="I40" s="95">
        <v>10</v>
      </c>
      <c r="J40" s="13">
        <v>3000</v>
      </c>
      <c r="K40" s="12">
        <f t="shared" si="1"/>
        <v>300</v>
      </c>
      <c r="L40" s="95">
        <v>10</v>
      </c>
      <c r="M40" s="13">
        <f t="shared" si="32"/>
        <v>2882.9411764705883</v>
      </c>
      <c r="N40" s="13">
        <f t="shared" si="3"/>
        <v>288.29411764705884</v>
      </c>
      <c r="O40" s="14">
        <f t="shared" si="4"/>
        <v>0</v>
      </c>
      <c r="P40" s="15">
        <f t="shared" si="5"/>
        <v>-11.70588235294116</v>
      </c>
      <c r="Q40" s="91">
        <f t="shared" si="6"/>
        <v>0.96098039215686282</v>
      </c>
      <c r="R40" s="184"/>
      <c r="S40" s="21">
        <v>0.21458333333333338</v>
      </c>
      <c r="T40" s="21">
        <v>0.28541666666666671</v>
      </c>
      <c r="U40" s="88">
        <f t="shared" si="34"/>
        <v>7.0000000000000151</v>
      </c>
      <c r="V40" s="30">
        <f t="shared" si="33"/>
        <v>102</v>
      </c>
      <c r="W40" s="16"/>
      <c r="X40" s="16"/>
      <c r="Y40" s="19"/>
      <c r="Z40" s="19"/>
      <c r="AA40" s="172"/>
      <c r="AB40" s="173"/>
      <c r="AC40" s="18"/>
      <c r="AD40" s="18"/>
      <c r="AE40" s="14">
        <f t="shared" si="8"/>
        <v>-117.05882352941171</v>
      </c>
      <c r="AF40" s="91">
        <f t="shared" si="9"/>
        <v>0.96098039215686282</v>
      </c>
      <c r="AG40" s="184"/>
    </row>
    <row r="41" spans="1:33" ht="15.75" customHeight="1">
      <c r="A41" s="189" t="s">
        <v>173</v>
      </c>
      <c r="B41" s="28" t="s">
        <v>33</v>
      </c>
      <c r="C41" s="170" t="s">
        <v>37</v>
      </c>
      <c r="D41" s="171"/>
      <c r="E41" s="28">
        <v>27.17</v>
      </c>
      <c r="F41" s="88">
        <v>6274</v>
      </c>
      <c r="G41" s="88">
        <f t="shared" si="31"/>
        <v>170464.58000000002</v>
      </c>
      <c r="H41" s="30" t="s">
        <v>53</v>
      </c>
      <c r="I41" s="95">
        <v>10</v>
      </c>
      <c r="J41" s="13">
        <v>3000</v>
      </c>
      <c r="K41" s="12">
        <f t="shared" si="1"/>
        <v>300</v>
      </c>
      <c r="L41" s="95">
        <v>10</v>
      </c>
      <c r="M41" s="13">
        <f t="shared" si="32"/>
        <v>2851.818181818182</v>
      </c>
      <c r="N41" s="13">
        <f t="shared" si="3"/>
        <v>285.18181818181819</v>
      </c>
      <c r="O41" s="14">
        <f t="shared" si="4"/>
        <v>0</v>
      </c>
      <c r="P41" s="15">
        <f t="shared" si="5"/>
        <v>-14.818181818181813</v>
      </c>
      <c r="Q41" s="91">
        <f t="shared" si="6"/>
        <v>0.95060606060606068</v>
      </c>
      <c r="R41" s="184"/>
      <c r="S41" s="21">
        <v>0.28958333333333336</v>
      </c>
      <c r="T41" s="21">
        <v>0.38125000000000003</v>
      </c>
      <c r="U41" s="88">
        <f t="shared" si="34"/>
        <v>5.9999999999999787</v>
      </c>
      <c r="V41" s="30">
        <f t="shared" si="33"/>
        <v>132</v>
      </c>
      <c r="W41" s="16"/>
      <c r="X41" s="16"/>
      <c r="Y41" s="19"/>
      <c r="Z41" s="19"/>
      <c r="AA41" s="172"/>
      <c r="AB41" s="173"/>
      <c r="AC41" s="18"/>
      <c r="AD41" s="18"/>
      <c r="AE41" s="14">
        <f t="shared" si="8"/>
        <v>-148.18181818181802</v>
      </c>
      <c r="AF41" s="91">
        <f t="shared" si="9"/>
        <v>0.95060606060606068</v>
      </c>
      <c r="AG41" s="184"/>
    </row>
    <row r="42" spans="1:33" ht="15.75" customHeight="1">
      <c r="A42" s="190" t="s">
        <v>173</v>
      </c>
      <c r="B42" s="28" t="s">
        <v>165</v>
      </c>
      <c r="C42" s="165"/>
      <c r="D42" s="166"/>
      <c r="E42" s="89"/>
      <c r="F42" s="88"/>
      <c r="G42" s="88"/>
      <c r="H42" s="88"/>
      <c r="I42" s="23">
        <v>9.5</v>
      </c>
      <c r="J42" s="13">
        <v>3000</v>
      </c>
      <c r="K42" s="12">
        <f t="shared" si="1"/>
        <v>315.78947368421052</v>
      </c>
      <c r="L42" s="23">
        <v>9.5</v>
      </c>
      <c r="M42" s="13">
        <f>AVERAGE(M38:M41)</f>
        <v>2878.7246377428023</v>
      </c>
      <c r="N42" s="12">
        <f t="shared" si="3"/>
        <v>303.0236460781897</v>
      </c>
      <c r="O42" s="14">
        <f t="shared" si="4"/>
        <v>0</v>
      </c>
      <c r="P42" s="15">
        <f t="shared" si="5"/>
        <v>-12.765827606020821</v>
      </c>
      <c r="Q42" s="91">
        <f t="shared" si="6"/>
        <v>0.95957487924760076</v>
      </c>
      <c r="R42" s="185"/>
      <c r="S42" s="21"/>
      <c r="T42" s="21"/>
      <c r="U42" s="88"/>
      <c r="V42" s="30"/>
      <c r="W42" s="16"/>
      <c r="X42" s="16"/>
      <c r="Y42" s="24">
        <f>SUM(Y38:Y41)</f>
        <v>0</v>
      </c>
      <c r="Z42" s="24">
        <f>SUM(Z38:Z41)</f>
        <v>0</v>
      </c>
      <c r="AA42" s="186"/>
      <c r="AB42" s="187"/>
      <c r="AC42" s="24">
        <v>4</v>
      </c>
      <c r="AD42" s="24">
        <f>SUM(AD38:AD41)</f>
        <v>0</v>
      </c>
      <c r="AE42" s="14">
        <f t="shared" si="8"/>
        <v>-121.27536225719768</v>
      </c>
      <c r="AF42" s="91">
        <f t="shared" si="9"/>
        <v>0.95957487924760076</v>
      </c>
      <c r="AG42" s="185"/>
    </row>
    <row r="43" spans="1:33" ht="15.75" customHeight="1">
      <c r="A43" s="181" t="s">
        <v>174</v>
      </c>
      <c r="B43" s="28" t="s">
        <v>5</v>
      </c>
      <c r="C43" s="169" t="s">
        <v>41</v>
      </c>
      <c r="D43" s="169"/>
      <c r="E43" s="28">
        <v>51.75</v>
      </c>
      <c r="F43" s="29">
        <v>941</v>
      </c>
      <c r="G43" s="88">
        <f t="shared" ref="G43:G48" si="35">E43*F43</f>
        <v>48696.75</v>
      </c>
      <c r="H43" s="30" t="s">
        <v>53</v>
      </c>
      <c r="I43" s="95">
        <v>25</v>
      </c>
      <c r="J43" s="13">
        <v>2000</v>
      </c>
      <c r="K43" s="12">
        <f t="shared" si="1"/>
        <v>80</v>
      </c>
      <c r="L43" s="95">
        <v>25</v>
      </c>
      <c r="M43" s="13">
        <f t="shared" ref="M43" si="36">F43/V43*60</f>
        <v>1946.8965517241393</v>
      </c>
      <c r="N43" s="13">
        <f t="shared" si="3"/>
        <v>77.875862068965574</v>
      </c>
      <c r="O43" s="14">
        <f t="shared" si="4"/>
        <v>0</v>
      </c>
      <c r="P43" s="15">
        <f t="shared" si="5"/>
        <v>-2.1241379310344257</v>
      </c>
      <c r="Q43" s="91">
        <f t="shared" si="6"/>
        <v>0.97344827586206972</v>
      </c>
      <c r="R43" s="177">
        <f>Q49</f>
        <v>0.96519747944648981</v>
      </c>
      <c r="S43" s="21">
        <v>0.33333333333333331</v>
      </c>
      <c r="T43" s="21">
        <v>0.35347222222222219</v>
      </c>
      <c r="U43" s="21"/>
      <c r="V43" s="30">
        <f t="shared" ref="V43:V48" si="37">(T43-S43)*24*60</f>
        <v>28.999999999999979</v>
      </c>
      <c r="W43" s="21"/>
      <c r="X43" s="21"/>
      <c r="Y43" s="21"/>
      <c r="Z43" s="21"/>
      <c r="AA43" s="168"/>
      <c r="AB43" s="168"/>
      <c r="AC43" s="18">
        <v>6</v>
      </c>
      <c r="AD43" s="18"/>
      <c r="AE43" s="14">
        <f t="shared" si="8"/>
        <v>-53.103448275860728</v>
      </c>
      <c r="AF43" s="91">
        <f t="shared" si="9"/>
        <v>0.97344827586206961</v>
      </c>
      <c r="AG43" s="177">
        <f>AF49</f>
        <v>0.96519747944648981</v>
      </c>
    </row>
    <row r="44" spans="1:33" ht="15.75" customHeight="1">
      <c r="A44" s="181" t="s">
        <v>174</v>
      </c>
      <c r="B44" s="28" t="s">
        <v>5</v>
      </c>
      <c r="C44" s="169" t="s">
        <v>40</v>
      </c>
      <c r="D44" s="169"/>
      <c r="E44" s="28">
        <v>56.43</v>
      </c>
      <c r="F44" s="29">
        <v>1439</v>
      </c>
      <c r="G44" s="88">
        <f t="shared" si="35"/>
        <v>81202.77</v>
      </c>
      <c r="H44" s="30" t="s">
        <v>53</v>
      </c>
      <c r="I44" s="95">
        <v>22</v>
      </c>
      <c r="J44" s="13">
        <v>2000</v>
      </c>
      <c r="K44" s="12">
        <f t="shared" si="1"/>
        <v>90.909090909090907</v>
      </c>
      <c r="L44" s="95">
        <v>22</v>
      </c>
      <c r="M44" s="13">
        <f>F44/V44*60</f>
        <v>1918.6666666666667</v>
      </c>
      <c r="N44" s="13">
        <f t="shared" si="3"/>
        <v>87.212121212121218</v>
      </c>
      <c r="O44" s="14">
        <f t="shared" si="4"/>
        <v>0</v>
      </c>
      <c r="P44" s="15">
        <f t="shared" si="5"/>
        <v>-3.6969696969696884</v>
      </c>
      <c r="Q44" s="91">
        <f t="shared" si="6"/>
        <v>0.95933333333333348</v>
      </c>
      <c r="R44" s="177"/>
      <c r="S44" s="21">
        <v>0.35902777777777772</v>
      </c>
      <c r="T44" s="21">
        <v>0.39027777777777772</v>
      </c>
      <c r="U44" s="88">
        <f t="shared" ref="U44:U48" si="38">IF(S44=TIME(17,0,0),"",(S44-T43)*24*60)</f>
        <v>7.9999999999999716</v>
      </c>
      <c r="V44" s="30">
        <f t="shared" si="37"/>
        <v>45</v>
      </c>
      <c r="W44" s="16"/>
      <c r="X44" s="16"/>
      <c r="Y44" s="16"/>
      <c r="Z44" s="16"/>
      <c r="AA44" s="168"/>
      <c r="AB44" s="168"/>
      <c r="AC44" s="18"/>
      <c r="AD44" s="18"/>
      <c r="AE44" s="14">
        <f t="shared" si="8"/>
        <v>-81.333333333333258</v>
      </c>
      <c r="AF44" s="91">
        <f t="shared" si="9"/>
        <v>0.95933333333333337</v>
      </c>
      <c r="AG44" s="177"/>
    </row>
    <row r="45" spans="1:33" ht="15.75" customHeight="1">
      <c r="A45" s="181" t="s">
        <v>174</v>
      </c>
      <c r="B45" s="28" t="s">
        <v>9</v>
      </c>
      <c r="C45" s="170" t="s">
        <v>39</v>
      </c>
      <c r="D45" s="171"/>
      <c r="E45" s="28">
        <v>46</v>
      </c>
      <c r="F45" s="29">
        <v>2580</v>
      </c>
      <c r="G45" s="88">
        <f t="shared" si="35"/>
        <v>118680</v>
      </c>
      <c r="H45" s="30" t="s">
        <v>53</v>
      </c>
      <c r="I45" s="95">
        <v>17</v>
      </c>
      <c r="J45" s="13">
        <v>2000</v>
      </c>
      <c r="K45" s="12">
        <f t="shared" si="1"/>
        <v>117.64705882352941</v>
      </c>
      <c r="L45" s="95">
        <v>17</v>
      </c>
      <c r="M45" s="13">
        <f t="shared" ref="M45:M48" si="39">F45/V45*60</f>
        <v>1911.1111111111104</v>
      </c>
      <c r="N45" s="13">
        <f t="shared" si="3"/>
        <v>112.41830065359473</v>
      </c>
      <c r="O45" s="14">
        <f t="shared" si="4"/>
        <v>0</v>
      </c>
      <c r="P45" s="15">
        <f t="shared" si="5"/>
        <v>-5.2287581699346788</v>
      </c>
      <c r="Q45" s="91">
        <f t="shared" si="6"/>
        <v>0.95555555555555527</v>
      </c>
      <c r="R45" s="177"/>
      <c r="S45" s="21">
        <v>0.39374999999999993</v>
      </c>
      <c r="T45" s="21">
        <v>0.44999999999999996</v>
      </c>
      <c r="U45" s="88">
        <f t="shared" si="38"/>
        <v>4.9999999999999822</v>
      </c>
      <c r="V45" s="30">
        <f t="shared" si="37"/>
        <v>81.000000000000028</v>
      </c>
      <c r="W45" s="16"/>
      <c r="X45" s="16"/>
      <c r="Y45" s="19"/>
      <c r="Z45" s="19"/>
      <c r="AA45" s="168"/>
      <c r="AB45" s="168"/>
      <c r="AC45" s="18"/>
      <c r="AD45" s="18"/>
      <c r="AE45" s="14">
        <f t="shared" si="8"/>
        <v>-88.888888888889596</v>
      </c>
      <c r="AF45" s="91">
        <f t="shared" si="9"/>
        <v>0.95555555555555516</v>
      </c>
      <c r="AG45" s="177"/>
    </row>
    <row r="46" spans="1:33" ht="15.75" customHeight="1">
      <c r="A46" s="181" t="s">
        <v>174</v>
      </c>
      <c r="B46" s="28" t="s">
        <v>5</v>
      </c>
      <c r="C46" s="93" t="s">
        <v>45</v>
      </c>
      <c r="D46" s="94"/>
      <c r="E46" s="28">
        <v>55.32</v>
      </c>
      <c r="F46" s="29">
        <v>1386</v>
      </c>
      <c r="G46" s="88">
        <f t="shared" si="35"/>
        <v>76673.52</v>
      </c>
      <c r="H46" s="30" t="s">
        <v>53</v>
      </c>
      <c r="I46" s="95">
        <v>15</v>
      </c>
      <c r="J46" s="13">
        <v>2000</v>
      </c>
      <c r="K46" s="12">
        <f t="shared" si="1"/>
        <v>133.33333333333334</v>
      </c>
      <c r="L46" s="95">
        <v>15</v>
      </c>
      <c r="M46" s="13">
        <f t="shared" si="39"/>
        <v>1933.9534883720928</v>
      </c>
      <c r="N46" s="13">
        <f t="shared" si="3"/>
        <v>128.93023255813952</v>
      </c>
      <c r="O46" s="14">
        <f t="shared" si="4"/>
        <v>0</v>
      </c>
      <c r="P46" s="15">
        <f t="shared" si="5"/>
        <v>-4.4031007751938205</v>
      </c>
      <c r="Q46" s="91">
        <f t="shared" si="6"/>
        <v>0.9669767441860464</v>
      </c>
      <c r="R46" s="177"/>
      <c r="S46" s="21">
        <v>0.70833333333333337</v>
      </c>
      <c r="T46" s="21">
        <v>0.73819444444444449</v>
      </c>
      <c r="U46" s="88" t="str">
        <f t="shared" si="38"/>
        <v/>
      </c>
      <c r="V46" s="30">
        <f t="shared" si="37"/>
        <v>43.000000000000007</v>
      </c>
      <c r="W46" s="16"/>
      <c r="X46" s="16"/>
      <c r="Y46" s="19"/>
      <c r="Z46" s="19"/>
      <c r="AA46" s="168"/>
      <c r="AB46" s="168"/>
      <c r="AC46" s="18"/>
      <c r="AD46" s="18"/>
      <c r="AE46" s="14">
        <f t="shared" si="8"/>
        <v>-66.046511627907194</v>
      </c>
      <c r="AF46" s="91">
        <f t="shared" si="9"/>
        <v>0.9669767441860464</v>
      </c>
      <c r="AG46" s="177"/>
    </row>
    <row r="47" spans="1:33" ht="15.75" customHeight="1">
      <c r="A47" s="181" t="s">
        <v>174</v>
      </c>
      <c r="B47" s="28" t="s">
        <v>5</v>
      </c>
      <c r="C47" s="93" t="s">
        <v>44</v>
      </c>
      <c r="D47" s="94"/>
      <c r="E47" s="28">
        <v>55.56</v>
      </c>
      <c r="F47" s="29">
        <v>1992</v>
      </c>
      <c r="G47" s="88">
        <f t="shared" si="35"/>
        <v>110675.52</v>
      </c>
      <c r="H47" s="30" t="s">
        <v>53</v>
      </c>
      <c r="I47" s="95">
        <v>17</v>
      </c>
      <c r="J47" s="13">
        <v>2000</v>
      </c>
      <c r="K47" s="12">
        <f t="shared" si="1"/>
        <v>117.64705882352941</v>
      </c>
      <c r="L47" s="95">
        <v>17</v>
      </c>
      <c r="M47" s="13">
        <f t="shared" si="39"/>
        <v>1927.7419354838728</v>
      </c>
      <c r="N47" s="13">
        <f t="shared" si="3"/>
        <v>113.39658444022781</v>
      </c>
      <c r="O47" s="14">
        <f t="shared" si="4"/>
        <v>0</v>
      </c>
      <c r="P47" s="15">
        <f t="shared" si="5"/>
        <v>-4.2504743833015937</v>
      </c>
      <c r="Q47" s="91">
        <f t="shared" si="6"/>
        <v>0.96387096774193648</v>
      </c>
      <c r="R47" s="177"/>
      <c r="S47" s="21">
        <v>0.7416666666666667</v>
      </c>
      <c r="T47" s="21">
        <v>0.78472222222222221</v>
      </c>
      <c r="U47" s="88">
        <f t="shared" si="38"/>
        <v>4.9999999999999822</v>
      </c>
      <c r="V47" s="30">
        <f t="shared" si="37"/>
        <v>61.999999999999943</v>
      </c>
      <c r="W47" s="16"/>
      <c r="X47" s="16"/>
      <c r="Y47" s="19"/>
      <c r="Z47" s="19"/>
      <c r="AA47" s="168"/>
      <c r="AB47" s="168"/>
      <c r="AC47" s="18"/>
      <c r="AD47" s="18"/>
      <c r="AE47" s="14">
        <f t="shared" si="8"/>
        <v>-72.258064516127206</v>
      </c>
      <c r="AF47" s="91">
        <f t="shared" si="9"/>
        <v>0.96387096774193637</v>
      </c>
      <c r="AG47" s="177"/>
    </row>
    <row r="48" spans="1:33" ht="15.75" customHeight="1">
      <c r="A48" s="181" t="s">
        <v>174</v>
      </c>
      <c r="B48" s="28" t="s">
        <v>5</v>
      </c>
      <c r="C48" s="170" t="s">
        <v>43</v>
      </c>
      <c r="D48" s="171"/>
      <c r="E48" s="28">
        <v>54.29</v>
      </c>
      <c r="F48" s="29">
        <v>972</v>
      </c>
      <c r="G48" s="88">
        <f t="shared" si="35"/>
        <v>52769.88</v>
      </c>
      <c r="H48" s="30" t="s">
        <v>53</v>
      </c>
      <c r="I48" s="95">
        <v>20</v>
      </c>
      <c r="J48" s="13">
        <v>2000</v>
      </c>
      <c r="K48" s="12">
        <f t="shared" si="1"/>
        <v>100</v>
      </c>
      <c r="L48" s="95">
        <v>20</v>
      </c>
      <c r="M48" s="13">
        <f t="shared" si="39"/>
        <v>1943.9999999999966</v>
      </c>
      <c r="N48" s="13">
        <f t="shared" si="3"/>
        <v>97.199999999999832</v>
      </c>
      <c r="O48" s="14">
        <f t="shared" si="4"/>
        <v>0</v>
      </c>
      <c r="P48" s="15">
        <f t="shared" si="5"/>
        <v>-2.8000000000001677</v>
      </c>
      <c r="Q48" s="91">
        <f t="shared" si="6"/>
        <v>0.97199999999999831</v>
      </c>
      <c r="R48" s="177"/>
      <c r="S48" s="21">
        <v>0.7895833333333333</v>
      </c>
      <c r="T48" s="21">
        <v>0.81041666666666667</v>
      </c>
      <c r="U48" s="88">
        <f t="shared" si="38"/>
        <v>6.9999999999999751</v>
      </c>
      <c r="V48" s="30">
        <f t="shared" si="37"/>
        <v>30.000000000000053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-56.000000000003411</v>
      </c>
      <c r="AF48" s="91">
        <f t="shared" si="9"/>
        <v>0.97199999999999831</v>
      </c>
      <c r="AG48" s="177"/>
    </row>
    <row r="49" spans="1:33">
      <c r="A49" s="182" t="s">
        <v>174</v>
      </c>
      <c r="B49" s="28" t="s">
        <v>165</v>
      </c>
      <c r="C49" s="178"/>
      <c r="D49" s="178"/>
      <c r="E49" s="92"/>
      <c r="F49" s="12"/>
      <c r="G49" s="12"/>
      <c r="H49" s="88"/>
      <c r="I49" s="23">
        <v>19.333333333333332</v>
      </c>
      <c r="J49" s="13">
        <v>2000</v>
      </c>
      <c r="K49" s="12">
        <f t="shared" si="1"/>
        <v>103.44827586206897</v>
      </c>
      <c r="L49" s="23">
        <v>19.333333333333332</v>
      </c>
      <c r="M49" s="13">
        <f>AVERAGE(M43:M48)</f>
        <v>1930.3949588929797</v>
      </c>
      <c r="N49" s="12">
        <f t="shared" si="3"/>
        <v>99.848015115154126</v>
      </c>
      <c r="O49" s="14">
        <f t="shared" si="4"/>
        <v>0</v>
      </c>
      <c r="P49" s="15">
        <f t="shared" si="5"/>
        <v>-3.6002607469148415</v>
      </c>
      <c r="Q49" s="91">
        <f t="shared" si="6"/>
        <v>0.96519747944648981</v>
      </c>
      <c r="R49" s="177"/>
      <c r="S49" s="21"/>
      <c r="T49" s="21"/>
      <c r="U49" s="88"/>
      <c r="V49" s="30"/>
      <c r="W49" s="12"/>
      <c r="X49" s="12"/>
      <c r="Y49" s="24">
        <f>SUM(Y43:Y48)</f>
        <v>0</v>
      </c>
      <c r="Z49" s="24">
        <f>SUM(Z43:Z48)</f>
        <v>0</v>
      </c>
      <c r="AA49" s="167"/>
      <c r="AB49" s="167"/>
      <c r="AC49" s="24">
        <v>6</v>
      </c>
      <c r="AD49" s="24">
        <f>SUM(AD43:AD48)</f>
        <v>0</v>
      </c>
      <c r="AE49" s="14">
        <f>M49-J49</f>
        <v>-69.60504110702027</v>
      </c>
      <c r="AF49" s="91">
        <f t="shared" si="9"/>
        <v>0.96519747944648981</v>
      </c>
      <c r="AG49" s="177"/>
    </row>
    <row r="50" spans="1:33" ht="15.75" customHeight="1">
      <c r="A50" s="179" t="s">
        <v>175</v>
      </c>
      <c r="B50" s="88" t="s">
        <v>33</v>
      </c>
      <c r="C50" s="169" t="s">
        <v>46</v>
      </c>
      <c r="D50" s="169"/>
      <c r="E50" s="28">
        <v>37.85</v>
      </c>
      <c r="F50" s="29">
        <v>1171</v>
      </c>
      <c r="G50" s="88">
        <f t="shared" ref="G50:G56" si="40">E50*F50</f>
        <v>44322.35</v>
      </c>
      <c r="H50" s="30" t="s">
        <v>53</v>
      </c>
      <c r="I50" s="95">
        <v>12</v>
      </c>
      <c r="J50" s="13">
        <v>2000</v>
      </c>
      <c r="K50" s="12">
        <f t="shared" si="1"/>
        <v>166.66666666666666</v>
      </c>
      <c r="L50" s="95">
        <v>12</v>
      </c>
      <c r="M50" s="13">
        <f t="shared" ref="M50:M56" si="41">F50/V50*60</f>
        <v>1951.6666666666672</v>
      </c>
      <c r="N50" s="12">
        <f t="shared" si="3"/>
        <v>162.63888888888894</v>
      </c>
      <c r="O50" s="14">
        <f t="shared" si="4"/>
        <v>0</v>
      </c>
      <c r="P50" s="15">
        <f t="shared" si="5"/>
        <v>-4.0277777777777146</v>
      </c>
      <c r="Q50" s="91">
        <f t="shared" si="6"/>
        <v>0.97583333333333366</v>
      </c>
      <c r="R50" s="177">
        <f>Q57</f>
        <v>0.96410126176526723</v>
      </c>
      <c r="S50" s="21">
        <v>0.20833333333333334</v>
      </c>
      <c r="T50" s="21">
        <v>0.23333333333333334</v>
      </c>
      <c r="U50" s="88"/>
      <c r="V50" s="30">
        <f t="shared" ref="V50:V56" si="42">(T50-S50)*24*60</f>
        <v>35.999999999999993</v>
      </c>
      <c r="W50" s="21"/>
      <c r="X50" s="21"/>
      <c r="Y50" s="21"/>
      <c r="Z50" s="21"/>
      <c r="AA50" s="168"/>
      <c r="AB50" s="168"/>
      <c r="AC50" s="18">
        <v>7</v>
      </c>
      <c r="AD50" s="18"/>
      <c r="AE50" s="14">
        <f t="shared" ref="AE50:AE63" si="43">M50-J50</f>
        <v>-48.333333333332803</v>
      </c>
      <c r="AF50" s="91">
        <f t="shared" si="9"/>
        <v>0.97583333333333355</v>
      </c>
      <c r="AG50" s="177">
        <f>AF57</f>
        <v>0.96410126176526723</v>
      </c>
    </row>
    <row r="51" spans="1:33" ht="15.75" customHeight="1">
      <c r="A51" s="179" t="s">
        <v>175</v>
      </c>
      <c r="B51" s="88" t="s">
        <v>33</v>
      </c>
      <c r="C51" s="169" t="s">
        <v>47</v>
      </c>
      <c r="D51" s="169"/>
      <c r="E51" s="28">
        <v>34.36</v>
      </c>
      <c r="F51" s="29">
        <v>2172</v>
      </c>
      <c r="G51" s="88">
        <f t="shared" si="40"/>
        <v>74629.919999999998</v>
      </c>
      <c r="H51" s="30" t="s">
        <v>53</v>
      </c>
      <c r="I51" s="95">
        <v>10</v>
      </c>
      <c r="J51" s="13">
        <v>3000</v>
      </c>
      <c r="K51" s="12">
        <f t="shared" si="1"/>
        <v>300</v>
      </c>
      <c r="L51" s="95">
        <v>10</v>
      </c>
      <c r="M51" s="13">
        <f t="shared" si="41"/>
        <v>2895.9999999999973</v>
      </c>
      <c r="N51" s="12">
        <f t="shared" si="3"/>
        <v>289.59999999999974</v>
      </c>
      <c r="O51" s="14">
        <f t="shared" si="4"/>
        <v>0</v>
      </c>
      <c r="P51" s="15">
        <f t="shared" si="5"/>
        <v>-10.400000000000261</v>
      </c>
      <c r="Q51" s="91">
        <f t="shared" si="6"/>
        <v>0.96533333333333249</v>
      </c>
      <c r="R51" s="177"/>
      <c r="S51" s="21">
        <v>0.23750000000000002</v>
      </c>
      <c r="T51" s="21">
        <v>0.26875000000000004</v>
      </c>
      <c r="U51" s="88">
        <f t="shared" ref="U51:U56" si="44">(S51-T50)*24*60</f>
        <v>6.0000000000000187</v>
      </c>
      <c r="V51" s="30">
        <f t="shared" si="42"/>
        <v>45.000000000000043</v>
      </c>
      <c r="W51" s="88"/>
      <c r="X51" s="88"/>
      <c r="Y51" s="88"/>
      <c r="Z51" s="88"/>
      <c r="AA51" s="168"/>
      <c r="AB51" s="168"/>
      <c r="AC51" s="18"/>
      <c r="AD51" s="18"/>
      <c r="AE51" s="14">
        <f t="shared" si="43"/>
        <v>-104.00000000000273</v>
      </c>
      <c r="AF51" s="91">
        <f t="shared" si="9"/>
        <v>0.96533333333333238</v>
      </c>
      <c r="AG51" s="177"/>
    </row>
    <row r="52" spans="1:33" ht="15.75" customHeight="1">
      <c r="A52" s="179" t="s">
        <v>175</v>
      </c>
      <c r="B52" s="88" t="s">
        <v>33</v>
      </c>
      <c r="C52" s="169" t="s">
        <v>34</v>
      </c>
      <c r="D52" s="169"/>
      <c r="E52" s="28">
        <v>34.36</v>
      </c>
      <c r="F52" s="29">
        <v>1294</v>
      </c>
      <c r="G52" s="88">
        <f t="shared" si="40"/>
        <v>44461.84</v>
      </c>
      <c r="H52" s="30" t="s">
        <v>53</v>
      </c>
      <c r="I52" s="95">
        <v>10</v>
      </c>
      <c r="J52" s="13">
        <v>3000</v>
      </c>
      <c r="K52" s="12">
        <f t="shared" si="1"/>
        <v>300</v>
      </c>
      <c r="L52" s="95">
        <v>10</v>
      </c>
      <c r="M52" s="13">
        <f t="shared" si="41"/>
        <v>2875.555555555557</v>
      </c>
      <c r="N52" s="12">
        <f t="shared" si="3"/>
        <v>287.55555555555571</v>
      </c>
      <c r="O52" s="14">
        <f t="shared" si="4"/>
        <v>0</v>
      </c>
      <c r="P52" s="15">
        <f t="shared" si="5"/>
        <v>-12.444444444444287</v>
      </c>
      <c r="Q52" s="91">
        <f t="shared" si="6"/>
        <v>0.95851851851851899</v>
      </c>
      <c r="R52" s="177"/>
      <c r="S52" s="21">
        <v>0.27430555555555558</v>
      </c>
      <c r="T52" s="21">
        <v>0.29305555555555557</v>
      </c>
      <c r="U52" s="88">
        <f t="shared" si="44"/>
        <v>7.9999999999999716</v>
      </c>
      <c r="V52" s="30">
        <f t="shared" si="42"/>
        <v>26.999999999999986</v>
      </c>
      <c r="W52" s="88"/>
      <c r="X52" s="88"/>
      <c r="Y52" s="88"/>
      <c r="Z52" s="88"/>
      <c r="AA52" s="168"/>
      <c r="AB52" s="168"/>
      <c r="AC52" s="18"/>
      <c r="AD52" s="18"/>
      <c r="AE52" s="14">
        <f t="shared" si="43"/>
        <v>-124.44444444444298</v>
      </c>
      <c r="AF52" s="91">
        <f t="shared" si="9"/>
        <v>0.95851851851851899</v>
      </c>
      <c r="AG52" s="177"/>
    </row>
    <row r="53" spans="1:33" ht="15.75" customHeight="1">
      <c r="A53" s="179" t="s">
        <v>175</v>
      </c>
      <c r="B53" s="88" t="s">
        <v>33</v>
      </c>
      <c r="C53" s="169" t="s">
        <v>35</v>
      </c>
      <c r="D53" s="169"/>
      <c r="E53" s="28">
        <v>26.78</v>
      </c>
      <c r="F53" s="29">
        <v>2331</v>
      </c>
      <c r="G53" s="88">
        <f t="shared" si="40"/>
        <v>62424.18</v>
      </c>
      <c r="H53" s="30" t="s">
        <v>53</v>
      </c>
      <c r="I53" s="95">
        <v>10</v>
      </c>
      <c r="J53" s="13">
        <v>3000</v>
      </c>
      <c r="K53" s="12">
        <f t="shared" si="1"/>
        <v>300</v>
      </c>
      <c r="L53" s="95">
        <v>10</v>
      </c>
      <c r="M53" s="13">
        <f t="shared" si="41"/>
        <v>2854.2857142857151</v>
      </c>
      <c r="N53" s="12">
        <f t="shared" si="3"/>
        <v>285.4285714285715</v>
      </c>
      <c r="O53" s="14">
        <f t="shared" si="4"/>
        <v>0</v>
      </c>
      <c r="P53" s="15">
        <f t="shared" si="5"/>
        <v>-14.571428571428498</v>
      </c>
      <c r="Q53" s="91">
        <f t="shared" si="6"/>
        <v>0.95142857142857162</v>
      </c>
      <c r="R53" s="177"/>
      <c r="S53" s="21">
        <v>0.29652777777777778</v>
      </c>
      <c r="T53" s="21">
        <v>0.33055555555555555</v>
      </c>
      <c r="U53" s="88">
        <f t="shared" si="44"/>
        <v>4.9999999999999822</v>
      </c>
      <c r="V53" s="30">
        <f t="shared" si="42"/>
        <v>48.999999999999986</v>
      </c>
      <c r="W53" s="88"/>
      <c r="X53" s="88"/>
      <c r="Y53" s="88"/>
      <c r="Z53" s="88"/>
      <c r="AA53" s="168"/>
      <c r="AB53" s="168"/>
      <c r="AC53" s="18"/>
      <c r="AD53" s="18"/>
      <c r="AE53" s="14">
        <f t="shared" si="43"/>
        <v>-145.71428571428487</v>
      </c>
      <c r="AF53" s="91">
        <f t="shared" si="9"/>
        <v>0.95142857142857173</v>
      </c>
      <c r="AG53" s="177"/>
    </row>
    <row r="54" spans="1:33">
      <c r="A54" s="180" t="s">
        <v>175</v>
      </c>
      <c r="B54" s="88" t="s">
        <v>33</v>
      </c>
      <c r="C54" s="169" t="s">
        <v>71</v>
      </c>
      <c r="D54" s="169"/>
      <c r="E54" s="28">
        <v>28.3</v>
      </c>
      <c r="F54" s="29">
        <v>1140</v>
      </c>
      <c r="G54" s="88">
        <f t="shared" si="40"/>
        <v>32262</v>
      </c>
      <c r="H54" s="30" t="s">
        <v>53</v>
      </c>
      <c r="I54" s="95">
        <v>8</v>
      </c>
      <c r="J54" s="13">
        <v>3000</v>
      </c>
      <c r="K54" s="12">
        <f t="shared" si="1"/>
        <v>375</v>
      </c>
      <c r="L54" s="95">
        <v>8</v>
      </c>
      <c r="M54" s="13">
        <f t="shared" si="41"/>
        <v>2973.913043478261</v>
      </c>
      <c r="N54" s="12">
        <f t="shared" si="3"/>
        <v>371.73913043478262</v>
      </c>
      <c r="O54" s="14">
        <f t="shared" si="4"/>
        <v>0</v>
      </c>
      <c r="P54" s="15">
        <f t="shared" si="5"/>
        <v>-3.2608695652173765</v>
      </c>
      <c r="Q54" s="91">
        <f t="shared" si="6"/>
        <v>0.99130434782608701</v>
      </c>
      <c r="R54" s="177"/>
      <c r="S54" s="21">
        <v>0.33402777777777776</v>
      </c>
      <c r="T54" s="21">
        <v>0.35</v>
      </c>
      <c r="U54" s="88">
        <f t="shared" si="44"/>
        <v>4.9999999999999822</v>
      </c>
      <c r="V54" s="30">
        <f t="shared" si="42"/>
        <v>23</v>
      </c>
      <c r="W54" s="16"/>
      <c r="X54" s="16"/>
      <c r="Y54" s="16"/>
      <c r="Z54" s="16"/>
      <c r="AA54" s="168"/>
      <c r="AB54" s="168"/>
      <c r="AC54" s="18"/>
      <c r="AD54" s="18"/>
      <c r="AE54" s="14">
        <f t="shared" si="43"/>
        <v>-26.086956521739012</v>
      </c>
      <c r="AF54" s="91">
        <f t="shared" si="9"/>
        <v>0.99130434782608701</v>
      </c>
      <c r="AG54" s="177"/>
    </row>
    <row r="55" spans="1:33" ht="15" customHeight="1">
      <c r="A55" s="180" t="s">
        <v>175</v>
      </c>
      <c r="B55" s="88" t="s">
        <v>33</v>
      </c>
      <c r="C55" s="170" t="s">
        <v>756</v>
      </c>
      <c r="D55" s="171"/>
      <c r="E55" s="28">
        <v>37.880000000000003</v>
      </c>
      <c r="F55" s="29">
        <v>2243</v>
      </c>
      <c r="G55" s="88">
        <f t="shared" si="40"/>
        <v>84964.840000000011</v>
      </c>
      <c r="H55" s="30" t="s">
        <v>53</v>
      </c>
      <c r="I55" s="95">
        <v>10</v>
      </c>
      <c r="J55" s="13">
        <v>3000</v>
      </c>
      <c r="K55" s="12">
        <f t="shared" si="1"/>
        <v>300</v>
      </c>
      <c r="L55" s="95">
        <v>10</v>
      </c>
      <c r="M55" s="13">
        <f t="shared" si="41"/>
        <v>2863.4042553191493</v>
      </c>
      <c r="N55" s="12">
        <f t="shared" si="3"/>
        <v>286.34042553191495</v>
      </c>
      <c r="O55" s="14">
        <f t="shared" si="4"/>
        <v>0</v>
      </c>
      <c r="P55" s="15">
        <f t="shared" si="5"/>
        <v>-13.659574468085054</v>
      </c>
      <c r="Q55" s="91">
        <f t="shared" si="6"/>
        <v>0.95446808510638315</v>
      </c>
      <c r="R55" s="177"/>
      <c r="S55" s="21">
        <v>0.35486111111111107</v>
      </c>
      <c r="T55" s="21">
        <v>0.38749999999999996</v>
      </c>
      <c r="U55" s="88">
        <f t="shared" si="44"/>
        <v>6.9999999999999751</v>
      </c>
      <c r="V55" s="30">
        <f t="shared" si="42"/>
        <v>46.999999999999993</v>
      </c>
      <c r="W55" s="88"/>
      <c r="X55" s="88"/>
      <c r="Y55" s="98"/>
      <c r="Z55" s="98"/>
      <c r="AA55" s="172"/>
      <c r="AB55" s="173"/>
      <c r="AC55" s="18"/>
      <c r="AD55" s="18"/>
      <c r="AE55" s="14">
        <f t="shared" si="43"/>
        <v>-136.59574468085066</v>
      </c>
      <c r="AF55" s="91">
        <f t="shared" si="9"/>
        <v>0.95446808510638315</v>
      </c>
      <c r="AG55" s="177"/>
    </row>
    <row r="56" spans="1:33">
      <c r="A56" s="180" t="s">
        <v>175</v>
      </c>
      <c r="B56" s="88" t="s">
        <v>33</v>
      </c>
      <c r="C56" s="93" t="s">
        <v>38</v>
      </c>
      <c r="D56" s="94"/>
      <c r="E56" s="28">
        <v>35.869999999999997</v>
      </c>
      <c r="F56" s="29">
        <v>3584</v>
      </c>
      <c r="G56" s="88">
        <f t="shared" si="40"/>
        <v>128558.07999999999</v>
      </c>
      <c r="H56" s="30" t="s">
        <v>53</v>
      </c>
      <c r="I56" s="95">
        <v>9</v>
      </c>
      <c r="J56" s="13">
        <v>3000</v>
      </c>
      <c r="K56" s="12">
        <f t="shared" si="1"/>
        <v>333.33333333333331</v>
      </c>
      <c r="L56" s="95">
        <v>9</v>
      </c>
      <c r="M56" s="13">
        <f t="shared" si="41"/>
        <v>2867.2000000000012</v>
      </c>
      <c r="N56" s="12">
        <f t="shared" si="3"/>
        <v>318.5777777777779</v>
      </c>
      <c r="O56" s="14">
        <f t="shared" si="4"/>
        <v>0</v>
      </c>
      <c r="P56" s="15">
        <f t="shared" si="5"/>
        <v>-14.755555555555418</v>
      </c>
      <c r="Q56" s="91">
        <f t="shared" si="6"/>
        <v>0.95573333333333377</v>
      </c>
      <c r="R56" s="177"/>
      <c r="S56" s="21">
        <v>0.39166666666666661</v>
      </c>
      <c r="T56" s="21">
        <v>0.44374999999999992</v>
      </c>
      <c r="U56" s="88">
        <f t="shared" si="44"/>
        <v>5.9999999999999787</v>
      </c>
      <c r="V56" s="30">
        <f t="shared" si="42"/>
        <v>74.999999999999972</v>
      </c>
      <c r="W56" s="16"/>
      <c r="X56" s="16"/>
      <c r="Y56" s="19"/>
      <c r="Z56" s="19"/>
      <c r="AA56" s="172"/>
      <c r="AB56" s="173"/>
      <c r="AC56" s="18"/>
      <c r="AD56" s="18"/>
      <c r="AE56" s="14">
        <f t="shared" si="43"/>
        <v>-132.79999999999882</v>
      </c>
      <c r="AF56" s="91">
        <f t="shared" si="9"/>
        <v>0.95573333333333377</v>
      </c>
      <c r="AG56" s="177"/>
    </row>
    <row r="57" spans="1:33">
      <c r="A57" s="180" t="s">
        <v>175</v>
      </c>
      <c r="B57" s="28" t="s">
        <v>165</v>
      </c>
      <c r="C57" s="178"/>
      <c r="D57" s="178"/>
      <c r="E57" s="92"/>
      <c r="F57" s="12"/>
      <c r="G57" s="12"/>
      <c r="H57" s="88"/>
      <c r="I57" s="23">
        <v>9.8571428571428577</v>
      </c>
      <c r="J57" s="13">
        <v>2857.1428571428573</v>
      </c>
      <c r="K57" s="12">
        <f t="shared" si="1"/>
        <v>289.85507246376812</v>
      </c>
      <c r="L57" s="23">
        <v>9.8571428571428577</v>
      </c>
      <c r="M57" s="13">
        <f>AVERAGE(M50:M56)</f>
        <v>2754.5750336150495</v>
      </c>
      <c r="N57" s="12">
        <f t="shared" si="3"/>
        <v>279.44964109138181</v>
      </c>
      <c r="O57" s="14">
        <f t="shared" si="4"/>
        <v>0</v>
      </c>
      <c r="P57" s="15">
        <f t="shared" si="5"/>
        <v>-10.405431372386317</v>
      </c>
      <c r="Q57" s="91">
        <f t="shared" si="6"/>
        <v>0.96410126176526723</v>
      </c>
      <c r="R57" s="177"/>
      <c r="S57" s="21"/>
      <c r="T57" s="21"/>
      <c r="U57" s="12"/>
      <c r="V57" s="30"/>
      <c r="W57" s="12"/>
      <c r="X57" s="12"/>
      <c r="Y57" s="24">
        <f>SUM(Y50:Y56)</f>
        <v>0</v>
      </c>
      <c r="Z57" s="24">
        <f>SUM(Z50:Z56)</f>
        <v>0</v>
      </c>
      <c r="AA57" s="167"/>
      <c r="AB57" s="167"/>
      <c r="AC57" s="24">
        <v>7</v>
      </c>
      <c r="AD57" s="24">
        <f>SUM(AD50:AD56)</f>
        <v>0</v>
      </c>
      <c r="AE57" s="14">
        <f t="shared" si="43"/>
        <v>-102.56782352780783</v>
      </c>
      <c r="AF57" s="91">
        <f t="shared" si="9"/>
        <v>0.96410126176526723</v>
      </c>
      <c r="AG57" s="177"/>
    </row>
    <row r="58" spans="1:33" ht="15.75" customHeight="1">
      <c r="A58" s="174" t="s">
        <v>2396</v>
      </c>
      <c r="B58" s="88" t="s">
        <v>22</v>
      </c>
      <c r="C58" s="169" t="s">
        <v>29</v>
      </c>
      <c r="D58" s="169"/>
      <c r="E58" s="28">
        <v>20.52</v>
      </c>
      <c r="F58" s="88">
        <v>3261</v>
      </c>
      <c r="G58" s="88">
        <f t="shared" ref="G58:G62" si="45">E58*F58</f>
        <v>66915.72</v>
      </c>
      <c r="H58" s="30" t="s">
        <v>53</v>
      </c>
      <c r="I58" s="95">
        <v>18</v>
      </c>
      <c r="J58" s="13">
        <v>2400</v>
      </c>
      <c r="K58" s="12">
        <f t="shared" si="1"/>
        <v>133.33333333333334</v>
      </c>
      <c r="L58" s="95">
        <v>18</v>
      </c>
      <c r="M58" s="13">
        <f t="shared" ref="M58:M62" si="46">F58/V58*60</f>
        <v>2301.882352941177</v>
      </c>
      <c r="N58" s="12">
        <f t="shared" si="3"/>
        <v>127.88235294117651</v>
      </c>
      <c r="O58" s="14">
        <f t="shared" si="4"/>
        <v>0</v>
      </c>
      <c r="P58" s="15">
        <f t="shared" si="5"/>
        <v>-5.4509803921568363</v>
      </c>
      <c r="Q58" s="91">
        <f t="shared" si="6"/>
        <v>0.95911764705882374</v>
      </c>
      <c r="R58" s="177">
        <f>Q63</f>
        <v>0.96071705394278928</v>
      </c>
      <c r="S58" s="21">
        <v>8.3333333333333329E-2</v>
      </c>
      <c r="T58" s="21">
        <v>0.1423611111111111</v>
      </c>
      <c r="U58" s="21"/>
      <c r="V58" s="30">
        <f t="shared" ref="V58:V62" si="47">(T58-S58)*24*60</f>
        <v>84.999999999999986</v>
      </c>
      <c r="W58" s="16">
        <f>T58</f>
        <v>0.1423611111111111</v>
      </c>
      <c r="X58" s="16">
        <f>S59</f>
        <v>0.16041666666666665</v>
      </c>
      <c r="Y58" s="16"/>
      <c r="Z58" s="16"/>
      <c r="AA58" s="168"/>
      <c r="AB58" s="168"/>
      <c r="AC58" s="18">
        <v>5</v>
      </c>
      <c r="AD58" s="18"/>
      <c r="AE58" s="14">
        <f t="shared" si="43"/>
        <v>-98.117647058822968</v>
      </c>
      <c r="AF58" s="91">
        <f t="shared" si="9"/>
        <v>0.95911764705882374</v>
      </c>
      <c r="AG58" s="177">
        <f>AF63</f>
        <v>0.96071705394278917</v>
      </c>
    </row>
    <row r="59" spans="1:33" ht="15.75" customHeight="1">
      <c r="A59" s="175" t="s">
        <v>2397</v>
      </c>
      <c r="B59" s="88" t="s">
        <v>22</v>
      </c>
      <c r="C59" s="169" t="s">
        <v>50</v>
      </c>
      <c r="D59" s="169"/>
      <c r="E59" s="28">
        <v>24.45</v>
      </c>
      <c r="F59" s="88">
        <v>2165</v>
      </c>
      <c r="G59" s="88">
        <f t="shared" si="45"/>
        <v>52934.25</v>
      </c>
      <c r="H59" s="30" t="s">
        <v>53</v>
      </c>
      <c r="I59" s="95">
        <v>19</v>
      </c>
      <c r="J59" s="13">
        <v>2400</v>
      </c>
      <c r="K59" s="12">
        <f t="shared" si="1"/>
        <v>126.31578947368421</v>
      </c>
      <c r="L59" s="95">
        <v>19</v>
      </c>
      <c r="M59" s="13">
        <f t="shared" si="46"/>
        <v>2319.6428571428569</v>
      </c>
      <c r="N59" s="12">
        <f t="shared" si="3"/>
        <v>122.08646616541353</v>
      </c>
      <c r="O59" s="14">
        <f t="shared" si="4"/>
        <v>0</v>
      </c>
      <c r="P59" s="15">
        <f t="shared" si="5"/>
        <v>-4.2293233082706791</v>
      </c>
      <c r="Q59" s="91">
        <f t="shared" si="6"/>
        <v>0.9665178571428571</v>
      </c>
      <c r="R59" s="177"/>
      <c r="S59" s="21">
        <v>0.16041666666666665</v>
      </c>
      <c r="T59" s="21">
        <v>0.19930555555555554</v>
      </c>
      <c r="U59" s="88">
        <f t="shared" ref="U59:U62" si="48">(S59-T58)*24*60</f>
        <v>25.999999999999986</v>
      </c>
      <c r="V59" s="30">
        <f t="shared" si="47"/>
        <v>56</v>
      </c>
      <c r="W59" s="16"/>
      <c r="X59" s="16"/>
      <c r="Y59" s="16"/>
      <c r="Z59" s="16"/>
      <c r="AA59" s="168"/>
      <c r="AB59" s="168"/>
      <c r="AC59" s="18"/>
      <c r="AD59" s="18"/>
      <c r="AE59" s="14">
        <f t="shared" si="43"/>
        <v>-80.357142857143117</v>
      </c>
      <c r="AF59" s="91">
        <f t="shared" si="9"/>
        <v>0.96651785714285698</v>
      </c>
      <c r="AG59" s="177"/>
    </row>
    <row r="60" spans="1:33" ht="15.75" customHeight="1">
      <c r="A60" s="175" t="s">
        <v>2398</v>
      </c>
      <c r="B60" s="88" t="s">
        <v>22</v>
      </c>
      <c r="C60" s="169" t="s">
        <v>31</v>
      </c>
      <c r="D60" s="169"/>
      <c r="E60" s="28">
        <v>20.21</v>
      </c>
      <c r="F60" s="88">
        <v>2550</v>
      </c>
      <c r="G60" s="88">
        <f t="shared" si="45"/>
        <v>51535.5</v>
      </c>
      <c r="H60" s="30" t="s">
        <v>53</v>
      </c>
      <c r="I60" s="95">
        <v>15</v>
      </c>
      <c r="J60" s="13">
        <v>2400</v>
      </c>
      <c r="K60" s="12">
        <f t="shared" si="1"/>
        <v>160</v>
      </c>
      <c r="L60" s="95">
        <v>15</v>
      </c>
      <c r="M60" s="13">
        <f t="shared" si="46"/>
        <v>2318.181818181818</v>
      </c>
      <c r="N60" s="12">
        <f t="shared" si="3"/>
        <v>154.54545454545453</v>
      </c>
      <c r="O60" s="14">
        <f t="shared" si="4"/>
        <v>0</v>
      </c>
      <c r="P60" s="15">
        <f t="shared" si="5"/>
        <v>-5.4545454545454675</v>
      </c>
      <c r="Q60" s="91">
        <f t="shared" si="6"/>
        <v>0.96590909090909083</v>
      </c>
      <c r="R60" s="177"/>
      <c r="S60" s="21">
        <v>0.20277777777777775</v>
      </c>
      <c r="T60" s="21">
        <v>0.24861111111111109</v>
      </c>
      <c r="U60" s="88">
        <f t="shared" si="48"/>
        <v>4.9999999999999822</v>
      </c>
      <c r="V60" s="30">
        <f t="shared" si="47"/>
        <v>66</v>
      </c>
      <c r="W60" s="16"/>
      <c r="X60" s="16"/>
      <c r="Y60" s="16"/>
      <c r="Z60" s="16"/>
      <c r="AA60" s="168"/>
      <c r="AB60" s="168"/>
      <c r="AC60" s="18"/>
      <c r="AD60" s="18"/>
      <c r="AE60" s="14">
        <f t="shared" si="43"/>
        <v>-81.818181818181984</v>
      </c>
      <c r="AF60" s="91">
        <f t="shared" si="9"/>
        <v>0.96590909090909083</v>
      </c>
      <c r="AG60" s="177"/>
    </row>
    <row r="61" spans="1:33" ht="15.75" customHeight="1">
      <c r="A61" s="175" t="s">
        <v>2398</v>
      </c>
      <c r="B61" s="88" t="s">
        <v>22</v>
      </c>
      <c r="C61" s="169" t="s">
        <v>52</v>
      </c>
      <c r="D61" s="169"/>
      <c r="E61" s="28">
        <v>19.02</v>
      </c>
      <c r="F61" s="88">
        <v>8576</v>
      </c>
      <c r="G61" s="88">
        <f t="shared" si="45"/>
        <v>163115.51999999999</v>
      </c>
      <c r="H61" s="30" t="s">
        <v>53</v>
      </c>
      <c r="I61" s="95">
        <v>14</v>
      </c>
      <c r="J61" s="13">
        <v>2400</v>
      </c>
      <c r="K61" s="12">
        <f t="shared" si="1"/>
        <v>171.42857142857142</v>
      </c>
      <c r="L61" s="95">
        <v>14</v>
      </c>
      <c r="M61" s="13">
        <f t="shared" si="46"/>
        <v>2286.9333333333329</v>
      </c>
      <c r="N61" s="12">
        <f t="shared" si="3"/>
        <v>163.35238095238091</v>
      </c>
      <c r="O61" s="14">
        <f t="shared" si="4"/>
        <v>0</v>
      </c>
      <c r="P61" s="15">
        <f t="shared" si="5"/>
        <v>-8.0761904761905043</v>
      </c>
      <c r="Q61" s="91">
        <f t="shared" si="6"/>
        <v>0.95288888888888867</v>
      </c>
      <c r="R61" s="177"/>
      <c r="S61" s="21">
        <v>0.25416666666666665</v>
      </c>
      <c r="T61" s="21">
        <v>0.41041666666666665</v>
      </c>
      <c r="U61" s="88">
        <f t="shared" si="48"/>
        <v>8.0000000000000107</v>
      </c>
      <c r="V61" s="30">
        <f t="shared" si="47"/>
        <v>225</v>
      </c>
      <c r="W61" s="16"/>
      <c r="X61" s="16"/>
      <c r="Y61" s="16"/>
      <c r="Z61" s="16"/>
      <c r="AA61" s="168"/>
      <c r="AB61" s="168"/>
      <c r="AC61" s="18"/>
      <c r="AD61" s="18"/>
      <c r="AE61" s="14">
        <f t="shared" si="43"/>
        <v>-113.06666666666706</v>
      </c>
      <c r="AF61" s="91">
        <f t="shared" si="9"/>
        <v>0.95288888888888867</v>
      </c>
      <c r="AG61" s="177"/>
    </row>
    <row r="62" spans="1:33" ht="15.75" customHeight="1">
      <c r="A62" s="175" t="s">
        <v>2398</v>
      </c>
      <c r="B62" s="88" t="s">
        <v>22</v>
      </c>
      <c r="C62" s="169" t="s">
        <v>70</v>
      </c>
      <c r="D62" s="169"/>
      <c r="E62" s="28">
        <v>22.69</v>
      </c>
      <c r="F62" s="88">
        <v>4297</v>
      </c>
      <c r="G62" s="88">
        <f t="shared" si="45"/>
        <v>97498.930000000008</v>
      </c>
      <c r="H62" s="30" t="s">
        <v>53</v>
      </c>
      <c r="I62" s="95">
        <v>15</v>
      </c>
      <c r="J62" s="13">
        <v>2400</v>
      </c>
      <c r="K62" s="12">
        <f t="shared" si="1"/>
        <v>160</v>
      </c>
      <c r="L62" s="95">
        <v>15</v>
      </c>
      <c r="M62" s="13">
        <f t="shared" si="46"/>
        <v>2301.9642857142858</v>
      </c>
      <c r="N62" s="12">
        <f t="shared" si="3"/>
        <v>153.46428571428572</v>
      </c>
      <c r="O62" s="14">
        <f t="shared" si="4"/>
        <v>0</v>
      </c>
      <c r="P62" s="15">
        <f t="shared" si="5"/>
        <v>-6.5357142857142776</v>
      </c>
      <c r="Q62" s="91">
        <f t="shared" si="6"/>
        <v>0.95915178571428572</v>
      </c>
      <c r="R62" s="177"/>
      <c r="S62" s="21">
        <v>0.4145833333333333</v>
      </c>
      <c r="T62" s="21">
        <v>0.49236111111111108</v>
      </c>
      <c r="U62" s="88">
        <f t="shared" si="48"/>
        <v>5.9999999999999787</v>
      </c>
      <c r="V62" s="30">
        <f t="shared" si="47"/>
        <v>112</v>
      </c>
      <c r="W62" s="16"/>
      <c r="X62" s="16"/>
      <c r="Y62" s="16"/>
      <c r="Z62" s="16"/>
      <c r="AA62" s="168"/>
      <c r="AB62" s="168"/>
      <c r="AC62" s="18"/>
      <c r="AD62" s="18"/>
      <c r="AE62" s="14">
        <f t="shared" si="43"/>
        <v>-98.035714285714221</v>
      </c>
      <c r="AF62" s="91">
        <f t="shared" si="9"/>
        <v>0.95915178571428572</v>
      </c>
      <c r="AG62" s="177"/>
    </row>
    <row r="63" spans="1:33" ht="16.5" customHeight="1">
      <c r="A63" s="176" t="s">
        <v>2398</v>
      </c>
      <c r="B63" s="28" t="s">
        <v>2390</v>
      </c>
      <c r="C63" s="165"/>
      <c r="D63" s="166"/>
      <c r="E63" s="92"/>
      <c r="F63" s="12"/>
      <c r="G63" s="12"/>
      <c r="H63" s="88"/>
      <c r="I63" s="23">
        <v>16.2</v>
      </c>
      <c r="J63" s="13">
        <v>2400</v>
      </c>
      <c r="K63" s="12">
        <f t="shared" si="1"/>
        <v>148.14814814814815</v>
      </c>
      <c r="L63" s="23">
        <v>16.2</v>
      </c>
      <c r="M63" s="13">
        <f>AVERAGE(M58:M62)</f>
        <v>2305.7209294626941</v>
      </c>
      <c r="N63" s="12">
        <f t="shared" si="3"/>
        <v>142.32845243596879</v>
      </c>
      <c r="O63" s="14">
        <f t="shared" si="4"/>
        <v>0</v>
      </c>
      <c r="P63" s="15">
        <f t="shared" si="5"/>
        <v>-5.8196957121793673</v>
      </c>
      <c r="Q63" s="91">
        <f t="shared" si="6"/>
        <v>0.96071705394278928</v>
      </c>
      <c r="R63" s="177"/>
      <c r="S63" s="21"/>
      <c r="T63" s="21"/>
      <c r="U63" s="12"/>
      <c r="V63" s="30"/>
      <c r="W63" s="12"/>
      <c r="X63" s="12"/>
      <c r="Y63" s="24">
        <f>SUM(Y58:Y62)</f>
        <v>0</v>
      </c>
      <c r="Z63" s="24">
        <f>SUM(Z58:Z62)</f>
        <v>0</v>
      </c>
      <c r="AA63" s="167"/>
      <c r="AB63" s="167"/>
      <c r="AC63" s="24">
        <v>5</v>
      </c>
      <c r="AD63" s="24">
        <f>SUM(AD58:AD62)</f>
        <v>0</v>
      </c>
      <c r="AE63" s="14">
        <f t="shared" si="43"/>
        <v>-94.27907053730587</v>
      </c>
      <c r="AF63" s="91">
        <f t="shared" si="9"/>
        <v>0.96071705394278917</v>
      </c>
      <c r="AG63" s="177"/>
    </row>
    <row r="64" spans="1:33">
      <c r="D64" s="87"/>
      <c r="E64" s="87"/>
    </row>
  </sheetData>
  <mergeCells count="178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4"/>
    <mergeCell ref="C11:D11"/>
    <mergeCell ref="R11:R14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5:AG19"/>
    <mergeCell ref="C16:D16"/>
    <mergeCell ref="AA16:AB16"/>
    <mergeCell ref="C17:D17"/>
    <mergeCell ref="AA17:AB17"/>
    <mergeCell ref="C18:D18"/>
    <mergeCell ref="AG11:AG14"/>
    <mergeCell ref="C12:D12"/>
    <mergeCell ref="AA12:AB12"/>
    <mergeCell ref="C13:D13"/>
    <mergeCell ref="AA13:AB13"/>
    <mergeCell ref="C14:D14"/>
    <mergeCell ref="AA14:AB14"/>
    <mergeCell ref="AA18:AB18"/>
    <mergeCell ref="C19:D19"/>
    <mergeCell ref="AA19:AB19"/>
    <mergeCell ref="A20:A25"/>
    <mergeCell ref="C20:D20"/>
    <mergeCell ref="R20:R25"/>
    <mergeCell ref="AA20:AB20"/>
    <mergeCell ref="AA25:AB25"/>
    <mergeCell ref="A15:A19"/>
    <mergeCell ref="C15:D15"/>
    <mergeCell ref="R15:R19"/>
    <mergeCell ref="AA15:AB15"/>
    <mergeCell ref="AG26:AG31"/>
    <mergeCell ref="C27:D27"/>
    <mergeCell ref="AA27:AB27"/>
    <mergeCell ref="C28:D28"/>
    <mergeCell ref="AA28:AB28"/>
    <mergeCell ref="C29:D29"/>
    <mergeCell ref="AG20:AG25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A29:AB29"/>
    <mergeCell ref="C30:D30"/>
    <mergeCell ref="AA30:AB30"/>
    <mergeCell ref="C31:D31"/>
    <mergeCell ref="AA31:AB31"/>
    <mergeCell ref="A32:A37"/>
    <mergeCell ref="C32:D32"/>
    <mergeCell ref="R32:R37"/>
    <mergeCell ref="AA32:AB32"/>
    <mergeCell ref="AA37:AB37"/>
    <mergeCell ref="A26:A31"/>
    <mergeCell ref="C26:D26"/>
    <mergeCell ref="R26:R31"/>
    <mergeCell ref="AA26:AB26"/>
    <mergeCell ref="AG38:AG42"/>
    <mergeCell ref="C39:D39"/>
    <mergeCell ref="AA39:AB39"/>
    <mergeCell ref="C40:D40"/>
    <mergeCell ref="AA40:AB40"/>
    <mergeCell ref="C41:D41"/>
    <mergeCell ref="AG32:AG37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AA41:AB41"/>
    <mergeCell ref="C42:D42"/>
    <mergeCell ref="AA42:AB42"/>
    <mergeCell ref="A43:A49"/>
    <mergeCell ref="C43:D43"/>
    <mergeCell ref="R43:R49"/>
    <mergeCell ref="AA43:AB43"/>
    <mergeCell ref="AA49:AB49"/>
    <mergeCell ref="A38:A42"/>
    <mergeCell ref="C38:D38"/>
    <mergeCell ref="R38:R42"/>
    <mergeCell ref="AA38:AB38"/>
    <mergeCell ref="AG50:AG57"/>
    <mergeCell ref="C51:D51"/>
    <mergeCell ref="AA51:AB51"/>
    <mergeCell ref="C52:D52"/>
    <mergeCell ref="AA52:AB52"/>
    <mergeCell ref="C53:D53"/>
    <mergeCell ref="AG43:AG49"/>
    <mergeCell ref="C44:D44"/>
    <mergeCell ref="AA44:AB44"/>
    <mergeCell ref="C45:D45"/>
    <mergeCell ref="AA45:AB45"/>
    <mergeCell ref="AA46:AB46"/>
    <mergeCell ref="AA47:AB47"/>
    <mergeCell ref="C48:D48"/>
    <mergeCell ref="AA48:AB48"/>
    <mergeCell ref="C49:D49"/>
    <mergeCell ref="C57:D57"/>
    <mergeCell ref="AA57:AB57"/>
    <mergeCell ref="A58:A63"/>
    <mergeCell ref="C58:D58"/>
    <mergeCell ref="R58:R63"/>
    <mergeCell ref="AA58:AB58"/>
    <mergeCell ref="AA63:AB63"/>
    <mergeCell ref="AA53:AB53"/>
    <mergeCell ref="C54:D54"/>
    <mergeCell ref="AA54:AB54"/>
    <mergeCell ref="C55:D55"/>
    <mergeCell ref="AA55:AB55"/>
    <mergeCell ref="AA56:AB56"/>
    <mergeCell ref="A50:A57"/>
    <mergeCell ref="C50:D50"/>
    <mergeCell ref="R50:R57"/>
    <mergeCell ref="AA50:AB50"/>
    <mergeCell ref="AG58:AG63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C63:D63"/>
  </mergeCells>
  <phoneticPr fontId="3" type="noConversion"/>
  <conditionalFormatting sqref="O5:O63">
    <cfRule type="cellIs" dxfId="202" priority="9" operator="greaterThan">
      <formula>0</formula>
    </cfRule>
  </conditionalFormatting>
  <conditionalFormatting sqref="P5:P63">
    <cfRule type="cellIs" dxfId="201" priority="1" operator="lessThan">
      <formula>0</formula>
    </cfRule>
  </conditionalFormatting>
  <conditionalFormatting sqref="Q5:Q63 AF5:AF63">
    <cfRule type="cellIs" dxfId="200" priority="10" operator="greaterThan">
      <formula>1</formula>
    </cfRule>
    <cfRule type="cellIs" dxfId="199" priority="11" operator="lessThan">
      <formula>0.8</formula>
    </cfRule>
  </conditionalFormatting>
  <conditionalFormatting sqref="R5:R11 AG5:AG11">
    <cfRule type="cellIs" dxfId="198" priority="37" operator="lessThan">
      <formula>0.8</formula>
    </cfRule>
  </conditionalFormatting>
  <conditionalFormatting sqref="AE5:AE63">
    <cfRule type="cellIs" dxfId="197" priority="12" operator="lessThan">
      <formula>0</formula>
    </cfRule>
  </conditionalFormatting>
  <conditionalFormatting sqref="AG15:AG53 R15:R63">
    <cfRule type="cellIs" dxfId="196" priority="13" operator="lessThan">
      <formula>0.8</formula>
    </cfRule>
  </conditionalFormatting>
  <dataValidations count="1">
    <dataValidation type="list" allowBlank="1" showInputMessage="1" showErrorMessage="1" sqref="AB10 AA5:AB9 AB54:AB56 AA10:AA56 AB12:AB50 AA57:AB63" xr:uid="{00000000-0002-0000-0B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Q32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2247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2248</v>
      </c>
      <c r="C3" s="154" t="str">
        <f>TEXT('0424 4度C'!A2,"yyyy.mm.ddaaaa")</f>
        <v>2026.04.24星期五</v>
      </c>
      <c r="D3" s="155"/>
      <c r="E3" s="33" t="s">
        <v>2249</v>
      </c>
      <c r="F3" s="156">
        <f>'0424 4度C'!D1</f>
        <v>129662</v>
      </c>
      <c r="G3" s="157"/>
      <c r="H3" s="33" t="s">
        <v>2250</v>
      </c>
      <c r="I3" s="158">
        <f>'0424 4度C'!F1</f>
        <v>4290221.6400000006</v>
      </c>
      <c r="J3" s="159"/>
      <c r="K3" s="34"/>
      <c r="L3" s="35"/>
      <c r="M3" s="35"/>
      <c r="N3" s="35"/>
    </row>
    <row r="4" spans="2:17" ht="28.5" customHeight="1">
      <c r="B4" s="160" t="s">
        <v>2251</v>
      </c>
      <c r="C4" s="146" t="s">
        <v>2252</v>
      </c>
      <c r="D4" s="147"/>
      <c r="E4" s="163" t="s">
        <v>2253</v>
      </c>
      <c r="F4" s="164"/>
      <c r="G4" s="163" t="s">
        <v>2254</v>
      </c>
      <c r="H4" s="164"/>
      <c r="I4" s="163" t="s">
        <v>2255</v>
      </c>
      <c r="J4" s="164"/>
      <c r="K4" s="144" t="s">
        <v>2256</v>
      </c>
      <c r="L4" s="145"/>
      <c r="M4" s="145" t="s">
        <v>2257</v>
      </c>
      <c r="N4" s="145"/>
    </row>
    <row r="5" spans="2:17" ht="28.5" customHeight="1">
      <c r="B5" s="161"/>
      <c r="C5" s="146" t="s">
        <v>2258</v>
      </c>
      <c r="D5" s="147"/>
      <c r="E5" s="146" t="s">
        <v>2259</v>
      </c>
      <c r="F5" s="147"/>
      <c r="G5" s="148" t="s">
        <v>2260</v>
      </c>
      <c r="H5" s="149"/>
      <c r="I5" s="150" t="s">
        <v>2261</v>
      </c>
      <c r="J5" s="151"/>
      <c r="K5" s="36" t="s">
        <v>2262</v>
      </c>
      <c r="L5" s="37" t="s">
        <v>2263</v>
      </c>
      <c r="M5" s="36" t="s">
        <v>2262</v>
      </c>
      <c r="N5" s="37" t="s">
        <v>2264</v>
      </c>
    </row>
    <row r="6" spans="2:17" ht="28.5" customHeight="1">
      <c r="B6" s="161"/>
      <c r="C6" s="146" t="s">
        <v>54</v>
      </c>
      <c r="D6" s="147"/>
      <c r="E6" s="138">
        <f>AVERAGE(D13:M13)</f>
        <v>156.14743422371231</v>
      </c>
      <c r="F6" s="139">
        <f>AVERAGE(D31:O31,D13:J13)</f>
        <v>162.86203837473371</v>
      </c>
      <c r="G6" s="140">
        <f>AVERAGE(D13:J13)</f>
        <v>162.86203837473371</v>
      </c>
      <c r="H6" s="141"/>
      <c r="I6" s="140">
        <f>AVERAGE(K13:M13)</f>
        <v>140.48002453799555</v>
      </c>
      <c r="J6" s="141"/>
      <c r="K6" s="142">
        <f>'0424 4度C'!Y2</f>
        <v>0</v>
      </c>
      <c r="L6" s="127">
        <f>'0424 4度C'!Z2</f>
        <v>0</v>
      </c>
      <c r="M6" s="143">
        <f>'0424 4度C'!AC2</f>
        <v>47</v>
      </c>
      <c r="N6" s="127">
        <f>'0424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149.82860141908586</v>
      </c>
      <c r="F7" s="131">
        <f>AVERAGE(D32:O32,D14:J14)</f>
        <v>156.46309334469294</v>
      </c>
      <c r="G7" s="132">
        <f>AVERAGE(D14:J14)</f>
        <v>156.46309334469294</v>
      </c>
      <c r="H7" s="133"/>
      <c r="I7" s="132">
        <f>AVERAGE(K14:M14)</f>
        <v>134.34812025933601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0.95891448849308658</v>
      </c>
      <c r="F8" s="135">
        <f>AVERAGE(D15:J15,D33:O33)</f>
        <v>0.95998970343039958</v>
      </c>
      <c r="G8" s="136">
        <f>AVERAGE(D15:J15)</f>
        <v>0.95998970343039958</v>
      </c>
      <c r="H8" s="137"/>
      <c r="I8" s="136">
        <f>AVERAGE(K15:M15)</f>
        <v>0.95640565363935615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2265</v>
      </c>
      <c r="N9" s="35"/>
      <c r="O9" s="35"/>
      <c r="P9" s="35"/>
      <c r="Q9" s="35"/>
    </row>
    <row r="10" spans="2:17" ht="30" customHeight="1">
      <c r="B10" s="110" t="s">
        <v>2266</v>
      </c>
      <c r="C10" s="111"/>
      <c r="D10" s="112" t="s">
        <v>2267</v>
      </c>
      <c r="E10" s="113"/>
      <c r="F10" s="113"/>
      <c r="G10" s="113"/>
      <c r="H10" s="113"/>
      <c r="I10" s="113"/>
      <c r="J10" s="114"/>
      <c r="K10" s="115" t="s">
        <v>2268</v>
      </c>
      <c r="L10" s="116"/>
      <c r="M10" s="117"/>
      <c r="P10" s="41"/>
      <c r="Q10" s="41"/>
    </row>
    <row r="11" spans="2:17" ht="17.25" customHeight="1">
      <c r="B11" s="118" t="s">
        <v>2269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2270</v>
      </c>
      <c r="C13" s="48" t="s">
        <v>2271</v>
      </c>
      <c r="D13" s="49">
        <f>SUMIFS('0424 4度C'!$K:$K,'0424 4度C'!$A:$A,"新豐6線",'0424 4度C'!$B:$B,"平均")</f>
        <v>119.40298507462687</v>
      </c>
      <c r="E13" s="50">
        <f>SUMIFS('0424 4度C'!$K:$K,'0424 4度C'!$A:$A,"新豐2線",'0424 4度C'!$B:$B,"平均")</f>
        <v>83.333333333333329</v>
      </c>
      <c r="F13" s="51">
        <f>SUMIFS('0424 4度C'!$K:$K,'0424 4度C'!$A:$A,"新豐5線",'0424 4度C'!$B:$B,"平均")</f>
        <v>100</v>
      </c>
      <c r="G13" s="51">
        <f>SUMIFS('0424 4度C'!$K:$K,'0424 4度C'!$A:$A,"新豐7線",'0424 4度C'!$B:$B,"平均")</f>
        <v>128.2051282051282</v>
      </c>
      <c r="H13" s="51">
        <f>SUMIFS('0424 4度C'!$K:$K,'0424 4度C'!$A:$A,"新豐3線",'0424 4度C'!$B:$B,"平均")</f>
        <v>315.78947368421052</v>
      </c>
      <c r="I13" s="51">
        <f>SUMIFS('0424 4度C'!$K:$K,'0424 4度C'!$A:$A,"新豐1線",'0424 4度C'!$B:$B,"平均")</f>
        <v>103.44827586206897</v>
      </c>
      <c r="J13" s="52">
        <f>SUMIFS('0424 4度C'!$K:$K,'0424 4度C'!$A:$A,"新豐10線",'0424 4度C'!$B:$B,"平均")</f>
        <v>289.85507246376812</v>
      </c>
      <c r="K13" s="53">
        <f>SUMIFS('0424 4度C'!$K:$K,'0424 4度C'!$A:$A,"新豐8線",'0424 4度C'!$B:$B,"平均")</f>
        <v>130.43478260869566</v>
      </c>
      <c r="L13" s="54">
        <f>SUMIFS('0424 4度C'!$K:$K,'0424 4度C'!$A:$A,"新豐9線",'0424 4度C'!$B:$B,"平均")</f>
        <v>142.85714285714286</v>
      </c>
      <c r="M13" s="52">
        <f>SUMIFS('0424 4度C'!$K:$K,'0424 4度C'!$A:$A,"新豐4線",'0424 4度C'!$B:$B,"平均")</f>
        <v>148.14814814814815</v>
      </c>
    </row>
    <row r="14" spans="2:17" ht="39.6" customHeight="1">
      <c r="B14" s="123"/>
      <c r="C14" s="55" t="s">
        <v>2272</v>
      </c>
      <c r="D14" s="56">
        <f>SUMIFS('0424 4度C'!$N:$N,'0424 4度C'!$A:$A,"新豐6線",'0424 4度C'!$B:$B,"平均")</f>
        <v>113.97060153776567</v>
      </c>
      <c r="E14" s="57">
        <f>SUMIFS('0424 4度C'!$N:$N,'0424 4度C'!$A:$A,"新豐2線",'0424 4度C'!$B:$B,"平均")</f>
        <v>79.711038961038966</v>
      </c>
      <c r="F14" s="57">
        <f>SUMIFS('0424 4度C'!$N:$N,'0424 4度C'!$A:$A,"新豐5線",'0424 4度C'!$B:$B,"平均")</f>
        <v>95.71694343936737</v>
      </c>
      <c r="G14" s="57">
        <f>SUMIFS('0424 4度C'!$N:$N,'0424 4度C'!$A:$A,"新豐7線",'0424 4度C'!$B:$B,"平均")</f>
        <v>123.3601547609928</v>
      </c>
      <c r="H14" s="57">
        <f>SUMIFS('0424 4度C'!$N:$N,'0424 4度C'!$A:$A,"新豐3線",'0424 4度C'!$B:$B,"平均")</f>
        <v>302.19347323783029</v>
      </c>
      <c r="I14" s="57">
        <f>SUMIFS('0424 4度C'!$N:$N,'0424 4度C'!$A:$A,"新豐1線",'0424 4度C'!$B:$B,"平均")</f>
        <v>99.823344031200151</v>
      </c>
      <c r="J14" s="58">
        <f>SUMIFS('0424 4度C'!$N:$N,'0424 4度C'!$A:$A,"新豐10線",'0424 4度C'!$B:$B,"平均")</f>
        <v>280.46609744465547</v>
      </c>
      <c r="K14" s="59">
        <f>SUMIFS('0424 4度C'!$N:$N,'0424 4度C'!$A:$A,"新豐8線",'0424 4度C'!$B:$B,"平均")</f>
        <v>125.01520494805015</v>
      </c>
      <c r="L14" s="60">
        <f>SUMIFS('0424 4度C'!$N:$N,'0424 4度C'!$A:$A,"新豐9線",'0424 4度C'!$B:$B,"平均")</f>
        <v>136.28101785654107</v>
      </c>
      <c r="M14" s="58">
        <f>SUMIFS('0424 4度C'!$N:$N,'0424 4度C'!$A:$A,"新豐4線",'0424 4度C'!$B:$B,"平均")</f>
        <v>141.74813797341673</v>
      </c>
    </row>
    <row r="15" spans="2:17" ht="40.15" customHeight="1">
      <c r="B15" s="124"/>
      <c r="C15" s="61" t="s">
        <v>2273</v>
      </c>
      <c r="D15" s="62">
        <f t="shared" ref="D15:M15" si="0">D14/D13</f>
        <v>0.95450378787878754</v>
      </c>
      <c r="E15" s="63">
        <f t="shared" si="0"/>
        <v>0.95653246753246768</v>
      </c>
      <c r="F15" s="63">
        <f t="shared" si="0"/>
        <v>0.95716943439367375</v>
      </c>
      <c r="G15" s="63">
        <f t="shared" si="0"/>
        <v>0.96220920713574387</v>
      </c>
      <c r="H15" s="63">
        <f t="shared" si="0"/>
        <v>0.95694599858646257</v>
      </c>
      <c r="I15" s="63">
        <f t="shared" si="0"/>
        <v>0.96495899230160143</v>
      </c>
      <c r="J15" s="64">
        <f t="shared" si="0"/>
        <v>0.96760803618406133</v>
      </c>
      <c r="K15" s="62">
        <f t="shared" si="0"/>
        <v>0.95844990460171786</v>
      </c>
      <c r="L15" s="63">
        <f t="shared" si="0"/>
        <v>0.95396712499578751</v>
      </c>
      <c r="M15" s="64">
        <f t="shared" si="0"/>
        <v>0.95679993132056296</v>
      </c>
    </row>
    <row r="16" spans="2:17" ht="17.25" customHeight="1">
      <c r="B16" s="125" t="s">
        <v>2274</v>
      </c>
      <c r="C16" s="65" t="s">
        <v>2275</v>
      </c>
      <c r="D16" s="66">
        <f>VLOOKUP("新豐6線",'0424 4度C'!$A:$T,19,0)</f>
        <v>0.70833333333333337</v>
      </c>
      <c r="E16" s="67">
        <f>VLOOKUP("新豐2線",'0424 4度C'!$A:$T,19,0)</f>
        <v>0.20833333333333334</v>
      </c>
      <c r="F16" s="67">
        <f>VLOOKUP("新豐5線",'0424 4度C'!$A:$T,19,0)</f>
        <v>0.20833333333333334</v>
      </c>
      <c r="G16" s="67">
        <f>VLOOKUP("新豐7線",'0424 4度C'!$A:$T,19,0)</f>
        <v>0.29166666666666669</v>
      </c>
      <c r="H16" s="67">
        <f>VLOOKUP("新豐3線",'0424 4度C'!$A:$T,19,0)</f>
        <v>8.3333333333333329E-2</v>
      </c>
      <c r="I16" s="67">
        <f>VLOOKUP("新豐1線",'0424 4度C'!$A:$T,19,0)</f>
        <v>0.33333333333333331</v>
      </c>
      <c r="J16" s="68">
        <f>VLOOKUP("新豐10線",'0424 4度C'!$A:$T,19,0)</f>
        <v>0.20833333333333334</v>
      </c>
      <c r="K16" s="69">
        <f>VLOOKUP("新豐8線",'0424 4度C'!$A:$T,19,0)</f>
        <v>8.3333333333333329E-2</v>
      </c>
      <c r="L16" s="70">
        <f>VLOOKUP("新豐9線",'0424 4度C'!$A:$T,19,0)</f>
        <v>8.3333333333333329E-2</v>
      </c>
      <c r="M16" s="71">
        <f>VLOOKUP("新豐4線",'0424 4度C'!$A:$T,19,0)</f>
        <v>8.3333333333333329E-2</v>
      </c>
    </row>
    <row r="17" spans="2:13" ht="17.25" customHeight="1">
      <c r="B17" s="126"/>
      <c r="C17" s="65" t="s">
        <v>2276</v>
      </c>
      <c r="D17" s="69">
        <f>LOOKUP(2,1/(('0424 4度C'!$A:$A="新豐6線")*('0424 4度C'!$T:$T&lt;&gt;"")),'0424 4度C'!$T:$T)</f>
        <v>0.84166666666666667</v>
      </c>
      <c r="E17" s="67">
        <f>LOOKUP(2,1/(('0424 4度C'!$A:$A="新豐2線")*('0424 4度C'!$T:$T&lt;&gt;"")),'0424 4度C'!$T:$T)</f>
        <v>0.50277777777777777</v>
      </c>
      <c r="F17" s="67">
        <f>LOOKUP(2,1/(('0424 4度C'!$A:$A="新豐5線")*('0424 4度C'!$T:$T&lt;&gt;"")),'0424 4度C'!$T:$T)</f>
        <v>0.82291666666666663</v>
      </c>
      <c r="G17" s="67">
        <f>LOOKUP(2,1/(('0424 4度C'!$A:$A="新豐7線")*('0424 4度C'!$T:$T&lt;&gt;"")),'0424 4度C'!$T:$T)</f>
        <v>0.79513888888888884</v>
      </c>
      <c r="H17" s="67">
        <f>LOOKUP(2,1/(('0424 4度C'!$A:$A="新豐3線")*('0424 4度C'!$T:$T&lt;&gt;"")),'0424 4度C'!$T:$T)</f>
        <v>0.35902777777777778</v>
      </c>
      <c r="I17" s="67">
        <f>LOOKUP(2,1/(('0424 4度C'!$A:$A="新豐1線")*('0424 4度C'!$T:$T&lt;&gt;"")),'0424 4度C'!$T:$T)</f>
        <v>0.80555555555555558</v>
      </c>
      <c r="J17" s="68">
        <f>LOOKUP(2,1/(('0424 4度C'!$A:$A="新豐10線")*('0424 4度C'!$T:$T&lt;&gt;"")),'0424 4度C'!$T:$T)</f>
        <v>0.40833333333333333</v>
      </c>
      <c r="K17" s="66">
        <f>LOOKUP(2,1/(('0424 4度C'!$A:$A="新豐8線")*('0424 4度C'!$T:$T&lt;&gt;"")),'0424 4度C'!$T:$T)</f>
        <v>0.49722222222222223</v>
      </c>
      <c r="L17" s="67">
        <f>LOOKUP(2,1/(('0424 4度C'!$A:$A="新豐9線")*('0424 4度C'!$T:$T&lt;&gt;"")),'0424 4度C'!$T:$T)</f>
        <v>0.50208333333333333</v>
      </c>
      <c r="M17" s="68">
        <f>LOOKUP(2,1/(('0424 4度C'!$A:$A="新豐4線")*('0424 4度C'!$T:$T&lt;&gt;"")),'0424 4度C'!$T:$T)</f>
        <v>0.48819444444444443</v>
      </c>
    </row>
    <row r="18" spans="2:13" ht="17.25" customHeight="1">
      <c r="B18" s="104" t="s">
        <v>2277</v>
      </c>
      <c r="C18" s="72" t="s">
        <v>2278</v>
      </c>
      <c r="D18" s="73">
        <f>SUMIFS('0424 4度C'!$Y:$Y,'0424 4度C'!$A:$A,"新豐6線",'0424 4度C'!$B:$B,"平均")</f>
        <v>0</v>
      </c>
      <c r="E18" s="74">
        <f>SUMIFS('0424 4度C'!$Y:$Y,'0424 4度C'!$A:$A,"新豐2線",'0424 4度C'!$B:$B,"平均")</f>
        <v>0</v>
      </c>
      <c r="F18" s="74">
        <f>SUMIFS('0424 4度C'!$Y:$Y,'0424 4度C'!$A:$A,"新豐5線",'0424 4度C'!$B:$B,"平均")</f>
        <v>0</v>
      </c>
      <c r="G18" s="74">
        <f>SUMIFS('0424 4度C'!$Y:$Y,'0424 4度C'!$A:$A,"新豐7線",'0424 4度C'!$B:$B,"平均")</f>
        <v>0</v>
      </c>
      <c r="H18" s="74">
        <f>SUMIFS('0424 4度C'!$Y:$Y,'0424 4度C'!$A:$A,"新豐3線",'0424 4度C'!$B:$B,"平均")</f>
        <v>0</v>
      </c>
      <c r="I18" s="74">
        <f>SUMIFS('0424 4度C'!$Y:$Y,'0424 4度C'!$A:$A,"新豐1線",'0424 4度C'!$B:$B,"平均")</f>
        <v>0</v>
      </c>
      <c r="J18" s="75">
        <f>SUMIFS('0424 4度C'!$Y:$Y,'0424 4度C'!$A:$A,"新豐10線",'0424 4度C'!$B:$B,"平均")</f>
        <v>0</v>
      </c>
      <c r="K18" s="76">
        <f>SUMIFS('0424 4度C'!$Y:$Y,'0424 4度C'!$A:$A,"新豐8線",'0424 4度C'!$B:$B,"平均")</f>
        <v>0</v>
      </c>
      <c r="L18" s="74">
        <f>SUMIFS('0424 4度C'!$Y:$Y,'0424 4度C'!$A:$A,"新豐9線",'0424 4度C'!$B:$B,"平均")</f>
        <v>0</v>
      </c>
      <c r="M18" s="75">
        <f>SUMIFS('0424 4度C'!$Y:$Y,'0424 4度C'!$A:$A,"新豐4線",'0424 4度C'!$B:$B,"平均")</f>
        <v>0</v>
      </c>
    </row>
    <row r="19" spans="2:13" ht="17.25" customHeight="1">
      <c r="B19" s="105"/>
      <c r="C19" s="72" t="s">
        <v>2279</v>
      </c>
      <c r="D19" s="73">
        <f>SUMIFS('0424 4度C'!$Z:$Z,'0424 4度C'!$A:$A,"新豐6線",'0424 4度C'!$B:$B,"平均")</f>
        <v>0</v>
      </c>
      <c r="E19" s="74">
        <f>SUMIFS('0424 4度C'!$Z:$Z,'0424 4度C'!$A:$A,"新豐2線",'0424 4度C'!$B:$B,"平均")</f>
        <v>0</v>
      </c>
      <c r="F19" s="74">
        <f>SUMIFS('0424 4度C'!$Z:$Z,'0424 4度C'!$A:$A,"新豐5線",'0424 4度C'!$B:$B,"平均")</f>
        <v>0</v>
      </c>
      <c r="G19" s="74">
        <f>SUMIFS('0424 4度C'!$Z:$Z,'0424 4度C'!$A:$A,"新豐7線",'0424 4度C'!$B:$B,"平均")</f>
        <v>0</v>
      </c>
      <c r="H19" s="74">
        <f>SUMIFS('0424 4度C'!$Z:$Z,'0424 4度C'!$A:$A,"新豐3線",'0424 4度C'!$B:$B,"平均")</f>
        <v>0</v>
      </c>
      <c r="I19" s="74">
        <f>SUMIFS('0424 4度C'!$Z:$Z,'0424 4度C'!$A:$A,"新豐1線",'0424 4度C'!$B:$B,"平均")</f>
        <v>0</v>
      </c>
      <c r="J19" s="75">
        <f>SUMIFS('0424 4度C'!$Z:$Z,'0424 4度C'!$A:$A,"新豐10線",'0424 4度C'!$B:$B,"平均")</f>
        <v>0</v>
      </c>
      <c r="K19" s="76">
        <f>SUMIFS('0424 4度C'!$Z:$Z,'0424 4度C'!$A:$A,"新豐8線",'0424 4度C'!$B:$B,"平均")</f>
        <v>0</v>
      </c>
      <c r="L19" s="74">
        <f>SUMIFS('0424 4度C'!$Z:$Z,'0424 4度C'!$A:$A,"新豐9線",'0424 4度C'!$B:$B,"平均")</f>
        <v>0</v>
      </c>
      <c r="M19" s="75">
        <f>SUMIFS('0424 4度C'!$Z:$Z,'0424 4度C'!$A:$A,"新豐4線",'0424 4度C'!$B:$B,"平均")</f>
        <v>0</v>
      </c>
    </row>
    <row r="20" spans="2:13" ht="17.25" customHeight="1">
      <c r="B20" s="104" t="s">
        <v>2280</v>
      </c>
      <c r="C20" s="72" t="s">
        <v>2281</v>
      </c>
      <c r="D20" s="73">
        <f>SUMIFS('0424 4度C'!$AC:$AC,'0424 4度C'!$A:$A,"新豐6線",'0424 4度C'!$B:$B,"平均")</f>
        <v>4</v>
      </c>
      <c r="E20" s="74">
        <f>SUMIFS('0424 4度C'!$AC:$AC,'0424 4度C'!$A:$A,"新豐2線",'0424 4度C'!$B:$B,"平均")</f>
        <v>2</v>
      </c>
      <c r="F20" s="74">
        <f>SUMIFS('0424 4度C'!$AC:$AC,'0424 4度C'!$A:$A,"新豐5線",'0424 4度C'!$B:$B,"平均")</f>
        <v>4</v>
      </c>
      <c r="G20" s="74">
        <f>SUMIFS('0424 4度C'!$AC:$AC,'0424 4度C'!$A:$A,"新豐7線",'0424 4度C'!$B:$B,"平均")</f>
        <v>5</v>
      </c>
      <c r="H20" s="74">
        <f>SUMIFS('0424 4度C'!$AC:$AC,'0424 4度C'!$A:$A,"新豐3線",'0424 4度C'!$B:$B,"平均")</f>
        <v>4</v>
      </c>
      <c r="I20" s="74">
        <f>SUMIFS('0424 4度C'!$AC:$AC,'0424 4度C'!$A:$A,"新豐1線",'0424 4度C'!$B:$B,"平均")</f>
        <v>6</v>
      </c>
      <c r="J20" s="75">
        <f>SUMIFS('0424 4度C'!$AC:$AC,'0424 4度C'!$A:$A,"新豐10線",'0424 4度C'!$B:$B,"平均")</f>
        <v>7</v>
      </c>
      <c r="K20" s="76">
        <f>SUMIFS('0424 4度C'!$AC:$AC,'0424 4度C'!$A:$A,"新豐8線",'0424 4度C'!$B:$B,"平均")</f>
        <v>5</v>
      </c>
      <c r="L20" s="74">
        <f>SUMIFS('0424 4度C'!$AC:$AC,'0424 4度C'!$A:$A,"新豐9線",'0424 4度C'!$B:$B,"平均")</f>
        <v>5</v>
      </c>
      <c r="M20" s="75">
        <f>SUMIFS('0424 4度C'!$AC:$AC,'0424 4度C'!$A:$A,"新豐4線",'0424 4度C'!$B:$B,"平均")</f>
        <v>5</v>
      </c>
    </row>
    <row r="21" spans="2:13" ht="17.25" customHeight="1">
      <c r="B21" s="105"/>
      <c r="C21" s="72" t="s">
        <v>2282</v>
      </c>
      <c r="D21" s="73">
        <f>SUMIFS('0424 4度C'!$AD:$AD,'0424 4度C'!$A:$A,"新豐6線",'0424 4度C'!$B:$B,"平均")</f>
        <v>0</v>
      </c>
      <c r="E21" s="74">
        <f>SUMIFS('0424 4度C'!$AD:$AD,'0424 4度C'!$A:$A,"新豐2線",'0424 4度C'!$B:$B,"平均")</f>
        <v>0</v>
      </c>
      <c r="F21" s="74">
        <f>SUMIFS('0424 4度C'!$AD:$AD,'0424 4度C'!$A:$A,"新豐5線",'0424 4度C'!$B:$B,"平均")</f>
        <v>0</v>
      </c>
      <c r="G21" s="74">
        <f>SUMIFS('0424 4度C'!$AD:$AD,'0424 4度C'!$A:$A,"新豐7線",'0424 4度C'!$B:$B,"平均")</f>
        <v>0</v>
      </c>
      <c r="H21" s="74">
        <f>SUMIFS('0424 4度C'!$AD:$AD,'0424 4度C'!$A:$A,"新豐3線",'0424 4度C'!$B:$B,"平均")</f>
        <v>0</v>
      </c>
      <c r="I21" s="74">
        <f>SUMIFS('0424 4度C'!$AD:$AD,'0424 4度C'!$A:$A,"新豐1線",'0424 4度C'!$B:$B,"平均")</f>
        <v>0</v>
      </c>
      <c r="J21" s="75">
        <f>SUMIFS('0424 4度C'!$AD:$AD,'0424 4度C'!$A:$A,"新豐10線",'0424 4度C'!$B:$B,"平均")</f>
        <v>0</v>
      </c>
      <c r="K21" s="76">
        <f>SUMIFS('0424 4度C'!$AD:$AD,'0424 4度C'!$A:$A,"新豐8線",'0424 4度C'!$B:$B,"平均")</f>
        <v>0</v>
      </c>
      <c r="L21" s="74">
        <f>SUMIFS('0424 4度C'!$AD:$AD,'0424 4度C'!$A:$A,"新豐9線",'0424 4度C'!$B:$B,"平均")</f>
        <v>0</v>
      </c>
      <c r="M21" s="75">
        <f>SUMIFS('0424 4度C'!$AD:$AD,'0424 4度C'!$A:$A,"新豐4線",'0424 4度C'!$B:$B,"平均")</f>
        <v>0</v>
      </c>
    </row>
    <row r="22" spans="2:13" ht="17.25" customHeight="1">
      <c r="B22" s="106" t="s">
        <v>2283</v>
      </c>
      <c r="C22" s="107"/>
      <c r="D22" s="77">
        <f>SUMIFS('0424 4度C'!$I:$I,'0424 4度C'!$A:$A,"新豐6線",'0424 4度C'!$B:$B,"平均")</f>
        <v>16.75</v>
      </c>
      <c r="E22" s="78">
        <f>SUMIFS('0424 4度C'!$I:$I,'0424 4度C'!$A:$A,"新豐2線",'0424 4度C'!$B:$B,"平均")</f>
        <v>18</v>
      </c>
      <c r="F22" s="78">
        <f>SUMIFS('0424 4度C'!$I:$I,'0424 4度C'!$A:$A,"新豐5線",'0424 4度C'!$B:$B,"平均")</f>
        <v>17.5</v>
      </c>
      <c r="G22" s="78">
        <f>SUMIFS('0424 4度C'!$I:$I,'0424 4度C'!$A:$A,"新豐7線",'0424 4度C'!$B:$B,"平均")</f>
        <v>15.6</v>
      </c>
      <c r="H22" s="78">
        <f>SUMIFS('0424 4度C'!$I:$I,'0424 4度C'!$A:$A,"新豐3線",'0424 4度C'!$B:$B,"平均")</f>
        <v>9.5</v>
      </c>
      <c r="I22" s="78">
        <f>SUMIFS('0424 4度C'!$I:$I,'0424 4度C'!$A:$A,"新豐1線",'0424 4度C'!$B:$B,"平均")</f>
        <v>19.333333333333332</v>
      </c>
      <c r="J22" s="79">
        <f>SUMIFS('0424 4度C'!$I:$I,'0424 4度C'!$A:$A,"新豐10線",'0424 4度C'!$B:$B,"平均")</f>
        <v>9.8571428571428577</v>
      </c>
      <c r="K22" s="77">
        <f>SUMIFS('0424 4度C'!$I:$I,'0424 4度C'!$A:$A,"新豐8線",'0424 4度C'!$B:$B,"平均")</f>
        <v>18.399999999999999</v>
      </c>
      <c r="L22" s="78">
        <f>SUMIFS('0424 4度C'!$I:$I,'0424 4度C'!$A:$A,"新豐9線",'0424 4度C'!$B:$B,"平均")</f>
        <v>16.8</v>
      </c>
      <c r="M22" s="79">
        <f>SUMIFS('0424 4度C'!$I:$I,'0424 4度C'!$A:$A,"新豐4線",'0424 4度C'!$B:$B,"平均")</f>
        <v>16.2</v>
      </c>
    </row>
    <row r="23" spans="2:13" ht="17.25" customHeight="1">
      <c r="B23" s="106" t="s">
        <v>2284</v>
      </c>
      <c r="C23" s="107"/>
      <c r="D23" s="80" t="s">
        <v>67</v>
      </c>
      <c r="E23" s="81" t="s">
        <v>68</v>
      </c>
      <c r="F23" s="81" t="s">
        <v>2285</v>
      </c>
      <c r="G23" s="81" t="s">
        <v>2285</v>
      </c>
      <c r="H23" s="81" t="s">
        <v>69</v>
      </c>
      <c r="I23" s="81" t="s">
        <v>67</v>
      </c>
      <c r="J23" s="82" t="s">
        <v>69</v>
      </c>
      <c r="K23" s="80" t="s">
        <v>2286</v>
      </c>
      <c r="L23" s="81" t="s">
        <v>2286</v>
      </c>
      <c r="M23" s="82" t="s">
        <v>2286</v>
      </c>
    </row>
    <row r="24" spans="2:13" ht="17.25" customHeight="1">
      <c r="B24" s="106" t="s">
        <v>2287</v>
      </c>
      <c r="C24" s="107"/>
      <c r="D24" s="80"/>
      <c r="E24" s="81"/>
      <c r="F24" s="81" t="s">
        <v>2288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2289</v>
      </c>
      <c r="C25" s="109"/>
      <c r="D25" s="83"/>
      <c r="E25" s="84" t="s">
        <v>2290</v>
      </c>
      <c r="F25" s="102" t="s">
        <v>2291</v>
      </c>
      <c r="G25" s="103"/>
      <c r="H25" s="84" t="s">
        <v>2292</v>
      </c>
      <c r="I25" s="84" t="s">
        <v>2293</v>
      </c>
      <c r="J25" s="85" t="s">
        <v>2292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9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3">
    <pageSetUpPr fitToPage="1"/>
  </sheetPr>
  <dimension ref="A1:AG62"/>
  <sheetViews>
    <sheetView zoomScale="80" zoomScaleNormal="80" workbookViewId="0">
      <pane ySplit="4" topLeftCell="A5" activePane="bottomLeft" state="frozen"/>
      <selection activeCell="A9" sqref="A9"/>
      <selection pane="bottomLeft" activeCell="A9" sqref="A9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223</v>
      </c>
      <c r="B1" s="1"/>
      <c r="C1" s="2" t="s">
        <v>645</v>
      </c>
      <c r="D1" s="3">
        <f>SUM(F5:F61)</f>
        <v>129662</v>
      </c>
      <c r="E1" s="88" t="s">
        <v>225</v>
      </c>
      <c r="F1" s="1">
        <f>SUM(G5:G61)</f>
        <v>4290221.6400000006</v>
      </c>
      <c r="G1" s="1" t="s">
        <v>647</v>
      </c>
      <c r="H1" s="4">
        <f>L9+L12+L40+L47+L17+L55+L29+L35+L23+L61</f>
        <v>157.94047619047618</v>
      </c>
      <c r="I1" s="215" t="s">
        <v>1235</v>
      </c>
      <c r="J1" s="215"/>
      <c r="K1" s="215"/>
      <c r="L1" s="215" t="s">
        <v>1236</v>
      </c>
      <c r="M1" s="215"/>
      <c r="N1" s="215"/>
      <c r="O1" s="215" t="s">
        <v>229</v>
      </c>
      <c r="P1" s="215"/>
      <c r="Q1" s="215"/>
      <c r="R1" s="215"/>
      <c r="S1" s="215" t="s">
        <v>127</v>
      </c>
      <c r="T1" s="215"/>
      <c r="U1" s="215"/>
      <c r="V1" s="215"/>
      <c r="W1" s="215"/>
      <c r="X1" s="215"/>
      <c r="Y1" s="5" t="s">
        <v>231</v>
      </c>
      <c r="Z1" s="6" t="s">
        <v>653</v>
      </c>
      <c r="AA1" s="216" t="s">
        <v>434</v>
      </c>
      <c r="AB1" s="216"/>
      <c r="AC1" s="97" t="s">
        <v>231</v>
      </c>
      <c r="AD1" s="6" t="s">
        <v>435</v>
      </c>
      <c r="AE1" s="215" t="s">
        <v>132</v>
      </c>
      <c r="AF1" s="217"/>
      <c r="AG1" s="217"/>
    </row>
    <row r="2" spans="1:33" ht="26.25" customHeight="1">
      <c r="A2" s="26">
        <v>46136</v>
      </c>
      <c r="B2" s="27" t="s">
        <v>330</v>
      </c>
      <c r="C2" s="2" t="s">
        <v>200</v>
      </c>
      <c r="D2" s="8">
        <f>AVERAGE(N9,N12,N40,N47,N17,N55,N23,N29,N35,N61)</f>
        <v>149.82860141908586</v>
      </c>
      <c r="E2" s="9" t="s">
        <v>0</v>
      </c>
      <c r="F2" s="10">
        <f>F1/D1</f>
        <v>33.087733028952201</v>
      </c>
      <c r="G2" s="1" t="s">
        <v>237</v>
      </c>
      <c r="H2" s="96">
        <f>COUNT(H5:H61)</f>
        <v>0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SUM(Y9+Y12+Y17+Y23+Y29+Y35+Y40+Y47+Y55+Y61)</f>
        <v>0</v>
      </c>
      <c r="Z2" s="11">
        <f>SUM(Z9+Z12+Z17+Z23+Z29+Z35+Z40+Z47+Z55+Z61)</f>
        <v>0</v>
      </c>
      <c r="AA2" s="216"/>
      <c r="AB2" s="216"/>
      <c r="AC2" s="11">
        <v>47</v>
      </c>
      <c r="AD2" s="11">
        <f>SUM(AD9+AD12+AD17+AD23+AD29+AD35+AD40+AD47+AD55+AD61)</f>
        <v>0</v>
      </c>
      <c r="AE2" s="217"/>
      <c r="AF2" s="217"/>
      <c r="AG2" s="217"/>
    </row>
    <row r="3" spans="1:33" ht="40.5" customHeight="1">
      <c r="A3" s="168" t="s">
        <v>438</v>
      </c>
      <c r="B3" s="168" t="s">
        <v>660</v>
      </c>
      <c r="C3" s="168" t="s">
        <v>240</v>
      </c>
      <c r="D3" s="168"/>
      <c r="E3" s="213" t="s">
        <v>241</v>
      </c>
      <c r="F3" s="168" t="s">
        <v>242</v>
      </c>
      <c r="G3" s="213" t="s">
        <v>140</v>
      </c>
      <c r="H3" s="207" t="s">
        <v>1251</v>
      </c>
      <c r="I3" s="205" t="s">
        <v>445</v>
      </c>
      <c r="J3" s="202" t="s">
        <v>154</v>
      </c>
      <c r="K3" s="212" t="s">
        <v>200</v>
      </c>
      <c r="L3" s="205" t="s">
        <v>445</v>
      </c>
      <c r="M3" s="202" t="s">
        <v>154</v>
      </c>
      <c r="N3" s="212" t="s">
        <v>200</v>
      </c>
      <c r="O3" s="205" t="s">
        <v>445</v>
      </c>
      <c r="P3" s="212" t="s">
        <v>200</v>
      </c>
      <c r="Q3" s="203" t="s">
        <v>447</v>
      </c>
      <c r="R3" s="181" t="s">
        <v>248</v>
      </c>
      <c r="S3" s="168" t="s">
        <v>1</v>
      </c>
      <c r="T3" s="168"/>
      <c r="U3" s="207" t="s">
        <v>2</v>
      </c>
      <c r="V3" s="207" t="s">
        <v>2294</v>
      </c>
      <c r="W3" s="168" t="s">
        <v>2295</v>
      </c>
      <c r="X3" s="168"/>
      <c r="Y3" s="208" t="s">
        <v>2296</v>
      </c>
      <c r="Z3" s="167"/>
      <c r="AA3" s="209" t="s">
        <v>2297</v>
      </c>
      <c r="AB3" s="210"/>
      <c r="AC3" s="208" t="s">
        <v>2298</v>
      </c>
      <c r="AD3" s="167"/>
      <c r="AE3" s="202" t="s">
        <v>2299</v>
      </c>
      <c r="AF3" s="203" t="s">
        <v>2300</v>
      </c>
      <c r="AG3" s="181" t="s">
        <v>2301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2302</v>
      </c>
      <c r="X4" s="88" t="s">
        <v>2303</v>
      </c>
      <c r="Y4" s="90" t="s">
        <v>2304</v>
      </c>
      <c r="Z4" s="90" t="s">
        <v>2305</v>
      </c>
      <c r="AA4" s="211"/>
      <c r="AB4" s="210"/>
      <c r="AC4" s="90" t="s">
        <v>2306</v>
      </c>
      <c r="AD4" s="90" t="s">
        <v>258</v>
      </c>
      <c r="AE4" s="202"/>
      <c r="AF4" s="203"/>
      <c r="AG4" s="181"/>
    </row>
    <row r="5" spans="1:33">
      <c r="A5" s="204" t="s">
        <v>2307</v>
      </c>
      <c r="B5" s="28" t="s">
        <v>5</v>
      </c>
      <c r="C5" s="206" t="s">
        <v>6</v>
      </c>
      <c r="D5" s="206"/>
      <c r="E5" s="28">
        <v>50.67</v>
      </c>
      <c r="F5" s="88">
        <v>1274</v>
      </c>
      <c r="G5" s="88">
        <f t="shared" ref="G5:G8" si="0">E5*F5</f>
        <v>64553.58</v>
      </c>
      <c r="H5" s="30" t="s">
        <v>53</v>
      </c>
      <c r="I5" s="95">
        <v>17</v>
      </c>
      <c r="J5" s="13">
        <v>2000</v>
      </c>
      <c r="K5" s="12">
        <f t="shared" ref="K5:K61" si="1">J5/I5</f>
        <v>117.64705882352941</v>
      </c>
      <c r="L5" s="95">
        <v>17</v>
      </c>
      <c r="M5" s="13">
        <f t="shared" ref="M5:M8" si="2">F5/V5*60</f>
        <v>1910.9999999999993</v>
      </c>
      <c r="N5" s="12">
        <f t="shared" ref="N5:N61" si="3">M5/L5</f>
        <v>112.41176470588232</v>
      </c>
      <c r="O5" s="14">
        <f t="shared" ref="O5:O61" si="4">L5-I5</f>
        <v>0</v>
      </c>
      <c r="P5" s="15">
        <f t="shared" ref="P5:P61" si="5">N5-K5</f>
        <v>-5.2352941176470864</v>
      </c>
      <c r="Q5" s="91">
        <f t="shared" ref="Q5:Q61" si="6">N5/K5</f>
        <v>0.95549999999999979</v>
      </c>
      <c r="R5" s="177">
        <f>Q9</f>
        <v>0.95450378787878754</v>
      </c>
      <c r="S5" s="21">
        <v>0.70833333333333337</v>
      </c>
      <c r="T5" s="21">
        <v>0.73611111111111116</v>
      </c>
      <c r="U5" s="88"/>
      <c r="V5" s="30">
        <f t="shared" ref="V5:V8" si="7">(T5-S5)*24*60</f>
        <v>40.000000000000014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46" si="8">M5-J5</f>
        <v>-89.000000000000682</v>
      </c>
      <c r="AF5" s="91">
        <f t="shared" ref="AF5:AF61" si="9">M5/J5</f>
        <v>0.95549999999999968</v>
      </c>
      <c r="AG5" s="177">
        <f>AF9</f>
        <v>0.95450378787878754</v>
      </c>
    </row>
    <row r="6" spans="1:33">
      <c r="A6" s="205" t="s">
        <v>164</v>
      </c>
      <c r="B6" s="28" t="s">
        <v>5</v>
      </c>
      <c r="C6" s="206" t="s">
        <v>7</v>
      </c>
      <c r="D6" s="206"/>
      <c r="E6" s="28">
        <v>54.09</v>
      </c>
      <c r="F6" s="88">
        <v>1054</v>
      </c>
      <c r="G6" s="88">
        <f t="shared" si="0"/>
        <v>57010.86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1916.363636363634</v>
      </c>
      <c r="N6" s="12">
        <f t="shared" si="3"/>
        <v>100.86124401913862</v>
      </c>
      <c r="O6" s="14">
        <f t="shared" si="4"/>
        <v>0</v>
      </c>
      <c r="P6" s="15">
        <f t="shared" si="5"/>
        <v>-4.4019138755982112</v>
      </c>
      <c r="Q6" s="91">
        <f t="shared" si="6"/>
        <v>0.95818181818181702</v>
      </c>
      <c r="R6" s="177"/>
      <c r="S6" s="21">
        <v>0.7416666666666667</v>
      </c>
      <c r="T6" s="21">
        <v>0.76458333333333339</v>
      </c>
      <c r="U6" s="88">
        <f t="shared" ref="U6:U8" si="10">IF(S6=TIME(17,0,0),"",(S6-T5)*24*60)</f>
        <v>7.9999999999999716</v>
      </c>
      <c r="V6" s="30">
        <f t="shared" si="7"/>
        <v>33.000000000000043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-83.636363636366013</v>
      </c>
      <c r="AF6" s="91">
        <f t="shared" si="9"/>
        <v>0.95818181818181702</v>
      </c>
      <c r="AG6" s="177"/>
    </row>
    <row r="7" spans="1:33">
      <c r="A7" s="205" t="s">
        <v>164</v>
      </c>
      <c r="B7" s="28" t="s">
        <v>5</v>
      </c>
      <c r="C7" s="200" t="s">
        <v>16</v>
      </c>
      <c r="D7" s="201"/>
      <c r="E7" s="28">
        <v>50.67</v>
      </c>
      <c r="F7" s="88">
        <v>1429</v>
      </c>
      <c r="G7" s="88">
        <f t="shared" si="0"/>
        <v>72407.430000000008</v>
      </c>
      <c r="H7" s="30" t="s">
        <v>53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1905.3333333333335</v>
      </c>
      <c r="N7" s="12">
        <f t="shared" si="3"/>
        <v>127.02222222222223</v>
      </c>
      <c r="O7" s="14">
        <f t="shared" si="4"/>
        <v>0</v>
      </c>
      <c r="P7" s="15">
        <f t="shared" si="5"/>
        <v>-6.3111111111111171</v>
      </c>
      <c r="Q7" s="91">
        <f t="shared" si="6"/>
        <v>0.95266666666666666</v>
      </c>
      <c r="R7" s="177"/>
      <c r="S7" s="21">
        <v>0.76944444444444449</v>
      </c>
      <c r="T7" s="21">
        <v>0.80069444444444449</v>
      </c>
      <c r="U7" s="88">
        <f t="shared" si="10"/>
        <v>6.9999999999999751</v>
      </c>
      <c r="V7" s="30">
        <f t="shared" si="7"/>
        <v>45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-94.666666666666515</v>
      </c>
      <c r="AF7" s="91">
        <f t="shared" si="9"/>
        <v>0.95266666666666677</v>
      </c>
      <c r="AG7" s="177"/>
    </row>
    <row r="8" spans="1:33">
      <c r="A8" s="205" t="s">
        <v>164</v>
      </c>
      <c r="B8" s="28" t="s">
        <v>5</v>
      </c>
      <c r="C8" s="200" t="s">
        <v>1270</v>
      </c>
      <c r="D8" s="201"/>
      <c r="E8" s="28">
        <v>52.86</v>
      </c>
      <c r="F8" s="88">
        <v>1713</v>
      </c>
      <c r="G8" s="88">
        <f t="shared" si="0"/>
        <v>90549.18</v>
      </c>
      <c r="H8" s="30" t="s">
        <v>53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1903.3333333333344</v>
      </c>
      <c r="N8" s="12">
        <f t="shared" si="3"/>
        <v>118.9583333333334</v>
      </c>
      <c r="O8" s="14">
        <f t="shared" si="4"/>
        <v>0</v>
      </c>
      <c r="P8" s="15">
        <f t="shared" si="5"/>
        <v>-6.0416666666666003</v>
      </c>
      <c r="Q8" s="91">
        <f t="shared" si="6"/>
        <v>0.95166666666666722</v>
      </c>
      <c r="R8" s="177"/>
      <c r="S8" s="21">
        <v>0.8041666666666667</v>
      </c>
      <c r="T8" s="21">
        <v>0.84166666666666667</v>
      </c>
      <c r="U8" s="88">
        <f t="shared" si="10"/>
        <v>4.9999999999999822</v>
      </c>
      <c r="V8" s="30">
        <f t="shared" si="7"/>
        <v>53.999999999999972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-96.666666666665606</v>
      </c>
      <c r="AF8" s="91">
        <f t="shared" si="9"/>
        <v>0.95166666666666722</v>
      </c>
      <c r="AG8" s="177"/>
    </row>
    <row r="9" spans="1:33">
      <c r="A9" s="205" t="s">
        <v>164</v>
      </c>
      <c r="B9" s="28" t="s">
        <v>168</v>
      </c>
      <c r="C9" s="178"/>
      <c r="D9" s="178"/>
      <c r="E9" s="92"/>
      <c r="F9" s="12"/>
      <c r="G9" s="12"/>
      <c r="H9" s="88"/>
      <c r="I9" s="23">
        <v>16.75</v>
      </c>
      <c r="J9" s="13">
        <v>2000</v>
      </c>
      <c r="K9" s="12">
        <f t="shared" si="1"/>
        <v>119.40298507462687</v>
      </c>
      <c r="L9" s="23">
        <v>16.75</v>
      </c>
      <c r="M9" s="13">
        <f>AVERAGE(M5:M8)</f>
        <v>1909.0075757575751</v>
      </c>
      <c r="N9" s="12">
        <f t="shared" si="3"/>
        <v>113.97060153776567</v>
      </c>
      <c r="O9" s="14">
        <f t="shared" si="4"/>
        <v>0</v>
      </c>
      <c r="P9" s="15">
        <f t="shared" si="5"/>
        <v>-5.4323835368611952</v>
      </c>
      <c r="Q9" s="91">
        <f t="shared" si="6"/>
        <v>0.95450378787878754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v>4</v>
      </c>
      <c r="AD9" s="24">
        <f>SUM(AD5:AD8)</f>
        <v>0</v>
      </c>
      <c r="AE9" s="14">
        <f t="shared" si="8"/>
        <v>-90.992424242424931</v>
      </c>
      <c r="AF9" s="91">
        <f t="shared" si="9"/>
        <v>0.95450378787878754</v>
      </c>
      <c r="AG9" s="177"/>
    </row>
    <row r="10" spans="1:33" ht="15.75" customHeight="1">
      <c r="A10" s="199" t="s">
        <v>166</v>
      </c>
      <c r="B10" s="28" t="s">
        <v>9</v>
      </c>
      <c r="C10" s="200" t="s">
        <v>10</v>
      </c>
      <c r="D10" s="201"/>
      <c r="E10" s="28">
        <v>39.619999999999997</v>
      </c>
      <c r="F10" s="88">
        <v>3953</v>
      </c>
      <c r="G10" s="88">
        <f t="shared" ref="G10:G11" si="11">E10*F10</f>
        <v>156617.85999999999</v>
      </c>
      <c r="H10" s="30" t="s">
        <v>53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1" si="12">F10/V10*60</f>
        <v>1437.4545454545455</v>
      </c>
      <c r="N10" s="12">
        <f t="shared" si="3"/>
        <v>75.655502392344502</v>
      </c>
      <c r="O10" s="14">
        <f t="shared" si="4"/>
        <v>0</v>
      </c>
      <c r="P10" s="15">
        <f t="shared" si="5"/>
        <v>-3.2918660287081281</v>
      </c>
      <c r="Q10" s="91">
        <f t="shared" si="6"/>
        <v>0.95830303030303032</v>
      </c>
      <c r="R10" s="177">
        <f>Q12</f>
        <v>0.95653246753246768</v>
      </c>
      <c r="S10" s="21">
        <v>0.20833333333333334</v>
      </c>
      <c r="T10" s="21">
        <v>0.32291666666666669</v>
      </c>
      <c r="U10" s="88"/>
      <c r="V10" s="30">
        <f t="shared" ref="V10:V11" si="13">(T10-S10)*24*60</f>
        <v>165</v>
      </c>
      <c r="W10" s="16"/>
      <c r="X10" s="16"/>
      <c r="Y10" s="16"/>
      <c r="Z10" s="16"/>
      <c r="AA10" s="168"/>
      <c r="AB10" s="168"/>
      <c r="AC10" s="18">
        <v>2</v>
      </c>
      <c r="AD10" s="18"/>
      <c r="AE10" s="14">
        <f t="shared" si="8"/>
        <v>-62.545454545454504</v>
      </c>
      <c r="AF10" s="91">
        <f t="shared" si="9"/>
        <v>0.95830303030303032</v>
      </c>
      <c r="AG10" s="177">
        <f>AF12</f>
        <v>0.95653246753246757</v>
      </c>
    </row>
    <row r="11" spans="1:33" ht="15.75" customHeight="1">
      <c r="A11" s="199" t="s">
        <v>166</v>
      </c>
      <c r="B11" s="28" t="s">
        <v>9</v>
      </c>
      <c r="C11" s="200" t="s">
        <v>11</v>
      </c>
      <c r="D11" s="201"/>
      <c r="E11" s="28">
        <v>39.799999999999997</v>
      </c>
      <c r="F11" s="88">
        <v>6015</v>
      </c>
      <c r="G11" s="88">
        <f t="shared" si="11"/>
        <v>239396.99999999997</v>
      </c>
      <c r="H11" s="30" t="s">
        <v>53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1432.1428571428573</v>
      </c>
      <c r="N11" s="12">
        <f t="shared" si="3"/>
        <v>84.243697478991606</v>
      </c>
      <c r="O11" s="14">
        <f t="shared" si="4"/>
        <v>0</v>
      </c>
      <c r="P11" s="15">
        <f t="shared" si="5"/>
        <v>-3.9915966386554516</v>
      </c>
      <c r="Q11" s="91">
        <f t="shared" si="6"/>
        <v>0.95476190476190492</v>
      </c>
      <c r="R11" s="177"/>
      <c r="S11" s="21">
        <v>0.32777777777777778</v>
      </c>
      <c r="T11" s="21">
        <v>0.50277777777777777</v>
      </c>
      <c r="U11" s="88">
        <f t="shared" ref="U11" si="14">IF(S11=TIME(17,0,0),"",(S11-T10)*24*60)</f>
        <v>6.9999999999999751</v>
      </c>
      <c r="V11" s="30">
        <f t="shared" si="13"/>
        <v>251.99999999999994</v>
      </c>
      <c r="W11" s="16"/>
      <c r="X11" s="16"/>
      <c r="Y11" s="16"/>
      <c r="Z11" s="16"/>
      <c r="AA11" s="168"/>
      <c r="AB11" s="168"/>
      <c r="AC11" s="18"/>
      <c r="AD11" s="18"/>
      <c r="AE11" s="14">
        <f t="shared" si="8"/>
        <v>-67.857142857142662</v>
      </c>
      <c r="AF11" s="91">
        <f t="shared" si="9"/>
        <v>0.95476190476190492</v>
      </c>
      <c r="AG11" s="177"/>
    </row>
    <row r="12" spans="1:33" ht="16.5" customHeight="1">
      <c r="A12" s="199" t="s">
        <v>166</v>
      </c>
      <c r="B12" s="28" t="s">
        <v>168</v>
      </c>
      <c r="C12" s="178"/>
      <c r="D12" s="178"/>
      <c r="E12" s="92"/>
      <c r="F12" s="13"/>
      <c r="G12" s="13"/>
      <c r="H12" s="88"/>
      <c r="I12" s="23">
        <v>18</v>
      </c>
      <c r="J12" s="13">
        <v>1500</v>
      </c>
      <c r="K12" s="12">
        <f t="shared" si="1"/>
        <v>83.333333333333329</v>
      </c>
      <c r="L12" s="23">
        <v>18</v>
      </c>
      <c r="M12" s="13">
        <f>AVERAGE(M10:M11)</f>
        <v>1434.7987012987014</v>
      </c>
      <c r="N12" s="12">
        <f t="shared" si="3"/>
        <v>79.711038961038966</v>
      </c>
      <c r="O12" s="14">
        <f t="shared" si="4"/>
        <v>0</v>
      </c>
      <c r="P12" s="15">
        <f t="shared" si="5"/>
        <v>-3.6222943722943626</v>
      </c>
      <c r="Q12" s="91">
        <f t="shared" si="6"/>
        <v>0.95653246753246768</v>
      </c>
      <c r="R12" s="177"/>
      <c r="S12" s="21"/>
      <c r="T12" s="21"/>
      <c r="U12" s="12"/>
      <c r="V12" s="30"/>
      <c r="W12" s="12"/>
      <c r="X12" s="12"/>
      <c r="Y12" s="24">
        <f>SUM(Y10:Y11)</f>
        <v>0</v>
      </c>
      <c r="Z12" s="24">
        <f>SUM(Z10:Z11)</f>
        <v>0</v>
      </c>
      <c r="AA12" s="167"/>
      <c r="AB12" s="167"/>
      <c r="AC12" s="24">
        <v>2</v>
      </c>
      <c r="AD12" s="24">
        <f>SUM(AD10:AD11)</f>
        <v>0</v>
      </c>
      <c r="AE12" s="14">
        <f t="shared" si="8"/>
        <v>-65.201298701298583</v>
      </c>
      <c r="AF12" s="91">
        <f t="shared" si="9"/>
        <v>0.95653246753246757</v>
      </c>
      <c r="AG12" s="177"/>
    </row>
    <row r="13" spans="1:33" ht="16.5" customHeight="1">
      <c r="A13" s="197" t="s">
        <v>1357</v>
      </c>
      <c r="B13" s="88" t="s">
        <v>12</v>
      </c>
      <c r="C13" s="193" t="s">
        <v>13</v>
      </c>
      <c r="D13" s="193"/>
      <c r="E13" s="28">
        <v>41</v>
      </c>
      <c r="F13" s="88">
        <v>1629</v>
      </c>
      <c r="G13" s="88">
        <f t="shared" ref="G13:G16" si="15">E13*F13</f>
        <v>66789</v>
      </c>
      <c r="H13" s="30" t="s">
        <v>53</v>
      </c>
      <c r="I13" s="95">
        <v>26</v>
      </c>
      <c r="J13" s="13">
        <v>1500</v>
      </c>
      <c r="K13" s="12">
        <f t="shared" si="1"/>
        <v>57.692307692307693</v>
      </c>
      <c r="L13" s="95">
        <v>26</v>
      </c>
      <c r="M13" s="13">
        <f t="shared" ref="M13:M16" si="16">F13/V13*60</f>
        <v>1437.3529411764714</v>
      </c>
      <c r="N13" s="12">
        <f t="shared" si="3"/>
        <v>55.282805429864283</v>
      </c>
      <c r="O13" s="14">
        <f t="shared" si="4"/>
        <v>0</v>
      </c>
      <c r="P13" s="15">
        <f t="shared" si="5"/>
        <v>-2.4095022624434108</v>
      </c>
      <c r="Q13" s="91">
        <f t="shared" si="6"/>
        <v>0.95823529411764752</v>
      </c>
      <c r="R13" s="177">
        <f>Q17</f>
        <v>0.95716943439367375</v>
      </c>
      <c r="S13" s="21">
        <v>0.20833333333333334</v>
      </c>
      <c r="T13" s="21">
        <v>0.25555555555555554</v>
      </c>
      <c r="U13" s="88"/>
      <c r="V13" s="30">
        <f t="shared" ref="V13:V16" si="17">(T13-S13)*24*60</f>
        <v>67.999999999999957</v>
      </c>
      <c r="W13" s="21"/>
      <c r="X13" s="21"/>
      <c r="Y13" s="21"/>
      <c r="Z13" s="21"/>
      <c r="AA13" s="168"/>
      <c r="AB13" s="168"/>
      <c r="AC13" s="18">
        <v>4</v>
      </c>
      <c r="AD13" s="18"/>
      <c r="AE13" s="14">
        <f t="shared" si="8"/>
        <v>-62.647058823528596</v>
      </c>
      <c r="AF13" s="91">
        <f t="shared" si="9"/>
        <v>0.95823529411764763</v>
      </c>
      <c r="AG13" s="177">
        <f>AF17</f>
        <v>0.95716943439367375</v>
      </c>
    </row>
    <row r="14" spans="1:33" ht="16.5" customHeight="1">
      <c r="A14" s="198" t="s">
        <v>1357</v>
      </c>
      <c r="B14" s="88" t="s">
        <v>5</v>
      </c>
      <c r="C14" s="193" t="s">
        <v>20</v>
      </c>
      <c r="D14" s="193"/>
      <c r="E14" s="28">
        <v>53.68</v>
      </c>
      <c r="F14" s="88">
        <v>1108</v>
      </c>
      <c r="G14" s="88">
        <f t="shared" si="15"/>
        <v>59477.440000000002</v>
      </c>
      <c r="H14" s="30" t="s">
        <v>53</v>
      </c>
      <c r="I14" s="95">
        <v>16</v>
      </c>
      <c r="J14" s="13">
        <v>1500</v>
      </c>
      <c r="K14" s="12">
        <f t="shared" si="1"/>
        <v>93.75</v>
      </c>
      <c r="L14" s="95">
        <v>16</v>
      </c>
      <c r="M14" s="13">
        <f t="shared" si="16"/>
        <v>1445.2173913043478</v>
      </c>
      <c r="N14" s="12">
        <f t="shared" si="3"/>
        <v>90.326086956521735</v>
      </c>
      <c r="O14" s="14">
        <f t="shared" si="4"/>
        <v>0</v>
      </c>
      <c r="P14" s="15">
        <f t="shared" si="5"/>
        <v>-3.4239130434782652</v>
      </c>
      <c r="Q14" s="91">
        <f t="shared" si="6"/>
        <v>0.96347826086956512</v>
      </c>
      <c r="R14" s="177"/>
      <c r="S14" s="21">
        <v>0.70833333333333337</v>
      </c>
      <c r="T14" s="21">
        <v>0.74027777777777781</v>
      </c>
      <c r="U14" s="88" t="str">
        <f t="shared" ref="U14:U16" si="18">IF(S14=TIME(17,0,0),"",(S14-T13)*24*60)</f>
        <v/>
      </c>
      <c r="V14" s="30">
        <f t="shared" si="17"/>
        <v>46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8"/>
        <v>-54.782608695652243</v>
      </c>
      <c r="AF14" s="91">
        <f t="shared" si="9"/>
        <v>0.96347826086956512</v>
      </c>
      <c r="AG14" s="177"/>
    </row>
    <row r="15" spans="1:33" ht="16.5" customHeight="1">
      <c r="A15" s="198" t="s">
        <v>1357</v>
      </c>
      <c r="B15" s="88" t="s">
        <v>5</v>
      </c>
      <c r="C15" s="193" t="s">
        <v>15</v>
      </c>
      <c r="D15" s="193"/>
      <c r="E15" s="28">
        <v>50.92</v>
      </c>
      <c r="F15" s="88">
        <v>1973</v>
      </c>
      <c r="G15" s="88">
        <f t="shared" si="15"/>
        <v>100465.16</v>
      </c>
      <c r="H15" s="30" t="s">
        <v>53</v>
      </c>
      <c r="I15" s="95">
        <v>15</v>
      </c>
      <c r="J15" s="13">
        <v>2000</v>
      </c>
      <c r="K15" s="12">
        <f t="shared" si="1"/>
        <v>133.33333333333334</v>
      </c>
      <c r="L15" s="95">
        <v>15</v>
      </c>
      <c r="M15" s="13">
        <f t="shared" si="16"/>
        <v>1909.3548387096791</v>
      </c>
      <c r="N15" s="12">
        <f t="shared" si="3"/>
        <v>127.29032258064528</v>
      </c>
      <c r="O15" s="14">
        <f t="shared" si="4"/>
        <v>0</v>
      </c>
      <c r="P15" s="15">
        <f t="shared" si="5"/>
        <v>-6.0430107526880619</v>
      </c>
      <c r="Q15" s="91">
        <f t="shared" si="6"/>
        <v>0.95467741935483952</v>
      </c>
      <c r="R15" s="177"/>
      <c r="S15" s="21">
        <v>0.74444444444444446</v>
      </c>
      <c r="T15" s="21">
        <v>0.78749999999999998</v>
      </c>
      <c r="U15" s="88">
        <f t="shared" si="18"/>
        <v>5.9999999999999787</v>
      </c>
      <c r="V15" s="30">
        <f t="shared" si="17"/>
        <v>61.999999999999943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-90.645161290320857</v>
      </c>
      <c r="AF15" s="91">
        <f t="shared" si="9"/>
        <v>0.95467741935483952</v>
      </c>
      <c r="AG15" s="177"/>
    </row>
    <row r="16" spans="1:33" ht="16.5" customHeight="1">
      <c r="A16" s="198" t="s">
        <v>1357</v>
      </c>
      <c r="B16" s="88" t="s">
        <v>5</v>
      </c>
      <c r="C16" s="193" t="s">
        <v>21</v>
      </c>
      <c r="D16" s="193"/>
      <c r="E16" s="28">
        <v>57.3</v>
      </c>
      <c r="F16" s="88">
        <v>1463</v>
      </c>
      <c r="G16" s="88">
        <f t="shared" si="15"/>
        <v>83829.899999999994</v>
      </c>
      <c r="H16" s="30" t="s">
        <v>53</v>
      </c>
      <c r="I16" s="95">
        <v>13</v>
      </c>
      <c r="J16" s="13">
        <v>2000</v>
      </c>
      <c r="K16" s="12">
        <f t="shared" si="1"/>
        <v>153.84615384615384</v>
      </c>
      <c r="L16" s="95">
        <v>13</v>
      </c>
      <c r="M16" s="13">
        <f t="shared" si="16"/>
        <v>1908.2608695652175</v>
      </c>
      <c r="N16" s="12">
        <f t="shared" si="3"/>
        <v>146.78929765886289</v>
      </c>
      <c r="O16" s="14">
        <f t="shared" si="4"/>
        <v>0</v>
      </c>
      <c r="P16" s="15">
        <f t="shared" si="5"/>
        <v>-7.056856187290947</v>
      </c>
      <c r="Q16" s="91">
        <f t="shared" si="6"/>
        <v>0.95413043478260884</v>
      </c>
      <c r="R16" s="177"/>
      <c r="S16" s="21">
        <v>0.79097222222222219</v>
      </c>
      <c r="T16" s="21">
        <v>0.82291666666666663</v>
      </c>
      <c r="U16" s="88">
        <f t="shared" si="18"/>
        <v>4.9999999999999822</v>
      </c>
      <c r="V16" s="30">
        <f t="shared" si="17"/>
        <v>46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-91.73913043478251</v>
      </c>
      <c r="AF16" s="91">
        <f t="shared" si="9"/>
        <v>0.95413043478260873</v>
      </c>
      <c r="AG16" s="177"/>
    </row>
    <row r="17" spans="1:33" ht="16.5" customHeight="1">
      <c r="A17" s="198" t="s">
        <v>1357</v>
      </c>
      <c r="B17" s="28" t="s">
        <v>168</v>
      </c>
      <c r="C17" s="178"/>
      <c r="D17" s="178"/>
      <c r="E17" s="92"/>
      <c r="F17" s="12"/>
      <c r="G17" s="12"/>
      <c r="H17" s="88"/>
      <c r="I17" s="23">
        <v>17.5</v>
      </c>
      <c r="J17" s="13">
        <v>1750</v>
      </c>
      <c r="K17" s="12">
        <f t="shared" si="1"/>
        <v>100</v>
      </c>
      <c r="L17" s="23">
        <v>17.5</v>
      </c>
      <c r="M17" s="13">
        <f>AVERAGE(M13:M16)</f>
        <v>1675.046510188929</v>
      </c>
      <c r="N17" s="12">
        <f t="shared" si="3"/>
        <v>95.71694343936737</v>
      </c>
      <c r="O17" s="14">
        <f t="shared" si="4"/>
        <v>0</v>
      </c>
      <c r="P17" s="15">
        <f t="shared" si="5"/>
        <v>-4.2830565606326303</v>
      </c>
      <c r="Q17" s="91">
        <f t="shared" si="6"/>
        <v>0.95716943439367375</v>
      </c>
      <c r="R17" s="177"/>
      <c r="S17" s="21"/>
      <c r="T17" s="21"/>
      <c r="U17" s="88"/>
      <c r="V17" s="30"/>
      <c r="W17" s="12"/>
      <c r="X17" s="12"/>
      <c r="Y17" s="24">
        <f>SUM(Y13:Y16)</f>
        <v>0</v>
      </c>
      <c r="Z17" s="24">
        <f>SUM(Z13:Z16)</f>
        <v>0</v>
      </c>
      <c r="AA17" s="167"/>
      <c r="AB17" s="167"/>
      <c r="AC17" s="24">
        <v>4</v>
      </c>
      <c r="AD17" s="24">
        <f>SUM(AD13:AD16)</f>
        <v>0</v>
      </c>
      <c r="AE17" s="14">
        <f t="shared" si="8"/>
        <v>-74.953489811070995</v>
      </c>
      <c r="AF17" s="91">
        <f t="shared" si="9"/>
        <v>0.95716943439367375</v>
      </c>
      <c r="AG17" s="177"/>
    </row>
    <row r="18" spans="1:33" ht="15.75" customHeight="1">
      <c r="A18" s="195" t="s">
        <v>1273</v>
      </c>
      <c r="B18" s="28" t="s">
        <v>5</v>
      </c>
      <c r="C18" s="193" t="s">
        <v>17</v>
      </c>
      <c r="D18" s="193"/>
      <c r="E18" s="28">
        <v>57.73</v>
      </c>
      <c r="F18" s="88">
        <v>1940</v>
      </c>
      <c r="G18" s="88">
        <f t="shared" ref="G18:G22" si="19">E18*F18</f>
        <v>111996.2</v>
      </c>
      <c r="H18" s="30" t="s">
        <v>53</v>
      </c>
      <c r="I18" s="95">
        <v>14</v>
      </c>
      <c r="J18" s="13">
        <v>2000</v>
      </c>
      <c r="K18" s="12">
        <f t="shared" si="1"/>
        <v>142.85714285714286</v>
      </c>
      <c r="L18" s="95">
        <v>14</v>
      </c>
      <c r="M18" s="13">
        <f t="shared" ref="M18:M22" si="20">F18/V18*60</f>
        <v>1908.1967213114747</v>
      </c>
      <c r="N18" s="12">
        <f t="shared" si="3"/>
        <v>136.29976580796247</v>
      </c>
      <c r="O18" s="14">
        <f t="shared" si="4"/>
        <v>0</v>
      </c>
      <c r="P18" s="15">
        <f t="shared" si="5"/>
        <v>-6.5573770491803884</v>
      </c>
      <c r="Q18" s="91">
        <f t="shared" si="6"/>
        <v>0.95409836065573728</v>
      </c>
      <c r="R18" s="177">
        <f>Q23</f>
        <v>0.96220920713574387</v>
      </c>
      <c r="S18" s="21">
        <v>0.29166666666666669</v>
      </c>
      <c r="T18" s="21">
        <v>0.33402777777777781</v>
      </c>
      <c r="U18" s="88"/>
      <c r="V18" s="30">
        <f t="shared" ref="V18:V22" si="21">(T18-S18)*24*60</f>
        <v>61.000000000000021</v>
      </c>
      <c r="W18" s="21"/>
      <c r="X18" s="21"/>
      <c r="Y18" s="21"/>
      <c r="Z18" s="21"/>
      <c r="AA18" s="168"/>
      <c r="AB18" s="168"/>
      <c r="AC18" s="18">
        <v>5</v>
      </c>
      <c r="AD18" s="18"/>
      <c r="AE18" s="14">
        <f t="shared" si="8"/>
        <v>-91.803278688525324</v>
      </c>
      <c r="AF18" s="91">
        <f t="shared" si="9"/>
        <v>0.95409836065573739</v>
      </c>
      <c r="AG18" s="177">
        <f>AF23</f>
        <v>0.96220920713574376</v>
      </c>
    </row>
    <row r="19" spans="1:33" ht="15.75" customHeight="1">
      <c r="A19" s="196" t="s">
        <v>1273</v>
      </c>
      <c r="B19" s="28" t="s">
        <v>5</v>
      </c>
      <c r="C19" s="193" t="s">
        <v>18</v>
      </c>
      <c r="D19" s="193"/>
      <c r="E19" s="28">
        <v>53.68</v>
      </c>
      <c r="F19" s="88">
        <v>1014</v>
      </c>
      <c r="G19" s="88">
        <f t="shared" si="19"/>
        <v>54431.519999999997</v>
      </c>
      <c r="H19" s="30" t="s">
        <v>53</v>
      </c>
      <c r="I19" s="95">
        <v>16</v>
      </c>
      <c r="J19" s="13">
        <v>2000</v>
      </c>
      <c r="K19" s="12">
        <f t="shared" si="1"/>
        <v>125</v>
      </c>
      <c r="L19" s="95">
        <v>16</v>
      </c>
      <c r="M19" s="13">
        <f t="shared" si="20"/>
        <v>1962.5806451612921</v>
      </c>
      <c r="N19" s="12">
        <f t="shared" si="3"/>
        <v>122.66129032258075</v>
      </c>
      <c r="O19" s="14">
        <f t="shared" si="4"/>
        <v>0</v>
      </c>
      <c r="P19" s="15">
        <f t="shared" si="5"/>
        <v>-2.3387096774192457</v>
      </c>
      <c r="Q19" s="91">
        <f t="shared" si="6"/>
        <v>0.98129032258064608</v>
      </c>
      <c r="R19" s="177"/>
      <c r="S19" s="21">
        <v>0.33750000000000002</v>
      </c>
      <c r="T19" s="21">
        <v>0.35902777777777778</v>
      </c>
      <c r="U19" s="88">
        <f t="shared" ref="U19:U22" si="22">IF(S19=TIME(17,0,0),"",(S19-T18)*24*60)</f>
        <v>4.9999999999999822</v>
      </c>
      <c r="V19" s="30">
        <f t="shared" si="21"/>
        <v>30.999999999999972</v>
      </c>
      <c r="W19" s="16"/>
      <c r="X19" s="88"/>
      <c r="Y19" s="88"/>
      <c r="Z19" s="88"/>
      <c r="AA19" s="168"/>
      <c r="AB19" s="168"/>
      <c r="AC19" s="18"/>
      <c r="AD19" s="18"/>
      <c r="AE19" s="14">
        <f t="shared" si="8"/>
        <v>-37.419354838707932</v>
      </c>
      <c r="AF19" s="91">
        <f t="shared" si="9"/>
        <v>0.98129032258064608</v>
      </c>
      <c r="AG19" s="177"/>
    </row>
    <row r="20" spans="1:33" ht="15.75" customHeight="1">
      <c r="A20" s="196" t="s">
        <v>1273</v>
      </c>
      <c r="B20" s="28" t="s">
        <v>5</v>
      </c>
      <c r="C20" s="193" t="s">
        <v>73</v>
      </c>
      <c r="D20" s="193"/>
      <c r="E20" s="28">
        <v>50.67</v>
      </c>
      <c r="F20" s="88">
        <v>2143</v>
      </c>
      <c r="G20" s="88">
        <f t="shared" si="19"/>
        <v>108585.81</v>
      </c>
      <c r="H20" s="30" t="s">
        <v>53</v>
      </c>
      <c r="I20" s="95">
        <v>17</v>
      </c>
      <c r="J20" s="13">
        <v>2000</v>
      </c>
      <c r="K20" s="12">
        <f t="shared" si="1"/>
        <v>117.64705882352941</v>
      </c>
      <c r="L20" s="95">
        <v>17</v>
      </c>
      <c r="M20" s="13">
        <f t="shared" si="20"/>
        <v>1919.1044776119402</v>
      </c>
      <c r="N20" s="12">
        <f t="shared" si="3"/>
        <v>112.8884986830553</v>
      </c>
      <c r="O20" s="14">
        <f t="shared" si="4"/>
        <v>0</v>
      </c>
      <c r="P20" s="15">
        <f t="shared" si="5"/>
        <v>-4.7585601404741027</v>
      </c>
      <c r="Q20" s="91">
        <f t="shared" si="6"/>
        <v>0.95955223880597007</v>
      </c>
      <c r="R20" s="177"/>
      <c r="S20" s="21">
        <v>0.36249999999999999</v>
      </c>
      <c r="T20" s="21">
        <v>0.40902777777777777</v>
      </c>
      <c r="U20" s="88">
        <f t="shared" si="22"/>
        <v>4.9999999999999822</v>
      </c>
      <c r="V20" s="30">
        <f t="shared" si="21"/>
        <v>67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-80.895522388059817</v>
      </c>
      <c r="AF20" s="91">
        <f t="shared" si="9"/>
        <v>0.95955223880597007</v>
      </c>
      <c r="AG20" s="177"/>
    </row>
    <row r="21" spans="1:33" ht="15.75" customHeight="1">
      <c r="A21" s="196" t="s">
        <v>1273</v>
      </c>
      <c r="B21" s="28" t="s">
        <v>5</v>
      </c>
      <c r="C21" s="193" t="s">
        <v>19</v>
      </c>
      <c r="D21" s="193"/>
      <c r="E21" s="28">
        <v>50.49</v>
      </c>
      <c r="F21" s="88">
        <v>1752</v>
      </c>
      <c r="G21" s="88">
        <f t="shared" si="19"/>
        <v>88458.48000000001</v>
      </c>
      <c r="H21" s="30" t="s">
        <v>53</v>
      </c>
      <c r="I21" s="95">
        <v>15</v>
      </c>
      <c r="J21" s="13">
        <v>2000</v>
      </c>
      <c r="K21" s="12">
        <f t="shared" si="1"/>
        <v>133.33333333333334</v>
      </c>
      <c r="L21" s="95">
        <v>15</v>
      </c>
      <c r="M21" s="13">
        <f t="shared" si="20"/>
        <v>1911.2727272727286</v>
      </c>
      <c r="N21" s="12">
        <f t="shared" si="3"/>
        <v>127.41818181818191</v>
      </c>
      <c r="O21" s="14">
        <f t="shared" si="4"/>
        <v>0</v>
      </c>
      <c r="P21" s="15">
        <f t="shared" si="5"/>
        <v>-5.915151515151436</v>
      </c>
      <c r="Q21" s="91">
        <f t="shared" si="6"/>
        <v>0.95563636363636428</v>
      </c>
      <c r="R21" s="177"/>
      <c r="S21" s="21">
        <v>0.70833333333333337</v>
      </c>
      <c r="T21" s="21">
        <v>0.74652777777777779</v>
      </c>
      <c r="U21" s="88" t="str">
        <f t="shared" si="22"/>
        <v/>
      </c>
      <c r="V21" s="30">
        <f t="shared" si="21"/>
        <v>54.999999999999964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8"/>
        <v>-88.727272727271384</v>
      </c>
      <c r="AF21" s="91">
        <f t="shared" si="9"/>
        <v>0.95563636363636428</v>
      </c>
      <c r="AG21" s="177"/>
    </row>
    <row r="22" spans="1:33" ht="15.75" customHeight="1">
      <c r="A22" s="196" t="s">
        <v>1273</v>
      </c>
      <c r="B22" s="28" t="s">
        <v>5</v>
      </c>
      <c r="C22" s="193" t="s">
        <v>14</v>
      </c>
      <c r="D22" s="193"/>
      <c r="E22" s="28">
        <v>50.98</v>
      </c>
      <c r="F22" s="88">
        <v>2049</v>
      </c>
      <c r="G22" s="88">
        <f t="shared" si="19"/>
        <v>104458.01999999999</v>
      </c>
      <c r="H22" s="30" t="s">
        <v>53</v>
      </c>
      <c r="I22" s="95">
        <v>16</v>
      </c>
      <c r="J22" s="13">
        <v>2000</v>
      </c>
      <c r="K22" s="12">
        <f t="shared" si="1"/>
        <v>125</v>
      </c>
      <c r="L22" s="95">
        <v>16</v>
      </c>
      <c r="M22" s="13">
        <f t="shared" si="20"/>
        <v>1920.937500000002</v>
      </c>
      <c r="N22" s="12">
        <f t="shared" si="3"/>
        <v>120.05859375000013</v>
      </c>
      <c r="O22" s="14">
        <f t="shared" si="4"/>
        <v>0</v>
      </c>
      <c r="P22" s="15">
        <f t="shared" si="5"/>
        <v>-4.9414062499998721</v>
      </c>
      <c r="Q22" s="91">
        <f t="shared" si="6"/>
        <v>0.96046875000000098</v>
      </c>
      <c r="R22" s="177"/>
      <c r="S22" s="21">
        <v>0.75069444444444444</v>
      </c>
      <c r="T22" s="21">
        <v>0.79513888888888884</v>
      </c>
      <c r="U22" s="88">
        <f t="shared" si="22"/>
        <v>5.9999999999999787</v>
      </c>
      <c r="V22" s="30">
        <f t="shared" si="21"/>
        <v>63.999999999999929</v>
      </c>
      <c r="W22" s="16"/>
      <c r="X22" s="16"/>
      <c r="Y22" s="88"/>
      <c r="Z22" s="88"/>
      <c r="AA22" s="168"/>
      <c r="AB22" s="168"/>
      <c r="AC22" s="18"/>
      <c r="AD22" s="18"/>
      <c r="AE22" s="14">
        <f t="shared" si="8"/>
        <v>-79.062499999997954</v>
      </c>
      <c r="AF22" s="91">
        <f t="shared" si="9"/>
        <v>0.96046875000000098</v>
      </c>
      <c r="AG22" s="177"/>
    </row>
    <row r="23" spans="1:33" ht="15.75" customHeight="1">
      <c r="A23" s="196" t="s">
        <v>1273</v>
      </c>
      <c r="B23" s="28" t="s">
        <v>168</v>
      </c>
      <c r="C23" s="178"/>
      <c r="D23" s="178"/>
      <c r="E23" s="92"/>
      <c r="F23" s="88"/>
      <c r="G23" s="88"/>
      <c r="H23" s="88"/>
      <c r="I23" s="23">
        <v>15.6</v>
      </c>
      <c r="J23" s="13">
        <v>2000</v>
      </c>
      <c r="K23" s="12">
        <f t="shared" si="1"/>
        <v>128.2051282051282</v>
      </c>
      <c r="L23" s="23">
        <v>15.6</v>
      </c>
      <c r="M23" s="13">
        <f>AVERAGE(M18:M22)</f>
        <v>1924.4184142714876</v>
      </c>
      <c r="N23" s="12">
        <f t="shared" si="3"/>
        <v>123.3601547609928</v>
      </c>
      <c r="O23" s="14">
        <f t="shared" si="4"/>
        <v>0</v>
      </c>
      <c r="P23" s="15">
        <f t="shared" si="5"/>
        <v>-4.8449734441354053</v>
      </c>
      <c r="Q23" s="91">
        <f t="shared" si="6"/>
        <v>0.96220920713574387</v>
      </c>
      <c r="R23" s="177"/>
      <c r="S23" s="21"/>
      <c r="T23" s="21"/>
      <c r="U23" s="12"/>
      <c r="V23" s="30"/>
      <c r="W23" s="12"/>
      <c r="X23" s="12"/>
      <c r="Y23" s="24">
        <f>SUM(Y18:Y22)</f>
        <v>0</v>
      </c>
      <c r="Z23" s="24">
        <f>SUM(Z18:Z22)</f>
        <v>0</v>
      </c>
      <c r="AA23" s="167"/>
      <c r="AB23" s="167"/>
      <c r="AC23" s="24">
        <v>5</v>
      </c>
      <c r="AD23" s="24">
        <f>SUM(AD18:AD22)</f>
        <v>0</v>
      </c>
      <c r="AE23" s="14">
        <f t="shared" si="8"/>
        <v>-75.581585728512437</v>
      </c>
      <c r="AF23" s="91">
        <f t="shared" si="9"/>
        <v>0.96220920713574376</v>
      </c>
      <c r="AG23" s="177"/>
    </row>
    <row r="24" spans="1:33" ht="15.75" customHeight="1">
      <c r="A24" s="194" t="s">
        <v>1362</v>
      </c>
      <c r="B24" s="28" t="s">
        <v>22</v>
      </c>
      <c r="C24" s="193" t="s">
        <v>23</v>
      </c>
      <c r="D24" s="193"/>
      <c r="E24" s="28">
        <v>31.29</v>
      </c>
      <c r="F24" s="88">
        <v>8079</v>
      </c>
      <c r="G24" s="88">
        <f t="shared" ref="G24:G28" si="23">E24*F24</f>
        <v>252791.91</v>
      </c>
      <c r="H24" s="30" t="s">
        <v>53</v>
      </c>
      <c r="I24" s="95">
        <v>18</v>
      </c>
      <c r="J24" s="13">
        <v>2400</v>
      </c>
      <c r="K24" s="12">
        <f t="shared" si="1"/>
        <v>133.33333333333334</v>
      </c>
      <c r="L24" s="95">
        <v>18</v>
      </c>
      <c r="M24" s="13">
        <f t="shared" ref="M24:M28" si="24">F24/V24*60</f>
        <v>2286.5094339622633</v>
      </c>
      <c r="N24" s="12">
        <f t="shared" si="3"/>
        <v>127.02830188679241</v>
      </c>
      <c r="O24" s="14">
        <f t="shared" si="4"/>
        <v>0</v>
      </c>
      <c r="P24" s="15">
        <f t="shared" si="5"/>
        <v>-6.3050314465409372</v>
      </c>
      <c r="Q24" s="91">
        <f t="shared" si="6"/>
        <v>0.95271226415094301</v>
      </c>
      <c r="R24" s="177">
        <f>Q29</f>
        <v>0.95844990460171786</v>
      </c>
      <c r="S24" s="21">
        <v>8.3333333333333329E-2</v>
      </c>
      <c r="T24" s="21">
        <v>0.23055555555555557</v>
      </c>
      <c r="U24" s="88"/>
      <c r="V24" s="30">
        <f t="shared" ref="V24:V28" si="25">(T24-S24)*24*60</f>
        <v>212.00000000000006</v>
      </c>
      <c r="W24" s="16">
        <f>T24</f>
        <v>0.23055555555555557</v>
      </c>
      <c r="X24" s="16">
        <f>S25</f>
        <v>0.24930555555555556</v>
      </c>
      <c r="Y24" s="16"/>
      <c r="Z24" s="16"/>
      <c r="AA24" s="168"/>
      <c r="AB24" s="168"/>
      <c r="AC24" s="18">
        <v>5</v>
      </c>
      <c r="AD24" s="18"/>
      <c r="AE24" s="14">
        <f t="shared" si="8"/>
        <v>-113.4905660377367</v>
      </c>
      <c r="AF24" s="91">
        <f t="shared" si="9"/>
        <v>0.95271226415094301</v>
      </c>
      <c r="AG24" s="177">
        <f>AF29</f>
        <v>0.95844990460171786</v>
      </c>
    </row>
    <row r="25" spans="1:33" ht="15.75" customHeight="1">
      <c r="A25" s="194" t="s">
        <v>1362</v>
      </c>
      <c r="B25" s="28" t="s">
        <v>22</v>
      </c>
      <c r="C25" s="193" t="s">
        <v>24</v>
      </c>
      <c r="D25" s="193"/>
      <c r="E25" s="28">
        <v>25.98</v>
      </c>
      <c r="F25" s="88">
        <v>2686</v>
      </c>
      <c r="G25" s="88">
        <f t="shared" si="23"/>
        <v>69782.28</v>
      </c>
      <c r="H25" s="30" t="s">
        <v>53</v>
      </c>
      <c r="I25" s="95">
        <v>21</v>
      </c>
      <c r="J25" s="13">
        <v>2400</v>
      </c>
      <c r="K25" s="12">
        <f t="shared" si="1"/>
        <v>114.28571428571429</v>
      </c>
      <c r="L25" s="95">
        <v>21</v>
      </c>
      <c r="M25" s="13">
        <f t="shared" si="24"/>
        <v>2302.2857142857147</v>
      </c>
      <c r="N25" s="12">
        <f t="shared" si="3"/>
        <v>109.6326530612245</v>
      </c>
      <c r="O25" s="14">
        <f t="shared" si="4"/>
        <v>0</v>
      </c>
      <c r="P25" s="15">
        <f t="shared" si="5"/>
        <v>-4.6530612244897895</v>
      </c>
      <c r="Q25" s="91">
        <f t="shared" si="6"/>
        <v>0.9592857142857143</v>
      </c>
      <c r="R25" s="177"/>
      <c r="S25" s="21">
        <v>0.24930555555555556</v>
      </c>
      <c r="T25" s="21">
        <v>0.29791666666666666</v>
      </c>
      <c r="U25" s="88">
        <f t="shared" ref="U25:U28" si="26">(S25-T24)*24*60</f>
        <v>26.999999999999986</v>
      </c>
      <c r="V25" s="30">
        <f t="shared" si="25"/>
        <v>69.999999999999986</v>
      </c>
      <c r="W25" s="16"/>
      <c r="X25" s="16"/>
      <c r="Y25" s="16"/>
      <c r="Z25" s="16"/>
      <c r="AA25" s="168"/>
      <c r="AB25" s="168"/>
      <c r="AC25" s="18"/>
      <c r="AD25" s="18"/>
      <c r="AE25" s="14">
        <f t="shared" si="8"/>
        <v>-97.714285714285325</v>
      </c>
      <c r="AF25" s="91">
        <f t="shared" si="9"/>
        <v>0.95928571428571441</v>
      </c>
      <c r="AG25" s="177"/>
    </row>
    <row r="26" spans="1:33" ht="15.75" customHeight="1">
      <c r="A26" s="194" t="s">
        <v>1362</v>
      </c>
      <c r="B26" s="28" t="s">
        <v>22</v>
      </c>
      <c r="C26" s="193" t="s">
        <v>26</v>
      </c>
      <c r="D26" s="193"/>
      <c r="E26" s="28">
        <v>25.99</v>
      </c>
      <c r="F26" s="88">
        <v>3945</v>
      </c>
      <c r="G26" s="88">
        <f t="shared" si="23"/>
        <v>102530.54999999999</v>
      </c>
      <c r="H26" s="30" t="s">
        <v>53</v>
      </c>
      <c r="I26" s="95">
        <v>14</v>
      </c>
      <c r="J26" s="13">
        <v>2400</v>
      </c>
      <c r="K26" s="12">
        <f t="shared" si="1"/>
        <v>171.42857142857142</v>
      </c>
      <c r="L26" s="95">
        <v>14</v>
      </c>
      <c r="M26" s="13">
        <f t="shared" si="24"/>
        <v>2298.058252427184</v>
      </c>
      <c r="N26" s="12">
        <f t="shared" si="3"/>
        <v>164.14701803051315</v>
      </c>
      <c r="O26" s="14">
        <f t="shared" si="4"/>
        <v>0</v>
      </c>
      <c r="P26" s="15">
        <f t="shared" si="5"/>
        <v>-7.2815533980582643</v>
      </c>
      <c r="Q26" s="91">
        <f t="shared" si="6"/>
        <v>0.95752427184466016</v>
      </c>
      <c r="R26" s="177"/>
      <c r="S26" s="21">
        <v>0.30277777777777776</v>
      </c>
      <c r="T26" s="21">
        <v>0.37430555555555556</v>
      </c>
      <c r="U26" s="88">
        <f t="shared" si="26"/>
        <v>6.9999999999999751</v>
      </c>
      <c r="V26" s="30">
        <f t="shared" si="25"/>
        <v>103.00000000000003</v>
      </c>
      <c r="W26" s="16"/>
      <c r="X26" s="16"/>
      <c r="Y26" s="16"/>
      <c r="Z26" s="16"/>
      <c r="AA26" s="168"/>
      <c r="AB26" s="168"/>
      <c r="AC26" s="18"/>
      <c r="AD26" s="18"/>
      <c r="AE26" s="14">
        <f t="shared" si="8"/>
        <v>-101.94174757281598</v>
      </c>
      <c r="AF26" s="91">
        <f t="shared" si="9"/>
        <v>0.95752427184466005</v>
      </c>
      <c r="AG26" s="177"/>
    </row>
    <row r="27" spans="1:33" ht="15.75" customHeight="1">
      <c r="A27" s="194" t="s">
        <v>1362</v>
      </c>
      <c r="B27" s="28" t="s">
        <v>22</v>
      </c>
      <c r="C27" s="193" t="s">
        <v>27</v>
      </c>
      <c r="D27" s="193"/>
      <c r="E27" s="28">
        <v>26.18</v>
      </c>
      <c r="F27" s="88">
        <v>1277</v>
      </c>
      <c r="G27" s="88">
        <f t="shared" si="23"/>
        <v>33431.86</v>
      </c>
      <c r="H27" s="30" t="s">
        <v>53</v>
      </c>
      <c r="I27" s="95">
        <v>19</v>
      </c>
      <c r="J27" s="13">
        <v>2400</v>
      </c>
      <c r="K27" s="12">
        <f t="shared" si="1"/>
        <v>126.31578947368421</v>
      </c>
      <c r="L27" s="95">
        <v>19</v>
      </c>
      <c r="M27" s="13">
        <f t="shared" si="24"/>
        <v>2321.8181818181788</v>
      </c>
      <c r="N27" s="12">
        <f t="shared" si="3"/>
        <v>122.20095693779888</v>
      </c>
      <c r="O27" s="14">
        <f t="shared" si="4"/>
        <v>0</v>
      </c>
      <c r="P27" s="15">
        <f t="shared" si="5"/>
        <v>-4.114832535885327</v>
      </c>
      <c r="Q27" s="91">
        <f t="shared" si="6"/>
        <v>0.96742424242424119</v>
      </c>
      <c r="R27" s="177"/>
      <c r="S27" s="21">
        <v>0.37847222222222221</v>
      </c>
      <c r="T27" s="21">
        <v>0.40138888888888891</v>
      </c>
      <c r="U27" s="88">
        <f t="shared" si="26"/>
        <v>5.9999999999999787</v>
      </c>
      <c r="V27" s="30">
        <f t="shared" si="25"/>
        <v>33.000000000000043</v>
      </c>
      <c r="W27" s="16"/>
      <c r="X27" s="16"/>
      <c r="Y27" s="16"/>
      <c r="Z27" s="16"/>
      <c r="AA27" s="168"/>
      <c r="AB27" s="168"/>
      <c r="AC27" s="18"/>
      <c r="AD27" s="18"/>
      <c r="AE27" s="14">
        <f t="shared" si="8"/>
        <v>-78.1818181818212</v>
      </c>
      <c r="AF27" s="91">
        <f t="shared" si="9"/>
        <v>0.96742424242424119</v>
      </c>
      <c r="AG27" s="177"/>
    </row>
    <row r="28" spans="1:33" ht="15.75" customHeight="1">
      <c r="A28" s="194" t="s">
        <v>1362</v>
      </c>
      <c r="B28" s="28" t="s">
        <v>22</v>
      </c>
      <c r="C28" s="193" t="s">
        <v>25</v>
      </c>
      <c r="D28" s="193"/>
      <c r="E28" s="28">
        <v>26.2</v>
      </c>
      <c r="F28" s="88">
        <v>5044</v>
      </c>
      <c r="G28" s="88">
        <f t="shared" si="23"/>
        <v>132152.79999999999</v>
      </c>
      <c r="H28" s="30" t="s">
        <v>53</v>
      </c>
      <c r="I28" s="95">
        <v>20</v>
      </c>
      <c r="J28" s="13">
        <v>2400</v>
      </c>
      <c r="K28" s="12">
        <f t="shared" si="1"/>
        <v>120</v>
      </c>
      <c r="L28" s="95">
        <v>20</v>
      </c>
      <c r="M28" s="13">
        <f t="shared" si="24"/>
        <v>2292.7272727272725</v>
      </c>
      <c r="N28" s="12">
        <f t="shared" si="3"/>
        <v>114.63636363636363</v>
      </c>
      <c r="O28" s="14">
        <f t="shared" si="4"/>
        <v>0</v>
      </c>
      <c r="P28" s="15">
        <f t="shared" si="5"/>
        <v>-5.363636363636374</v>
      </c>
      <c r="Q28" s="91">
        <f t="shared" si="6"/>
        <v>0.95530303030303021</v>
      </c>
      <c r="R28" s="177"/>
      <c r="S28" s="21">
        <v>0.40555555555555556</v>
      </c>
      <c r="T28" s="21">
        <v>0.49722222222222223</v>
      </c>
      <c r="U28" s="88">
        <f t="shared" si="26"/>
        <v>5.9999999999999787</v>
      </c>
      <c r="V28" s="30">
        <f t="shared" si="25"/>
        <v>132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-107.27272727272748</v>
      </c>
      <c r="AF28" s="91">
        <f t="shared" si="9"/>
        <v>0.95530303030303021</v>
      </c>
      <c r="AG28" s="177"/>
    </row>
    <row r="29" spans="1:33" ht="15.75" customHeight="1">
      <c r="A29" s="194" t="s">
        <v>1362</v>
      </c>
      <c r="B29" s="28" t="s">
        <v>168</v>
      </c>
      <c r="C29" s="178"/>
      <c r="D29" s="178"/>
      <c r="E29" s="92"/>
      <c r="F29" s="88"/>
      <c r="G29" s="88"/>
      <c r="H29" s="88"/>
      <c r="I29" s="23">
        <v>18.399999999999999</v>
      </c>
      <c r="J29" s="13">
        <v>2400</v>
      </c>
      <c r="K29" s="12">
        <f t="shared" si="1"/>
        <v>130.43478260869566</v>
      </c>
      <c r="L29" s="23">
        <v>18.399999999999999</v>
      </c>
      <c r="M29" s="13">
        <f>AVERAGE(M24:M28)</f>
        <v>2300.2797710441228</v>
      </c>
      <c r="N29" s="12">
        <f t="shared" si="3"/>
        <v>125.01520494805015</v>
      </c>
      <c r="O29" s="14">
        <f t="shared" si="4"/>
        <v>0</v>
      </c>
      <c r="P29" s="15">
        <f t="shared" si="5"/>
        <v>-5.4195776606455013</v>
      </c>
      <c r="Q29" s="91">
        <f t="shared" si="6"/>
        <v>0.95844990460171786</v>
      </c>
      <c r="R29" s="177"/>
      <c r="S29" s="21"/>
      <c r="T29" s="21"/>
      <c r="U29" s="88"/>
      <c r="V29" s="30"/>
      <c r="W29" s="88"/>
      <c r="X29" s="88"/>
      <c r="Y29" s="24">
        <f>SUM(Y24:Y28)</f>
        <v>0</v>
      </c>
      <c r="Z29" s="24">
        <f>SUM(Z24:Z28)</f>
        <v>0</v>
      </c>
      <c r="AA29" s="167"/>
      <c r="AB29" s="167"/>
      <c r="AC29" s="24">
        <v>5</v>
      </c>
      <c r="AD29" s="24">
        <f>SUM(AD24:AD28)</f>
        <v>0</v>
      </c>
      <c r="AE29" s="14">
        <f t="shared" si="8"/>
        <v>-99.720228955877246</v>
      </c>
      <c r="AF29" s="91">
        <f t="shared" si="9"/>
        <v>0.95844990460171786</v>
      </c>
      <c r="AG29" s="177"/>
    </row>
    <row r="30" spans="1:33" ht="15.75" customHeight="1">
      <c r="A30" s="191" t="s">
        <v>268</v>
      </c>
      <c r="B30" s="28" t="s">
        <v>22</v>
      </c>
      <c r="C30" s="169" t="s">
        <v>28</v>
      </c>
      <c r="D30" s="169"/>
      <c r="E30" s="28">
        <v>26.2</v>
      </c>
      <c r="F30" s="88">
        <v>5981</v>
      </c>
      <c r="G30" s="88">
        <f t="shared" ref="G30:G34" si="27">E30*F30</f>
        <v>156702.19999999998</v>
      </c>
      <c r="H30" s="30" t="s">
        <v>53</v>
      </c>
      <c r="I30" s="95">
        <v>18</v>
      </c>
      <c r="J30" s="13">
        <v>2400</v>
      </c>
      <c r="K30" s="12">
        <f t="shared" si="1"/>
        <v>133.33333333333334</v>
      </c>
      <c r="L30" s="95">
        <v>18</v>
      </c>
      <c r="M30" s="13">
        <f t="shared" ref="M30:M34" si="28">F30/V30*60</f>
        <v>2285.7324840764336</v>
      </c>
      <c r="N30" s="12">
        <f t="shared" si="3"/>
        <v>126.98513800424631</v>
      </c>
      <c r="O30" s="14">
        <f t="shared" si="4"/>
        <v>0</v>
      </c>
      <c r="P30" s="15">
        <f t="shared" si="5"/>
        <v>-6.3481953290870337</v>
      </c>
      <c r="Q30" s="91">
        <f t="shared" si="6"/>
        <v>0.95238853503184728</v>
      </c>
      <c r="R30" s="177">
        <f>Q35</f>
        <v>0.95396712499578751</v>
      </c>
      <c r="S30" s="21">
        <v>8.3333333333333329E-2</v>
      </c>
      <c r="T30" s="21">
        <v>0.19236111111111109</v>
      </c>
      <c r="U30" s="88"/>
      <c r="V30" s="30">
        <f t="shared" ref="V30:V34" si="29">(T30-S30)*24*60</f>
        <v>156.99999999999997</v>
      </c>
      <c r="W30" s="21">
        <f>T30</f>
        <v>0.19236111111111109</v>
      </c>
      <c r="X30" s="21">
        <f>S31</f>
        <v>0.21249999999999999</v>
      </c>
      <c r="Y30" s="21"/>
      <c r="Z30" s="21"/>
      <c r="AA30" s="168"/>
      <c r="AB30" s="168"/>
      <c r="AC30" s="18">
        <v>5</v>
      </c>
      <c r="AD30" s="18"/>
      <c r="AE30" s="14">
        <f t="shared" si="8"/>
        <v>-114.26751592356641</v>
      </c>
      <c r="AF30" s="91">
        <f t="shared" si="9"/>
        <v>0.95238853503184728</v>
      </c>
      <c r="AG30" s="177">
        <f>AF35</f>
        <v>0.95396712499578751</v>
      </c>
    </row>
    <row r="31" spans="1:33" ht="15.75" customHeight="1">
      <c r="A31" s="191" t="s">
        <v>268</v>
      </c>
      <c r="B31" s="28" t="s">
        <v>22</v>
      </c>
      <c r="C31" s="169" t="s">
        <v>49</v>
      </c>
      <c r="D31" s="169"/>
      <c r="E31" s="28">
        <v>20.2</v>
      </c>
      <c r="F31" s="88">
        <v>1721</v>
      </c>
      <c r="G31" s="88">
        <f t="shared" si="27"/>
        <v>34764.199999999997</v>
      </c>
      <c r="H31" s="30" t="s">
        <v>53</v>
      </c>
      <c r="I31" s="95">
        <v>15</v>
      </c>
      <c r="J31" s="13">
        <v>2400</v>
      </c>
      <c r="K31" s="12">
        <f t="shared" si="1"/>
        <v>160</v>
      </c>
      <c r="L31" s="95">
        <v>15</v>
      </c>
      <c r="M31" s="13">
        <f t="shared" si="28"/>
        <v>2294.666666666667</v>
      </c>
      <c r="N31" s="12">
        <f t="shared" si="3"/>
        <v>152.97777777777779</v>
      </c>
      <c r="O31" s="14">
        <f t="shared" si="4"/>
        <v>0</v>
      </c>
      <c r="P31" s="15">
        <f t="shared" si="5"/>
        <v>-7.0222222222222115</v>
      </c>
      <c r="Q31" s="91">
        <f t="shared" si="6"/>
        <v>0.95611111111111113</v>
      </c>
      <c r="R31" s="177"/>
      <c r="S31" s="21">
        <v>0.21249999999999999</v>
      </c>
      <c r="T31" s="21">
        <v>0.24374999999999999</v>
      </c>
      <c r="U31" s="88">
        <f t="shared" ref="U31:U34" si="30">(S31-T30)*24*60</f>
        <v>29.000000000000018</v>
      </c>
      <c r="V31" s="30">
        <f t="shared" si="29"/>
        <v>45</v>
      </c>
      <c r="W31" s="88"/>
      <c r="X31" s="88"/>
      <c r="Y31" s="88"/>
      <c r="Z31" s="88"/>
      <c r="AA31" s="168"/>
      <c r="AB31" s="168"/>
      <c r="AC31" s="18"/>
      <c r="AD31" s="18"/>
      <c r="AE31" s="14">
        <f t="shared" si="8"/>
        <v>-105.33333333333303</v>
      </c>
      <c r="AF31" s="91">
        <f t="shared" si="9"/>
        <v>0.95611111111111124</v>
      </c>
      <c r="AG31" s="177"/>
    </row>
    <row r="32" spans="1:33">
      <c r="A32" s="192" t="s">
        <v>268</v>
      </c>
      <c r="B32" s="28" t="s">
        <v>22</v>
      </c>
      <c r="C32" s="169" t="s">
        <v>32</v>
      </c>
      <c r="D32" s="169"/>
      <c r="E32" s="28">
        <v>20.52</v>
      </c>
      <c r="F32" s="88">
        <v>2514</v>
      </c>
      <c r="G32" s="88">
        <f t="shared" si="27"/>
        <v>51587.28</v>
      </c>
      <c r="H32" s="30" t="s">
        <v>53</v>
      </c>
      <c r="I32" s="95">
        <v>18</v>
      </c>
      <c r="J32" s="13">
        <v>2400</v>
      </c>
      <c r="K32" s="12">
        <f t="shared" si="1"/>
        <v>133.33333333333334</v>
      </c>
      <c r="L32" s="95">
        <v>18</v>
      </c>
      <c r="M32" s="13">
        <f t="shared" si="28"/>
        <v>2285.4545454545455</v>
      </c>
      <c r="N32" s="12">
        <f t="shared" si="3"/>
        <v>126.96969696969697</v>
      </c>
      <c r="O32" s="14">
        <f t="shared" si="4"/>
        <v>0</v>
      </c>
      <c r="P32" s="15">
        <f t="shared" si="5"/>
        <v>-6.363636363636374</v>
      </c>
      <c r="Q32" s="91">
        <f t="shared" si="6"/>
        <v>0.95227272727272716</v>
      </c>
      <c r="R32" s="177"/>
      <c r="S32" s="21">
        <v>0.24791666666666667</v>
      </c>
      <c r="T32" s="21">
        <v>0.29375000000000001</v>
      </c>
      <c r="U32" s="88">
        <f t="shared" si="30"/>
        <v>6.0000000000000187</v>
      </c>
      <c r="V32" s="30">
        <f t="shared" si="29"/>
        <v>66</v>
      </c>
      <c r="W32" s="88"/>
      <c r="X32" s="88"/>
      <c r="Y32" s="88"/>
      <c r="Z32" s="88"/>
      <c r="AA32" s="168"/>
      <c r="AB32" s="168"/>
      <c r="AC32" s="18"/>
      <c r="AD32" s="18"/>
      <c r="AE32" s="14">
        <f t="shared" si="8"/>
        <v>-114.5454545454545</v>
      </c>
      <c r="AF32" s="91">
        <f t="shared" si="9"/>
        <v>0.95227272727272727</v>
      </c>
      <c r="AG32" s="177"/>
    </row>
    <row r="33" spans="1:33">
      <c r="A33" s="192" t="s">
        <v>268</v>
      </c>
      <c r="B33" s="28" t="s">
        <v>22</v>
      </c>
      <c r="C33" s="169" t="s">
        <v>30</v>
      </c>
      <c r="D33" s="169"/>
      <c r="E33" s="28">
        <v>26.39</v>
      </c>
      <c r="F33" s="88">
        <v>5143</v>
      </c>
      <c r="G33" s="88">
        <f t="shared" si="27"/>
        <v>135723.76999999999</v>
      </c>
      <c r="H33" s="30" t="s">
        <v>53</v>
      </c>
      <c r="I33" s="95">
        <v>19</v>
      </c>
      <c r="J33" s="13">
        <v>2400</v>
      </c>
      <c r="K33" s="12">
        <f t="shared" si="1"/>
        <v>126.31578947368421</v>
      </c>
      <c r="L33" s="95">
        <v>19</v>
      </c>
      <c r="M33" s="13">
        <f t="shared" si="28"/>
        <v>2285.7777777777778</v>
      </c>
      <c r="N33" s="12">
        <f t="shared" si="3"/>
        <v>120.30409356725147</v>
      </c>
      <c r="O33" s="14">
        <f t="shared" si="4"/>
        <v>0</v>
      </c>
      <c r="P33" s="15">
        <f t="shared" si="5"/>
        <v>-6.0116959064327347</v>
      </c>
      <c r="Q33" s="91">
        <f t="shared" si="6"/>
        <v>0.95240740740740748</v>
      </c>
      <c r="R33" s="177"/>
      <c r="S33" s="21">
        <v>0.29722222222222222</v>
      </c>
      <c r="T33" s="21">
        <v>0.39097222222222222</v>
      </c>
      <c r="U33" s="88">
        <f t="shared" si="30"/>
        <v>4.9999999999999822</v>
      </c>
      <c r="V33" s="30">
        <f t="shared" si="29"/>
        <v>135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-114.22222222222217</v>
      </c>
      <c r="AF33" s="91">
        <f t="shared" si="9"/>
        <v>0.95240740740740748</v>
      </c>
      <c r="AG33" s="177"/>
    </row>
    <row r="34" spans="1:33">
      <c r="A34" s="192" t="s">
        <v>268</v>
      </c>
      <c r="B34" s="28" t="s">
        <v>22</v>
      </c>
      <c r="C34" s="169" t="s">
        <v>51</v>
      </c>
      <c r="D34" s="169"/>
      <c r="E34" s="28">
        <v>24.43</v>
      </c>
      <c r="F34" s="88">
        <v>5893</v>
      </c>
      <c r="G34" s="88">
        <f t="shared" si="27"/>
        <v>143965.99</v>
      </c>
      <c r="H34" s="30" t="s">
        <v>53</v>
      </c>
      <c r="I34" s="95">
        <v>14</v>
      </c>
      <c r="J34" s="13">
        <v>2400</v>
      </c>
      <c r="K34" s="12">
        <f t="shared" si="1"/>
        <v>171.42857142857142</v>
      </c>
      <c r="L34" s="95">
        <v>14</v>
      </c>
      <c r="M34" s="13">
        <f t="shared" si="28"/>
        <v>2295.9740259740261</v>
      </c>
      <c r="N34" s="12">
        <f t="shared" si="3"/>
        <v>163.99814471243045</v>
      </c>
      <c r="O34" s="14">
        <f t="shared" si="4"/>
        <v>0</v>
      </c>
      <c r="P34" s="15">
        <f t="shared" si="5"/>
        <v>-7.4304267161409712</v>
      </c>
      <c r="Q34" s="91">
        <f t="shared" si="6"/>
        <v>0.95665584415584437</v>
      </c>
      <c r="R34" s="177"/>
      <c r="S34" s="21">
        <v>0.39513888888888887</v>
      </c>
      <c r="T34" s="21">
        <v>0.50208333333333333</v>
      </c>
      <c r="U34" s="88">
        <f t="shared" si="30"/>
        <v>5.9999999999999787</v>
      </c>
      <c r="V34" s="30">
        <f t="shared" si="29"/>
        <v>154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8"/>
        <v>-104.02597402597394</v>
      </c>
      <c r="AF34" s="91">
        <f t="shared" si="9"/>
        <v>0.95665584415584415</v>
      </c>
      <c r="AG34" s="177"/>
    </row>
    <row r="35" spans="1:33">
      <c r="A35" s="192" t="s">
        <v>268</v>
      </c>
      <c r="B35" s="12" t="s">
        <v>168</v>
      </c>
      <c r="C35" s="178"/>
      <c r="D35" s="178"/>
      <c r="E35" s="92"/>
      <c r="F35" s="12"/>
      <c r="G35" s="12"/>
      <c r="H35" s="88"/>
      <c r="I35" s="23">
        <v>16.8</v>
      </c>
      <c r="J35" s="13">
        <v>2400</v>
      </c>
      <c r="K35" s="12">
        <f t="shared" si="1"/>
        <v>142.85714285714286</v>
      </c>
      <c r="L35" s="23">
        <v>16.8</v>
      </c>
      <c r="M35" s="13">
        <f>AVERAGE(M30:M34)</f>
        <v>2289.52109998989</v>
      </c>
      <c r="N35" s="12">
        <f t="shared" si="3"/>
        <v>136.28101785654107</v>
      </c>
      <c r="O35" s="14">
        <f t="shared" si="4"/>
        <v>0</v>
      </c>
      <c r="P35" s="15">
        <f t="shared" si="5"/>
        <v>-6.5761250006017917</v>
      </c>
      <c r="Q35" s="91">
        <f t="shared" si="6"/>
        <v>0.95396712499578751</v>
      </c>
      <c r="R35" s="177"/>
      <c r="S35" s="21"/>
      <c r="T35" s="21"/>
      <c r="U35" s="12"/>
      <c r="V35" s="30"/>
      <c r="W35" s="12"/>
      <c r="X35" s="12"/>
      <c r="Y35" s="24">
        <f>SUM(Y30:Y34)</f>
        <v>0</v>
      </c>
      <c r="Z35" s="24">
        <f>SUM(Z30:Z34)</f>
        <v>0</v>
      </c>
      <c r="AA35" s="167"/>
      <c r="AB35" s="167"/>
      <c r="AC35" s="24">
        <v>5</v>
      </c>
      <c r="AD35" s="24">
        <f>SUM(AD30:AD34)</f>
        <v>0</v>
      </c>
      <c r="AE35" s="14">
        <f t="shared" si="8"/>
        <v>-110.47890001011001</v>
      </c>
      <c r="AF35" s="91">
        <f t="shared" si="9"/>
        <v>0.95396712499578751</v>
      </c>
      <c r="AG35" s="177"/>
    </row>
    <row r="36" spans="1:33" ht="15.75" customHeight="1">
      <c r="A36" s="188" t="s">
        <v>271</v>
      </c>
      <c r="B36" s="28" t="s">
        <v>33</v>
      </c>
      <c r="C36" s="170" t="s">
        <v>72</v>
      </c>
      <c r="D36" s="171"/>
      <c r="E36" s="28">
        <v>34.35</v>
      </c>
      <c r="F36" s="88">
        <v>2020</v>
      </c>
      <c r="G36" s="88">
        <f t="shared" ref="G36:G39" si="31">E36*F36</f>
        <v>69387</v>
      </c>
      <c r="H36" s="30" t="s">
        <v>53</v>
      </c>
      <c r="I36" s="95">
        <v>8</v>
      </c>
      <c r="J36" s="13">
        <v>3000</v>
      </c>
      <c r="K36" s="12">
        <f t="shared" si="1"/>
        <v>375</v>
      </c>
      <c r="L36" s="95">
        <v>8</v>
      </c>
      <c r="M36" s="13">
        <f t="shared" ref="M36:M39" si="32">F36/V36*60</f>
        <v>2885.7142857142862</v>
      </c>
      <c r="N36" s="13">
        <f t="shared" si="3"/>
        <v>360.71428571428578</v>
      </c>
      <c r="O36" s="14">
        <f t="shared" si="4"/>
        <v>0</v>
      </c>
      <c r="P36" s="15">
        <f t="shared" si="5"/>
        <v>-14.285714285714221</v>
      </c>
      <c r="Q36" s="91">
        <f t="shared" si="6"/>
        <v>0.96190476190476204</v>
      </c>
      <c r="R36" s="183">
        <f>Q40</f>
        <v>0.95694599858646257</v>
      </c>
      <c r="S36" s="21">
        <v>8.3333333333333329E-2</v>
      </c>
      <c r="T36" s="21">
        <v>0.11249999999999999</v>
      </c>
      <c r="U36" s="21"/>
      <c r="V36" s="30">
        <f t="shared" ref="V36:V39" si="33">(T36-S36)*24*60</f>
        <v>41.999999999999993</v>
      </c>
      <c r="W36" s="16">
        <f>T36</f>
        <v>0.11249999999999999</v>
      </c>
      <c r="X36" s="16">
        <f>S37</f>
        <v>0.13124999999999998</v>
      </c>
      <c r="Y36" s="19"/>
      <c r="Z36" s="19"/>
      <c r="AA36" s="172"/>
      <c r="AB36" s="173"/>
      <c r="AC36" s="18">
        <v>4</v>
      </c>
      <c r="AD36" s="18"/>
      <c r="AE36" s="14">
        <f t="shared" si="8"/>
        <v>-114.28571428571377</v>
      </c>
      <c r="AF36" s="91">
        <f t="shared" si="9"/>
        <v>0.96190476190476204</v>
      </c>
      <c r="AG36" s="183">
        <f>AF40</f>
        <v>0.95694599858646268</v>
      </c>
    </row>
    <row r="37" spans="1:33" ht="15.75" customHeight="1">
      <c r="A37" s="189" t="s">
        <v>271</v>
      </c>
      <c r="B37" s="28" t="s">
        <v>33</v>
      </c>
      <c r="C37" s="170" t="s">
        <v>48</v>
      </c>
      <c r="D37" s="171"/>
      <c r="E37" s="28">
        <v>35.119999999999997</v>
      </c>
      <c r="F37" s="88">
        <v>4597</v>
      </c>
      <c r="G37" s="88">
        <f t="shared" si="31"/>
        <v>161446.63999999998</v>
      </c>
      <c r="H37" s="30" t="s">
        <v>53</v>
      </c>
      <c r="I37" s="95">
        <v>10</v>
      </c>
      <c r="J37" s="13">
        <v>3000</v>
      </c>
      <c r="K37" s="12">
        <f t="shared" si="1"/>
        <v>300</v>
      </c>
      <c r="L37" s="95">
        <v>10</v>
      </c>
      <c r="M37" s="13">
        <f t="shared" si="32"/>
        <v>2873.1250000000009</v>
      </c>
      <c r="N37" s="13">
        <f t="shared" si="3"/>
        <v>287.31250000000011</v>
      </c>
      <c r="O37" s="14">
        <f t="shared" si="4"/>
        <v>0</v>
      </c>
      <c r="P37" s="15">
        <f t="shared" si="5"/>
        <v>-12.687499999999886</v>
      </c>
      <c r="Q37" s="91">
        <f t="shared" si="6"/>
        <v>0.95770833333333372</v>
      </c>
      <c r="R37" s="184"/>
      <c r="S37" s="21">
        <v>0.13124999999999998</v>
      </c>
      <c r="T37" s="21">
        <v>0.19791666666666663</v>
      </c>
      <c r="U37" s="88">
        <f t="shared" ref="U37:U39" si="34">(S37-T36)*24*60</f>
        <v>26.999999999999986</v>
      </c>
      <c r="V37" s="30">
        <f t="shared" si="33"/>
        <v>95.999999999999972</v>
      </c>
      <c r="W37" s="16"/>
      <c r="X37" s="16"/>
      <c r="Y37" s="19"/>
      <c r="Z37" s="19"/>
      <c r="AA37" s="172"/>
      <c r="AB37" s="173"/>
      <c r="AC37" s="18"/>
      <c r="AD37" s="18"/>
      <c r="AE37" s="14">
        <f t="shared" si="8"/>
        <v>-126.87499999999909</v>
      </c>
      <c r="AF37" s="91">
        <f t="shared" si="9"/>
        <v>0.95770833333333361</v>
      </c>
      <c r="AG37" s="184"/>
    </row>
    <row r="38" spans="1:33" ht="15.75" customHeight="1">
      <c r="A38" s="189" t="s">
        <v>271</v>
      </c>
      <c r="B38" s="28" t="s">
        <v>33</v>
      </c>
      <c r="C38" s="170" t="s">
        <v>36</v>
      </c>
      <c r="D38" s="171"/>
      <c r="E38" s="28">
        <v>21.13</v>
      </c>
      <c r="F38" s="88">
        <v>4489</v>
      </c>
      <c r="G38" s="88">
        <f t="shared" si="31"/>
        <v>94852.569999999992</v>
      </c>
      <c r="H38" s="30" t="s">
        <v>53</v>
      </c>
      <c r="I38" s="95">
        <v>10</v>
      </c>
      <c r="J38" s="13">
        <v>3000</v>
      </c>
      <c r="K38" s="12">
        <f t="shared" si="1"/>
        <v>300</v>
      </c>
      <c r="L38" s="95">
        <v>10</v>
      </c>
      <c r="M38" s="13">
        <f t="shared" si="32"/>
        <v>2865.3191489361693</v>
      </c>
      <c r="N38" s="13">
        <f t="shared" si="3"/>
        <v>286.53191489361694</v>
      </c>
      <c r="O38" s="14">
        <f t="shared" si="4"/>
        <v>0</v>
      </c>
      <c r="P38" s="15">
        <f t="shared" si="5"/>
        <v>-13.468085106383057</v>
      </c>
      <c r="Q38" s="91">
        <f t="shared" si="6"/>
        <v>0.95510638297872319</v>
      </c>
      <c r="R38" s="184"/>
      <c r="S38" s="21">
        <v>0.20347222222222219</v>
      </c>
      <c r="T38" s="21">
        <v>0.26874999999999999</v>
      </c>
      <c r="U38" s="88">
        <f t="shared" si="34"/>
        <v>8.0000000000000107</v>
      </c>
      <c r="V38" s="30">
        <f t="shared" si="33"/>
        <v>94.000000000000028</v>
      </c>
      <c r="W38" s="16"/>
      <c r="X38" s="16"/>
      <c r="Y38" s="19"/>
      <c r="Z38" s="19"/>
      <c r="AA38" s="172"/>
      <c r="AB38" s="173"/>
      <c r="AC38" s="18"/>
      <c r="AD38" s="18"/>
      <c r="AE38" s="14">
        <f t="shared" si="8"/>
        <v>-134.68085106383069</v>
      </c>
      <c r="AF38" s="91">
        <f t="shared" si="9"/>
        <v>0.95510638297872308</v>
      </c>
      <c r="AG38" s="184"/>
    </row>
    <row r="39" spans="1:33" ht="15.75" customHeight="1">
      <c r="A39" s="189" t="s">
        <v>271</v>
      </c>
      <c r="B39" s="28" t="s">
        <v>33</v>
      </c>
      <c r="C39" s="170" t="s">
        <v>37</v>
      </c>
      <c r="D39" s="171"/>
      <c r="E39" s="28">
        <v>27.17</v>
      </c>
      <c r="F39" s="88">
        <v>5909</v>
      </c>
      <c r="G39" s="88">
        <f t="shared" si="31"/>
        <v>160547.53</v>
      </c>
      <c r="H39" s="30" t="s">
        <v>53</v>
      </c>
      <c r="I39" s="95">
        <v>10</v>
      </c>
      <c r="J39" s="13">
        <v>3000</v>
      </c>
      <c r="K39" s="12">
        <f t="shared" si="1"/>
        <v>300</v>
      </c>
      <c r="L39" s="95">
        <v>10</v>
      </c>
      <c r="M39" s="13">
        <f t="shared" si="32"/>
        <v>2859.1935483870957</v>
      </c>
      <c r="N39" s="13">
        <f t="shared" si="3"/>
        <v>285.91935483870958</v>
      </c>
      <c r="O39" s="14">
        <f t="shared" si="4"/>
        <v>0</v>
      </c>
      <c r="P39" s="15">
        <f t="shared" si="5"/>
        <v>-14.08064516129042</v>
      </c>
      <c r="Q39" s="91">
        <f t="shared" si="6"/>
        <v>0.95306451612903198</v>
      </c>
      <c r="R39" s="184"/>
      <c r="S39" s="21">
        <v>0.27291666666666664</v>
      </c>
      <c r="T39" s="21">
        <v>0.35902777777777778</v>
      </c>
      <c r="U39" s="88">
        <f t="shared" si="34"/>
        <v>5.9999999999999787</v>
      </c>
      <c r="V39" s="30">
        <f t="shared" si="33"/>
        <v>124.00000000000004</v>
      </c>
      <c r="W39" s="16"/>
      <c r="X39" s="16"/>
      <c r="Y39" s="19"/>
      <c r="Z39" s="19"/>
      <c r="AA39" s="172"/>
      <c r="AB39" s="173"/>
      <c r="AC39" s="18"/>
      <c r="AD39" s="18"/>
      <c r="AE39" s="14">
        <f t="shared" si="8"/>
        <v>-140.80645161290431</v>
      </c>
      <c r="AF39" s="91">
        <f t="shared" si="9"/>
        <v>0.95306451612903187</v>
      </c>
      <c r="AG39" s="184"/>
    </row>
    <row r="40" spans="1:33" ht="15.75" customHeight="1">
      <c r="A40" s="190" t="s">
        <v>271</v>
      </c>
      <c r="B40" s="28" t="s">
        <v>168</v>
      </c>
      <c r="C40" s="165"/>
      <c r="D40" s="166"/>
      <c r="E40" s="89"/>
      <c r="F40" s="88"/>
      <c r="G40" s="88"/>
      <c r="H40" s="88"/>
      <c r="I40" s="23">
        <v>9.5</v>
      </c>
      <c r="J40" s="13">
        <v>3000</v>
      </c>
      <c r="K40" s="12">
        <f t="shared" si="1"/>
        <v>315.78947368421052</v>
      </c>
      <c r="L40" s="23">
        <v>9.5</v>
      </c>
      <c r="M40" s="13">
        <f>AVERAGE(M36:M39)</f>
        <v>2870.8379957593879</v>
      </c>
      <c r="N40" s="12">
        <f t="shared" si="3"/>
        <v>302.19347323783029</v>
      </c>
      <c r="O40" s="14">
        <f t="shared" si="4"/>
        <v>0</v>
      </c>
      <c r="P40" s="15">
        <f t="shared" si="5"/>
        <v>-13.596000446380231</v>
      </c>
      <c r="Q40" s="91">
        <f t="shared" si="6"/>
        <v>0.95694599858646257</v>
      </c>
      <c r="R40" s="185"/>
      <c r="S40" s="21"/>
      <c r="T40" s="21"/>
      <c r="U40" s="88"/>
      <c r="V40" s="30"/>
      <c r="W40" s="16"/>
      <c r="X40" s="16"/>
      <c r="Y40" s="24">
        <f>SUM(Y36:Y39)</f>
        <v>0</v>
      </c>
      <c r="Z40" s="24">
        <f>SUM(Z36:Z39)</f>
        <v>0</v>
      </c>
      <c r="AA40" s="186"/>
      <c r="AB40" s="187"/>
      <c r="AC40" s="24">
        <v>4</v>
      </c>
      <c r="AD40" s="24">
        <f>SUM(AD36:AD39)</f>
        <v>0</v>
      </c>
      <c r="AE40" s="14">
        <f t="shared" si="8"/>
        <v>-129.16200424061208</v>
      </c>
      <c r="AF40" s="91">
        <f t="shared" si="9"/>
        <v>0.95694599858646268</v>
      </c>
      <c r="AG40" s="185"/>
    </row>
    <row r="41" spans="1:33" ht="15.75" customHeight="1">
      <c r="A41" s="181" t="s">
        <v>275</v>
      </c>
      <c r="B41" s="28" t="s">
        <v>5</v>
      </c>
      <c r="C41" s="169" t="s">
        <v>41</v>
      </c>
      <c r="D41" s="169"/>
      <c r="E41" s="28">
        <v>51.75</v>
      </c>
      <c r="F41" s="29">
        <v>737</v>
      </c>
      <c r="G41" s="88">
        <f t="shared" ref="G41:G46" si="35">E41*F41</f>
        <v>38139.75</v>
      </c>
      <c r="H41" s="30" t="s">
        <v>53</v>
      </c>
      <c r="I41" s="95">
        <v>25</v>
      </c>
      <c r="J41" s="13">
        <v>2000</v>
      </c>
      <c r="K41" s="12">
        <f t="shared" si="1"/>
        <v>80</v>
      </c>
      <c r="L41" s="95">
        <v>25</v>
      </c>
      <c r="M41" s="13">
        <f t="shared" ref="M41" si="36">F41/V41*60</f>
        <v>1922.6086956521738</v>
      </c>
      <c r="N41" s="13">
        <f t="shared" si="3"/>
        <v>76.904347826086948</v>
      </c>
      <c r="O41" s="14">
        <f t="shared" si="4"/>
        <v>0</v>
      </c>
      <c r="P41" s="15">
        <f t="shared" si="5"/>
        <v>-3.0956521739130523</v>
      </c>
      <c r="Q41" s="91">
        <f t="shared" si="6"/>
        <v>0.96130434782608687</v>
      </c>
      <c r="R41" s="177">
        <f>Q47</f>
        <v>0.96495899230160143</v>
      </c>
      <c r="S41" s="21">
        <v>0.33333333333333331</v>
      </c>
      <c r="T41" s="21">
        <v>0.34930555555555554</v>
      </c>
      <c r="U41" s="21"/>
      <c r="V41" s="30">
        <f t="shared" ref="V41:V46" si="37">(T41-S41)*24*60</f>
        <v>23</v>
      </c>
      <c r="W41" s="21"/>
      <c r="X41" s="21"/>
      <c r="Y41" s="21"/>
      <c r="Z41" s="21"/>
      <c r="AA41" s="168"/>
      <c r="AB41" s="168"/>
      <c r="AC41" s="18">
        <v>6</v>
      </c>
      <c r="AD41" s="18"/>
      <c r="AE41" s="14">
        <f t="shared" si="8"/>
        <v>-77.391304347826235</v>
      </c>
      <c r="AF41" s="91">
        <f t="shared" si="9"/>
        <v>0.96130434782608687</v>
      </c>
      <c r="AG41" s="177">
        <f>AF47</f>
        <v>0.96495899230160131</v>
      </c>
    </row>
    <row r="42" spans="1:33" ht="15.75" customHeight="1">
      <c r="A42" s="181" t="s">
        <v>275</v>
      </c>
      <c r="B42" s="28" t="s">
        <v>5</v>
      </c>
      <c r="C42" s="169" t="s">
        <v>40</v>
      </c>
      <c r="D42" s="169"/>
      <c r="E42" s="28">
        <v>56.43</v>
      </c>
      <c r="F42" s="29">
        <v>1193</v>
      </c>
      <c r="G42" s="88">
        <f t="shared" si="35"/>
        <v>67320.990000000005</v>
      </c>
      <c r="H42" s="30" t="s">
        <v>53</v>
      </c>
      <c r="I42" s="95">
        <v>22</v>
      </c>
      <c r="J42" s="13">
        <v>2000</v>
      </c>
      <c r="K42" s="12">
        <f t="shared" si="1"/>
        <v>90.909090909090907</v>
      </c>
      <c r="L42" s="95">
        <v>22</v>
      </c>
      <c r="M42" s="13">
        <f>F42/V42*60</f>
        <v>1934.5945945945932</v>
      </c>
      <c r="N42" s="13">
        <f t="shared" si="3"/>
        <v>87.936117936117867</v>
      </c>
      <c r="O42" s="14">
        <f t="shared" si="4"/>
        <v>0</v>
      </c>
      <c r="P42" s="15">
        <f t="shared" si="5"/>
        <v>-2.9729729729730394</v>
      </c>
      <c r="Q42" s="91">
        <f t="shared" si="6"/>
        <v>0.96729729729729652</v>
      </c>
      <c r="R42" s="177"/>
      <c r="S42" s="21">
        <v>0.35277777777777775</v>
      </c>
      <c r="T42" s="21">
        <v>0.37847222222222221</v>
      </c>
      <c r="U42" s="88">
        <f t="shared" ref="U42:U46" si="38">IF(S42=TIME(17,0,0),"",(S42-T41)*24*60)</f>
        <v>4.9999999999999822</v>
      </c>
      <c r="V42" s="30">
        <f t="shared" si="37"/>
        <v>37.000000000000028</v>
      </c>
      <c r="W42" s="16"/>
      <c r="X42" s="16"/>
      <c r="Y42" s="16"/>
      <c r="Z42" s="16"/>
      <c r="AA42" s="168"/>
      <c r="AB42" s="168"/>
      <c r="AC42" s="18"/>
      <c r="AD42" s="18"/>
      <c r="AE42" s="14">
        <f t="shared" si="8"/>
        <v>-65.405405405406782</v>
      </c>
      <c r="AF42" s="91">
        <f t="shared" si="9"/>
        <v>0.96729729729729663</v>
      </c>
      <c r="AG42" s="177"/>
    </row>
    <row r="43" spans="1:33" ht="15.75" customHeight="1">
      <c r="A43" s="181" t="s">
        <v>275</v>
      </c>
      <c r="B43" s="28" t="s">
        <v>9</v>
      </c>
      <c r="C43" s="170" t="s">
        <v>39</v>
      </c>
      <c r="D43" s="171"/>
      <c r="E43" s="28">
        <v>46</v>
      </c>
      <c r="F43" s="29">
        <v>1941</v>
      </c>
      <c r="G43" s="88">
        <f t="shared" si="35"/>
        <v>89286</v>
      </c>
      <c r="H43" s="30" t="s">
        <v>53</v>
      </c>
      <c r="I43" s="95">
        <v>17</v>
      </c>
      <c r="J43" s="13">
        <v>2000</v>
      </c>
      <c r="K43" s="12">
        <f t="shared" si="1"/>
        <v>117.64705882352941</v>
      </c>
      <c r="L43" s="95">
        <v>17</v>
      </c>
      <c r="M43" s="13">
        <f t="shared" ref="M43:M46" si="39">F43/V43*60</f>
        <v>1909.1803278688519</v>
      </c>
      <c r="N43" s="13">
        <f t="shared" si="3"/>
        <v>112.30472516875599</v>
      </c>
      <c r="O43" s="14">
        <f t="shared" si="4"/>
        <v>0</v>
      </c>
      <c r="P43" s="15">
        <f t="shared" si="5"/>
        <v>-5.3423336547734124</v>
      </c>
      <c r="Q43" s="91">
        <f t="shared" si="6"/>
        <v>0.95459016393442597</v>
      </c>
      <c r="R43" s="177"/>
      <c r="S43" s="21">
        <v>0.38194444444444442</v>
      </c>
      <c r="T43" s="21">
        <v>0.42430555555555555</v>
      </c>
      <c r="U43" s="88">
        <f t="shared" si="38"/>
        <v>4.9999999999999822</v>
      </c>
      <c r="V43" s="30">
        <f t="shared" si="37"/>
        <v>61.000000000000021</v>
      </c>
      <c r="W43" s="16"/>
      <c r="X43" s="16"/>
      <c r="Y43" s="19"/>
      <c r="Z43" s="19"/>
      <c r="AA43" s="168"/>
      <c r="AB43" s="168"/>
      <c r="AC43" s="18"/>
      <c r="AD43" s="18"/>
      <c r="AE43" s="14">
        <f t="shared" si="8"/>
        <v>-90.819672131148081</v>
      </c>
      <c r="AF43" s="91">
        <f t="shared" si="9"/>
        <v>0.95459016393442597</v>
      </c>
      <c r="AG43" s="177"/>
    </row>
    <row r="44" spans="1:33" ht="15.75" customHeight="1">
      <c r="A44" s="181" t="s">
        <v>275</v>
      </c>
      <c r="B44" s="28" t="s">
        <v>5</v>
      </c>
      <c r="C44" s="93" t="s">
        <v>45</v>
      </c>
      <c r="D44" s="94"/>
      <c r="E44" s="28">
        <v>55.32</v>
      </c>
      <c r="F44" s="29">
        <v>1265</v>
      </c>
      <c r="G44" s="88">
        <f t="shared" si="35"/>
        <v>69979.8</v>
      </c>
      <c r="H44" s="30" t="s">
        <v>53</v>
      </c>
      <c r="I44" s="95">
        <v>15</v>
      </c>
      <c r="J44" s="13">
        <v>2000</v>
      </c>
      <c r="K44" s="12">
        <f t="shared" si="1"/>
        <v>133.33333333333334</v>
      </c>
      <c r="L44" s="95">
        <v>15</v>
      </c>
      <c r="M44" s="13">
        <f t="shared" si="39"/>
        <v>1946.1538461538451</v>
      </c>
      <c r="N44" s="13">
        <f t="shared" si="3"/>
        <v>129.74358974358967</v>
      </c>
      <c r="O44" s="14">
        <f t="shared" si="4"/>
        <v>0</v>
      </c>
      <c r="P44" s="15">
        <f t="shared" si="5"/>
        <v>-3.5897435897436765</v>
      </c>
      <c r="Q44" s="91">
        <f t="shared" si="6"/>
        <v>0.9730769230769224</v>
      </c>
      <c r="R44" s="177"/>
      <c r="S44" s="21">
        <v>0.70833333333333337</v>
      </c>
      <c r="T44" s="21">
        <v>0.73541666666666672</v>
      </c>
      <c r="U44" s="88" t="str">
        <f t="shared" si="38"/>
        <v/>
      </c>
      <c r="V44" s="30">
        <f t="shared" si="37"/>
        <v>39.000000000000021</v>
      </c>
      <c r="W44" s="16"/>
      <c r="X44" s="16"/>
      <c r="Y44" s="19"/>
      <c r="Z44" s="19"/>
      <c r="AA44" s="168"/>
      <c r="AB44" s="168"/>
      <c r="AC44" s="18"/>
      <c r="AD44" s="18"/>
      <c r="AE44" s="14">
        <f t="shared" si="8"/>
        <v>-53.846153846154948</v>
      </c>
      <c r="AF44" s="91">
        <f t="shared" si="9"/>
        <v>0.97307692307692251</v>
      </c>
      <c r="AG44" s="177"/>
    </row>
    <row r="45" spans="1:33" ht="15.75" customHeight="1">
      <c r="A45" s="181" t="s">
        <v>275</v>
      </c>
      <c r="B45" s="28" t="s">
        <v>5</v>
      </c>
      <c r="C45" s="93" t="s">
        <v>44</v>
      </c>
      <c r="D45" s="94"/>
      <c r="E45" s="28">
        <v>55.56</v>
      </c>
      <c r="F45" s="29">
        <v>1851</v>
      </c>
      <c r="G45" s="88">
        <f t="shared" si="35"/>
        <v>102841.56</v>
      </c>
      <c r="H45" s="30" t="s">
        <v>53</v>
      </c>
      <c r="I45" s="95">
        <v>17</v>
      </c>
      <c r="J45" s="13">
        <v>2000</v>
      </c>
      <c r="K45" s="12">
        <f t="shared" si="1"/>
        <v>117.64705882352941</v>
      </c>
      <c r="L45" s="95">
        <v>17</v>
      </c>
      <c r="M45" s="13">
        <f t="shared" si="39"/>
        <v>1914.8275862068979</v>
      </c>
      <c r="N45" s="13">
        <f t="shared" si="3"/>
        <v>112.63691683569988</v>
      </c>
      <c r="O45" s="14">
        <f t="shared" si="4"/>
        <v>0</v>
      </c>
      <c r="P45" s="15">
        <f t="shared" si="5"/>
        <v>-5.0101419878295275</v>
      </c>
      <c r="Q45" s="91">
        <f t="shared" si="6"/>
        <v>0.95741379310344898</v>
      </c>
      <c r="R45" s="177"/>
      <c r="S45" s="21">
        <v>0.74097222222222225</v>
      </c>
      <c r="T45" s="21">
        <v>0.78125</v>
      </c>
      <c r="U45" s="88">
        <f t="shared" si="38"/>
        <v>7.9999999999999716</v>
      </c>
      <c r="V45" s="30">
        <f t="shared" si="37"/>
        <v>57.999999999999957</v>
      </c>
      <c r="W45" s="16"/>
      <c r="X45" s="16"/>
      <c r="Y45" s="19"/>
      <c r="Z45" s="19"/>
      <c r="AA45" s="168"/>
      <c r="AB45" s="168"/>
      <c r="AC45" s="18"/>
      <c r="AD45" s="18"/>
      <c r="AE45" s="14">
        <f t="shared" si="8"/>
        <v>-85.172413793102123</v>
      </c>
      <c r="AF45" s="91">
        <f t="shared" si="9"/>
        <v>0.95741379310344898</v>
      </c>
      <c r="AG45" s="177"/>
    </row>
    <row r="46" spans="1:33" ht="15.75" customHeight="1">
      <c r="A46" s="181" t="s">
        <v>275</v>
      </c>
      <c r="B46" s="28" t="s">
        <v>5</v>
      </c>
      <c r="C46" s="170" t="s">
        <v>43</v>
      </c>
      <c r="D46" s="171"/>
      <c r="E46" s="28">
        <v>54.29</v>
      </c>
      <c r="F46" s="29">
        <v>911</v>
      </c>
      <c r="G46" s="88">
        <f t="shared" si="35"/>
        <v>49458.19</v>
      </c>
      <c r="H46" s="30" t="s">
        <v>53</v>
      </c>
      <c r="I46" s="95">
        <v>20</v>
      </c>
      <c r="J46" s="13">
        <v>2000</v>
      </c>
      <c r="K46" s="12">
        <f t="shared" si="1"/>
        <v>100</v>
      </c>
      <c r="L46" s="95">
        <v>20</v>
      </c>
      <c r="M46" s="13">
        <f t="shared" si="39"/>
        <v>1952.1428571428528</v>
      </c>
      <c r="N46" s="13">
        <f t="shared" si="3"/>
        <v>97.607142857142634</v>
      </c>
      <c r="O46" s="14">
        <f t="shared" si="4"/>
        <v>0</v>
      </c>
      <c r="P46" s="15">
        <f t="shared" si="5"/>
        <v>-2.3928571428573662</v>
      </c>
      <c r="Q46" s="91">
        <f t="shared" si="6"/>
        <v>0.97607142857142637</v>
      </c>
      <c r="R46" s="177"/>
      <c r="S46" s="21">
        <v>0.78611111111111109</v>
      </c>
      <c r="T46" s="21">
        <v>0.80555555555555558</v>
      </c>
      <c r="U46" s="88">
        <f t="shared" si="38"/>
        <v>6.9999999999999751</v>
      </c>
      <c r="V46" s="30">
        <f t="shared" si="37"/>
        <v>28.00000000000006</v>
      </c>
      <c r="W46" s="16"/>
      <c r="X46" s="16"/>
      <c r="Y46" s="19"/>
      <c r="Z46" s="19"/>
      <c r="AA46" s="172"/>
      <c r="AB46" s="173"/>
      <c r="AC46" s="18"/>
      <c r="AD46" s="18"/>
      <c r="AE46" s="14">
        <f t="shared" si="8"/>
        <v>-47.85714285714721</v>
      </c>
      <c r="AF46" s="91">
        <f t="shared" si="9"/>
        <v>0.97607142857142637</v>
      </c>
      <c r="AG46" s="177"/>
    </row>
    <row r="47" spans="1:33">
      <c r="A47" s="182" t="s">
        <v>275</v>
      </c>
      <c r="B47" s="28" t="s">
        <v>168</v>
      </c>
      <c r="C47" s="178"/>
      <c r="D47" s="178"/>
      <c r="E47" s="92"/>
      <c r="F47" s="12"/>
      <c r="G47" s="12"/>
      <c r="H47" s="88"/>
      <c r="I47" s="23">
        <v>19.333333333333332</v>
      </c>
      <c r="J47" s="13">
        <v>2000</v>
      </c>
      <c r="K47" s="12">
        <f t="shared" si="1"/>
        <v>103.44827586206897</v>
      </c>
      <c r="L47" s="23">
        <v>19.333333333333332</v>
      </c>
      <c r="M47" s="13">
        <f>AVERAGE(M41:M46)</f>
        <v>1929.9179846032027</v>
      </c>
      <c r="N47" s="12">
        <f t="shared" si="3"/>
        <v>99.823344031200151</v>
      </c>
      <c r="O47" s="14">
        <f t="shared" si="4"/>
        <v>0</v>
      </c>
      <c r="P47" s="15">
        <f t="shared" si="5"/>
        <v>-3.6249318308688174</v>
      </c>
      <c r="Q47" s="91">
        <f t="shared" si="6"/>
        <v>0.96495899230160143</v>
      </c>
      <c r="R47" s="177"/>
      <c r="S47" s="21"/>
      <c r="T47" s="21"/>
      <c r="U47" s="88"/>
      <c r="V47" s="30"/>
      <c r="W47" s="12"/>
      <c r="X47" s="12"/>
      <c r="Y47" s="24">
        <f>SUM(Y41:Y46)</f>
        <v>0</v>
      </c>
      <c r="Z47" s="24">
        <f>SUM(Z41:Z46)</f>
        <v>0</v>
      </c>
      <c r="AA47" s="167"/>
      <c r="AB47" s="167"/>
      <c r="AC47" s="24">
        <v>6</v>
      </c>
      <c r="AD47" s="24">
        <f>SUM(AD41:AD46)</f>
        <v>0</v>
      </c>
      <c r="AE47" s="14">
        <f>M47-J47</f>
        <v>-70.08201539679726</v>
      </c>
      <c r="AF47" s="91">
        <f t="shared" si="9"/>
        <v>0.96495899230160131</v>
      </c>
      <c r="AG47" s="177"/>
    </row>
    <row r="48" spans="1:33" ht="15.75" customHeight="1">
      <c r="A48" s="179" t="s">
        <v>375</v>
      </c>
      <c r="B48" s="88" t="s">
        <v>33</v>
      </c>
      <c r="C48" s="169" t="s">
        <v>46</v>
      </c>
      <c r="D48" s="169"/>
      <c r="E48" s="28">
        <v>37.85</v>
      </c>
      <c r="F48" s="29">
        <v>896</v>
      </c>
      <c r="G48" s="88">
        <f t="shared" ref="G48:G54" si="40">E48*F48</f>
        <v>33913.599999999999</v>
      </c>
      <c r="H48" s="30" t="s">
        <v>53</v>
      </c>
      <c r="I48" s="95">
        <v>12</v>
      </c>
      <c r="J48" s="13">
        <v>2000</v>
      </c>
      <c r="K48" s="12">
        <f t="shared" si="1"/>
        <v>166.66666666666666</v>
      </c>
      <c r="L48" s="95">
        <v>12</v>
      </c>
      <c r="M48" s="13">
        <f t="shared" ref="M48:M54" si="41">F48/V48*60</f>
        <v>1919.9999999999984</v>
      </c>
      <c r="N48" s="12">
        <f t="shared" si="3"/>
        <v>159.99999999999986</v>
      </c>
      <c r="O48" s="14">
        <f t="shared" si="4"/>
        <v>0</v>
      </c>
      <c r="P48" s="15">
        <f t="shared" si="5"/>
        <v>-6.6666666666667993</v>
      </c>
      <c r="Q48" s="91">
        <f t="shared" si="6"/>
        <v>0.95999999999999919</v>
      </c>
      <c r="R48" s="177">
        <f>Q55</f>
        <v>0.96760803618406133</v>
      </c>
      <c r="S48" s="21">
        <v>0.20833333333333334</v>
      </c>
      <c r="T48" s="21">
        <v>0.2277777777777778</v>
      </c>
      <c r="U48" s="88"/>
      <c r="V48" s="30">
        <f t="shared" ref="V48:V54" si="42">(T48-S48)*24*60</f>
        <v>28.000000000000021</v>
      </c>
      <c r="W48" s="21"/>
      <c r="X48" s="21"/>
      <c r="Y48" s="21"/>
      <c r="Z48" s="21"/>
      <c r="AA48" s="168"/>
      <c r="AB48" s="168"/>
      <c r="AC48" s="18">
        <v>7</v>
      </c>
      <c r="AD48" s="18"/>
      <c r="AE48" s="14">
        <f t="shared" ref="AE48:AE61" si="43">M48-J48</f>
        <v>-80.000000000001592</v>
      </c>
      <c r="AF48" s="91">
        <f t="shared" si="9"/>
        <v>0.95999999999999919</v>
      </c>
      <c r="AG48" s="177">
        <f>AF55</f>
        <v>0.96760803618406144</v>
      </c>
    </row>
    <row r="49" spans="1:33" ht="15.75" customHeight="1">
      <c r="A49" s="179" t="s">
        <v>375</v>
      </c>
      <c r="B49" s="88" t="s">
        <v>33</v>
      </c>
      <c r="C49" s="169" t="s">
        <v>47</v>
      </c>
      <c r="D49" s="169"/>
      <c r="E49" s="28">
        <v>34.36</v>
      </c>
      <c r="F49" s="29">
        <v>1875</v>
      </c>
      <c r="G49" s="88">
        <f t="shared" si="40"/>
        <v>64425</v>
      </c>
      <c r="H49" s="30" t="s">
        <v>53</v>
      </c>
      <c r="I49" s="95">
        <v>10</v>
      </c>
      <c r="J49" s="13">
        <v>3000</v>
      </c>
      <c r="K49" s="12">
        <f t="shared" si="1"/>
        <v>300</v>
      </c>
      <c r="L49" s="95">
        <v>10</v>
      </c>
      <c r="M49" s="13">
        <f t="shared" si="41"/>
        <v>2884.6153846153829</v>
      </c>
      <c r="N49" s="12">
        <f t="shared" si="3"/>
        <v>288.46153846153828</v>
      </c>
      <c r="O49" s="14">
        <f t="shared" si="4"/>
        <v>0</v>
      </c>
      <c r="P49" s="15">
        <f t="shared" si="5"/>
        <v>-11.538461538461718</v>
      </c>
      <c r="Q49" s="91">
        <f t="shared" si="6"/>
        <v>0.9615384615384609</v>
      </c>
      <c r="R49" s="177"/>
      <c r="S49" s="21">
        <v>0.23125000000000001</v>
      </c>
      <c r="T49" s="21">
        <v>0.25833333333333336</v>
      </c>
      <c r="U49" s="88">
        <f t="shared" ref="U49:U54" si="44">(S49-T48)*24*60</f>
        <v>4.9999999999999822</v>
      </c>
      <c r="V49" s="30">
        <f t="shared" si="42"/>
        <v>39.000000000000021</v>
      </c>
      <c r="W49" s="88"/>
      <c r="X49" s="88"/>
      <c r="Y49" s="88"/>
      <c r="Z49" s="88"/>
      <c r="AA49" s="168"/>
      <c r="AB49" s="168"/>
      <c r="AC49" s="18"/>
      <c r="AD49" s="18"/>
      <c r="AE49" s="14">
        <f t="shared" si="43"/>
        <v>-115.38461538461706</v>
      </c>
      <c r="AF49" s="91">
        <f t="shared" si="9"/>
        <v>0.96153846153846101</v>
      </c>
      <c r="AG49" s="177"/>
    </row>
    <row r="50" spans="1:33" ht="15.75" customHeight="1">
      <c r="A50" s="179" t="s">
        <v>375</v>
      </c>
      <c r="B50" s="88" t="s">
        <v>33</v>
      </c>
      <c r="C50" s="169" t="s">
        <v>34</v>
      </c>
      <c r="D50" s="169"/>
      <c r="E50" s="28">
        <v>34.36</v>
      </c>
      <c r="F50" s="29">
        <v>890</v>
      </c>
      <c r="G50" s="88">
        <f t="shared" si="40"/>
        <v>30580.399999999998</v>
      </c>
      <c r="H50" s="30" t="s">
        <v>53</v>
      </c>
      <c r="I50" s="95">
        <v>10</v>
      </c>
      <c r="J50" s="13">
        <v>3000</v>
      </c>
      <c r="K50" s="12">
        <f t="shared" si="1"/>
        <v>300</v>
      </c>
      <c r="L50" s="95">
        <v>10</v>
      </c>
      <c r="M50" s="13">
        <f t="shared" si="41"/>
        <v>2966.6666666666642</v>
      </c>
      <c r="N50" s="12">
        <f t="shared" si="3"/>
        <v>296.6666666666664</v>
      </c>
      <c r="O50" s="14">
        <f t="shared" si="4"/>
        <v>0</v>
      </c>
      <c r="P50" s="15">
        <f t="shared" si="5"/>
        <v>-3.3333333333335986</v>
      </c>
      <c r="Q50" s="91">
        <f t="shared" si="6"/>
        <v>0.98888888888888804</v>
      </c>
      <c r="R50" s="177"/>
      <c r="S50" s="21">
        <v>0.2638888888888889</v>
      </c>
      <c r="T50" s="21">
        <v>0.27638888888888891</v>
      </c>
      <c r="U50" s="88">
        <f t="shared" si="44"/>
        <v>7.9999999999999716</v>
      </c>
      <c r="V50" s="30">
        <f t="shared" si="42"/>
        <v>18.000000000000014</v>
      </c>
      <c r="W50" s="88"/>
      <c r="X50" s="88"/>
      <c r="Y50" s="88"/>
      <c r="Z50" s="88"/>
      <c r="AA50" s="168"/>
      <c r="AB50" s="168"/>
      <c r="AC50" s="18"/>
      <c r="AD50" s="18"/>
      <c r="AE50" s="14">
        <f t="shared" si="43"/>
        <v>-33.333333333335759</v>
      </c>
      <c r="AF50" s="91">
        <f t="shared" si="9"/>
        <v>0.98888888888888804</v>
      </c>
      <c r="AG50" s="177"/>
    </row>
    <row r="51" spans="1:33" ht="15.75" customHeight="1">
      <c r="A51" s="179" t="s">
        <v>375</v>
      </c>
      <c r="B51" s="88" t="s">
        <v>33</v>
      </c>
      <c r="C51" s="169" t="s">
        <v>35</v>
      </c>
      <c r="D51" s="169"/>
      <c r="E51" s="28">
        <v>26.78</v>
      </c>
      <c r="F51" s="29">
        <v>1909</v>
      </c>
      <c r="G51" s="88">
        <f t="shared" si="40"/>
        <v>51123.020000000004</v>
      </c>
      <c r="H51" s="30" t="s">
        <v>53</v>
      </c>
      <c r="I51" s="95">
        <v>10</v>
      </c>
      <c r="J51" s="13">
        <v>3000</v>
      </c>
      <c r="K51" s="12">
        <f t="shared" si="1"/>
        <v>300</v>
      </c>
      <c r="L51" s="95">
        <v>10</v>
      </c>
      <c r="M51" s="13">
        <f t="shared" si="41"/>
        <v>2863.4999999999986</v>
      </c>
      <c r="N51" s="12">
        <f t="shared" si="3"/>
        <v>286.34999999999985</v>
      </c>
      <c r="O51" s="14">
        <f t="shared" si="4"/>
        <v>0</v>
      </c>
      <c r="P51" s="15">
        <f t="shared" si="5"/>
        <v>-13.650000000000148</v>
      </c>
      <c r="Q51" s="91">
        <f t="shared" si="6"/>
        <v>0.95449999999999946</v>
      </c>
      <c r="R51" s="177"/>
      <c r="S51" s="21">
        <v>0.28125</v>
      </c>
      <c r="T51" s="21">
        <v>0.30902777777777779</v>
      </c>
      <c r="U51" s="88">
        <f t="shared" si="44"/>
        <v>6.9999999999999751</v>
      </c>
      <c r="V51" s="30">
        <f t="shared" si="42"/>
        <v>40.000000000000014</v>
      </c>
      <c r="W51" s="88"/>
      <c r="X51" s="88"/>
      <c r="Y51" s="88"/>
      <c r="Z51" s="88"/>
      <c r="AA51" s="168"/>
      <c r="AB51" s="168"/>
      <c r="AC51" s="18"/>
      <c r="AD51" s="18"/>
      <c r="AE51" s="14">
        <f t="shared" si="43"/>
        <v>-136.50000000000136</v>
      </c>
      <c r="AF51" s="91">
        <f t="shared" si="9"/>
        <v>0.95449999999999957</v>
      </c>
      <c r="AG51" s="177"/>
    </row>
    <row r="52" spans="1:33">
      <c r="A52" s="180" t="s">
        <v>375</v>
      </c>
      <c r="B52" s="88" t="s">
        <v>33</v>
      </c>
      <c r="C52" s="169" t="s">
        <v>71</v>
      </c>
      <c r="D52" s="169"/>
      <c r="E52" s="28">
        <v>28.3</v>
      </c>
      <c r="F52" s="29">
        <v>849</v>
      </c>
      <c r="G52" s="88">
        <f t="shared" si="40"/>
        <v>24026.7</v>
      </c>
      <c r="H52" s="30" t="s">
        <v>53</v>
      </c>
      <c r="I52" s="95">
        <v>8</v>
      </c>
      <c r="J52" s="13">
        <v>3000</v>
      </c>
      <c r="K52" s="12">
        <f t="shared" si="1"/>
        <v>375</v>
      </c>
      <c r="L52" s="95">
        <v>8</v>
      </c>
      <c r="M52" s="13">
        <f t="shared" si="41"/>
        <v>2996.4705882352905</v>
      </c>
      <c r="N52" s="12">
        <f t="shared" si="3"/>
        <v>374.55882352941131</v>
      </c>
      <c r="O52" s="14">
        <f t="shared" si="4"/>
        <v>0</v>
      </c>
      <c r="P52" s="15">
        <f t="shared" si="5"/>
        <v>-0.4411764705886867</v>
      </c>
      <c r="Q52" s="91">
        <f t="shared" si="6"/>
        <v>0.99882352941176356</v>
      </c>
      <c r="R52" s="177"/>
      <c r="S52" s="21">
        <v>0.31388888888888888</v>
      </c>
      <c r="T52" s="21">
        <v>0.32569444444444445</v>
      </c>
      <c r="U52" s="88">
        <f t="shared" si="44"/>
        <v>6.9999999999999751</v>
      </c>
      <c r="V52" s="30">
        <f t="shared" si="42"/>
        <v>17.000000000000021</v>
      </c>
      <c r="W52" s="16"/>
      <c r="X52" s="16"/>
      <c r="Y52" s="16"/>
      <c r="Z52" s="16"/>
      <c r="AA52" s="168"/>
      <c r="AB52" s="168"/>
      <c r="AC52" s="18"/>
      <c r="AD52" s="18"/>
      <c r="AE52" s="14">
        <f t="shared" si="43"/>
        <v>-3.5294117647094936</v>
      </c>
      <c r="AF52" s="91">
        <f t="shared" si="9"/>
        <v>0.99882352941176356</v>
      </c>
      <c r="AG52" s="177"/>
    </row>
    <row r="53" spans="1:33" ht="15" customHeight="1">
      <c r="A53" s="180" t="s">
        <v>375</v>
      </c>
      <c r="B53" s="88" t="s">
        <v>33</v>
      </c>
      <c r="C53" s="170" t="s">
        <v>756</v>
      </c>
      <c r="D53" s="171"/>
      <c r="E53" s="28">
        <v>37.880000000000003</v>
      </c>
      <c r="F53" s="29">
        <v>2051</v>
      </c>
      <c r="G53" s="88">
        <f t="shared" si="40"/>
        <v>77691.88</v>
      </c>
      <c r="H53" s="30" t="s">
        <v>53</v>
      </c>
      <c r="I53" s="95">
        <v>10</v>
      </c>
      <c r="J53" s="13">
        <v>3000</v>
      </c>
      <c r="K53" s="12">
        <f t="shared" si="1"/>
        <v>300</v>
      </c>
      <c r="L53" s="95">
        <v>10</v>
      </c>
      <c r="M53" s="13">
        <f t="shared" si="41"/>
        <v>2861.8604651162786</v>
      </c>
      <c r="N53" s="12">
        <f t="shared" si="3"/>
        <v>286.18604651162786</v>
      </c>
      <c r="O53" s="14">
        <f t="shared" si="4"/>
        <v>0</v>
      </c>
      <c r="P53" s="15">
        <f t="shared" si="5"/>
        <v>-13.813953488372135</v>
      </c>
      <c r="Q53" s="91">
        <f t="shared" si="6"/>
        <v>0.95395348837209293</v>
      </c>
      <c r="R53" s="177"/>
      <c r="S53" s="21">
        <v>0.33124999999999999</v>
      </c>
      <c r="T53" s="21">
        <v>0.3611111111111111</v>
      </c>
      <c r="U53" s="88">
        <f t="shared" si="44"/>
        <v>7.9999999999999716</v>
      </c>
      <c r="V53" s="30">
        <f t="shared" si="42"/>
        <v>43.000000000000007</v>
      </c>
      <c r="W53" s="88"/>
      <c r="X53" s="88"/>
      <c r="Y53" s="98"/>
      <c r="Z53" s="98"/>
      <c r="AA53" s="172"/>
      <c r="AB53" s="173"/>
      <c r="AC53" s="18"/>
      <c r="AD53" s="18"/>
      <c r="AE53" s="14">
        <f t="shared" si="43"/>
        <v>-138.13953488372135</v>
      </c>
      <c r="AF53" s="91">
        <f t="shared" si="9"/>
        <v>0.95395348837209293</v>
      </c>
      <c r="AG53" s="177"/>
    </row>
    <row r="54" spans="1:33">
      <c r="A54" s="180" t="s">
        <v>375</v>
      </c>
      <c r="B54" s="88" t="s">
        <v>33</v>
      </c>
      <c r="C54" s="93" t="s">
        <v>38</v>
      </c>
      <c r="D54" s="94"/>
      <c r="E54" s="28">
        <v>35.869999999999997</v>
      </c>
      <c r="F54" s="29">
        <v>3002</v>
      </c>
      <c r="G54" s="88">
        <f t="shared" si="40"/>
        <v>107681.73999999999</v>
      </c>
      <c r="H54" s="30" t="s">
        <v>53</v>
      </c>
      <c r="I54" s="95">
        <v>9</v>
      </c>
      <c r="J54" s="13">
        <v>3000</v>
      </c>
      <c r="K54" s="12">
        <f t="shared" si="1"/>
        <v>333.33333333333331</v>
      </c>
      <c r="L54" s="95">
        <v>9</v>
      </c>
      <c r="M54" s="13">
        <f t="shared" si="41"/>
        <v>2859.0476190476184</v>
      </c>
      <c r="N54" s="12">
        <f t="shared" si="3"/>
        <v>317.67195767195761</v>
      </c>
      <c r="O54" s="14">
        <f t="shared" si="4"/>
        <v>0</v>
      </c>
      <c r="P54" s="15">
        <f t="shared" si="5"/>
        <v>-15.6613756613757</v>
      </c>
      <c r="Q54" s="91">
        <f t="shared" si="6"/>
        <v>0.95301587301587287</v>
      </c>
      <c r="R54" s="177"/>
      <c r="S54" s="21">
        <v>0.36458333333333331</v>
      </c>
      <c r="T54" s="21">
        <v>0.40833333333333333</v>
      </c>
      <c r="U54" s="88">
        <f t="shared" si="44"/>
        <v>4.9999999999999822</v>
      </c>
      <c r="V54" s="30">
        <f t="shared" si="42"/>
        <v>63.000000000000014</v>
      </c>
      <c r="W54" s="16"/>
      <c r="X54" s="16"/>
      <c r="Y54" s="19"/>
      <c r="Z54" s="19"/>
      <c r="AA54" s="172"/>
      <c r="AB54" s="173"/>
      <c r="AC54" s="18"/>
      <c r="AD54" s="18"/>
      <c r="AE54" s="14">
        <f t="shared" si="43"/>
        <v>-140.95238095238165</v>
      </c>
      <c r="AF54" s="91">
        <f t="shared" si="9"/>
        <v>0.95301587301587276</v>
      </c>
      <c r="AG54" s="177"/>
    </row>
    <row r="55" spans="1:33">
      <c r="A55" s="180" t="s">
        <v>375</v>
      </c>
      <c r="B55" s="28" t="s">
        <v>2308</v>
      </c>
      <c r="C55" s="178"/>
      <c r="D55" s="178"/>
      <c r="E55" s="92"/>
      <c r="F55" s="12"/>
      <c r="G55" s="12"/>
      <c r="H55" s="88"/>
      <c r="I55" s="23">
        <v>9.8571428571428577</v>
      </c>
      <c r="J55" s="13">
        <v>2857.1428571428573</v>
      </c>
      <c r="K55" s="12">
        <f t="shared" si="1"/>
        <v>289.85507246376812</v>
      </c>
      <c r="L55" s="23">
        <v>9.8571428571428577</v>
      </c>
      <c r="M55" s="13">
        <f>AVERAGE(M48:M54)</f>
        <v>2764.5943890973185</v>
      </c>
      <c r="N55" s="12">
        <f t="shared" si="3"/>
        <v>280.46609744465547</v>
      </c>
      <c r="O55" s="14">
        <f t="shared" si="4"/>
        <v>0</v>
      </c>
      <c r="P55" s="15">
        <f t="shared" si="5"/>
        <v>-9.3889750191126495</v>
      </c>
      <c r="Q55" s="91">
        <f t="shared" si="6"/>
        <v>0.96760803618406133</v>
      </c>
      <c r="R55" s="177"/>
      <c r="S55" s="21"/>
      <c r="T55" s="21"/>
      <c r="U55" s="12"/>
      <c r="V55" s="30"/>
      <c r="W55" s="12"/>
      <c r="X55" s="12"/>
      <c r="Y55" s="24">
        <f>SUM(Y48:Y54)</f>
        <v>0</v>
      </c>
      <c r="Z55" s="24">
        <f>SUM(Z48:Z54)</f>
        <v>0</v>
      </c>
      <c r="AA55" s="167"/>
      <c r="AB55" s="167"/>
      <c r="AC55" s="24">
        <v>7</v>
      </c>
      <c r="AD55" s="24">
        <f>SUM(AD48:AD54)</f>
        <v>0</v>
      </c>
      <c r="AE55" s="14">
        <f t="shared" si="43"/>
        <v>-92.548468045538812</v>
      </c>
      <c r="AF55" s="91">
        <f t="shared" si="9"/>
        <v>0.96760803618406144</v>
      </c>
      <c r="AG55" s="177"/>
    </row>
    <row r="56" spans="1:33" ht="15.75" customHeight="1">
      <c r="A56" s="174" t="s">
        <v>176</v>
      </c>
      <c r="B56" s="88" t="s">
        <v>22</v>
      </c>
      <c r="C56" s="169" t="s">
        <v>29</v>
      </c>
      <c r="D56" s="169"/>
      <c r="E56" s="28">
        <v>20.52</v>
      </c>
      <c r="F56" s="88">
        <v>3205</v>
      </c>
      <c r="G56" s="88">
        <f t="shared" ref="G56:G60" si="45">E56*F56</f>
        <v>65766.600000000006</v>
      </c>
      <c r="H56" s="30" t="s">
        <v>53</v>
      </c>
      <c r="I56" s="95">
        <v>18</v>
      </c>
      <c r="J56" s="13">
        <v>2400</v>
      </c>
      <c r="K56" s="12">
        <f t="shared" si="1"/>
        <v>133.33333333333334</v>
      </c>
      <c r="L56" s="95">
        <v>18</v>
      </c>
      <c r="M56" s="13">
        <f t="shared" ref="M56:M60" si="46">F56/V56*60</f>
        <v>2289.2857142857142</v>
      </c>
      <c r="N56" s="12">
        <f t="shared" si="3"/>
        <v>127.18253968253968</v>
      </c>
      <c r="O56" s="14">
        <f t="shared" si="4"/>
        <v>0</v>
      </c>
      <c r="P56" s="15">
        <f t="shared" si="5"/>
        <v>-6.1507936507936591</v>
      </c>
      <c r="Q56" s="91">
        <f t="shared" si="6"/>
        <v>0.95386904761904756</v>
      </c>
      <c r="R56" s="177">
        <f>Q61</f>
        <v>0.95679993132056296</v>
      </c>
      <c r="S56" s="21">
        <v>8.3333333333333329E-2</v>
      </c>
      <c r="T56" s="21">
        <v>0.14166666666666666</v>
      </c>
      <c r="U56" s="21"/>
      <c r="V56" s="30">
        <f t="shared" ref="V56:V60" si="47">(T56-S56)*24*60</f>
        <v>84</v>
      </c>
      <c r="W56" s="16">
        <f>T56</f>
        <v>0.14166666666666666</v>
      </c>
      <c r="X56" s="16">
        <f>S57</f>
        <v>0.16180555555555556</v>
      </c>
      <c r="Y56" s="16"/>
      <c r="Z56" s="16"/>
      <c r="AA56" s="168"/>
      <c r="AB56" s="168"/>
      <c r="AC56" s="18">
        <v>5</v>
      </c>
      <c r="AD56" s="18"/>
      <c r="AE56" s="14">
        <f t="shared" si="43"/>
        <v>-110.71428571428578</v>
      </c>
      <c r="AF56" s="91">
        <f t="shared" si="9"/>
        <v>0.95386904761904756</v>
      </c>
      <c r="AG56" s="177">
        <f>AF61</f>
        <v>0.95679993132056285</v>
      </c>
    </row>
    <row r="57" spans="1:33" ht="15.75" customHeight="1">
      <c r="A57" s="175" t="s">
        <v>176</v>
      </c>
      <c r="B57" s="88" t="s">
        <v>22</v>
      </c>
      <c r="C57" s="169" t="s">
        <v>50</v>
      </c>
      <c r="D57" s="169"/>
      <c r="E57" s="28">
        <v>24.45</v>
      </c>
      <c r="F57" s="88">
        <v>2278</v>
      </c>
      <c r="G57" s="88">
        <f t="shared" si="45"/>
        <v>55697.1</v>
      </c>
      <c r="H57" s="30" t="s">
        <v>53</v>
      </c>
      <c r="I57" s="95">
        <v>19</v>
      </c>
      <c r="J57" s="13">
        <v>2400</v>
      </c>
      <c r="K57" s="12">
        <f t="shared" si="1"/>
        <v>126.31578947368421</v>
      </c>
      <c r="L57" s="95">
        <v>19</v>
      </c>
      <c r="M57" s="13">
        <f t="shared" si="46"/>
        <v>2316.6101694915255</v>
      </c>
      <c r="N57" s="12">
        <f t="shared" si="3"/>
        <v>121.92685102586977</v>
      </c>
      <c r="O57" s="14">
        <f t="shared" si="4"/>
        <v>0</v>
      </c>
      <c r="P57" s="15">
        <f t="shared" si="5"/>
        <v>-4.3889384478144393</v>
      </c>
      <c r="Q57" s="91">
        <f t="shared" si="6"/>
        <v>0.96525423728813564</v>
      </c>
      <c r="R57" s="177"/>
      <c r="S57" s="21">
        <v>0.16180555555555556</v>
      </c>
      <c r="T57" s="21">
        <v>0.20277777777777778</v>
      </c>
      <c r="U57" s="88">
        <f t="shared" ref="U57:U60" si="48">(S57-T56)*24*60</f>
        <v>29.000000000000018</v>
      </c>
      <c r="V57" s="30">
        <f t="shared" si="47"/>
        <v>58.999999999999993</v>
      </c>
      <c r="W57" s="16"/>
      <c r="X57" s="16"/>
      <c r="Y57" s="16"/>
      <c r="Z57" s="16"/>
      <c r="AA57" s="168"/>
      <c r="AB57" s="168"/>
      <c r="AC57" s="18"/>
      <c r="AD57" s="18"/>
      <c r="AE57" s="14">
        <f t="shared" si="43"/>
        <v>-83.389830508474461</v>
      </c>
      <c r="AF57" s="91">
        <f t="shared" si="9"/>
        <v>0.96525423728813564</v>
      </c>
      <c r="AG57" s="177"/>
    </row>
    <row r="58" spans="1:33" ht="15.75" customHeight="1">
      <c r="A58" s="175" t="s">
        <v>176</v>
      </c>
      <c r="B58" s="88" t="s">
        <v>22</v>
      </c>
      <c r="C58" s="169" t="s">
        <v>31</v>
      </c>
      <c r="D58" s="169"/>
      <c r="E58" s="28">
        <v>20.21</v>
      </c>
      <c r="F58" s="88">
        <v>2599</v>
      </c>
      <c r="G58" s="88">
        <f t="shared" si="45"/>
        <v>52525.79</v>
      </c>
      <c r="H58" s="30" t="s">
        <v>53</v>
      </c>
      <c r="I58" s="95">
        <v>15</v>
      </c>
      <c r="J58" s="13">
        <v>2400</v>
      </c>
      <c r="K58" s="12">
        <f t="shared" si="1"/>
        <v>160</v>
      </c>
      <c r="L58" s="95">
        <v>15</v>
      </c>
      <c r="M58" s="13">
        <f t="shared" si="46"/>
        <v>2293.2352941176468</v>
      </c>
      <c r="N58" s="12">
        <f t="shared" si="3"/>
        <v>152.88235294117646</v>
      </c>
      <c r="O58" s="14">
        <f t="shared" si="4"/>
        <v>0</v>
      </c>
      <c r="P58" s="15">
        <f t="shared" si="5"/>
        <v>-7.1176470588235361</v>
      </c>
      <c r="Q58" s="91">
        <f t="shared" si="6"/>
        <v>0.95551470588235288</v>
      </c>
      <c r="R58" s="177"/>
      <c r="S58" s="21">
        <v>0.20624999999999999</v>
      </c>
      <c r="T58" s="21">
        <v>0.25347222222222221</v>
      </c>
      <c r="U58" s="88">
        <f t="shared" si="48"/>
        <v>4.9999999999999822</v>
      </c>
      <c r="V58" s="30">
        <f t="shared" si="47"/>
        <v>68</v>
      </c>
      <c r="W58" s="16"/>
      <c r="X58" s="16"/>
      <c r="Y58" s="16"/>
      <c r="Z58" s="16"/>
      <c r="AA58" s="168"/>
      <c r="AB58" s="168"/>
      <c r="AC58" s="18"/>
      <c r="AD58" s="18"/>
      <c r="AE58" s="14">
        <f t="shared" si="43"/>
        <v>-106.76470588235316</v>
      </c>
      <c r="AF58" s="91">
        <f t="shared" si="9"/>
        <v>0.95551470588235288</v>
      </c>
      <c r="AG58" s="177"/>
    </row>
    <row r="59" spans="1:33" ht="15.75" customHeight="1">
      <c r="A59" s="175" t="s">
        <v>176</v>
      </c>
      <c r="B59" s="88" t="s">
        <v>22</v>
      </c>
      <c r="C59" s="169" t="s">
        <v>52</v>
      </c>
      <c r="D59" s="169"/>
      <c r="E59" s="28">
        <v>19.02</v>
      </c>
      <c r="F59" s="88">
        <v>8271</v>
      </c>
      <c r="G59" s="88">
        <f t="shared" si="45"/>
        <v>157314.41999999998</v>
      </c>
      <c r="H59" s="30" t="s">
        <v>53</v>
      </c>
      <c r="I59" s="95">
        <v>14</v>
      </c>
      <c r="J59" s="13">
        <v>2400</v>
      </c>
      <c r="K59" s="12">
        <f t="shared" si="1"/>
        <v>171.42857142857142</v>
      </c>
      <c r="L59" s="95">
        <v>14</v>
      </c>
      <c r="M59" s="13">
        <f t="shared" si="46"/>
        <v>2286.9124423963131</v>
      </c>
      <c r="N59" s="12">
        <f t="shared" si="3"/>
        <v>163.35088874259378</v>
      </c>
      <c r="O59" s="14">
        <f t="shared" si="4"/>
        <v>0</v>
      </c>
      <c r="P59" s="15">
        <f t="shared" si="5"/>
        <v>-8.0776826859776349</v>
      </c>
      <c r="Q59" s="91">
        <f t="shared" si="6"/>
        <v>0.95288018433179711</v>
      </c>
      <c r="R59" s="177"/>
      <c r="S59" s="21">
        <v>0.25902777777777775</v>
      </c>
      <c r="T59" s="21">
        <v>0.40972222222222221</v>
      </c>
      <c r="U59" s="88">
        <f t="shared" si="48"/>
        <v>7.9999999999999716</v>
      </c>
      <c r="V59" s="30">
        <f t="shared" si="47"/>
        <v>217.00000000000003</v>
      </c>
      <c r="W59" s="16"/>
      <c r="X59" s="16"/>
      <c r="Y59" s="16"/>
      <c r="Z59" s="16"/>
      <c r="AA59" s="168"/>
      <c r="AB59" s="168"/>
      <c r="AC59" s="18"/>
      <c r="AD59" s="18"/>
      <c r="AE59" s="14">
        <f t="shared" si="43"/>
        <v>-113.08755760368695</v>
      </c>
      <c r="AF59" s="91">
        <f t="shared" si="9"/>
        <v>0.95288018433179711</v>
      </c>
      <c r="AG59" s="177"/>
    </row>
    <row r="60" spans="1:33" ht="15.75" customHeight="1">
      <c r="A60" s="175" t="s">
        <v>176</v>
      </c>
      <c r="B60" s="88" t="s">
        <v>22</v>
      </c>
      <c r="C60" s="169" t="s">
        <v>70</v>
      </c>
      <c r="D60" s="169"/>
      <c r="E60" s="28">
        <v>22.69</v>
      </c>
      <c r="F60" s="88">
        <v>4132</v>
      </c>
      <c r="G60" s="88">
        <f t="shared" si="45"/>
        <v>93755.08</v>
      </c>
      <c r="H60" s="30" t="s">
        <v>53</v>
      </c>
      <c r="I60" s="95">
        <v>15</v>
      </c>
      <c r="J60" s="13">
        <v>2400</v>
      </c>
      <c r="K60" s="12">
        <f t="shared" si="1"/>
        <v>160</v>
      </c>
      <c r="L60" s="95">
        <v>15</v>
      </c>
      <c r="M60" s="13">
        <f t="shared" si="46"/>
        <v>2295.5555555555552</v>
      </c>
      <c r="N60" s="12">
        <f t="shared" si="3"/>
        <v>153.03703703703701</v>
      </c>
      <c r="O60" s="14">
        <f t="shared" si="4"/>
        <v>0</v>
      </c>
      <c r="P60" s="15">
        <f t="shared" si="5"/>
        <v>-6.9629629629629903</v>
      </c>
      <c r="Q60" s="91">
        <f t="shared" si="6"/>
        <v>0.95648148148148127</v>
      </c>
      <c r="R60" s="177"/>
      <c r="S60" s="21">
        <v>0.41319444444444442</v>
      </c>
      <c r="T60" s="21">
        <v>0.48819444444444443</v>
      </c>
      <c r="U60" s="88">
        <f t="shared" si="48"/>
        <v>4.9999999999999822</v>
      </c>
      <c r="V60" s="30">
        <f t="shared" si="47"/>
        <v>108.00000000000001</v>
      </c>
      <c r="W60" s="16"/>
      <c r="X60" s="16"/>
      <c r="Y60" s="16"/>
      <c r="Z60" s="16"/>
      <c r="AA60" s="168"/>
      <c r="AB60" s="168"/>
      <c r="AC60" s="18"/>
      <c r="AD60" s="18"/>
      <c r="AE60" s="14">
        <f t="shared" si="43"/>
        <v>-104.4444444444448</v>
      </c>
      <c r="AF60" s="91">
        <f t="shared" si="9"/>
        <v>0.95648148148148138</v>
      </c>
      <c r="AG60" s="177"/>
    </row>
    <row r="61" spans="1:33" ht="16.5" customHeight="1">
      <c r="A61" s="176" t="s">
        <v>176</v>
      </c>
      <c r="B61" s="28" t="s">
        <v>168</v>
      </c>
      <c r="C61" s="165"/>
      <c r="D61" s="166"/>
      <c r="E61" s="92"/>
      <c r="F61" s="12"/>
      <c r="G61" s="12"/>
      <c r="H61" s="88"/>
      <c r="I61" s="23">
        <v>16.2</v>
      </c>
      <c r="J61" s="13">
        <v>2400</v>
      </c>
      <c r="K61" s="12">
        <f t="shared" si="1"/>
        <v>148.14814814814815</v>
      </c>
      <c r="L61" s="23">
        <v>16.2</v>
      </c>
      <c r="M61" s="13">
        <f>AVERAGE(M56:M60)</f>
        <v>2296.3198351693509</v>
      </c>
      <c r="N61" s="12">
        <f t="shared" si="3"/>
        <v>141.74813797341673</v>
      </c>
      <c r="O61" s="14">
        <f t="shared" si="4"/>
        <v>0</v>
      </c>
      <c r="P61" s="15">
        <f t="shared" si="5"/>
        <v>-6.4000101747314204</v>
      </c>
      <c r="Q61" s="91">
        <f t="shared" si="6"/>
        <v>0.95679993132056296</v>
      </c>
      <c r="R61" s="177"/>
      <c r="S61" s="21"/>
      <c r="T61" s="21"/>
      <c r="U61" s="12"/>
      <c r="V61" s="30"/>
      <c r="W61" s="12"/>
      <c r="X61" s="12"/>
      <c r="Y61" s="24">
        <f>SUM(Y56:Y60)</f>
        <v>0</v>
      </c>
      <c r="Z61" s="24">
        <f>SUM(Z56:Z60)</f>
        <v>0</v>
      </c>
      <c r="AA61" s="167"/>
      <c r="AB61" s="167"/>
      <c r="AC61" s="24">
        <v>5</v>
      </c>
      <c r="AD61" s="24">
        <f>SUM(AD56:AD60)</f>
        <v>0</v>
      </c>
      <c r="AE61" s="14">
        <f t="shared" si="43"/>
        <v>-103.68016483064912</v>
      </c>
      <c r="AF61" s="91">
        <f t="shared" si="9"/>
        <v>0.95679993132056285</v>
      </c>
      <c r="AG61" s="177"/>
    </row>
    <row r="62" spans="1:33">
      <c r="D62" s="87"/>
      <c r="E62" s="87"/>
    </row>
  </sheetData>
  <mergeCells count="174">
    <mergeCell ref="AG56:AG61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56:A61"/>
    <mergeCell ref="C56:D56"/>
    <mergeCell ref="R56:R61"/>
    <mergeCell ref="AA56:AB56"/>
    <mergeCell ref="AA61:AB61"/>
    <mergeCell ref="AA51:AB51"/>
    <mergeCell ref="C52:D52"/>
    <mergeCell ref="AA52:AB52"/>
    <mergeCell ref="C53:D53"/>
    <mergeCell ref="AA53:AB53"/>
    <mergeCell ref="AA54:AB54"/>
    <mergeCell ref="A48:A55"/>
    <mergeCell ref="C48:D48"/>
    <mergeCell ref="R48:R55"/>
    <mergeCell ref="AA48:AB48"/>
    <mergeCell ref="AG48:AG55"/>
    <mergeCell ref="C49:D49"/>
    <mergeCell ref="AA49:AB49"/>
    <mergeCell ref="C50:D50"/>
    <mergeCell ref="AA50:AB50"/>
    <mergeCell ref="C51:D51"/>
    <mergeCell ref="AG41:AG47"/>
    <mergeCell ref="C42:D42"/>
    <mergeCell ref="AA42:AB42"/>
    <mergeCell ref="C43:D43"/>
    <mergeCell ref="AA43:AB43"/>
    <mergeCell ref="AA44:AB44"/>
    <mergeCell ref="AA45:AB45"/>
    <mergeCell ref="C46:D46"/>
    <mergeCell ref="AA46:AB46"/>
    <mergeCell ref="C47:D47"/>
    <mergeCell ref="C55:D55"/>
    <mergeCell ref="AA55:AB55"/>
    <mergeCell ref="A41:A47"/>
    <mergeCell ref="C41:D41"/>
    <mergeCell ref="R41:R47"/>
    <mergeCell ref="AA41:AB41"/>
    <mergeCell ref="AA47:AB47"/>
    <mergeCell ref="A36:A40"/>
    <mergeCell ref="C36:D36"/>
    <mergeCell ref="R36:R40"/>
    <mergeCell ref="AA36:AB36"/>
    <mergeCell ref="AG36:AG40"/>
    <mergeCell ref="C37:D37"/>
    <mergeCell ref="AA37:AB37"/>
    <mergeCell ref="C38:D38"/>
    <mergeCell ref="AA38:AB38"/>
    <mergeCell ref="C39:D39"/>
    <mergeCell ref="AG30:AG35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A39:AB39"/>
    <mergeCell ref="C40:D40"/>
    <mergeCell ref="AA40:AB40"/>
    <mergeCell ref="A30:A35"/>
    <mergeCell ref="C30:D30"/>
    <mergeCell ref="R30:R35"/>
    <mergeCell ref="AA30:AB30"/>
    <mergeCell ref="AA35:AB35"/>
    <mergeCell ref="A24:A29"/>
    <mergeCell ref="C24:D24"/>
    <mergeCell ref="R24:R29"/>
    <mergeCell ref="AA24:AB24"/>
    <mergeCell ref="AG24:AG29"/>
    <mergeCell ref="C25:D25"/>
    <mergeCell ref="AA25:AB25"/>
    <mergeCell ref="C26:D26"/>
    <mergeCell ref="AA26:AB26"/>
    <mergeCell ref="C27:D27"/>
    <mergeCell ref="AG18:AG23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A27:AB27"/>
    <mergeCell ref="C28:D28"/>
    <mergeCell ref="AA28:AB28"/>
    <mergeCell ref="C29:D29"/>
    <mergeCell ref="AA29:AB29"/>
    <mergeCell ref="A18:A23"/>
    <mergeCell ref="C18:D18"/>
    <mergeCell ref="R18:R23"/>
    <mergeCell ref="AA18:AB18"/>
    <mergeCell ref="AA23:AB23"/>
    <mergeCell ref="A13:A17"/>
    <mergeCell ref="C13:D13"/>
    <mergeCell ref="R13:R17"/>
    <mergeCell ref="AA13:AB13"/>
    <mergeCell ref="AG13:AG17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:O61">
    <cfRule type="cellIs" dxfId="194" priority="9" operator="greaterThan">
      <formula>0</formula>
    </cfRule>
  </conditionalFormatting>
  <conditionalFormatting sqref="P5:P61">
    <cfRule type="cellIs" dxfId="193" priority="1" operator="lessThan">
      <formula>0</formula>
    </cfRule>
  </conditionalFormatting>
  <conditionalFormatting sqref="Q5:Q61 AF5:AF61">
    <cfRule type="cellIs" dxfId="192" priority="10" operator="greaterThan">
      <formula>1</formula>
    </cfRule>
    <cfRule type="cellIs" dxfId="191" priority="11" operator="lessThan">
      <formula>0.8</formula>
    </cfRule>
  </conditionalFormatting>
  <conditionalFormatting sqref="R5:R10 AG5:AG10">
    <cfRule type="cellIs" dxfId="190" priority="37" operator="lessThan">
      <formula>0.8</formula>
    </cfRule>
  </conditionalFormatting>
  <conditionalFormatting sqref="AE5:AE61">
    <cfRule type="cellIs" dxfId="189" priority="12" operator="lessThan">
      <formula>0</formula>
    </cfRule>
  </conditionalFormatting>
  <conditionalFormatting sqref="AG13:AG51 R13:R61">
    <cfRule type="cellIs" dxfId="188" priority="13" operator="lessThan">
      <formula>0.8</formula>
    </cfRule>
  </conditionalFormatting>
  <dataValidations count="1">
    <dataValidation type="list" allowBlank="1" showInputMessage="1" showErrorMessage="1" sqref="AB9 AA5:AB8 AB52:AB54 AA9:AA54 AB11:AB48 AA55:AB61" xr:uid="{00000000-0002-0000-0D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Q32"/>
  <sheetViews>
    <sheetView zoomScale="85" zoomScaleNormal="85" workbookViewId="0">
      <selection activeCell="I9" sqref="I9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2164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284</v>
      </c>
      <c r="C3" s="154" t="str">
        <f>TEXT('0423 4度C'!A2,"yyyy.mm.ddaaaa")</f>
        <v>2026.04.23星期四</v>
      </c>
      <c r="D3" s="155"/>
      <c r="E3" s="33" t="s">
        <v>2165</v>
      </c>
      <c r="F3" s="156">
        <f>'0423 4度C'!D1</f>
        <v>138749</v>
      </c>
      <c r="G3" s="157"/>
      <c r="H3" s="33" t="s">
        <v>2166</v>
      </c>
      <c r="I3" s="158">
        <f>'0423 4度C'!F1</f>
        <v>4506679.88</v>
      </c>
      <c r="J3" s="159"/>
      <c r="K3" s="34"/>
      <c r="L3" s="35"/>
      <c r="M3" s="35"/>
      <c r="N3" s="35"/>
    </row>
    <row r="4" spans="2:17" ht="28.5" customHeight="1">
      <c r="B4" s="160" t="s">
        <v>2167</v>
      </c>
      <c r="C4" s="146" t="s">
        <v>2168</v>
      </c>
      <c r="D4" s="147"/>
      <c r="E4" s="163" t="s">
        <v>2169</v>
      </c>
      <c r="F4" s="164"/>
      <c r="G4" s="163" t="s">
        <v>2170</v>
      </c>
      <c r="H4" s="164"/>
      <c r="I4" s="163" t="s">
        <v>2171</v>
      </c>
      <c r="J4" s="164"/>
      <c r="K4" s="144" t="s">
        <v>2172</v>
      </c>
      <c r="L4" s="145"/>
      <c r="M4" s="145" t="s">
        <v>2173</v>
      </c>
      <c r="N4" s="145"/>
    </row>
    <row r="5" spans="2:17" ht="28.5" customHeight="1">
      <c r="B5" s="161"/>
      <c r="C5" s="146" t="s">
        <v>2174</v>
      </c>
      <c r="D5" s="147"/>
      <c r="E5" s="146" t="s">
        <v>2175</v>
      </c>
      <c r="F5" s="147"/>
      <c r="G5" s="148" t="s">
        <v>2176</v>
      </c>
      <c r="H5" s="149"/>
      <c r="I5" s="150" t="s">
        <v>2177</v>
      </c>
      <c r="J5" s="151"/>
      <c r="K5" s="36" t="s">
        <v>2178</v>
      </c>
      <c r="L5" s="37" t="s">
        <v>2179</v>
      </c>
      <c r="M5" s="36" t="s">
        <v>2178</v>
      </c>
      <c r="N5" s="37" t="s">
        <v>2180</v>
      </c>
    </row>
    <row r="6" spans="2:17" ht="28.5" customHeight="1">
      <c r="B6" s="161"/>
      <c r="C6" s="146" t="s">
        <v>54</v>
      </c>
      <c r="D6" s="147"/>
      <c r="E6" s="138">
        <f>AVERAGE(D13:M13)</f>
        <v>155.94064018596953</v>
      </c>
      <c r="F6" s="139">
        <f>AVERAGE(D31:O31,D13:J13)</f>
        <v>162.24884185627826</v>
      </c>
      <c r="G6" s="140">
        <f>AVERAGE(D13:J13)</f>
        <v>162.24884185627826</v>
      </c>
      <c r="H6" s="141"/>
      <c r="I6" s="140">
        <f>AVERAGE(K13:M13)</f>
        <v>141.22150295524909</v>
      </c>
      <c r="J6" s="141"/>
      <c r="K6" s="142">
        <f>'0423 4度C'!Y2</f>
        <v>0</v>
      </c>
      <c r="L6" s="127">
        <f>'0423 4度C'!Z2</f>
        <v>0</v>
      </c>
      <c r="M6" s="143">
        <f>'0423 4度C'!AC2</f>
        <v>52</v>
      </c>
      <c r="N6" s="127">
        <f>'0423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149.62090152327005</v>
      </c>
      <c r="F7" s="131">
        <f>AVERAGE(D32:O32,D14:J14)</f>
        <v>155.89594271263016</v>
      </c>
      <c r="G7" s="132">
        <f>AVERAGE(D14:J14)</f>
        <v>155.89594271263016</v>
      </c>
      <c r="H7" s="133"/>
      <c r="I7" s="132">
        <f>AVERAGE(K14:M14)</f>
        <v>134.9791387480964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0.95975295069891831</v>
      </c>
      <c r="F8" s="135">
        <f>AVERAGE(D15:J15,D33:O33)</f>
        <v>0.96144135474904946</v>
      </c>
      <c r="G8" s="136">
        <f>AVERAGE(D15:J15)</f>
        <v>0.96144135474904946</v>
      </c>
      <c r="H8" s="137"/>
      <c r="I8" s="136">
        <f>AVERAGE(K15:M15)</f>
        <v>0.95581334124861206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2181</v>
      </c>
      <c r="N9" s="35"/>
      <c r="O9" s="35"/>
      <c r="P9" s="35"/>
      <c r="Q9" s="35"/>
    </row>
    <row r="10" spans="2:17" ht="30" customHeight="1">
      <c r="B10" s="110" t="s">
        <v>2182</v>
      </c>
      <c r="C10" s="111"/>
      <c r="D10" s="112" t="s">
        <v>2183</v>
      </c>
      <c r="E10" s="113"/>
      <c r="F10" s="113"/>
      <c r="G10" s="113"/>
      <c r="H10" s="113"/>
      <c r="I10" s="113"/>
      <c r="J10" s="114"/>
      <c r="K10" s="115" t="s">
        <v>2184</v>
      </c>
      <c r="L10" s="116"/>
      <c r="M10" s="117"/>
      <c r="P10" s="41"/>
      <c r="Q10" s="41"/>
    </row>
    <row r="11" spans="2:17" ht="17.25" customHeight="1">
      <c r="B11" s="118" t="s">
        <v>2185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2186</v>
      </c>
      <c r="C13" s="48" t="s">
        <v>2187</v>
      </c>
      <c r="D13" s="49">
        <f>SUMIFS('0423 4度C'!$K:$K,'0423 4度C'!$A:$A,"新豐6線",'0423 4度C'!$B:$B,"平均")</f>
        <v>119.40298507462687</v>
      </c>
      <c r="E13" s="50">
        <f>SUMIFS('0423 4度C'!$K:$K,'0423 4度C'!$A:$A,"新豐2線",'0423 4度C'!$B:$B,"平均")</f>
        <v>84.905660377358487</v>
      </c>
      <c r="F13" s="51">
        <f>SUMIFS('0423 4度C'!$K:$K,'0423 4度C'!$A:$A,"新豐5線",'0423 4度C'!$B:$B,"平均")</f>
        <v>100</v>
      </c>
      <c r="G13" s="51">
        <f>SUMIFS('0423 4度C'!$K:$K,'0423 4度C'!$A:$A,"新豐7線",'0423 4度C'!$B:$B,"平均")</f>
        <v>122.3404255319149</v>
      </c>
      <c r="H13" s="51">
        <f>SUMIFS('0423 4度C'!$K:$K,'0423 4度C'!$A:$A,"新豐3線",'0423 4度C'!$B:$B,"平均")</f>
        <v>315.78947368421052</v>
      </c>
      <c r="I13" s="51">
        <f>SUMIFS('0423 4度C'!$K:$K,'0423 4度C'!$A:$A,"新豐1線",'0423 4度C'!$B:$B,"平均")</f>
        <v>103.44827586206897</v>
      </c>
      <c r="J13" s="52">
        <f>SUMIFS('0423 4度C'!$K:$K,'0423 4度C'!$A:$A,"新豐10線",'0423 4度C'!$B:$B,"平均")</f>
        <v>289.85507246376812</v>
      </c>
      <c r="K13" s="53">
        <f>SUMIFS('0423 4度C'!$K:$K,'0423 4度C'!$A:$A,"新豐8線",'0423 4度C'!$B:$B,"平均")</f>
        <v>130.90909090909091</v>
      </c>
      <c r="L13" s="54">
        <f>SUMIFS('0423 4度C'!$K:$K,'0423 4度C'!$A:$A,"新豐9線",'0423 4度C'!$B:$B,"平均")</f>
        <v>141.1764705882353</v>
      </c>
      <c r="M13" s="52">
        <f>SUMIFS('0423 4度C'!$K:$K,'0423 4度C'!$A:$A,"新豐4線",'0423 4度C'!$B:$B,"平均")</f>
        <v>151.57894736842104</v>
      </c>
    </row>
    <row r="14" spans="2:17" ht="39.6" customHeight="1">
      <c r="B14" s="123"/>
      <c r="C14" s="55" t="s">
        <v>2188</v>
      </c>
      <c r="D14" s="56">
        <f>SUMIFS('0423 4度C'!$N:$N,'0423 4度C'!$A:$A,"新豐6線",'0423 4度C'!$B:$B,"平均")</f>
        <v>115.80142431927258</v>
      </c>
      <c r="E14" s="57">
        <f>SUMIFS('0423 4度C'!$N:$N,'0423 4度C'!$A:$A,"新豐2線",'0423 4度C'!$B:$B,"平均")</f>
        <v>80.978053163280961</v>
      </c>
      <c r="F14" s="57">
        <f>SUMIFS('0423 4度C'!$N:$N,'0423 4度C'!$A:$A,"新豐5線",'0423 4度C'!$B:$B,"平均")</f>
        <v>96.34370333499254</v>
      </c>
      <c r="G14" s="57">
        <f>SUMIFS('0423 4度C'!$N:$N,'0423 4度C'!$A:$A,"新豐7線",'0423 4度C'!$B:$B,"平均")</f>
        <v>117.51721470019348</v>
      </c>
      <c r="H14" s="57">
        <f>SUMIFS('0423 4度C'!$N:$N,'0423 4度C'!$A:$A,"新豐3線",'0423 4度C'!$B:$B,"平均")</f>
        <v>300.96988541154576</v>
      </c>
      <c r="I14" s="57">
        <f>SUMIFS('0423 4度C'!$N:$N,'0423 4度C'!$A:$A,"新豐1線",'0423 4度C'!$B:$B,"平均")</f>
        <v>99.666862360368299</v>
      </c>
      <c r="J14" s="58">
        <f>SUMIFS('0423 4度C'!$N:$N,'0423 4度C'!$A:$A,"新豐10線",'0423 4度C'!$B:$B,"平均")</f>
        <v>279.99445569875752</v>
      </c>
      <c r="K14" s="59">
        <f>SUMIFS('0423 4度C'!$N:$N,'0423 4度C'!$A:$A,"新豐8線",'0423 4度C'!$B:$B,"平均")</f>
        <v>125.07000657310549</v>
      </c>
      <c r="L14" s="60">
        <f>SUMIFS('0423 4度C'!$N:$N,'0423 4度C'!$A:$A,"新豐9線",'0423 4度C'!$B:$B,"平均")</f>
        <v>135.14738573371184</v>
      </c>
      <c r="M14" s="58">
        <f>SUMIFS('0423 4度C'!$N:$N,'0423 4度C'!$A:$A,"新豐4線",'0423 4度C'!$B:$B,"平均")</f>
        <v>144.72002393747186</v>
      </c>
    </row>
    <row r="15" spans="2:17" ht="40.15" customHeight="1">
      <c r="B15" s="124"/>
      <c r="C15" s="61" t="s">
        <v>2189</v>
      </c>
      <c r="D15" s="62">
        <f t="shared" ref="D15:M15" si="0">D14/D13</f>
        <v>0.96983692867390792</v>
      </c>
      <c r="E15" s="63">
        <f t="shared" si="0"/>
        <v>0.95374151503419802</v>
      </c>
      <c r="F15" s="63">
        <f t="shared" si="0"/>
        <v>0.96343703334992536</v>
      </c>
      <c r="G15" s="63">
        <f t="shared" si="0"/>
        <v>0.96057549407114662</v>
      </c>
      <c r="H15" s="63">
        <f t="shared" si="0"/>
        <v>0.95307130380322824</v>
      </c>
      <c r="I15" s="63">
        <f t="shared" si="0"/>
        <v>0.9634463361502269</v>
      </c>
      <c r="J15" s="64">
        <f t="shared" si="0"/>
        <v>0.96598087216071338</v>
      </c>
      <c r="K15" s="62">
        <f t="shared" si="0"/>
        <v>0.95539588354455585</v>
      </c>
      <c r="L15" s="63">
        <f t="shared" si="0"/>
        <v>0.95729398228045881</v>
      </c>
      <c r="M15" s="64">
        <f t="shared" si="0"/>
        <v>0.95475015792082141</v>
      </c>
    </row>
    <row r="16" spans="2:17" ht="17.25" customHeight="1">
      <c r="B16" s="125" t="s">
        <v>2190</v>
      </c>
      <c r="C16" s="65" t="s">
        <v>2191</v>
      </c>
      <c r="D16" s="66">
        <f>VLOOKUP("新豐6線",'0423 4度C'!$A:$T,19,0)</f>
        <v>0.70833333333333337</v>
      </c>
      <c r="E16" s="67">
        <f>VLOOKUP("新豐2線",'0423 4度C'!$A:$T,19,0)</f>
        <v>0.20833333333333334</v>
      </c>
      <c r="F16" s="67">
        <f>VLOOKUP("新豐5線",'0423 4度C'!$A:$T,19,0)</f>
        <v>0.20833333333333334</v>
      </c>
      <c r="G16" s="67">
        <f>VLOOKUP("新豐7線",'0423 4度C'!$A:$T,19,0)</f>
        <v>0.29166666666666669</v>
      </c>
      <c r="H16" s="67">
        <f>VLOOKUP("新豐3線",'0423 4度C'!$A:$T,19,0)</f>
        <v>8.3333333333333329E-2</v>
      </c>
      <c r="I16" s="67">
        <f>VLOOKUP("新豐1線",'0423 4度C'!$A:$T,19,0)</f>
        <v>0.33333333333333331</v>
      </c>
      <c r="J16" s="68">
        <f>VLOOKUP("新豐10線",'0423 4度C'!$A:$T,19,0)</f>
        <v>0.20833333333333334</v>
      </c>
      <c r="K16" s="69">
        <f>VLOOKUP("新豐8線",'0423 4度C'!$A:$T,19,0)</f>
        <v>8.3333333333333329E-2</v>
      </c>
      <c r="L16" s="70">
        <f>VLOOKUP("新豐9線",'0423 4度C'!$A:$T,19,0)</f>
        <v>8.3333333333333329E-2</v>
      </c>
      <c r="M16" s="71">
        <f>VLOOKUP("新豐4線",'0423 4度C'!$A:$T,19,0)</f>
        <v>8.3333333333333329E-2</v>
      </c>
    </row>
    <row r="17" spans="2:13" ht="17.25" customHeight="1">
      <c r="B17" s="126"/>
      <c r="C17" s="65" t="s">
        <v>2192</v>
      </c>
      <c r="D17" s="69">
        <f>LOOKUP(2,1/(('0423 4度C'!$A:$A="新豐6線")*('0423 4度C'!$T:$T&lt;&gt;"")),'0423 4度C'!$T:$T)</f>
        <v>0.83263888888888893</v>
      </c>
      <c r="E17" s="67">
        <f>LOOKUP(2,1/(('0423 4度C'!$A:$A="新豐2線")*('0423 4度C'!$T:$T&lt;&gt;"")),'0423 4度C'!$T:$T)</f>
        <v>0.56180555555555545</v>
      </c>
      <c r="F17" s="67">
        <f>LOOKUP(2,1/(('0423 4度C'!$A:$A="新豐5線")*('0423 4度C'!$T:$T&lt;&gt;"")),'0423 4度C'!$T:$T)</f>
        <v>0.81527777777777777</v>
      </c>
      <c r="G17" s="67">
        <f>LOOKUP(2,1/(('0423 4度C'!$A:$A="新豐7線")*('0423 4度C'!$T:$T&lt;&gt;"")),'0423 4度C'!$T:$T)</f>
        <v>0.79861111111111105</v>
      </c>
      <c r="H17" s="67">
        <f>LOOKUP(2,1/(('0423 4度C'!$A:$A="新豐3線")*('0423 4度C'!$T:$T&lt;&gt;"")),'0423 4度C'!$T:$T)</f>
        <v>0.37152777777777779</v>
      </c>
      <c r="I17" s="67">
        <f>LOOKUP(2,1/(('0423 4度C'!$A:$A="新豐1線")*('0423 4度C'!$T:$T&lt;&gt;"")),'0423 4度C'!$T:$T)</f>
        <v>0.79236111111111118</v>
      </c>
      <c r="J17" s="68">
        <f>LOOKUP(2,1/(('0423 4度C'!$A:$A="新豐10線")*('0423 4度C'!$T:$T&lt;&gt;"")),'0423 4度C'!$T:$T)</f>
        <v>0.43402777777777768</v>
      </c>
      <c r="K17" s="66">
        <f>LOOKUP(2,1/(('0423 4度C'!$A:$A="新豐8線")*('0423 4度C'!$T:$T&lt;&gt;"")),'0423 4度C'!$T:$T)</f>
        <v>0.57222222222222219</v>
      </c>
      <c r="L17" s="67">
        <f>LOOKUP(2,1/(('0423 4度C'!$A:$A="新豐9線")*('0423 4度C'!$T:$T&lt;&gt;"")),'0423 4度C'!$T:$T)</f>
        <v>0.58680555555555569</v>
      </c>
      <c r="M17" s="68">
        <f>LOOKUP(2,1/(('0423 4度C'!$A:$A="新豐4線")*('0423 4度C'!$T:$T&lt;&gt;"")),'0423 4度C'!$T:$T)</f>
        <v>0.57708333333333328</v>
      </c>
    </row>
    <row r="18" spans="2:13" ht="17.25" customHeight="1">
      <c r="B18" s="104" t="s">
        <v>2193</v>
      </c>
      <c r="C18" s="72" t="s">
        <v>2194</v>
      </c>
      <c r="D18" s="73">
        <f>SUMIFS('0423 4度C'!$Y:$Y,'0423 4度C'!$A:$A,"新豐6線",'0423 4度C'!$B:$B,"平均")</f>
        <v>0</v>
      </c>
      <c r="E18" s="74">
        <f>SUMIFS('0423 4度C'!$Y:$Y,'0423 4度C'!$A:$A,"新豐2線",'0423 4度C'!$B:$B,"平均")</f>
        <v>0</v>
      </c>
      <c r="F18" s="74">
        <f>SUMIFS('0423 4度C'!$Y:$Y,'0423 4度C'!$A:$A,"新豐5線",'0423 4度C'!$B:$B,"平均")</f>
        <v>0</v>
      </c>
      <c r="G18" s="74">
        <f>SUMIFS('0423 4度C'!$Y:$Y,'0423 4度C'!$A:$A,"新豐7線",'0423 4度C'!$B:$B,"平均")</f>
        <v>0</v>
      </c>
      <c r="H18" s="74">
        <f>SUMIFS('0423 4度C'!$Y:$Y,'0423 4度C'!$A:$A,"新豐3線",'0423 4度C'!$B:$B,"平均")</f>
        <v>0</v>
      </c>
      <c r="I18" s="74">
        <f>SUMIFS('0423 4度C'!$Y:$Y,'0423 4度C'!$A:$A,"新豐1線",'0423 4度C'!$B:$B,"平均")</f>
        <v>0</v>
      </c>
      <c r="J18" s="75">
        <f>SUMIFS('0423 4度C'!$Y:$Y,'0423 4度C'!$A:$A,"新豐10線",'0423 4度C'!$B:$B,"平均")</f>
        <v>0</v>
      </c>
      <c r="K18" s="76">
        <f>SUMIFS('0423 4度C'!$Y:$Y,'0423 4度C'!$A:$A,"新豐8線",'0423 4度C'!$B:$B,"平均")</f>
        <v>0</v>
      </c>
      <c r="L18" s="74">
        <f>SUMIFS('0423 4度C'!$Y:$Y,'0423 4度C'!$A:$A,"新豐9線",'0423 4度C'!$B:$B,"平均")</f>
        <v>0</v>
      </c>
      <c r="M18" s="75">
        <f>SUMIFS('0423 4度C'!$Y:$Y,'0423 4度C'!$A:$A,"新豐4線",'0423 4度C'!$B:$B,"平均")</f>
        <v>0</v>
      </c>
    </row>
    <row r="19" spans="2:13" ht="17.25" customHeight="1">
      <c r="B19" s="105"/>
      <c r="C19" s="72" t="s">
        <v>2195</v>
      </c>
      <c r="D19" s="73">
        <f>SUMIFS('0423 4度C'!$Z:$Z,'0423 4度C'!$A:$A,"新豐6線",'0423 4度C'!$B:$B,"平均")</f>
        <v>0</v>
      </c>
      <c r="E19" s="74">
        <f>SUMIFS('0423 4度C'!$Z:$Z,'0423 4度C'!$A:$A,"新豐2線",'0423 4度C'!$B:$B,"平均")</f>
        <v>0</v>
      </c>
      <c r="F19" s="74">
        <f>SUMIFS('0423 4度C'!$Z:$Z,'0423 4度C'!$A:$A,"新豐5線",'0423 4度C'!$B:$B,"平均")</f>
        <v>0</v>
      </c>
      <c r="G19" s="74">
        <f>SUMIFS('0423 4度C'!$Z:$Z,'0423 4度C'!$A:$A,"新豐7線",'0423 4度C'!$B:$B,"平均")</f>
        <v>0</v>
      </c>
      <c r="H19" s="74">
        <f>SUMIFS('0423 4度C'!$Z:$Z,'0423 4度C'!$A:$A,"新豐3線",'0423 4度C'!$B:$B,"平均")</f>
        <v>0</v>
      </c>
      <c r="I19" s="74">
        <f>SUMIFS('0423 4度C'!$Z:$Z,'0423 4度C'!$A:$A,"新豐1線",'0423 4度C'!$B:$B,"平均")</f>
        <v>0</v>
      </c>
      <c r="J19" s="75">
        <f>SUMIFS('0423 4度C'!$Z:$Z,'0423 4度C'!$A:$A,"新豐10線",'0423 4度C'!$B:$B,"平均")</f>
        <v>0</v>
      </c>
      <c r="K19" s="76">
        <f>SUMIFS('0423 4度C'!$Z:$Z,'0423 4度C'!$A:$A,"新豐8線",'0423 4度C'!$B:$B,"平均")</f>
        <v>0</v>
      </c>
      <c r="L19" s="74">
        <f>SUMIFS('0423 4度C'!$Z:$Z,'0423 4度C'!$A:$A,"新豐9線",'0423 4度C'!$B:$B,"平均")</f>
        <v>0</v>
      </c>
      <c r="M19" s="75">
        <f>SUMIFS('0423 4度C'!$Z:$Z,'0423 4度C'!$A:$A,"新豐4線",'0423 4度C'!$B:$B,"平均")</f>
        <v>0</v>
      </c>
    </row>
    <row r="20" spans="2:13" ht="17.25" customHeight="1">
      <c r="B20" s="104" t="s">
        <v>210</v>
      </c>
      <c r="C20" s="72" t="s">
        <v>2196</v>
      </c>
      <c r="D20" s="73">
        <f>SUMIFS('0423 4度C'!$AC:$AC,'0423 4度C'!$A:$A,"新豐6線",'0423 4度C'!$B:$B,"平均")</f>
        <v>4</v>
      </c>
      <c r="E20" s="74">
        <f>SUMIFS('0423 4度C'!$AC:$AC,'0423 4度C'!$A:$A,"新豐2線",'0423 4度C'!$B:$B,"平均")</f>
        <v>3</v>
      </c>
      <c r="F20" s="74">
        <f>SUMIFS('0423 4度C'!$AC:$AC,'0423 4度C'!$A:$A,"新豐5線",'0423 4度C'!$B:$B,"平均")</f>
        <v>4</v>
      </c>
      <c r="G20" s="74">
        <f>SUMIFS('0423 4度C'!$AC:$AC,'0423 4度C'!$A:$A,"新豐7線",'0423 4度C'!$B:$B,"平均")</f>
        <v>6</v>
      </c>
      <c r="H20" s="74">
        <f>SUMIFS('0423 4度C'!$AC:$AC,'0423 4度C'!$A:$A,"新豐3線",'0423 4度C'!$B:$B,"平均")</f>
        <v>4</v>
      </c>
      <c r="I20" s="74">
        <f>SUMIFS('0423 4度C'!$AC:$AC,'0423 4度C'!$A:$A,"新豐1線",'0423 4度C'!$B:$B,"平均")</f>
        <v>6</v>
      </c>
      <c r="J20" s="75">
        <f>SUMIFS('0423 4度C'!$AC:$AC,'0423 4度C'!$A:$A,"新豐10線",'0423 4度C'!$B:$B,"平均")</f>
        <v>7</v>
      </c>
      <c r="K20" s="76">
        <f>SUMIFS('0423 4度C'!$AC:$AC,'0423 4度C'!$A:$A,"新豐8線",'0423 4度C'!$B:$B,"平均")</f>
        <v>6</v>
      </c>
      <c r="L20" s="74">
        <f>SUMIFS('0423 4度C'!$AC:$AC,'0423 4度C'!$A:$A,"新豐9線",'0423 4度C'!$B:$B,"平均")</f>
        <v>6</v>
      </c>
      <c r="M20" s="75">
        <f>SUMIFS('0423 4度C'!$AC:$AC,'0423 4度C'!$A:$A,"新豐4線",'0423 4度C'!$B:$B,"平均")</f>
        <v>6</v>
      </c>
    </row>
    <row r="21" spans="2:13" ht="17.25" customHeight="1">
      <c r="B21" s="105"/>
      <c r="C21" s="72" t="s">
        <v>2197</v>
      </c>
      <c r="D21" s="73">
        <f>SUMIFS('0423 4度C'!$AD:$AD,'0423 4度C'!$A:$A,"新豐6線",'0423 4度C'!$B:$B,"平均")</f>
        <v>0</v>
      </c>
      <c r="E21" s="74">
        <f>SUMIFS('0423 4度C'!$AD:$AD,'0423 4度C'!$A:$A,"新豐2線",'0423 4度C'!$B:$B,"平均")</f>
        <v>0</v>
      </c>
      <c r="F21" s="74">
        <f>SUMIFS('0423 4度C'!$AD:$AD,'0423 4度C'!$A:$A,"新豐5線",'0423 4度C'!$B:$B,"平均")</f>
        <v>0</v>
      </c>
      <c r="G21" s="74">
        <f>SUMIFS('0423 4度C'!$AD:$AD,'0423 4度C'!$A:$A,"新豐7線",'0423 4度C'!$B:$B,"平均")</f>
        <v>0</v>
      </c>
      <c r="H21" s="74">
        <f>SUMIFS('0423 4度C'!$AD:$AD,'0423 4度C'!$A:$A,"新豐3線",'0423 4度C'!$B:$B,"平均")</f>
        <v>0</v>
      </c>
      <c r="I21" s="74">
        <f>SUMIFS('0423 4度C'!$AD:$AD,'0423 4度C'!$A:$A,"新豐1線",'0423 4度C'!$B:$B,"平均")</f>
        <v>0</v>
      </c>
      <c r="J21" s="75">
        <f>SUMIFS('0423 4度C'!$AD:$AD,'0423 4度C'!$A:$A,"新豐10線",'0423 4度C'!$B:$B,"平均")</f>
        <v>0</v>
      </c>
      <c r="K21" s="76">
        <f>SUMIFS('0423 4度C'!$AD:$AD,'0423 4度C'!$A:$A,"新豐8線",'0423 4度C'!$B:$B,"平均")</f>
        <v>0</v>
      </c>
      <c r="L21" s="74">
        <f>SUMIFS('0423 4度C'!$AD:$AD,'0423 4度C'!$A:$A,"新豐9線",'0423 4度C'!$B:$B,"平均")</f>
        <v>0</v>
      </c>
      <c r="M21" s="75">
        <f>SUMIFS('0423 4度C'!$AD:$AD,'0423 4度C'!$A:$A,"新豐4線",'0423 4度C'!$B:$B,"平均")</f>
        <v>0</v>
      </c>
    </row>
    <row r="22" spans="2:13" ht="17.25" customHeight="1">
      <c r="B22" s="106" t="s">
        <v>2198</v>
      </c>
      <c r="C22" s="107"/>
      <c r="D22" s="77">
        <f>SUMIFS('0423 4度C'!$I:$I,'0423 4度C'!$A:$A,"新豐6線",'0423 4度C'!$B:$B,"平均")</f>
        <v>16.75</v>
      </c>
      <c r="E22" s="78">
        <f>SUMIFS('0423 4度C'!$I:$I,'0423 4度C'!$A:$A,"新豐2線",'0423 4度C'!$B:$B,"平均")</f>
        <v>17.666666666666668</v>
      </c>
      <c r="F22" s="78">
        <f>SUMIFS('0423 4度C'!$I:$I,'0423 4度C'!$A:$A,"新豐5線",'0423 4度C'!$B:$B,"平均")</f>
        <v>17.5</v>
      </c>
      <c r="G22" s="78">
        <f>SUMIFS('0423 4度C'!$I:$I,'0423 4度C'!$A:$A,"新豐7線",'0423 4度C'!$B:$B,"平均")</f>
        <v>15.666666666666666</v>
      </c>
      <c r="H22" s="78">
        <f>SUMIFS('0423 4度C'!$I:$I,'0423 4度C'!$A:$A,"新豐3線",'0423 4度C'!$B:$B,"平均")</f>
        <v>9.5</v>
      </c>
      <c r="I22" s="78">
        <f>SUMIFS('0423 4度C'!$I:$I,'0423 4度C'!$A:$A,"新豐1線",'0423 4度C'!$B:$B,"平均")</f>
        <v>19.333333333333332</v>
      </c>
      <c r="J22" s="79">
        <f>SUMIFS('0423 4度C'!$I:$I,'0423 4度C'!$A:$A,"新豐10線",'0423 4度C'!$B:$B,"平均")</f>
        <v>9.8571428571428577</v>
      </c>
      <c r="K22" s="77">
        <f>SUMIFS('0423 4度C'!$I:$I,'0423 4度C'!$A:$A,"新豐8線",'0423 4度C'!$B:$B,"平均")</f>
        <v>18.333333333333332</v>
      </c>
      <c r="L22" s="78">
        <f>SUMIFS('0423 4度C'!$I:$I,'0423 4度C'!$A:$A,"新豐9線",'0423 4度C'!$B:$B,"平均")</f>
        <v>17</v>
      </c>
      <c r="M22" s="79">
        <f>SUMIFS('0423 4度C'!$I:$I,'0423 4度C'!$A:$A,"新豐4線",'0423 4度C'!$B:$B,"平均")</f>
        <v>15.833333333333334</v>
      </c>
    </row>
    <row r="23" spans="2:13" ht="17.25" customHeight="1">
      <c r="B23" s="106" t="s">
        <v>2199</v>
      </c>
      <c r="C23" s="107"/>
      <c r="D23" s="80" t="s">
        <v>67</v>
      </c>
      <c r="E23" s="81" t="s">
        <v>68</v>
      </c>
      <c r="F23" s="81" t="s">
        <v>2200</v>
      </c>
      <c r="G23" s="81" t="s">
        <v>2201</v>
      </c>
      <c r="H23" s="81" t="s">
        <v>69</v>
      </c>
      <c r="I23" s="81" t="s">
        <v>67</v>
      </c>
      <c r="J23" s="82" t="s">
        <v>69</v>
      </c>
      <c r="K23" s="80" t="s">
        <v>215</v>
      </c>
      <c r="L23" s="81" t="s">
        <v>2202</v>
      </c>
      <c r="M23" s="82" t="s">
        <v>2203</v>
      </c>
    </row>
    <row r="24" spans="2:13" ht="17.25" customHeight="1">
      <c r="B24" s="106" t="s">
        <v>2204</v>
      </c>
      <c r="C24" s="107"/>
      <c r="D24" s="80"/>
      <c r="E24" s="81"/>
      <c r="F24" s="81" t="s">
        <v>2205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2206</v>
      </c>
      <c r="C25" s="109"/>
      <c r="D25" s="83"/>
      <c r="E25" s="84" t="s">
        <v>219</v>
      </c>
      <c r="F25" s="102" t="s">
        <v>220</v>
      </c>
      <c r="G25" s="103"/>
      <c r="H25" s="84" t="s">
        <v>2207</v>
      </c>
      <c r="I25" s="84" t="s">
        <v>2208</v>
      </c>
      <c r="J25" s="85" t="s">
        <v>2207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8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3">
    <pageSetUpPr fitToPage="1"/>
  </sheetPr>
  <dimension ref="A1:AG67"/>
  <sheetViews>
    <sheetView zoomScale="80" zoomScaleNormal="80" workbookViewId="0">
      <pane ySplit="4" topLeftCell="A5" activePane="bottomLeft" state="frozen"/>
      <selection activeCell="I9" sqref="I9"/>
      <selection pane="bottomLeft" activeCell="I9" sqref="I9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120</v>
      </c>
      <c r="B1" s="1"/>
      <c r="C1" s="2" t="s">
        <v>2209</v>
      </c>
      <c r="D1" s="3">
        <f>SUM(F5:F66)</f>
        <v>138749</v>
      </c>
      <c r="E1" s="88" t="s">
        <v>122</v>
      </c>
      <c r="F1" s="1">
        <f>SUM(G5:G66)</f>
        <v>4506679.88</v>
      </c>
      <c r="G1" s="1" t="s">
        <v>2210</v>
      </c>
      <c r="H1" s="4">
        <f>L9+L13+L44+L51+L18+L59+L32+L39+L25+L66</f>
        <v>157.4404761904762</v>
      </c>
      <c r="I1" s="215" t="s">
        <v>2211</v>
      </c>
      <c r="J1" s="215"/>
      <c r="K1" s="215"/>
      <c r="L1" s="215" t="s">
        <v>2212</v>
      </c>
      <c r="M1" s="215"/>
      <c r="N1" s="215"/>
      <c r="O1" s="215" t="s">
        <v>2213</v>
      </c>
      <c r="P1" s="215"/>
      <c r="Q1" s="215"/>
      <c r="R1" s="215"/>
      <c r="S1" s="215" t="s">
        <v>2214</v>
      </c>
      <c r="T1" s="215"/>
      <c r="U1" s="215"/>
      <c r="V1" s="215"/>
      <c r="W1" s="215"/>
      <c r="X1" s="215"/>
      <c r="Y1" s="5" t="s">
        <v>128</v>
      </c>
      <c r="Z1" s="6" t="s">
        <v>129</v>
      </c>
      <c r="AA1" s="216" t="s">
        <v>130</v>
      </c>
      <c r="AB1" s="216"/>
      <c r="AC1" s="97" t="s">
        <v>2215</v>
      </c>
      <c r="AD1" s="6" t="s">
        <v>2216</v>
      </c>
      <c r="AE1" s="215" t="s">
        <v>132</v>
      </c>
      <c r="AF1" s="217"/>
      <c r="AG1" s="217"/>
    </row>
    <row r="2" spans="1:33" ht="26.25" customHeight="1">
      <c r="A2" s="26">
        <v>46135</v>
      </c>
      <c r="B2" s="27" t="s">
        <v>236</v>
      </c>
      <c r="C2" s="2" t="s">
        <v>144</v>
      </c>
      <c r="D2" s="8">
        <f>AVERAGE(N9,N13,N44,N51,N18,N59,N25,N32,N39,N66)</f>
        <v>149.62090152327005</v>
      </c>
      <c r="E2" s="9" t="s">
        <v>0</v>
      </c>
      <c r="F2" s="10">
        <f>F1/D1</f>
        <v>32.480809807638252</v>
      </c>
      <c r="G2" s="1" t="s">
        <v>134</v>
      </c>
      <c r="H2" s="96">
        <f>COUNT(H5:H66)</f>
        <v>4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SUM(Y9+Y13+Y18+Y25+Y32+Y39+Y44+Y51+Y59+Y66)</f>
        <v>0</v>
      </c>
      <c r="Z2" s="11">
        <f>SUM(Z9+Z13+Z18+Z25+Z32+Z39+Z44+Z51+Z59+Z66)</f>
        <v>0</v>
      </c>
      <c r="AA2" s="216"/>
      <c r="AB2" s="216"/>
      <c r="AC2" s="11">
        <f>SUM(AC9+AC13+AC18+AC25+AC32+AC39+AC44+AC51+AC59+AC66)</f>
        <v>52</v>
      </c>
      <c r="AD2" s="11">
        <f>SUM(AD9+AD13+AD18+AD25+AD32+AD39+AD44+AD51+AD59+AD66)</f>
        <v>0</v>
      </c>
      <c r="AE2" s="217"/>
      <c r="AF2" s="217"/>
      <c r="AG2" s="217"/>
    </row>
    <row r="3" spans="1:33" ht="40.5" customHeight="1">
      <c r="A3" s="168" t="s">
        <v>2217</v>
      </c>
      <c r="B3" s="168" t="s">
        <v>2218</v>
      </c>
      <c r="C3" s="168" t="s">
        <v>137</v>
      </c>
      <c r="D3" s="168"/>
      <c r="E3" s="213" t="s">
        <v>138</v>
      </c>
      <c r="F3" s="168" t="s">
        <v>139</v>
      </c>
      <c r="G3" s="213" t="s">
        <v>140</v>
      </c>
      <c r="H3" s="207" t="s">
        <v>141</v>
      </c>
      <c r="I3" s="205" t="s">
        <v>2219</v>
      </c>
      <c r="J3" s="202" t="s">
        <v>2220</v>
      </c>
      <c r="K3" s="212" t="s">
        <v>2221</v>
      </c>
      <c r="L3" s="205" t="s">
        <v>142</v>
      </c>
      <c r="M3" s="202" t="s">
        <v>143</v>
      </c>
      <c r="N3" s="212" t="s">
        <v>2222</v>
      </c>
      <c r="O3" s="205" t="s">
        <v>2219</v>
      </c>
      <c r="P3" s="212" t="s">
        <v>2222</v>
      </c>
      <c r="Q3" s="203" t="s">
        <v>147</v>
      </c>
      <c r="R3" s="181" t="s">
        <v>148</v>
      </c>
      <c r="S3" s="168" t="s">
        <v>1</v>
      </c>
      <c r="T3" s="168"/>
      <c r="U3" s="207" t="s">
        <v>2</v>
      </c>
      <c r="V3" s="207" t="s">
        <v>249</v>
      </c>
      <c r="W3" s="168" t="s">
        <v>2223</v>
      </c>
      <c r="X3" s="168"/>
      <c r="Y3" s="208" t="s">
        <v>151</v>
      </c>
      <c r="Z3" s="167"/>
      <c r="AA3" s="209" t="s">
        <v>152</v>
      </c>
      <c r="AB3" s="210"/>
      <c r="AC3" s="208" t="s">
        <v>2224</v>
      </c>
      <c r="AD3" s="167"/>
      <c r="AE3" s="202" t="s">
        <v>2220</v>
      </c>
      <c r="AF3" s="203" t="s">
        <v>2225</v>
      </c>
      <c r="AG3" s="181" t="s">
        <v>2226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2227</v>
      </c>
      <c r="X4" s="88" t="s">
        <v>2228</v>
      </c>
      <c r="Y4" s="90" t="s">
        <v>2229</v>
      </c>
      <c r="Z4" s="90" t="s">
        <v>2230</v>
      </c>
      <c r="AA4" s="211"/>
      <c r="AB4" s="210"/>
      <c r="AC4" s="90" t="s">
        <v>2231</v>
      </c>
      <c r="AD4" s="90" t="s">
        <v>2232</v>
      </c>
      <c r="AE4" s="202"/>
      <c r="AF4" s="203"/>
      <c r="AG4" s="181"/>
    </row>
    <row r="5" spans="1:33">
      <c r="A5" s="204" t="s">
        <v>2233</v>
      </c>
      <c r="B5" s="28" t="s">
        <v>5</v>
      </c>
      <c r="C5" s="206" t="s">
        <v>6</v>
      </c>
      <c r="D5" s="206"/>
      <c r="E5" s="28">
        <v>50.67</v>
      </c>
      <c r="F5" s="88">
        <v>1102</v>
      </c>
      <c r="G5" s="88">
        <f t="shared" ref="G5:G8" si="0">E5*F5</f>
        <v>55838.340000000004</v>
      </c>
      <c r="H5" s="30" t="s">
        <v>53</v>
      </c>
      <c r="I5" s="95">
        <v>17</v>
      </c>
      <c r="J5" s="13">
        <v>2000</v>
      </c>
      <c r="K5" s="12">
        <f t="shared" ref="K5:K66" si="1">J5/I5</f>
        <v>117.64705882352941</v>
      </c>
      <c r="L5" s="95">
        <v>17</v>
      </c>
      <c r="M5" s="13">
        <f t="shared" ref="M5:M8" si="2">F5/V5*60</f>
        <v>1944.7058823529387</v>
      </c>
      <c r="N5" s="12">
        <f t="shared" ref="N5:N66" si="3">M5/L5</f>
        <v>114.39446366781992</v>
      </c>
      <c r="O5" s="14">
        <f t="shared" ref="O5:O66" si="4">L5-I5</f>
        <v>0</v>
      </c>
      <c r="P5" s="15">
        <f t="shared" ref="P5:P66" si="5">N5-K5</f>
        <v>-3.2525951557094857</v>
      </c>
      <c r="Q5" s="91">
        <f t="shared" ref="Q5:Q66" si="6">N5/K5</f>
        <v>0.97235294117646942</v>
      </c>
      <c r="R5" s="177">
        <f>Q9</f>
        <v>0.96983692867390792</v>
      </c>
      <c r="S5" s="21">
        <v>0.70833333333333337</v>
      </c>
      <c r="T5" s="21">
        <v>0.73194444444444451</v>
      </c>
      <c r="U5" s="88"/>
      <c r="V5" s="30">
        <f t="shared" ref="V5:V8" si="7">(T5-S5)*24*60</f>
        <v>34.000000000000043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50" si="8">M5-J5</f>
        <v>-55.294117647061285</v>
      </c>
      <c r="AF5" s="91">
        <f t="shared" ref="AF5:AF66" si="9">M5/J5</f>
        <v>0.97235294117646931</v>
      </c>
      <c r="AG5" s="177">
        <f>AF9</f>
        <v>0.96983692867390792</v>
      </c>
    </row>
    <row r="6" spans="1:33">
      <c r="A6" s="205" t="s">
        <v>162</v>
      </c>
      <c r="B6" s="28" t="s">
        <v>5</v>
      </c>
      <c r="C6" s="206" t="s">
        <v>7</v>
      </c>
      <c r="D6" s="206"/>
      <c r="E6" s="28">
        <v>54.09</v>
      </c>
      <c r="F6" s="88">
        <v>915</v>
      </c>
      <c r="G6" s="88">
        <f t="shared" si="0"/>
        <v>49492.350000000006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1960.7142857142817</v>
      </c>
      <c r="N6" s="12">
        <f t="shared" si="3"/>
        <v>103.1954887218043</v>
      </c>
      <c r="O6" s="14">
        <f t="shared" si="4"/>
        <v>0</v>
      </c>
      <c r="P6" s="15">
        <f t="shared" si="5"/>
        <v>-2.0676691729325398</v>
      </c>
      <c r="Q6" s="91">
        <f t="shared" si="6"/>
        <v>0.98035714285714082</v>
      </c>
      <c r="R6" s="177"/>
      <c r="S6" s="21">
        <v>0.73611111111111116</v>
      </c>
      <c r="T6" s="21">
        <v>0.75555555555555565</v>
      </c>
      <c r="U6" s="88">
        <f t="shared" ref="U6:U8" si="10">IF(S6=TIME(17,0,0),"",(S6-T5)*24*60)</f>
        <v>5.9999999999999787</v>
      </c>
      <c r="V6" s="30">
        <f t="shared" si="7"/>
        <v>28.00000000000006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-39.285714285718313</v>
      </c>
      <c r="AF6" s="91">
        <f t="shared" si="9"/>
        <v>0.98035714285714082</v>
      </c>
      <c r="AG6" s="177"/>
    </row>
    <row r="7" spans="1:33">
      <c r="A7" s="205" t="s">
        <v>2233</v>
      </c>
      <c r="B7" s="28" t="s">
        <v>5</v>
      </c>
      <c r="C7" s="200" t="s">
        <v>16</v>
      </c>
      <c r="D7" s="201"/>
      <c r="E7" s="28">
        <v>50.67</v>
      </c>
      <c r="F7" s="88">
        <v>1324</v>
      </c>
      <c r="G7" s="88">
        <f t="shared" si="0"/>
        <v>67087.08</v>
      </c>
      <c r="H7" s="30" t="s">
        <v>53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1937.5609756097556</v>
      </c>
      <c r="N7" s="12">
        <f t="shared" si="3"/>
        <v>129.17073170731703</v>
      </c>
      <c r="O7" s="14">
        <f t="shared" si="4"/>
        <v>0</v>
      </c>
      <c r="P7" s="15">
        <f t="shared" si="5"/>
        <v>-4.1626016260163112</v>
      </c>
      <c r="Q7" s="91">
        <f t="shared" si="6"/>
        <v>0.96878048780487769</v>
      </c>
      <c r="R7" s="177"/>
      <c r="S7" s="21">
        <v>0.76041666666666674</v>
      </c>
      <c r="T7" s="21">
        <v>0.78888888888888897</v>
      </c>
      <c r="U7" s="88">
        <f t="shared" si="10"/>
        <v>6.9999999999999751</v>
      </c>
      <c r="V7" s="30">
        <f t="shared" si="7"/>
        <v>41.000000000000014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-62.439024390244413</v>
      </c>
      <c r="AF7" s="91">
        <f t="shared" si="9"/>
        <v>0.9687804878048778</v>
      </c>
      <c r="AG7" s="177"/>
    </row>
    <row r="8" spans="1:33">
      <c r="A8" s="205" t="s">
        <v>2234</v>
      </c>
      <c r="B8" s="28" t="s">
        <v>5</v>
      </c>
      <c r="C8" s="200" t="s">
        <v>1270</v>
      </c>
      <c r="D8" s="201"/>
      <c r="E8" s="28">
        <v>52.86</v>
      </c>
      <c r="F8" s="88">
        <v>1788</v>
      </c>
      <c r="G8" s="88">
        <f t="shared" si="0"/>
        <v>94513.68</v>
      </c>
      <c r="H8" s="30" t="s">
        <v>53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1915.7142857142871</v>
      </c>
      <c r="N8" s="12">
        <f t="shared" si="3"/>
        <v>119.73214285714295</v>
      </c>
      <c r="O8" s="14">
        <f t="shared" si="4"/>
        <v>0</v>
      </c>
      <c r="P8" s="15">
        <f t="shared" si="5"/>
        <v>-5.2678571428570535</v>
      </c>
      <c r="Q8" s="91">
        <f t="shared" si="6"/>
        <v>0.95785714285714352</v>
      </c>
      <c r="R8" s="177"/>
      <c r="S8" s="21">
        <v>0.79375000000000007</v>
      </c>
      <c r="T8" s="21">
        <v>0.83263888888888893</v>
      </c>
      <c r="U8" s="88">
        <f t="shared" si="10"/>
        <v>6.9999999999999751</v>
      </c>
      <c r="V8" s="30">
        <f t="shared" si="7"/>
        <v>55.999999999999957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-84.285714285712857</v>
      </c>
      <c r="AF8" s="91">
        <f t="shared" si="9"/>
        <v>0.95785714285714352</v>
      </c>
      <c r="AG8" s="177"/>
    </row>
    <row r="9" spans="1:33">
      <c r="A9" s="205" t="s">
        <v>2234</v>
      </c>
      <c r="B9" s="28" t="s">
        <v>2235</v>
      </c>
      <c r="C9" s="178"/>
      <c r="D9" s="178"/>
      <c r="E9" s="92"/>
      <c r="F9" s="12"/>
      <c r="G9" s="12"/>
      <c r="H9" s="88"/>
      <c r="I9" s="23">
        <v>16.75</v>
      </c>
      <c r="J9" s="13">
        <v>2000</v>
      </c>
      <c r="K9" s="12">
        <f t="shared" si="1"/>
        <v>119.40298507462687</v>
      </c>
      <c r="L9" s="23">
        <v>16.75</v>
      </c>
      <c r="M9" s="13">
        <f>AVERAGE(M5:M8)</f>
        <v>1939.6738573478158</v>
      </c>
      <c r="N9" s="12">
        <f t="shared" si="3"/>
        <v>115.80142431927258</v>
      </c>
      <c r="O9" s="14">
        <f t="shared" si="4"/>
        <v>0</v>
      </c>
      <c r="P9" s="15">
        <f t="shared" si="5"/>
        <v>-3.601560755354285</v>
      </c>
      <c r="Q9" s="91">
        <f t="shared" si="6"/>
        <v>0.96983692867390792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f>SUM(AC5:AC8)</f>
        <v>4</v>
      </c>
      <c r="AD9" s="24">
        <f>SUM(AD5:AD8)</f>
        <v>0</v>
      </c>
      <c r="AE9" s="14">
        <f t="shared" si="8"/>
        <v>-60.326142652184217</v>
      </c>
      <c r="AF9" s="91">
        <f t="shared" si="9"/>
        <v>0.96983692867390792</v>
      </c>
      <c r="AG9" s="177"/>
    </row>
    <row r="10" spans="1:33" ht="15.75" customHeight="1">
      <c r="A10" s="199" t="s">
        <v>2236</v>
      </c>
      <c r="B10" s="28" t="s">
        <v>9</v>
      </c>
      <c r="C10" s="200" t="s">
        <v>10</v>
      </c>
      <c r="D10" s="201"/>
      <c r="E10" s="28">
        <v>39.619999999999997</v>
      </c>
      <c r="F10" s="88">
        <v>4282</v>
      </c>
      <c r="G10" s="88">
        <f t="shared" ref="G10:G12" si="11">E10*F10</f>
        <v>169652.84</v>
      </c>
      <c r="H10" s="30" t="s">
        <v>53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2" si="12">F10/V10*60</f>
        <v>1427.3333333333328</v>
      </c>
      <c r="N10" s="12">
        <f t="shared" si="3"/>
        <v>75.122807017543835</v>
      </c>
      <c r="O10" s="14">
        <f t="shared" si="4"/>
        <v>0</v>
      </c>
      <c r="P10" s="15">
        <f t="shared" si="5"/>
        <v>-3.8245614035087954</v>
      </c>
      <c r="Q10" s="91">
        <f t="shared" si="6"/>
        <v>0.95155555555555527</v>
      </c>
      <c r="R10" s="177">
        <f>Q13</f>
        <v>0.95374151503419802</v>
      </c>
      <c r="S10" s="21">
        <v>0.20833333333333334</v>
      </c>
      <c r="T10" s="21">
        <v>0.33333333333333337</v>
      </c>
      <c r="U10" s="88"/>
      <c r="V10" s="30">
        <f t="shared" ref="V10:V12" si="13">(T10-S10)*24*60</f>
        <v>180.00000000000006</v>
      </c>
      <c r="W10" s="16"/>
      <c r="X10" s="16"/>
      <c r="Y10" s="16"/>
      <c r="Z10" s="16"/>
      <c r="AA10" s="168"/>
      <c r="AB10" s="168"/>
      <c r="AC10" s="18">
        <v>3</v>
      </c>
      <c r="AD10" s="18"/>
      <c r="AE10" s="14">
        <f t="shared" si="8"/>
        <v>-72.666666666667197</v>
      </c>
      <c r="AF10" s="91">
        <f t="shared" si="9"/>
        <v>0.95155555555555515</v>
      </c>
      <c r="AG10" s="177">
        <f>AF13</f>
        <v>0.95374151503419813</v>
      </c>
    </row>
    <row r="11" spans="1:33" ht="15.75" customHeight="1">
      <c r="A11" s="199" t="s">
        <v>2237</v>
      </c>
      <c r="B11" s="28" t="s">
        <v>9</v>
      </c>
      <c r="C11" s="200" t="s">
        <v>11</v>
      </c>
      <c r="D11" s="201"/>
      <c r="E11" s="28">
        <v>39.799999999999997</v>
      </c>
      <c r="F11" s="88">
        <v>4900</v>
      </c>
      <c r="G11" s="88">
        <f t="shared" si="11"/>
        <v>195020</v>
      </c>
      <c r="H11" s="30">
        <v>2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1434.1463414634147</v>
      </c>
      <c r="N11" s="12">
        <f t="shared" si="3"/>
        <v>84.361549497847932</v>
      </c>
      <c r="O11" s="14">
        <f t="shared" si="4"/>
        <v>0</v>
      </c>
      <c r="P11" s="15">
        <f t="shared" si="5"/>
        <v>-3.8737446197991261</v>
      </c>
      <c r="Q11" s="91">
        <f t="shared" si="6"/>
        <v>0.95609756097560994</v>
      </c>
      <c r="R11" s="177"/>
      <c r="S11" s="21">
        <v>0.33888888888888891</v>
      </c>
      <c r="T11" s="21">
        <v>0.48125000000000001</v>
      </c>
      <c r="U11" s="88">
        <f t="shared" ref="U11:U12" si="14">IF(S11=TIME(17,0,0),"",(S11-T10)*24*60)</f>
        <v>7.9999999999999716</v>
      </c>
      <c r="V11" s="30">
        <f t="shared" si="13"/>
        <v>205</v>
      </c>
      <c r="W11" s="16">
        <f>T11</f>
        <v>0.48125000000000001</v>
      </c>
      <c r="X11" s="16">
        <f>S12</f>
        <v>0.52291666666666659</v>
      </c>
      <c r="Y11" s="16"/>
      <c r="Z11" s="16"/>
      <c r="AA11" s="168"/>
      <c r="AB11" s="168"/>
      <c r="AC11" s="18"/>
      <c r="AD11" s="18"/>
      <c r="AE11" s="14">
        <f t="shared" si="8"/>
        <v>-65.853658536585272</v>
      </c>
      <c r="AF11" s="91">
        <f t="shared" si="9"/>
        <v>0.95609756097560983</v>
      </c>
      <c r="AG11" s="177"/>
    </row>
    <row r="12" spans="1:33" ht="15.75" customHeight="1">
      <c r="A12" s="199" t="s">
        <v>2237</v>
      </c>
      <c r="B12" s="28" t="s">
        <v>9</v>
      </c>
      <c r="C12" s="200" t="s">
        <v>11</v>
      </c>
      <c r="D12" s="201"/>
      <c r="E12" s="28">
        <v>39.799999999999997</v>
      </c>
      <c r="F12" s="88">
        <v>1335</v>
      </c>
      <c r="G12" s="88">
        <f t="shared" si="11"/>
        <v>53132.999999999993</v>
      </c>
      <c r="H12" s="30" t="s">
        <v>53</v>
      </c>
      <c r="I12" s="95">
        <v>17</v>
      </c>
      <c r="J12" s="13">
        <v>1500</v>
      </c>
      <c r="K12" s="12">
        <f t="shared" si="1"/>
        <v>88.235294117647058</v>
      </c>
      <c r="L12" s="95">
        <v>17</v>
      </c>
      <c r="M12" s="13">
        <f t="shared" si="12"/>
        <v>1430.357142857144</v>
      </c>
      <c r="N12" s="12">
        <f t="shared" si="3"/>
        <v>84.138655462184943</v>
      </c>
      <c r="O12" s="14">
        <f t="shared" si="4"/>
        <v>0</v>
      </c>
      <c r="P12" s="15">
        <f t="shared" si="5"/>
        <v>-4.0966386554621153</v>
      </c>
      <c r="Q12" s="91">
        <f t="shared" si="6"/>
        <v>0.9535714285714294</v>
      </c>
      <c r="R12" s="177"/>
      <c r="S12" s="21">
        <v>0.52291666666666659</v>
      </c>
      <c r="T12" s="21">
        <v>0.56180555555555545</v>
      </c>
      <c r="U12" s="88">
        <f t="shared" si="14"/>
        <v>59.999999999999865</v>
      </c>
      <c r="V12" s="30">
        <f t="shared" si="13"/>
        <v>55.999999999999957</v>
      </c>
      <c r="W12" s="16"/>
      <c r="X12" s="16"/>
      <c r="Y12" s="16"/>
      <c r="Z12" s="16"/>
      <c r="AA12" s="168"/>
      <c r="AB12" s="168"/>
      <c r="AC12" s="18"/>
      <c r="AD12" s="18"/>
      <c r="AE12" s="14">
        <f t="shared" si="8"/>
        <v>-69.642857142855974</v>
      </c>
      <c r="AF12" s="91">
        <f t="shared" si="9"/>
        <v>0.9535714285714294</v>
      </c>
      <c r="AG12" s="177"/>
    </row>
    <row r="13" spans="1:33" ht="16.5" customHeight="1">
      <c r="A13" s="199" t="s">
        <v>2237</v>
      </c>
      <c r="B13" s="28" t="s">
        <v>2238</v>
      </c>
      <c r="C13" s="178"/>
      <c r="D13" s="178"/>
      <c r="E13" s="92"/>
      <c r="F13" s="13"/>
      <c r="G13" s="13"/>
      <c r="H13" s="88"/>
      <c r="I13" s="23">
        <v>17.666666666666668</v>
      </c>
      <c r="J13" s="13">
        <v>1500</v>
      </c>
      <c r="K13" s="12">
        <f t="shared" si="1"/>
        <v>84.905660377358487</v>
      </c>
      <c r="L13" s="23">
        <v>17.666666666666668</v>
      </c>
      <c r="M13" s="13">
        <f>AVERAGE(M10:M12)</f>
        <v>1430.6122725512971</v>
      </c>
      <c r="N13" s="12">
        <f t="shared" si="3"/>
        <v>80.978053163280961</v>
      </c>
      <c r="O13" s="14">
        <f t="shared" si="4"/>
        <v>0</v>
      </c>
      <c r="P13" s="15">
        <f t="shared" si="5"/>
        <v>-3.9276072140775256</v>
      </c>
      <c r="Q13" s="91">
        <f t="shared" si="6"/>
        <v>0.95374151503419802</v>
      </c>
      <c r="R13" s="177"/>
      <c r="S13" s="21"/>
      <c r="T13" s="21"/>
      <c r="U13" s="12"/>
      <c r="V13" s="30"/>
      <c r="W13" s="12"/>
      <c r="X13" s="12"/>
      <c r="Y13" s="24">
        <f>SUM(Y10:Y12)</f>
        <v>0</v>
      </c>
      <c r="Z13" s="24">
        <f>SUM(Z10:Z12)</f>
        <v>0</v>
      </c>
      <c r="AA13" s="167"/>
      <c r="AB13" s="167"/>
      <c r="AC13" s="24">
        <f>SUM(AC10:AC12)</f>
        <v>3</v>
      </c>
      <c r="AD13" s="24">
        <f>SUM(AD10:AD12)</f>
        <v>0</v>
      </c>
      <c r="AE13" s="14">
        <f t="shared" si="8"/>
        <v>-69.38772744870289</v>
      </c>
      <c r="AF13" s="91">
        <f t="shared" si="9"/>
        <v>0.95374151503419813</v>
      </c>
      <c r="AG13" s="177"/>
    </row>
    <row r="14" spans="1:33" ht="16.5" customHeight="1">
      <c r="A14" s="197" t="s">
        <v>2239</v>
      </c>
      <c r="B14" s="88" t="s">
        <v>12</v>
      </c>
      <c r="C14" s="193" t="s">
        <v>13</v>
      </c>
      <c r="D14" s="193"/>
      <c r="E14" s="28">
        <v>41</v>
      </c>
      <c r="F14" s="88">
        <v>1776</v>
      </c>
      <c r="G14" s="88">
        <f t="shared" ref="G14:G17" si="15">E14*F14</f>
        <v>72816</v>
      </c>
      <c r="H14" s="30" t="s">
        <v>53</v>
      </c>
      <c r="I14" s="95">
        <v>26</v>
      </c>
      <c r="J14" s="13">
        <v>1500</v>
      </c>
      <c r="K14" s="12">
        <f t="shared" si="1"/>
        <v>57.692307692307693</v>
      </c>
      <c r="L14" s="95">
        <v>26</v>
      </c>
      <c r="M14" s="13">
        <f t="shared" ref="M14:M17" si="16">F14/V14*60</f>
        <v>1439.9999999999998</v>
      </c>
      <c r="N14" s="12">
        <f t="shared" si="3"/>
        <v>55.384615384615373</v>
      </c>
      <c r="O14" s="14">
        <f t="shared" si="4"/>
        <v>0</v>
      </c>
      <c r="P14" s="15">
        <f t="shared" si="5"/>
        <v>-2.3076923076923208</v>
      </c>
      <c r="Q14" s="91">
        <f t="shared" si="6"/>
        <v>0.95999999999999974</v>
      </c>
      <c r="R14" s="177">
        <f>Q18</f>
        <v>0.96343703334992536</v>
      </c>
      <c r="S14" s="21">
        <v>0.20833333333333334</v>
      </c>
      <c r="T14" s="21">
        <v>0.25972222222222224</v>
      </c>
      <c r="U14" s="88"/>
      <c r="V14" s="30">
        <f t="shared" ref="V14:V17" si="17">(T14-S14)*24*60</f>
        <v>74.000000000000014</v>
      </c>
      <c r="W14" s="21"/>
      <c r="X14" s="21"/>
      <c r="Y14" s="21"/>
      <c r="Z14" s="21"/>
      <c r="AA14" s="168"/>
      <c r="AB14" s="168"/>
      <c r="AC14" s="18">
        <v>4</v>
      </c>
      <c r="AD14" s="18"/>
      <c r="AE14" s="14">
        <f t="shared" si="8"/>
        <v>-60.000000000000227</v>
      </c>
      <c r="AF14" s="91">
        <f t="shared" si="9"/>
        <v>0.95999999999999985</v>
      </c>
      <c r="AG14" s="177">
        <f>AF18</f>
        <v>0.96343703334992536</v>
      </c>
    </row>
    <row r="15" spans="1:33" ht="16.5" customHeight="1">
      <c r="A15" s="198" t="s">
        <v>2239</v>
      </c>
      <c r="B15" s="88" t="s">
        <v>5</v>
      </c>
      <c r="C15" s="193" t="s">
        <v>20</v>
      </c>
      <c r="D15" s="193"/>
      <c r="E15" s="28">
        <v>53.68</v>
      </c>
      <c r="F15" s="88">
        <v>1018</v>
      </c>
      <c r="G15" s="88">
        <f t="shared" si="15"/>
        <v>54646.239999999998</v>
      </c>
      <c r="H15" s="30" t="s">
        <v>53</v>
      </c>
      <c r="I15" s="95">
        <v>16</v>
      </c>
      <c r="J15" s="13">
        <v>1500</v>
      </c>
      <c r="K15" s="12">
        <f t="shared" si="1"/>
        <v>93.75</v>
      </c>
      <c r="L15" s="95">
        <v>16</v>
      </c>
      <c r="M15" s="13">
        <f t="shared" si="16"/>
        <v>1454.2857142857138</v>
      </c>
      <c r="N15" s="12">
        <f t="shared" si="3"/>
        <v>90.89285714285711</v>
      </c>
      <c r="O15" s="14">
        <f t="shared" si="4"/>
        <v>0</v>
      </c>
      <c r="P15" s="15">
        <f t="shared" si="5"/>
        <v>-2.8571428571428896</v>
      </c>
      <c r="Q15" s="91">
        <f t="shared" si="6"/>
        <v>0.96952380952380923</v>
      </c>
      <c r="R15" s="177"/>
      <c r="S15" s="21">
        <v>0.70833333333333337</v>
      </c>
      <c r="T15" s="21">
        <v>0.73750000000000004</v>
      </c>
      <c r="U15" s="88" t="str">
        <f t="shared" ref="U15:U17" si="18">IF(S15=TIME(17,0,0),"",(S15-T14)*24*60)</f>
        <v/>
      </c>
      <c r="V15" s="30">
        <f t="shared" si="17"/>
        <v>42.000000000000014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-45.714285714286234</v>
      </c>
      <c r="AF15" s="91">
        <f t="shared" si="9"/>
        <v>0.96952380952380923</v>
      </c>
      <c r="AG15" s="177"/>
    </row>
    <row r="16" spans="1:33" ht="16.5" customHeight="1">
      <c r="A16" s="198" t="s">
        <v>2239</v>
      </c>
      <c r="B16" s="88" t="s">
        <v>5</v>
      </c>
      <c r="C16" s="193" t="s">
        <v>15</v>
      </c>
      <c r="D16" s="193"/>
      <c r="E16" s="28">
        <v>50.92</v>
      </c>
      <c r="F16" s="88">
        <v>1782</v>
      </c>
      <c r="G16" s="88">
        <f t="shared" si="15"/>
        <v>90739.44</v>
      </c>
      <c r="H16" s="30" t="s">
        <v>53</v>
      </c>
      <c r="I16" s="95">
        <v>15</v>
      </c>
      <c r="J16" s="13">
        <v>2000</v>
      </c>
      <c r="K16" s="12">
        <f t="shared" si="1"/>
        <v>133.33333333333334</v>
      </c>
      <c r="L16" s="95">
        <v>15</v>
      </c>
      <c r="M16" s="13">
        <f t="shared" si="16"/>
        <v>1909.2857142857156</v>
      </c>
      <c r="N16" s="12">
        <f t="shared" si="3"/>
        <v>127.28571428571438</v>
      </c>
      <c r="O16" s="14">
        <f t="shared" si="4"/>
        <v>0</v>
      </c>
      <c r="P16" s="15">
        <f t="shared" si="5"/>
        <v>-6.0476190476189657</v>
      </c>
      <c r="Q16" s="91">
        <f t="shared" si="6"/>
        <v>0.95464285714285779</v>
      </c>
      <c r="R16" s="177"/>
      <c r="S16" s="21">
        <v>0.74305555555555558</v>
      </c>
      <c r="T16" s="21">
        <v>0.78194444444444444</v>
      </c>
      <c r="U16" s="88">
        <f t="shared" si="18"/>
        <v>7.9999999999999716</v>
      </c>
      <c r="V16" s="30">
        <f t="shared" si="17"/>
        <v>55.999999999999957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-90.714285714284415</v>
      </c>
      <c r="AF16" s="91">
        <f t="shared" si="9"/>
        <v>0.95464285714285779</v>
      </c>
      <c r="AG16" s="177"/>
    </row>
    <row r="17" spans="1:33" ht="16.5" customHeight="1">
      <c r="A17" s="198" t="s">
        <v>2239</v>
      </c>
      <c r="B17" s="88" t="s">
        <v>5</v>
      </c>
      <c r="C17" s="193" t="s">
        <v>21</v>
      </c>
      <c r="D17" s="193"/>
      <c r="E17" s="28">
        <v>57.3</v>
      </c>
      <c r="F17" s="88">
        <v>1326</v>
      </c>
      <c r="G17" s="88">
        <f t="shared" si="15"/>
        <v>75979.8</v>
      </c>
      <c r="H17" s="30" t="s">
        <v>53</v>
      </c>
      <c r="I17" s="95">
        <v>13</v>
      </c>
      <c r="J17" s="13">
        <v>2000</v>
      </c>
      <c r="K17" s="12">
        <f t="shared" si="1"/>
        <v>153.84615384615384</v>
      </c>
      <c r="L17" s="95">
        <v>13</v>
      </c>
      <c r="M17" s="13">
        <f t="shared" si="16"/>
        <v>1940.4878048780481</v>
      </c>
      <c r="N17" s="12">
        <f t="shared" si="3"/>
        <v>149.26829268292678</v>
      </c>
      <c r="O17" s="14">
        <f t="shared" si="4"/>
        <v>0</v>
      </c>
      <c r="P17" s="15">
        <f t="shared" si="5"/>
        <v>-4.5778611632270554</v>
      </c>
      <c r="Q17" s="91">
        <f t="shared" si="6"/>
        <v>0.97024390243902414</v>
      </c>
      <c r="R17" s="177"/>
      <c r="S17" s="21">
        <v>0.78680555555555554</v>
      </c>
      <c r="T17" s="21">
        <v>0.81527777777777777</v>
      </c>
      <c r="U17" s="88">
        <f t="shared" si="18"/>
        <v>6.9999999999999751</v>
      </c>
      <c r="V17" s="30">
        <f t="shared" si="17"/>
        <v>41.000000000000014</v>
      </c>
      <c r="W17" s="16"/>
      <c r="X17" s="16"/>
      <c r="Y17" s="16"/>
      <c r="Z17" s="16"/>
      <c r="AA17" s="168"/>
      <c r="AB17" s="168"/>
      <c r="AC17" s="18"/>
      <c r="AD17" s="18"/>
      <c r="AE17" s="14">
        <f t="shared" si="8"/>
        <v>-59.512195121951891</v>
      </c>
      <c r="AF17" s="91">
        <f t="shared" si="9"/>
        <v>0.97024390243902403</v>
      </c>
      <c r="AG17" s="177"/>
    </row>
    <row r="18" spans="1:33" ht="16.5" customHeight="1">
      <c r="A18" s="198" t="s">
        <v>2239</v>
      </c>
      <c r="B18" s="28" t="s">
        <v>2238</v>
      </c>
      <c r="C18" s="178"/>
      <c r="D18" s="178"/>
      <c r="E18" s="92"/>
      <c r="F18" s="12"/>
      <c r="G18" s="12"/>
      <c r="H18" s="88"/>
      <c r="I18" s="23">
        <v>17.5</v>
      </c>
      <c r="J18" s="13">
        <v>1750</v>
      </c>
      <c r="K18" s="12">
        <f t="shared" si="1"/>
        <v>100</v>
      </c>
      <c r="L18" s="23">
        <v>17.5</v>
      </c>
      <c r="M18" s="13">
        <f>AVERAGE(M14:M17)</f>
        <v>1686.0148083623694</v>
      </c>
      <c r="N18" s="12">
        <f t="shared" si="3"/>
        <v>96.34370333499254</v>
      </c>
      <c r="O18" s="14">
        <f t="shared" si="4"/>
        <v>0</v>
      </c>
      <c r="P18" s="15">
        <f t="shared" si="5"/>
        <v>-3.65629666500746</v>
      </c>
      <c r="Q18" s="91">
        <f t="shared" si="6"/>
        <v>0.96343703334992536</v>
      </c>
      <c r="R18" s="177"/>
      <c r="S18" s="21"/>
      <c r="T18" s="21"/>
      <c r="U18" s="88"/>
      <c r="V18" s="30"/>
      <c r="W18" s="12"/>
      <c r="X18" s="12"/>
      <c r="Y18" s="24">
        <f>SUM(Y14:Y17)</f>
        <v>0</v>
      </c>
      <c r="Z18" s="24">
        <f>SUM(Z14:Z17)</f>
        <v>0</v>
      </c>
      <c r="AA18" s="167"/>
      <c r="AB18" s="167"/>
      <c r="AC18" s="24">
        <f>SUM(AC14:AC17)</f>
        <v>4</v>
      </c>
      <c r="AD18" s="24">
        <f>SUM(AD14:AD17)</f>
        <v>0</v>
      </c>
      <c r="AE18" s="14">
        <f t="shared" si="8"/>
        <v>-63.985191637630578</v>
      </c>
      <c r="AF18" s="91">
        <f t="shared" si="9"/>
        <v>0.96343703334992536</v>
      </c>
      <c r="AG18" s="177"/>
    </row>
    <row r="19" spans="1:33" ht="15.75" customHeight="1">
      <c r="A19" s="195" t="s">
        <v>2240</v>
      </c>
      <c r="B19" s="28" t="s">
        <v>5</v>
      </c>
      <c r="C19" s="193" t="s">
        <v>17</v>
      </c>
      <c r="D19" s="193"/>
      <c r="E19" s="28">
        <v>57.73</v>
      </c>
      <c r="F19" s="88">
        <v>1930</v>
      </c>
      <c r="G19" s="88">
        <f t="shared" ref="G19:G24" si="19">E19*F19</f>
        <v>111418.9</v>
      </c>
      <c r="H19" s="30" t="s">
        <v>53</v>
      </c>
      <c r="I19" s="95">
        <v>14</v>
      </c>
      <c r="J19" s="13">
        <v>2000</v>
      </c>
      <c r="K19" s="12">
        <f t="shared" si="1"/>
        <v>142.85714285714286</v>
      </c>
      <c r="L19" s="95">
        <v>14</v>
      </c>
      <c r="M19" s="13">
        <f t="shared" ref="M19:M24" si="20">F19/V19*60</f>
        <v>1929.9999999999991</v>
      </c>
      <c r="N19" s="12">
        <f t="shared" si="3"/>
        <v>137.8571428571428</v>
      </c>
      <c r="O19" s="14">
        <f t="shared" si="4"/>
        <v>0</v>
      </c>
      <c r="P19" s="15">
        <f t="shared" si="5"/>
        <v>-5.0000000000000568</v>
      </c>
      <c r="Q19" s="91">
        <f t="shared" si="6"/>
        <v>0.96499999999999964</v>
      </c>
      <c r="R19" s="177">
        <f>Q25</f>
        <v>0.96057549407114662</v>
      </c>
      <c r="S19" s="21">
        <v>0.29166666666666669</v>
      </c>
      <c r="T19" s="21">
        <v>0.33333333333333337</v>
      </c>
      <c r="U19" s="88"/>
      <c r="V19" s="30">
        <f t="shared" ref="V19:V24" si="21">(T19-S19)*24*60</f>
        <v>60.000000000000028</v>
      </c>
      <c r="W19" s="21"/>
      <c r="X19" s="21"/>
      <c r="Y19" s="21"/>
      <c r="Z19" s="21"/>
      <c r="AA19" s="168"/>
      <c r="AB19" s="168"/>
      <c r="AC19" s="18">
        <v>6</v>
      </c>
      <c r="AD19" s="18"/>
      <c r="AE19" s="14">
        <f t="shared" si="8"/>
        <v>-70.000000000000909</v>
      </c>
      <c r="AF19" s="91">
        <f t="shared" si="9"/>
        <v>0.96499999999999952</v>
      </c>
      <c r="AG19" s="177">
        <f>AF25</f>
        <v>0.96057549407114662</v>
      </c>
    </row>
    <row r="20" spans="1:33" ht="15.75" customHeight="1">
      <c r="A20" s="196" t="s">
        <v>2240</v>
      </c>
      <c r="B20" s="28" t="s">
        <v>5</v>
      </c>
      <c r="C20" s="193" t="s">
        <v>18</v>
      </c>
      <c r="D20" s="193"/>
      <c r="E20" s="28">
        <v>53.68</v>
      </c>
      <c r="F20" s="88">
        <v>1141</v>
      </c>
      <c r="G20" s="88">
        <f t="shared" si="19"/>
        <v>61248.88</v>
      </c>
      <c r="H20" s="30" t="s">
        <v>53</v>
      </c>
      <c r="I20" s="95">
        <v>16</v>
      </c>
      <c r="J20" s="13">
        <v>2000</v>
      </c>
      <c r="K20" s="12">
        <f t="shared" si="1"/>
        <v>125</v>
      </c>
      <c r="L20" s="95">
        <v>16</v>
      </c>
      <c r="M20" s="13">
        <f t="shared" si="20"/>
        <v>1955.999999999998</v>
      </c>
      <c r="N20" s="12">
        <f t="shared" si="3"/>
        <v>122.24999999999987</v>
      </c>
      <c r="O20" s="14">
        <f t="shared" si="4"/>
        <v>0</v>
      </c>
      <c r="P20" s="15">
        <f t="shared" si="5"/>
        <v>-2.7500000000001279</v>
      </c>
      <c r="Q20" s="91">
        <f t="shared" si="6"/>
        <v>0.97799999999999898</v>
      </c>
      <c r="R20" s="177"/>
      <c r="S20" s="21">
        <v>0.33680555555555558</v>
      </c>
      <c r="T20" s="21">
        <v>0.36111111111111116</v>
      </c>
      <c r="U20" s="88">
        <f t="shared" ref="U20:U24" si="22">IF(S20=TIME(17,0,0),"",(S20-T19)*24*60)</f>
        <v>4.9999999999999822</v>
      </c>
      <c r="V20" s="30">
        <f t="shared" si="21"/>
        <v>35.000000000000036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-44.000000000002046</v>
      </c>
      <c r="AF20" s="91">
        <f t="shared" si="9"/>
        <v>0.97799999999999898</v>
      </c>
      <c r="AG20" s="177"/>
    </row>
    <row r="21" spans="1:33" ht="15.75" customHeight="1">
      <c r="A21" s="196" t="s">
        <v>2240</v>
      </c>
      <c r="B21" s="28" t="s">
        <v>5</v>
      </c>
      <c r="C21" s="193" t="s">
        <v>73</v>
      </c>
      <c r="D21" s="193"/>
      <c r="E21" s="28">
        <v>50.67</v>
      </c>
      <c r="F21" s="88">
        <v>2097</v>
      </c>
      <c r="G21" s="88">
        <f t="shared" si="19"/>
        <v>106254.99</v>
      </c>
      <c r="H21" s="30" t="s">
        <v>53</v>
      </c>
      <c r="I21" s="95">
        <v>17</v>
      </c>
      <c r="J21" s="13">
        <v>2000</v>
      </c>
      <c r="K21" s="12">
        <f t="shared" si="1"/>
        <v>117.64705882352941</v>
      </c>
      <c r="L21" s="95">
        <v>17</v>
      </c>
      <c r="M21" s="13">
        <f t="shared" si="20"/>
        <v>1906.3636363636365</v>
      </c>
      <c r="N21" s="12">
        <f t="shared" si="3"/>
        <v>112.13903743315508</v>
      </c>
      <c r="O21" s="14">
        <f t="shared" si="4"/>
        <v>0</v>
      </c>
      <c r="P21" s="15">
        <f t="shared" si="5"/>
        <v>-5.5080213903743243</v>
      </c>
      <c r="Q21" s="91">
        <f t="shared" si="6"/>
        <v>0.95318181818181824</v>
      </c>
      <c r="R21" s="177"/>
      <c r="S21" s="21">
        <v>0.36458333333333337</v>
      </c>
      <c r="T21" s="21">
        <v>0.41041666666666671</v>
      </c>
      <c r="U21" s="88">
        <f t="shared" si="22"/>
        <v>4.9999999999999822</v>
      </c>
      <c r="V21" s="30">
        <f t="shared" si="21"/>
        <v>66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8"/>
        <v>-93.636363636363512</v>
      </c>
      <c r="AF21" s="91">
        <f t="shared" si="9"/>
        <v>0.95318181818181824</v>
      </c>
      <c r="AG21" s="177"/>
    </row>
    <row r="22" spans="1:33" ht="15.75" customHeight="1">
      <c r="A22" s="196" t="s">
        <v>2240</v>
      </c>
      <c r="B22" s="28" t="s">
        <v>5</v>
      </c>
      <c r="C22" s="193" t="s">
        <v>19</v>
      </c>
      <c r="D22" s="193"/>
      <c r="E22" s="28">
        <v>50.49</v>
      </c>
      <c r="F22" s="88">
        <v>1604</v>
      </c>
      <c r="G22" s="88">
        <f t="shared" si="19"/>
        <v>80985.960000000006</v>
      </c>
      <c r="H22" s="30" t="s">
        <v>53</v>
      </c>
      <c r="I22" s="95">
        <v>15</v>
      </c>
      <c r="J22" s="13">
        <v>2000</v>
      </c>
      <c r="K22" s="12">
        <f t="shared" si="1"/>
        <v>133.33333333333334</v>
      </c>
      <c r="L22" s="95">
        <v>15</v>
      </c>
      <c r="M22" s="13">
        <f t="shared" si="20"/>
        <v>1924.8000000000006</v>
      </c>
      <c r="N22" s="12">
        <f t="shared" si="3"/>
        <v>128.32000000000005</v>
      </c>
      <c r="O22" s="14">
        <f t="shared" si="4"/>
        <v>0</v>
      </c>
      <c r="P22" s="15">
        <f t="shared" si="5"/>
        <v>-5.0133333333332928</v>
      </c>
      <c r="Q22" s="91">
        <f t="shared" si="6"/>
        <v>0.96240000000000026</v>
      </c>
      <c r="R22" s="177"/>
      <c r="S22" s="21">
        <v>0.70833333333333337</v>
      </c>
      <c r="T22" s="21">
        <v>0.74305555555555558</v>
      </c>
      <c r="U22" s="88" t="str">
        <f t="shared" si="22"/>
        <v/>
      </c>
      <c r="V22" s="30">
        <f t="shared" si="21"/>
        <v>49.999999999999986</v>
      </c>
      <c r="W22" s="16"/>
      <c r="X22" s="88"/>
      <c r="Y22" s="88"/>
      <c r="Z22" s="88"/>
      <c r="AA22" s="168"/>
      <c r="AB22" s="168"/>
      <c r="AC22" s="18"/>
      <c r="AD22" s="18"/>
      <c r="AE22" s="14">
        <f t="shared" si="8"/>
        <v>-75.199999999999363</v>
      </c>
      <c r="AF22" s="91">
        <f t="shared" si="9"/>
        <v>0.96240000000000037</v>
      </c>
      <c r="AG22" s="177"/>
    </row>
    <row r="23" spans="1:33" ht="15.75" customHeight="1">
      <c r="A23" s="196" t="s">
        <v>2240</v>
      </c>
      <c r="B23" s="28" t="s">
        <v>5</v>
      </c>
      <c r="C23" s="193" t="s">
        <v>42</v>
      </c>
      <c r="D23" s="193"/>
      <c r="E23" s="28">
        <v>57.73</v>
      </c>
      <c r="F23" s="88">
        <v>257</v>
      </c>
      <c r="G23" s="88">
        <f t="shared" si="19"/>
        <v>14836.609999999999</v>
      </c>
      <c r="H23" s="30" t="s">
        <v>53</v>
      </c>
      <c r="I23" s="95">
        <v>16</v>
      </c>
      <c r="J23" s="13">
        <v>1500</v>
      </c>
      <c r="K23" s="12">
        <f t="shared" si="1"/>
        <v>93.75</v>
      </c>
      <c r="L23" s="95">
        <v>16</v>
      </c>
      <c r="M23" s="13">
        <f t="shared" si="20"/>
        <v>1401.8181818181868</v>
      </c>
      <c r="N23" s="12">
        <f t="shared" si="3"/>
        <v>87.613636363636672</v>
      </c>
      <c r="O23" s="14">
        <f t="shared" si="4"/>
        <v>0</v>
      </c>
      <c r="P23" s="15">
        <f t="shared" si="5"/>
        <v>-6.1363636363633276</v>
      </c>
      <c r="Q23" s="91">
        <f t="shared" si="6"/>
        <v>0.93454545454545779</v>
      </c>
      <c r="R23" s="177"/>
      <c r="S23" s="21">
        <v>0.74861111111111112</v>
      </c>
      <c r="T23" s="21">
        <v>0.75624999999999998</v>
      </c>
      <c r="U23" s="88">
        <f t="shared" si="22"/>
        <v>7.9999999999999716</v>
      </c>
      <c r="V23" s="30">
        <f t="shared" si="21"/>
        <v>10.999999999999961</v>
      </c>
      <c r="W23" s="16"/>
      <c r="X23" s="16"/>
      <c r="Y23" s="88"/>
      <c r="Z23" s="88"/>
      <c r="AA23" s="168"/>
      <c r="AB23" s="168"/>
      <c r="AC23" s="18"/>
      <c r="AD23" s="18"/>
      <c r="AE23" s="14">
        <f t="shared" si="8"/>
        <v>-98.181818181813242</v>
      </c>
      <c r="AF23" s="91">
        <f t="shared" si="9"/>
        <v>0.93454545454545779</v>
      </c>
      <c r="AG23" s="177"/>
    </row>
    <row r="24" spans="1:33" ht="15.75" customHeight="1">
      <c r="A24" s="196" t="s">
        <v>2240</v>
      </c>
      <c r="B24" s="28" t="s">
        <v>5</v>
      </c>
      <c r="C24" s="193" t="s">
        <v>14</v>
      </c>
      <c r="D24" s="193"/>
      <c r="E24" s="28">
        <v>50.98</v>
      </c>
      <c r="F24" s="88">
        <v>1767</v>
      </c>
      <c r="G24" s="88">
        <f t="shared" si="19"/>
        <v>90081.659999999989</v>
      </c>
      <c r="H24" s="30" t="s">
        <v>53</v>
      </c>
      <c r="I24" s="95">
        <v>16</v>
      </c>
      <c r="J24" s="13">
        <v>2000</v>
      </c>
      <c r="K24" s="12">
        <f t="shared" si="1"/>
        <v>125</v>
      </c>
      <c r="L24" s="95">
        <v>16</v>
      </c>
      <c r="M24" s="13">
        <f t="shared" si="20"/>
        <v>1927.6363636363649</v>
      </c>
      <c r="N24" s="12">
        <f t="shared" si="3"/>
        <v>120.4772727272728</v>
      </c>
      <c r="O24" s="14">
        <f t="shared" si="4"/>
        <v>0</v>
      </c>
      <c r="P24" s="15">
        <f t="shared" si="5"/>
        <v>-4.5227272727271952</v>
      </c>
      <c r="Q24" s="91">
        <f t="shared" si="6"/>
        <v>0.96381818181818246</v>
      </c>
      <c r="R24" s="177"/>
      <c r="S24" s="21">
        <v>0.76041666666666663</v>
      </c>
      <c r="T24" s="21">
        <v>0.79861111111111105</v>
      </c>
      <c r="U24" s="88">
        <f t="shared" si="22"/>
        <v>5.9999999999999787</v>
      </c>
      <c r="V24" s="30">
        <f t="shared" si="21"/>
        <v>54.999999999999964</v>
      </c>
      <c r="W24" s="16"/>
      <c r="X24" s="21"/>
      <c r="Y24" s="21"/>
      <c r="Z24" s="21"/>
      <c r="AA24" s="168"/>
      <c r="AB24" s="168"/>
      <c r="AC24" s="18"/>
      <c r="AD24" s="18"/>
      <c r="AE24" s="14">
        <f t="shared" si="8"/>
        <v>-72.363636363635123</v>
      </c>
      <c r="AF24" s="91">
        <f t="shared" si="9"/>
        <v>0.96381818181818246</v>
      </c>
      <c r="AG24" s="177"/>
    </row>
    <row r="25" spans="1:33" ht="15.75" customHeight="1">
      <c r="A25" s="196" t="s">
        <v>2240</v>
      </c>
      <c r="B25" s="28" t="s">
        <v>2238</v>
      </c>
      <c r="C25" s="178"/>
      <c r="D25" s="178"/>
      <c r="E25" s="92"/>
      <c r="F25" s="88"/>
      <c r="G25" s="88"/>
      <c r="H25" s="88"/>
      <c r="I25" s="23">
        <v>15.666666666666666</v>
      </c>
      <c r="J25" s="13">
        <v>1916.6666666666667</v>
      </c>
      <c r="K25" s="12">
        <f t="shared" si="1"/>
        <v>122.3404255319149</v>
      </c>
      <c r="L25" s="23">
        <v>15.666666666666666</v>
      </c>
      <c r="M25" s="13">
        <f>AVERAGE(M19:M24)</f>
        <v>1841.1030303030311</v>
      </c>
      <c r="N25" s="12">
        <f t="shared" si="3"/>
        <v>117.51721470019348</v>
      </c>
      <c r="O25" s="14">
        <f t="shared" si="4"/>
        <v>0</v>
      </c>
      <c r="P25" s="15">
        <f t="shared" si="5"/>
        <v>-4.8232108317214255</v>
      </c>
      <c r="Q25" s="91">
        <f t="shared" si="6"/>
        <v>0.96057549407114662</v>
      </c>
      <c r="R25" s="177"/>
      <c r="S25" s="21"/>
      <c r="T25" s="21"/>
      <c r="U25" s="12"/>
      <c r="V25" s="30"/>
      <c r="W25" s="12"/>
      <c r="X25" s="12"/>
      <c r="Y25" s="24">
        <f>SUM(Y19:Y24)</f>
        <v>0</v>
      </c>
      <c r="Z25" s="24">
        <f>SUM(Z19:Z24)</f>
        <v>0</v>
      </c>
      <c r="AA25" s="167"/>
      <c r="AB25" s="167"/>
      <c r="AC25" s="24">
        <f>SUM(AC19:AC24)</f>
        <v>6</v>
      </c>
      <c r="AD25" s="24">
        <f>SUM(AD19:AD24)</f>
        <v>0</v>
      </c>
      <c r="AE25" s="14">
        <f t="shared" si="8"/>
        <v>-75.563636363635624</v>
      </c>
      <c r="AF25" s="91">
        <f t="shared" si="9"/>
        <v>0.96057549407114662</v>
      </c>
      <c r="AG25" s="177"/>
    </row>
    <row r="26" spans="1:33" ht="15.75" customHeight="1">
      <c r="A26" s="194" t="s">
        <v>2241</v>
      </c>
      <c r="B26" s="28" t="s">
        <v>22</v>
      </c>
      <c r="C26" s="193" t="s">
        <v>23</v>
      </c>
      <c r="D26" s="193"/>
      <c r="E26" s="28">
        <v>31.29</v>
      </c>
      <c r="F26" s="88">
        <v>5600</v>
      </c>
      <c r="G26" s="88">
        <f t="shared" ref="G26:G31" si="23">E26*F26</f>
        <v>175224</v>
      </c>
      <c r="H26" s="30">
        <v>2</v>
      </c>
      <c r="I26" s="95">
        <v>18</v>
      </c>
      <c r="J26" s="13">
        <v>2400</v>
      </c>
      <c r="K26" s="12">
        <f t="shared" si="1"/>
        <v>133.33333333333334</v>
      </c>
      <c r="L26" s="95">
        <v>18</v>
      </c>
      <c r="M26" s="13">
        <f t="shared" ref="M26:M31" si="24">F26/V26*60</f>
        <v>2285.7142857142858</v>
      </c>
      <c r="N26" s="12">
        <f t="shared" si="3"/>
        <v>126.98412698412699</v>
      </c>
      <c r="O26" s="14">
        <f t="shared" si="4"/>
        <v>0</v>
      </c>
      <c r="P26" s="15">
        <f t="shared" si="5"/>
        <v>-6.3492063492063551</v>
      </c>
      <c r="Q26" s="91">
        <f t="shared" si="6"/>
        <v>0.95238095238095233</v>
      </c>
      <c r="R26" s="177">
        <f>Q32</f>
        <v>0.95539588354455585</v>
      </c>
      <c r="S26" s="21">
        <v>8.3333333333333329E-2</v>
      </c>
      <c r="T26" s="21">
        <v>0.18541666666666667</v>
      </c>
      <c r="U26" s="88"/>
      <c r="V26" s="30">
        <f t="shared" ref="V26:V31" si="25">(T26-S26)*24*60</f>
        <v>147</v>
      </c>
      <c r="W26" s="16">
        <f>T26</f>
        <v>0.18541666666666667</v>
      </c>
      <c r="X26" s="16">
        <f>S27</f>
        <v>0.2048611111111111</v>
      </c>
      <c r="Y26" s="16"/>
      <c r="Z26" s="16"/>
      <c r="AA26" s="168"/>
      <c r="AB26" s="168"/>
      <c r="AC26" s="18">
        <v>6</v>
      </c>
      <c r="AD26" s="18"/>
      <c r="AE26" s="14">
        <f t="shared" si="8"/>
        <v>-114.28571428571422</v>
      </c>
      <c r="AF26" s="91">
        <f t="shared" si="9"/>
        <v>0.95238095238095244</v>
      </c>
      <c r="AG26" s="177">
        <f>AF32</f>
        <v>0.95539588354455574</v>
      </c>
    </row>
    <row r="27" spans="1:33" ht="15.75" customHeight="1">
      <c r="A27" s="194" t="s">
        <v>2241</v>
      </c>
      <c r="B27" s="28" t="s">
        <v>22</v>
      </c>
      <c r="C27" s="193" t="s">
        <v>24</v>
      </c>
      <c r="D27" s="193"/>
      <c r="E27" s="28">
        <v>25.98</v>
      </c>
      <c r="F27" s="88">
        <v>3082</v>
      </c>
      <c r="G27" s="88">
        <f t="shared" si="23"/>
        <v>80070.36</v>
      </c>
      <c r="H27" s="30" t="s">
        <v>53</v>
      </c>
      <c r="I27" s="95">
        <v>21</v>
      </c>
      <c r="J27" s="13">
        <v>2400</v>
      </c>
      <c r="K27" s="12">
        <f t="shared" si="1"/>
        <v>114.28571428571429</v>
      </c>
      <c r="L27" s="95">
        <v>21</v>
      </c>
      <c r="M27" s="13">
        <f t="shared" si="24"/>
        <v>2282.9629629629621</v>
      </c>
      <c r="N27" s="12">
        <f t="shared" si="3"/>
        <v>108.71252204585534</v>
      </c>
      <c r="O27" s="14">
        <f t="shared" si="4"/>
        <v>0</v>
      </c>
      <c r="P27" s="15">
        <f t="shared" si="5"/>
        <v>-5.5731922398589546</v>
      </c>
      <c r="Q27" s="91">
        <f t="shared" si="6"/>
        <v>0.95123456790123417</v>
      </c>
      <c r="R27" s="177"/>
      <c r="S27" s="21">
        <v>0.2048611111111111</v>
      </c>
      <c r="T27" s="21">
        <v>0.26111111111111113</v>
      </c>
      <c r="U27" s="88">
        <f t="shared" ref="U27:U31" si="26">(S27-T26)*24*60</f>
        <v>27.999999999999979</v>
      </c>
      <c r="V27" s="30">
        <f t="shared" si="25"/>
        <v>81.000000000000028</v>
      </c>
      <c r="W27" s="16"/>
      <c r="X27" s="16"/>
      <c r="Y27" s="16"/>
      <c r="Z27" s="16"/>
      <c r="AA27" s="168"/>
      <c r="AB27" s="168"/>
      <c r="AC27" s="18"/>
      <c r="AD27" s="18"/>
      <c r="AE27" s="14">
        <f t="shared" si="8"/>
        <v>-117.03703703703786</v>
      </c>
      <c r="AF27" s="91">
        <f t="shared" si="9"/>
        <v>0.95123456790123417</v>
      </c>
      <c r="AG27" s="177"/>
    </row>
    <row r="28" spans="1:33" ht="15.75" customHeight="1">
      <c r="A28" s="194" t="s">
        <v>2241</v>
      </c>
      <c r="B28" s="28" t="s">
        <v>22</v>
      </c>
      <c r="C28" s="193" t="s">
        <v>26</v>
      </c>
      <c r="D28" s="193"/>
      <c r="E28" s="28">
        <v>25.99</v>
      </c>
      <c r="F28" s="88">
        <v>4161</v>
      </c>
      <c r="G28" s="88">
        <f t="shared" si="23"/>
        <v>108144.39</v>
      </c>
      <c r="H28" s="30" t="s">
        <v>53</v>
      </c>
      <c r="I28" s="95">
        <v>14</v>
      </c>
      <c r="J28" s="13">
        <v>2400</v>
      </c>
      <c r="K28" s="12">
        <f t="shared" si="1"/>
        <v>171.42857142857142</v>
      </c>
      <c r="L28" s="95">
        <v>14</v>
      </c>
      <c r="M28" s="13">
        <f t="shared" si="24"/>
        <v>2290.45871559633</v>
      </c>
      <c r="N28" s="12">
        <f t="shared" si="3"/>
        <v>163.60419397116644</v>
      </c>
      <c r="O28" s="14">
        <f t="shared" si="4"/>
        <v>0</v>
      </c>
      <c r="P28" s="15">
        <f t="shared" si="5"/>
        <v>-7.824377457404978</v>
      </c>
      <c r="Q28" s="91">
        <f t="shared" si="6"/>
        <v>0.95435779816513766</v>
      </c>
      <c r="R28" s="177"/>
      <c r="S28" s="21">
        <v>0.26666666666666666</v>
      </c>
      <c r="T28" s="21">
        <v>0.34236111111111112</v>
      </c>
      <c r="U28" s="88">
        <f t="shared" si="26"/>
        <v>7.9999999999999716</v>
      </c>
      <c r="V28" s="30">
        <f t="shared" si="25"/>
        <v>109.00000000000001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-109.54128440367003</v>
      </c>
      <c r="AF28" s="91">
        <f t="shared" si="9"/>
        <v>0.95435779816513744</v>
      </c>
      <c r="AG28" s="177"/>
    </row>
    <row r="29" spans="1:33" ht="15.75" customHeight="1">
      <c r="A29" s="194" t="s">
        <v>2241</v>
      </c>
      <c r="B29" s="28" t="s">
        <v>22</v>
      </c>
      <c r="C29" s="193" t="s">
        <v>27</v>
      </c>
      <c r="D29" s="193"/>
      <c r="E29" s="28">
        <v>26.18</v>
      </c>
      <c r="F29" s="88">
        <v>1589</v>
      </c>
      <c r="G29" s="88">
        <f t="shared" si="23"/>
        <v>41600.019999999997</v>
      </c>
      <c r="H29" s="30" t="s">
        <v>53</v>
      </c>
      <c r="I29" s="95">
        <v>19</v>
      </c>
      <c r="J29" s="13">
        <v>2400</v>
      </c>
      <c r="K29" s="12">
        <f t="shared" si="1"/>
        <v>126.31578947368421</v>
      </c>
      <c r="L29" s="95">
        <v>19</v>
      </c>
      <c r="M29" s="13">
        <f t="shared" si="24"/>
        <v>2325.3658536585358</v>
      </c>
      <c r="N29" s="12">
        <f t="shared" si="3"/>
        <v>122.38767650834399</v>
      </c>
      <c r="O29" s="14">
        <f t="shared" si="4"/>
        <v>0</v>
      </c>
      <c r="P29" s="15">
        <f t="shared" si="5"/>
        <v>-3.9281129653402189</v>
      </c>
      <c r="Q29" s="91">
        <f t="shared" si="6"/>
        <v>0.96890243902438988</v>
      </c>
      <c r="R29" s="177"/>
      <c r="S29" s="21">
        <v>0.34791666666666665</v>
      </c>
      <c r="T29" s="21">
        <v>0.37638888888888888</v>
      </c>
      <c r="U29" s="88">
        <f t="shared" si="26"/>
        <v>7.9999999999999716</v>
      </c>
      <c r="V29" s="30">
        <f t="shared" si="25"/>
        <v>41.000000000000014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8"/>
        <v>-74.634146341464202</v>
      </c>
      <c r="AF29" s="91">
        <f t="shared" si="9"/>
        <v>0.96890243902438988</v>
      </c>
      <c r="AG29" s="177"/>
    </row>
    <row r="30" spans="1:33" ht="15.75" customHeight="1">
      <c r="A30" s="194" t="s">
        <v>2241</v>
      </c>
      <c r="B30" s="28" t="s">
        <v>22</v>
      </c>
      <c r="C30" s="193" t="s">
        <v>25</v>
      </c>
      <c r="D30" s="193"/>
      <c r="E30" s="28">
        <v>26.2</v>
      </c>
      <c r="F30" s="88">
        <v>5231</v>
      </c>
      <c r="G30" s="88">
        <f t="shared" si="23"/>
        <v>137052.19999999998</v>
      </c>
      <c r="H30" s="30" t="s">
        <v>53</v>
      </c>
      <c r="I30" s="95">
        <v>20</v>
      </c>
      <c r="J30" s="13">
        <v>2400</v>
      </c>
      <c r="K30" s="12">
        <f t="shared" si="1"/>
        <v>120</v>
      </c>
      <c r="L30" s="95">
        <v>20</v>
      </c>
      <c r="M30" s="13">
        <f t="shared" si="24"/>
        <v>2290.9489051094888</v>
      </c>
      <c r="N30" s="12">
        <f t="shared" si="3"/>
        <v>114.54744525547444</v>
      </c>
      <c r="O30" s="14">
        <f t="shared" si="4"/>
        <v>0</v>
      </c>
      <c r="P30" s="15">
        <f t="shared" si="5"/>
        <v>-5.4525547445255569</v>
      </c>
      <c r="Q30" s="91">
        <f t="shared" si="6"/>
        <v>0.95456204379562037</v>
      </c>
      <c r="R30" s="177"/>
      <c r="S30" s="21">
        <v>0.38124999999999998</v>
      </c>
      <c r="T30" s="21">
        <v>0.47638888888888886</v>
      </c>
      <c r="U30" s="88">
        <f t="shared" si="26"/>
        <v>6.9999999999999751</v>
      </c>
      <c r="V30" s="30">
        <f t="shared" si="25"/>
        <v>137</v>
      </c>
      <c r="W30" s="16">
        <f>T30</f>
        <v>0.47638888888888886</v>
      </c>
      <c r="X30" s="16">
        <f>S31</f>
        <v>0.51666666666666661</v>
      </c>
      <c r="Y30" s="16"/>
      <c r="Z30" s="16"/>
      <c r="AA30" s="168"/>
      <c r="AB30" s="168"/>
      <c r="AC30" s="18"/>
      <c r="AD30" s="18"/>
      <c r="AE30" s="14">
        <f t="shared" si="8"/>
        <v>-109.05109489051119</v>
      </c>
      <c r="AF30" s="91">
        <f t="shared" si="9"/>
        <v>0.95456204379562037</v>
      </c>
      <c r="AG30" s="177"/>
    </row>
    <row r="31" spans="1:33" ht="15.75" customHeight="1">
      <c r="A31" s="194" t="s">
        <v>2241</v>
      </c>
      <c r="B31" s="28" t="s">
        <v>22</v>
      </c>
      <c r="C31" s="193" t="s">
        <v>23</v>
      </c>
      <c r="D31" s="193"/>
      <c r="E31" s="28">
        <v>31.29</v>
      </c>
      <c r="F31" s="88">
        <v>3043</v>
      </c>
      <c r="G31" s="88">
        <f t="shared" si="23"/>
        <v>95215.47</v>
      </c>
      <c r="H31" s="30" t="s">
        <v>53</v>
      </c>
      <c r="I31" s="95">
        <v>18</v>
      </c>
      <c r="J31" s="13">
        <v>2400</v>
      </c>
      <c r="K31" s="12">
        <f t="shared" si="1"/>
        <v>133.33333333333334</v>
      </c>
      <c r="L31" s="95">
        <v>18</v>
      </c>
      <c r="M31" s="13">
        <f t="shared" si="24"/>
        <v>2282.2499999999991</v>
      </c>
      <c r="N31" s="12">
        <f t="shared" si="3"/>
        <v>126.79166666666661</v>
      </c>
      <c r="O31" s="14">
        <f t="shared" si="4"/>
        <v>0</v>
      </c>
      <c r="P31" s="15">
        <f t="shared" si="5"/>
        <v>-6.5416666666667282</v>
      </c>
      <c r="Q31" s="91">
        <f t="shared" si="6"/>
        <v>0.95093749999999955</v>
      </c>
      <c r="R31" s="177"/>
      <c r="S31" s="21">
        <v>0.51666666666666661</v>
      </c>
      <c r="T31" s="21">
        <v>0.57222222222222219</v>
      </c>
      <c r="U31" s="88">
        <f t="shared" si="26"/>
        <v>57.999999999999957</v>
      </c>
      <c r="V31" s="30">
        <f t="shared" si="25"/>
        <v>80.000000000000028</v>
      </c>
      <c r="W31" s="16"/>
      <c r="X31" s="16"/>
      <c r="Y31" s="16"/>
      <c r="Z31" s="16"/>
      <c r="AA31" s="168"/>
      <c r="AB31" s="168"/>
      <c r="AC31" s="18"/>
      <c r="AD31" s="18"/>
      <c r="AE31" s="14">
        <f t="shared" si="8"/>
        <v>-117.75000000000091</v>
      </c>
      <c r="AF31" s="91">
        <f t="shared" si="9"/>
        <v>0.95093749999999966</v>
      </c>
      <c r="AG31" s="177"/>
    </row>
    <row r="32" spans="1:33" ht="15.75" customHeight="1">
      <c r="A32" s="194" t="s">
        <v>2241</v>
      </c>
      <c r="B32" s="28" t="s">
        <v>2238</v>
      </c>
      <c r="C32" s="178"/>
      <c r="D32" s="178"/>
      <c r="E32" s="92"/>
      <c r="F32" s="88"/>
      <c r="G32" s="88"/>
      <c r="H32" s="88"/>
      <c r="I32" s="23">
        <v>18.333333333333332</v>
      </c>
      <c r="J32" s="13">
        <v>2400</v>
      </c>
      <c r="K32" s="12">
        <f t="shared" si="1"/>
        <v>130.90909090909091</v>
      </c>
      <c r="L32" s="23">
        <v>18.333333333333332</v>
      </c>
      <c r="M32" s="13">
        <f>AVERAGE(M26:M31)</f>
        <v>2292.9501205069337</v>
      </c>
      <c r="N32" s="12">
        <f t="shared" si="3"/>
        <v>125.07000657310549</v>
      </c>
      <c r="O32" s="14">
        <f t="shared" si="4"/>
        <v>0</v>
      </c>
      <c r="P32" s="15">
        <f t="shared" si="5"/>
        <v>-5.8390843359854188</v>
      </c>
      <c r="Q32" s="91">
        <f t="shared" si="6"/>
        <v>0.95539588354455585</v>
      </c>
      <c r="R32" s="177"/>
      <c r="S32" s="21"/>
      <c r="T32" s="21"/>
      <c r="U32" s="88"/>
      <c r="V32" s="30"/>
      <c r="W32" s="88"/>
      <c r="X32" s="88"/>
      <c r="Y32" s="24">
        <f>SUM(Y26:Y31)</f>
        <v>0</v>
      </c>
      <c r="Z32" s="24">
        <f>SUM(Z26:Z31)</f>
        <v>0</v>
      </c>
      <c r="AA32" s="167"/>
      <c r="AB32" s="167"/>
      <c r="AC32" s="24">
        <f>SUM(AC26:AC31)</f>
        <v>6</v>
      </c>
      <c r="AD32" s="24">
        <f>SUM(AD26:AD31)</f>
        <v>0</v>
      </c>
      <c r="AE32" s="14">
        <f t="shared" si="8"/>
        <v>-107.04987949306633</v>
      </c>
      <c r="AF32" s="91">
        <f t="shared" si="9"/>
        <v>0.95539588354455574</v>
      </c>
      <c r="AG32" s="177"/>
    </row>
    <row r="33" spans="1:33" ht="15.75" customHeight="1">
      <c r="A33" s="191" t="s">
        <v>2242</v>
      </c>
      <c r="B33" s="28" t="s">
        <v>22</v>
      </c>
      <c r="C33" s="169" t="s">
        <v>28</v>
      </c>
      <c r="D33" s="169"/>
      <c r="E33" s="28">
        <v>26.2</v>
      </c>
      <c r="F33" s="88">
        <v>3600</v>
      </c>
      <c r="G33" s="88">
        <f t="shared" ref="G33:G38" si="27">E33*F33</f>
        <v>94320</v>
      </c>
      <c r="H33" s="30">
        <v>2</v>
      </c>
      <c r="I33" s="95">
        <v>18</v>
      </c>
      <c r="J33" s="13">
        <v>2400</v>
      </c>
      <c r="K33" s="12">
        <f t="shared" si="1"/>
        <v>133.33333333333334</v>
      </c>
      <c r="L33" s="95">
        <v>18</v>
      </c>
      <c r="M33" s="13">
        <f t="shared" ref="M33:M38" si="28">F33/V33*60</f>
        <v>2297.8723404255315</v>
      </c>
      <c r="N33" s="12">
        <f t="shared" si="3"/>
        <v>127.65957446808508</v>
      </c>
      <c r="O33" s="14">
        <f t="shared" si="4"/>
        <v>0</v>
      </c>
      <c r="P33" s="15">
        <f t="shared" si="5"/>
        <v>-5.67375886524826</v>
      </c>
      <c r="Q33" s="91">
        <f t="shared" si="6"/>
        <v>0.95744680851063801</v>
      </c>
      <c r="R33" s="177">
        <f>Q39</f>
        <v>0.95729398228045881</v>
      </c>
      <c r="S33" s="21">
        <v>8.3333333333333329E-2</v>
      </c>
      <c r="T33" s="21">
        <v>0.14861111111111111</v>
      </c>
      <c r="U33" s="88"/>
      <c r="V33" s="30">
        <f t="shared" ref="V33:V38" si="29">(T33-S33)*24*60</f>
        <v>94.000000000000014</v>
      </c>
      <c r="W33" s="21">
        <f>T33</f>
        <v>0.14861111111111111</v>
      </c>
      <c r="X33" s="21">
        <f>S34</f>
        <v>0.16736111111111113</v>
      </c>
      <c r="Y33" s="21"/>
      <c r="Z33" s="21"/>
      <c r="AA33" s="168"/>
      <c r="AB33" s="168"/>
      <c r="AC33" s="18">
        <v>6</v>
      </c>
      <c r="AD33" s="18"/>
      <c r="AE33" s="14">
        <f t="shared" si="8"/>
        <v>-102.12765957446845</v>
      </c>
      <c r="AF33" s="91">
        <f t="shared" si="9"/>
        <v>0.95744680851063813</v>
      </c>
      <c r="AG33" s="177">
        <f>AF39</f>
        <v>0.95729398228045892</v>
      </c>
    </row>
    <row r="34" spans="1:33" ht="15.75" customHeight="1">
      <c r="A34" s="191" t="s">
        <v>2242</v>
      </c>
      <c r="B34" s="28" t="s">
        <v>22</v>
      </c>
      <c r="C34" s="169" t="s">
        <v>49</v>
      </c>
      <c r="D34" s="169"/>
      <c r="E34" s="28">
        <v>20.2</v>
      </c>
      <c r="F34" s="88">
        <v>2130</v>
      </c>
      <c r="G34" s="88">
        <f t="shared" si="27"/>
        <v>43026</v>
      </c>
      <c r="H34" s="30" t="s">
        <v>53</v>
      </c>
      <c r="I34" s="95">
        <v>15</v>
      </c>
      <c r="J34" s="13">
        <v>2400</v>
      </c>
      <c r="K34" s="12">
        <f t="shared" si="1"/>
        <v>160</v>
      </c>
      <c r="L34" s="95">
        <v>15</v>
      </c>
      <c r="M34" s="13">
        <f t="shared" si="28"/>
        <v>2323.6363636363631</v>
      </c>
      <c r="N34" s="12">
        <f t="shared" si="3"/>
        <v>154.90909090909088</v>
      </c>
      <c r="O34" s="14">
        <f t="shared" si="4"/>
        <v>0</v>
      </c>
      <c r="P34" s="15">
        <f t="shared" si="5"/>
        <v>-5.0909090909091219</v>
      </c>
      <c r="Q34" s="91">
        <f t="shared" si="6"/>
        <v>0.96818181818181803</v>
      </c>
      <c r="R34" s="177"/>
      <c r="S34" s="21">
        <v>0.16736111111111113</v>
      </c>
      <c r="T34" s="21">
        <v>0.20555555555555557</v>
      </c>
      <c r="U34" s="88">
        <f t="shared" ref="U34:U38" si="30">(S34-T33)*24*60</f>
        <v>27.000000000000025</v>
      </c>
      <c r="V34" s="30">
        <f t="shared" si="29"/>
        <v>55.000000000000007</v>
      </c>
      <c r="W34" s="88"/>
      <c r="X34" s="88"/>
      <c r="Y34" s="88"/>
      <c r="Z34" s="88"/>
      <c r="AA34" s="168"/>
      <c r="AB34" s="168"/>
      <c r="AC34" s="18"/>
      <c r="AD34" s="18"/>
      <c r="AE34" s="14">
        <f t="shared" si="8"/>
        <v>-76.363636363636942</v>
      </c>
      <c r="AF34" s="91">
        <f t="shared" si="9"/>
        <v>0.96818181818181792</v>
      </c>
      <c r="AG34" s="177"/>
    </row>
    <row r="35" spans="1:33">
      <c r="A35" s="192" t="s">
        <v>2242</v>
      </c>
      <c r="B35" s="28" t="s">
        <v>22</v>
      </c>
      <c r="C35" s="169" t="s">
        <v>32</v>
      </c>
      <c r="D35" s="169"/>
      <c r="E35" s="28">
        <v>20.52</v>
      </c>
      <c r="F35" s="88">
        <v>2937</v>
      </c>
      <c r="G35" s="88">
        <f t="shared" si="27"/>
        <v>60267.24</v>
      </c>
      <c r="H35" s="30" t="s">
        <v>53</v>
      </c>
      <c r="I35" s="95">
        <v>18</v>
      </c>
      <c r="J35" s="13">
        <v>2400</v>
      </c>
      <c r="K35" s="12">
        <f t="shared" si="1"/>
        <v>133.33333333333334</v>
      </c>
      <c r="L35" s="95">
        <v>18</v>
      </c>
      <c r="M35" s="13">
        <f t="shared" si="28"/>
        <v>2288.5714285714275</v>
      </c>
      <c r="N35" s="12">
        <f t="shared" si="3"/>
        <v>127.14285714285708</v>
      </c>
      <c r="O35" s="14">
        <f t="shared" si="4"/>
        <v>0</v>
      </c>
      <c r="P35" s="15">
        <f t="shared" si="5"/>
        <v>-6.1904761904762609</v>
      </c>
      <c r="Q35" s="91">
        <f t="shared" si="6"/>
        <v>0.95357142857142807</v>
      </c>
      <c r="R35" s="177"/>
      <c r="S35" s="21">
        <v>0.2104166666666667</v>
      </c>
      <c r="T35" s="21">
        <v>0.26388888888888895</v>
      </c>
      <c r="U35" s="88">
        <f t="shared" si="30"/>
        <v>7.0000000000000151</v>
      </c>
      <c r="V35" s="30">
        <f t="shared" si="29"/>
        <v>77.000000000000043</v>
      </c>
      <c r="W35" s="88"/>
      <c r="X35" s="88"/>
      <c r="Y35" s="88"/>
      <c r="Z35" s="88"/>
      <c r="AA35" s="168"/>
      <c r="AB35" s="168"/>
      <c r="AC35" s="18"/>
      <c r="AD35" s="18"/>
      <c r="AE35" s="14">
        <f t="shared" si="8"/>
        <v>-111.42857142857247</v>
      </c>
      <c r="AF35" s="91">
        <f t="shared" si="9"/>
        <v>0.95357142857142818</v>
      </c>
      <c r="AG35" s="177"/>
    </row>
    <row r="36" spans="1:33">
      <c r="A36" s="192" t="s">
        <v>2242</v>
      </c>
      <c r="B36" s="28" t="s">
        <v>22</v>
      </c>
      <c r="C36" s="169" t="s">
        <v>30</v>
      </c>
      <c r="D36" s="169"/>
      <c r="E36" s="28">
        <v>26.39</v>
      </c>
      <c r="F36" s="88">
        <v>5846</v>
      </c>
      <c r="G36" s="88">
        <f t="shared" si="27"/>
        <v>154275.94</v>
      </c>
      <c r="H36" s="30" t="s">
        <v>53</v>
      </c>
      <c r="I36" s="95">
        <v>19</v>
      </c>
      <c r="J36" s="13">
        <v>2400</v>
      </c>
      <c r="K36" s="12">
        <f t="shared" si="1"/>
        <v>126.31578947368421</v>
      </c>
      <c r="L36" s="95">
        <v>19</v>
      </c>
      <c r="M36" s="13">
        <f t="shared" si="28"/>
        <v>2292.5490196078426</v>
      </c>
      <c r="N36" s="12">
        <f t="shared" si="3"/>
        <v>120.66047471620224</v>
      </c>
      <c r="O36" s="14">
        <f t="shared" si="4"/>
        <v>0</v>
      </c>
      <c r="P36" s="15">
        <f t="shared" si="5"/>
        <v>-5.6553147574819604</v>
      </c>
      <c r="Q36" s="91">
        <f t="shared" si="6"/>
        <v>0.95522875816993447</v>
      </c>
      <c r="R36" s="177"/>
      <c r="S36" s="21">
        <v>0.26736111111111116</v>
      </c>
      <c r="T36" s="21">
        <v>0.37361111111111117</v>
      </c>
      <c r="U36" s="88">
        <f t="shared" si="30"/>
        <v>4.9999999999999822</v>
      </c>
      <c r="V36" s="30">
        <f t="shared" si="29"/>
        <v>153.00000000000003</v>
      </c>
      <c r="W36" s="16"/>
      <c r="X36" s="16"/>
      <c r="Y36" s="16"/>
      <c r="Z36" s="16"/>
      <c r="AA36" s="168"/>
      <c r="AB36" s="168"/>
      <c r="AC36" s="18"/>
      <c r="AD36" s="18"/>
      <c r="AE36" s="14">
        <f t="shared" si="8"/>
        <v>-107.45098039215736</v>
      </c>
      <c r="AF36" s="91">
        <f t="shared" si="9"/>
        <v>0.95522875816993447</v>
      </c>
      <c r="AG36" s="177"/>
    </row>
    <row r="37" spans="1:33">
      <c r="A37" s="192" t="s">
        <v>2242</v>
      </c>
      <c r="B37" s="28" t="s">
        <v>22</v>
      </c>
      <c r="C37" s="169" t="s">
        <v>51</v>
      </c>
      <c r="D37" s="169"/>
      <c r="E37" s="28">
        <v>24.43</v>
      </c>
      <c r="F37" s="88">
        <v>6576</v>
      </c>
      <c r="G37" s="88">
        <f t="shared" si="27"/>
        <v>160651.68</v>
      </c>
      <c r="H37" s="30" t="s">
        <v>53</v>
      </c>
      <c r="I37" s="95">
        <v>14</v>
      </c>
      <c r="J37" s="13">
        <v>2400</v>
      </c>
      <c r="K37" s="12">
        <f t="shared" si="1"/>
        <v>171.42857142857142</v>
      </c>
      <c r="L37" s="95">
        <v>14</v>
      </c>
      <c r="M37" s="13">
        <f t="shared" si="28"/>
        <v>2293.953488372093</v>
      </c>
      <c r="N37" s="12">
        <f t="shared" si="3"/>
        <v>163.85382059800665</v>
      </c>
      <c r="O37" s="14">
        <f t="shared" si="4"/>
        <v>0</v>
      </c>
      <c r="P37" s="15">
        <f t="shared" si="5"/>
        <v>-7.5747508305647671</v>
      </c>
      <c r="Q37" s="91">
        <f t="shared" si="6"/>
        <v>0.95581395348837217</v>
      </c>
      <c r="R37" s="177"/>
      <c r="S37" s="21">
        <v>0.37777777777777782</v>
      </c>
      <c r="T37" s="21">
        <v>0.49722222222222229</v>
      </c>
      <c r="U37" s="88">
        <f t="shared" si="30"/>
        <v>5.9999999999999787</v>
      </c>
      <c r="V37" s="30">
        <f t="shared" si="29"/>
        <v>172.00000000000003</v>
      </c>
      <c r="W37" s="16">
        <f>T37</f>
        <v>0.49722222222222229</v>
      </c>
      <c r="X37" s="16">
        <f>S38</f>
        <v>0.53750000000000009</v>
      </c>
      <c r="Y37" s="16"/>
      <c r="Z37" s="16"/>
      <c r="AA37" s="168"/>
      <c r="AB37" s="168"/>
      <c r="AC37" s="18"/>
      <c r="AD37" s="18"/>
      <c r="AE37" s="14">
        <f t="shared" si="8"/>
        <v>-106.04651162790697</v>
      </c>
      <c r="AF37" s="91">
        <f t="shared" si="9"/>
        <v>0.95581395348837206</v>
      </c>
      <c r="AG37" s="177"/>
    </row>
    <row r="38" spans="1:33">
      <c r="A38" s="192" t="s">
        <v>2242</v>
      </c>
      <c r="B38" s="28" t="s">
        <v>22</v>
      </c>
      <c r="C38" s="169" t="s">
        <v>28</v>
      </c>
      <c r="D38" s="169"/>
      <c r="E38" s="28">
        <v>26.2</v>
      </c>
      <c r="F38" s="88">
        <v>2708</v>
      </c>
      <c r="G38" s="88">
        <f t="shared" si="27"/>
        <v>70949.599999999991</v>
      </c>
      <c r="H38" s="30" t="s">
        <v>53</v>
      </c>
      <c r="I38" s="95">
        <v>18</v>
      </c>
      <c r="J38" s="13">
        <v>2400</v>
      </c>
      <c r="K38" s="12">
        <f t="shared" si="1"/>
        <v>133.33333333333334</v>
      </c>
      <c r="L38" s="95">
        <v>18</v>
      </c>
      <c r="M38" s="13">
        <f t="shared" si="28"/>
        <v>2288.4507042253499</v>
      </c>
      <c r="N38" s="12">
        <f t="shared" si="3"/>
        <v>127.13615023474166</v>
      </c>
      <c r="O38" s="14">
        <f t="shared" si="4"/>
        <v>0</v>
      </c>
      <c r="P38" s="15">
        <f t="shared" si="5"/>
        <v>-6.1971830985916796</v>
      </c>
      <c r="Q38" s="91">
        <f t="shared" si="6"/>
        <v>0.95352112676056244</v>
      </c>
      <c r="R38" s="177"/>
      <c r="S38" s="21">
        <v>0.53750000000000009</v>
      </c>
      <c r="T38" s="21">
        <v>0.58680555555555569</v>
      </c>
      <c r="U38" s="88">
        <f t="shared" si="30"/>
        <v>58.000000000000036</v>
      </c>
      <c r="V38" s="30">
        <f t="shared" si="29"/>
        <v>71.000000000000071</v>
      </c>
      <c r="W38" s="16"/>
      <c r="X38" s="16"/>
      <c r="Y38" s="16"/>
      <c r="Z38" s="16"/>
      <c r="AA38" s="168"/>
      <c r="AB38" s="168"/>
      <c r="AC38" s="18"/>
      <c r="AD38" s="18"/>
      <c r="AE38" s="14">
        <f t="shared" si="8"/>
        <v>-111.54929577465009</v>
      </c>
      <c r="AF38" s="91">
        <f t="shared" si="9"/>
        <v>0.95352112676056244</v>
      </c>
      <c r="AG38" s="177"/>
    </row>
    <row r="39" spans="1:33">
      <c r="A39" s="192" t="s">
        <v>2242</v>
      </c>
      <c r="B39" s="12" t="s">
        <v>2238</v>
      </c>
      <c r="C39" s="178"/>
      <c r="D39" s="178"/>
      <c r="E39" s="92"/>
      <c r="F39" s="12"/>
      <c r="G39" s="12"/>
      <c r="H39" s="88"/>
      <c r="I39" s="23">
        <v>17</v>
      </c>
      <c r="J39" s="13">
        <v>2400</v>
      </c>
      <c r="K39" s="12">
        <f t="shared" si="1"/>
        <v>141.1764705882353</v>
      </c>
      <c r="L39" s="23">
        <v>17</v>
      </c>
      <c r="M39" s="13">
        <f>AVERAGE(M33:M38)</f>
        <v>2297.5055574731014</v>
      </c>
      <c r="N39" s="12">
        <f t="shared" si="3"/>
        <v>135.14738573371184</v>
      </c>
      <c r="O39" s="14">
        <f t="shared" si="4"/>
        <v>0</v>
      </c>
      <c r="P39" s="15">
        <f t="shared" si="5"/>
        <v>-6.029084854523461</v>
      </c>
      <c r="Q39" s="91">
        <f t="shared" si="6"/>
        <v>0.95729398228045881</v>
      </c>
      <c r="R39" s="177"/>
      <c r="S39" s="21"/>
      <c r="T39" s="21"/>
      <c r="U39" s="12"/>
      <c r="V39" s="30"/>
      <c r="W39" s="12"/>
      <c r="X39" s="12"/>
      <c r="Y39" s="24">
        <f>SUM(Y33:Y38)</f>
        <v>0</v>
      </c>
      <c r="Z39" s="24">
        <f>SUM(Z33:Z38)</f>
        <v>0</v>
      </c>
      <c r="AA39" s="167"/>
      <c r="AB39" s="167"/>
      <c r="AC39" s="24">
        <f>SUM(AC33:AC38)</f>
        <v>6</v>
      </c>
      <c r="AD39" s="24">
        <f>SUM(AD33:AD38)</f>
        <v>0</v>
      </c>
      <c r="AE39" s="14">
        <f t="shared" si="8"/>
        <v>-102.49444252689864</v>
      </c>
      <c r="AF39" s="91">
        <f t="shared" si="9"/>
        <v>0.95729398228045892</v>
      </c>
      <c r="AG39" s="177"/>
    </row>
    <row r="40" spans="1:33" ht="15.75" customHeight="1">
      <c r="A40" s="188" t="s">
        <v>2243</v>
      </c>
      <c r="B40" s="28" t="s">
        <v>33</v>
      </c>
      <c r="C40" s="170" t="s">
        <v>72</v>
      </c>
      <c r="D40" s="171"/>
      <c r="E40" s="28">
        <v>34.35</v>
      </c>
      <c r="F40" s="88">
        <v>2338</v>
      </c>
      <c r="G40" s="88">
        <f t="shared" ref="G40:G43" si="31">E40*F40</f>
        <v>80310.3</v>
      </c>
      <c r="H40" s="30" t="s">
        <v>53</v>
      </c>
      <c r="I40" s="95">
        <v>8</v>
      </c>
      <c r="J40" s="13">
        <v>3000</v>
      </c>
      <c r="K40" s="12">
        <f t="shared" si="1"/>
        <v>375</v>
      </c>
      <c r="L40" s="95">
        <v>8</v>
      </c>
      <c r="M40" s="13">
        <f t="shared" ref="M40:M43" si="32">F40/V40*60</f>
        <v>2862.8571428571427</v>
      </c>
      <c r="N40" s="13">
        <f t="shared" si="3"/>
        <v>357.85714285714283</v>
      </c>
      <c r="O40" s="14">
        <f t="shared" si="4"/>
        <v>0</v>
      </c>
      <c r="P40" s="15">
        <f t="shared" si="5"/>
        <v>-17.142857142857167</v>
      </c>
      <c r="Q40" s="91">
        <f t="shared" si="6"/>
        <v>0.95428571428571418</v>
      </c>
      <c r="R40" s="183">
        <f>Q44</f>
        <v>0.95307130380322824</v>
      </c>
      <c r="S40" s="21">
        <v>8.3333333333333329E-2</v>
      </c>
      <c r="T40" s="21">
        <v>0.11736111111111111</v>
      </c>
      <c r="U40" s="21"/>
      <c r="V40" s="30">
        <f t="shared" ref="V40:V43" si="33">(T40-S40)*24*60</f>
        <v>49.000000000000007</v>
      </c>
      <c r="W40" s="16">
        <f>T40</f>
        <v>0.11736111111111111</v>
      </c>
      <c r="X40" s="16">
        <f>S41</f>
        <v>0.13750000000000001</v>
      </c>
      <c r="Y40" s="19"/>
      <c r="Z40" s="19"/>
      <c r="AA40" s="172"/>
      <c r="AB40" s="173"/>
      <c r="AC40" s="18">
        <v>4</v>
      </c>
      <c r="AD40" s="18"/>
      <c r="AE40" s="14">
        <f t="shared" si="8"/>
        <v>-137.14285714285734</v>
      </c>
      <c r="AF40" s="91">
        <f t="shared" si="9"/>
        <v>0.95428571428571418</v>
      </c>
      <c r="AG40" s="183">
        <f>AF44</f>
        <v>0.95307130380322835</v>
      </c>
    </row>
    <row r="41" spans="1:33" ht="15.75" customHeight="1">
      <c r="A41" s="189" t="s">
        <v>2243</v>
      </c>
      <c r="B41" s="28" t="s">
        <v>33</v>
      </c>
      <c r="C41" s="170" t="s">
        <v>48</v>
      </c>
      <c r="D41" s="171"/>
      <c r="E41" s="28">
        <v>35.119999999999997</v>
      </c>
      <c r="F41" s="88">
        <v>4612</v>
      </c>
      <c r="G41" s="88">
        <f t="shared" si="31"/>
        <v>161973.44</v>
      </c>
      <c r="H41" s="30" t="s">
        <v>53</v>
      </c>
      <c r="I41" s="95">
        <v>10</v>
      </c>
      <c r="J41" s="13">
        <v>3000</v>
      </c>
      <c r="K41" s="12">
        <f t="shared" si="1"/>
        <v>300</v>
      </c>
      <c r="L41" s="95">
        <v>10</v>
      </c>
      <c r="M41" s="13">
        <f t="shared" si="32"/>
        <v>2852.7835051546399</v>
      </c>
      <c r="N41" s="13">
        <f t="shared" si="3"/>
        <v>285.27835051546401</v>
      </c>
      <c r="O41" s="14">
        <f t="shared" si="4"/>
        <v>0</v>
      </c>
      <c r="P41" s="15">
        <f t="shared" si="5"/>
        <v>-14.721649484535988</v>
      </c>
      <c r="Q41" s="91">
        <f t="shared" si="6"/>
        <v>0.95092783505154665</v>
      </c>
      <c r="R41" s="184"/>
      <c r="S41" s="21">
        <v>0.13750000000000001</v>
      </c>
      <c r="T41" s="21">
        <v>0.2048611111111111</v>
      </c>
      <c r="U41" s="88">
        <f t="shared" ref="U41:U43" si="34">(S41-T40)*24*60</f>
        <v>29.000000000000018</v>
      </c>
      <c r="V41" s="30">
        <f t="shared" si="33"/>
        <v>96.999999999999972</v>
      </c>
      <c r="W41" s="16"/>
      <c r="X41" s="16"/>
      <c r="Y41" s="19"/>
      <c r="Z41" s="19"/>
      <c r="AA41" s="172"/>
      <c r="AB41" s="173"/>
      <c r="AC41" s="18"/>
      <c r="AD41" s="18"/>
      <c r="AE41" s="14">
        <f t="shared" si="8"/>
        <v>-147.2164948453601</v>
      </c>
      <c r="AF41" s="91">
        <f t="shared" si="9"/>
        <v>0.95092783505154665</v>
      </c>
      <c r="AG41" s="184"/>
    </row>
    <row r="42" spans="1:33" ht="15.75" customHeight="1">
      <c r="A42" s="189" t="s">
        <v>2243</v>
      </c>
      <c r="B42" s="28" t="s">
        <v>33</v>
      </c>
      <c r="C42" s="170" t="s">
        <v>36</v>
      </c>
      <c r="D42" s="171"/>
      <c r="E42" s="28">
        <v>21.13</v>
      </c>
      <c r="F42" s="88">
        <v>4668</v>
      </c>
      <c r="G42" s="88">
        <f t="shared" si="31"/>
        <v>98634.84</v>
      </c>
      <c r="H42" s="30" t="s">
        <v>53</v>
      </c>
      <c r="I42" s="95">
        <v>10</v>
      </c>
      <c r="J42" s="13">
        <v>3000</v>
      </c>
      <c r="K42" s="12">
        <f t="shared" si="1"/>
        <v>300</v>
      </c>
      <c r="L42" s="95">
        <v>10</v>
      </c>
      <c r="M42" s="13">
        <f t="shared" si="32"/>
        <v>2857.9591836734689</v>
      </c>
      <c r="N42" s="13">
        <f t="shared" si="3"/>
        <v>285.79591836734687</v>
      </c>
      <c r="O42" s="14">
        <f t="shared" si="4"/>
        <v>0</v>
      </c>
      <c r="P42" s="15">
        <f t="shared" si="5"/>
        <v>-14.204081632653129</v>
      </c>
      <c r="Q42" s="91">
        <f t="shared" si="6"/>
        <v>0.95265306122448956</v>
      </c>
      <c r="R42" s="184"/>
      <c r="S42" s="21">
        <v>0.21041666666666667</v>
      </c>
      <c r="T42" s="21">
        <v>0.27847222222222223</v>
      </c>
      <c r="U42" s="88">
        <f t="shared" si="34"/>
        <v>8.0000000000000107</v>
      </c>
      <c r="V42" s="30">
        <f t="shared" si="33"/>
        <v>98.000000000000014</v>
      </c>
      <c r="W42" s="16"/>
      <c r="X42" s="16"/>
      <c r="Y42" s="19"/>
      <c r="Z42" s="19"/>
      <c r="AA42" s="172"/>
      <c r="AB42" s="173"/>
      <c r="AC42" s="18"/>
      <c r="AD42" s="18"/>
      <c r="AE42" s="14">
        <f t="shared" si="8"/>
        <v>-142.04081632653106</v>
      </c>
      <c r="AF42" s="91">
        <f t="shared" si="9"/>
        <v>0.95265306122448967</v>
      </c>
      <c r="AG42" s="184"/>
    </row>
    <row r="43" spans="1:33" ht="15.75" customHeight="1">
      <c r="A43" s="189" t="s">
        <v>2243</v>
      </c>
      <c r="B43" s="28" t="s">
        <v>33</v>
      </c>
      <c r="C43" s="170" t="s">
        <v>37</v>
      </c>
      <c r="D43" s="171"/>
      <c r="E43" s="28">
        <v>27.17</v>
      </c>
      <c r="F43" s="88">
        <v>6156</v>
      </c>
      <c r="G43" s="88">
        <f t="shared" si="31"/>
        <v>167258.52000000002</v>
      </c>
      <c r="H43" s="30" t="s">
        <v>53</v>
      </c>
      <c r="I43" s="95">
        <v>10</v>
      </c>
      <c r="J43" s="13">
        <v>3000</v>
      </c>
      <c r="K43" s="12">
        <f t="shared" si="1"/>
        <v>300</v>
      </c>
      <c r="L43" s="95">
        <v>10</v>
      </c>
      <c r="M43" s="13">
        <f t="shared" si="32"/>
        <v>2863.2558139534881</v>
      </c>
      <c r="N43" s="13">
        <f t="shared" si="3"/>
        <v>286.32558139534882</v>
      </c>
      <c r="O43" s="14">
        <f t="shared" si="4"/>
        <v>0</v>
      </c>
      <c r="P43" s="15">
        <f t="shared" si="5"/>
        <v>-13.67441860465118</v>
      </c>
      <c r="Q43" s="91">
        <f t="shared" si="6"/>
        <v>0.95441860465116268</v>
      </c>
      <c r="R43" s="184"/>
      <c r="S43" s="21">
        <v>0.28194444444444444</v>
      </c>
      <c r="T43" s="21">
        <v>0.37152777777777779</v>
      </c>
      <c r="U43" s="88">
        <f t="shared" si="34"/>
        <v>4.9999999999999822</v>
      </c>
      <c r="V43" s="30">
        <f t="shared" si="33"/>
        <v>129.00000000000003</v>
      </c>
      <c r="W43" s="16"/>
      <c r="X43" s="16"/>
      <c r="Y43" s="19"/>
      <c r="Z43" s="19"/>
      <c r="AA43" s="172"/>
      <c r="AB43" s="173"/>
      <c r="AC43" s="18"/>
      <c r="AD43" s="18"/>
      <c r="AE43" s="14">
        <f t="shared" si="8"/>
        <v>-136.74418604651191</v>
      </c>
      <c r="AF43" s="91">
        <f t="shared" si="9"/>
        <v>0.95441860465116268</v>
      </c>
      <c r="AG43" s="184"/>
    </row>
    <row r="44" spans="1:33" ht="15.75" customHeight="1">
      <c r="A44" s="190" t="s">
        <v>2243</v>
      </c>
      <c r="B44" s="28" t="s">
        <v>2238</v>
      </c>
      <c r="C44" s="165"/>
      <c r="D44" s="166"/>
      <c r="E44" s="89"/>
      <c r="F44" s="88"/>
      <c r="G44" s="88"/>
      <c r="H44" s="88"/>
      <c r="I44" s="23">
        <v>9.5</v>
      </c>
      <c r="J44" s="13">
        <v>3000</v>
      </c>
      <c r="K44" s="12">
        <f t="shared" si="1"/>
        <v>315.78947368421052</v>
      </c>
      <c r="L44" s="23">
        <v>9.5</v>
      </c>
      <c r="M44" s="13">
        <f>AVERAGE(M40:M43)</f>
        <v>2859.2139114096849</v>
      </c>
      <c r="N44" s="12">
        <f t="shared" si="3"/>
        <v>300.96988541154576</v>
      </c>
      <c r="O44" s="14">
        <f t="shared" si="4"/>
        <v>0</v>
      </c>
      <c r="P44" s="15">
        <f t="shared" si="5"/>
        <v>-14.81958827266476</v>
      </c>
      <c r="Q44" s="91">
        <f t="shared" si="6"/>
        <v>0.95307130380322824</v>
      </c>
      <c r="R44" s="185"/>
      <c r="S44" s="21"/>
      <c r="T44" s="21"/>
      <c r="U44" s="88"/>
      <c r="V44" s="30"/>
      <c r="W44" s="16"/>
      <c r="X44" s="16"/>
      <c r="Y44" s="24">
        <f>SUM(Y40:Y43)</f>
        <v>0</v>
      </c>
      <c r="Z44" s="24">
        <f>SUM(Z40:Z43)</f>
        <v>0</v>
      </c>
      <c r="AA44" s="186"/>
      <c r="AB44" s="187"/>
      <c r="AC44" s="24">
        <f>SUM(AC40:AC43)</f>
        <v>4</v>
      </c>
      <c r="AD44" s="24">
        <f>SUM(AD40:AD43)</f>
        <v>0</v>
      </c>
      <c r="AE44" s="14">
        <f t="shared" si="8"/>
        <v>-140.7860885903151</v>
      </c>
      <c r="AF44" s="91">
        <f t="shared" si="9"/>
        <v>0.95307130380322835</v>
      </c>
      <c r="AG44" s="185"/>
    </row>
    <row r="45" spans="1:33" ht="15.75" customHeight="1">
      <c r="A45" s="181" t="s">
        <v>2244</v>
      </c>
      <c r="B45" s="28" t="s">
        <v>5</v>
      </c>
      <c r="C45" s="169" t="s">
        <v>41</v>
      </c>
      <c r="D45" s="169"/>
      <c r="E45" s="28">
        <v>51.75</v>
      </c>
      <c r="F45" s="29">
        <v>843</v>
      </c>
      <c r="G45" s="88">
        <f t="shared" ref="G45:G50" si="35">E45*F45</f>
        <v>43625.25</v>
      </c>
      <c r="H45" s="30" t="s">
        <v>53</v>
      </c>
      <c r="I45" s="95">
        <v>25</v>
      </c>
      <c r="J45" s="13">
        <v>2000</v>
      </c>
      <c r="K45" s="12">
        <f t="shared" si="1"/>
        <v>80</v>
      </c>
      <c r="L45" s="95">
        <v>25</v>
      </c>
      <c r="M45" s="13">
        <f t="shared" ref="M45" si="36">F45/V45*60</f>
        <v>1945.3846153846164</v>
      </c>
      <c r="N45" s="13">
        <f t="shared" si="3"/>
        <v>77.815384615384659</v>
      </c>
      <c r="O45" s="14">
        <f t="shared" si="4"/>
        <v>0</v>
      </c>
      <c r="P45" s="15">
        <f t="shared" si="5"/>
        <v>-2.1846153846153413</v>
      </c>
      <c r="Q45" s="91">
        <f t="shared" si="6"/>
        <v>0.97269230769230819</v>
      </c>
      <c r="R45" s="177">
        <f>Q51</f>
        <v>0.9634463361502269</v>
      </c>
      <c r="S45" s="21">
        <v>0.33333333333333331</v>
      </c>
      <c r="T45" s="21">
        <v>0.35138888888888886</v>
      </c>
      <c r="U45" s="21"/>
      <c r="V45" s="30">
        <f t="shared" ref="V45:V50" si="37">(T45-S45)*24*60</f>
        <v>25.999999999999986</v>
      </c>
      <c r="W45" s="21"/>
      <c r="X45" s="21"/>
      <c r="Y45" s="21"/>
      <c r="Z45" s="21"/>
      <c r="AA45" s="168"/>
      <c r="AB45" s="168"/>
      <c r="AC45" s="18">
        <v>6</v>
      </c>
      <c r="AD45" s="18"/>
      <c r="AE45" s="14">
        <f t="shared" si="8"/>
        <v>-54.615384615383618</v>
      </c>
      <c r="AF45" s="91">
        <f t="shared" si="9"/>
        <v>0.97269230769230819</v>
      </c>
      <c r="AG45" s="177">
        <f>AF51</f>
        <v>0.96344633615022679</v>
      </c>
    </row>
    <row r="46" spans="1:33" ht="15.75" customHeight="1">
      <c r="A46" s="181" t="s">
        <v>2244</v>
      </c>
      <c r="B46" s="28" t="s">
        <v>5</v>
      </c>
      <c r="C46" s="169" t="s">
        <v>40</v>
      </c>
      <c r="D46" s="169"/>
      <c r="E46" s="28">
        <v>56.43</v>
      </c>
      <c r="F46" s="29">
        <v>1261</v>
      </c>
      <c r="G46" s="88">
        <f t="shared" si="35"/>
        <v>71158.23</v>
      </c>
      <c r="H46" s="30" t="s">
        <v>53</v>
      </c>
      <c r="I46" s="95">
        <v>22</v>
      </c>
      <c r="J46" s="13">
        <v>2000</v>
      </c>
      <c r="K46" s="12">
        <f t="shared" si="1"/>
        <v>90.909090909090907</v>
      </c>
      <c r="L46" s="95">
        <v>22</v>
      </c>
      <c r="M46" s="13">
        <f>F46/V46*60</f>
        <v>1939.9999999999989</v>
      </c>
      <c r="N46" s="13">
        <f t="shared" si="3"/>
        <v>88.18181818181813</v>
      </c>
      <c r="O46" s="14">
        <f t="shared" si="4"/>
        <v>0</v>
      </c>
      <c r="P46" s="15">
        <f t="shared" si="5"/>
        <v>-2.7272727272727764</v>
      </c>
      <c r="Q46" s="91">
        <f t="shared" si="6"/>
        <v>0.96999999999999942</v>
      </c>
      <c r="R46" s="177"/>
      <c r="S46" s="21">
        <v>0.35486111111111107</v>
      </c>
      <c r="T46" s="21">
        <v>0.38194444444444442</v>
      </c>
      <c r="U46" s="88">
        <f t="shared" ref="U46:U50" si="38">IF(S46=TIME(17,0,0),"",(S46-T45)*24*60)</f>
        <v>4.9999999999999822</v>
      </c>
      <c r="V46" s="30">
        <f t="shared" si="37"/>
        <v>39.000000000000021</v>
      </c>
      <c r="W46" s="16"/>
      <c r="X46" s="16"/>
      <c r="Y46" s="16"/>
      <c r="Z46" s="16"/>
      <c r="AA46" s="168"/>
      <c r="AB46" s="168"/>
      <c r="AC46" s="18"/>
      <c r="AD46" s="18"/>
      <c r="AE46" s="14">
        <f t="shared" si="8"/>
        <v>-60.000000000001137</v>
      </c>
      <c r="AF46" s="91">
        <f t="shared" si="9"/>
        <v>0.96999999999999942</v>
      </c>
      <c r="AG46" s="177"/>
    </row>
    <row r="47" spans="1:33" ht="15.75" customHeight="1">
      <c r="A47" s="181" t="s">
        <v>2244</v>
      </c>
      <c r="B47" s="28" t="s">
        <v>9</v>
      </c>
      <c r="C47" s="170" t="s">
        <v>39</v>
      </c>
      <c r="D47" s="171"/>
      <c r="E47" s="28">
        <v>46</v>
      </c>
      <c r="F47" s="29">
        <v>2132</v>
      </c>
      <c r="G47" s="88">
        <f t="shared" si="35"/>
        <v>98072</v>
      </c>
      <c r="H47" s="30" t="s">
        <v>53</v>
      </c>
      <c r="I47" s="95">
        <v>17</v>
      </c>
      <c r="J47" s="13">
        <v>2000</v>
      </c>
      <c r="K47" s="12">
        <f t="shared" si="1"/>
        <v>117.64705882352941</v>
      </c>
      <c r="L47" s="95">
        <v>17</v>
      </c>
      <c r="M47" s="13">
        <f t="shared" ref="M47:M50" si="39">F47/V47*60</f>
        <v>1909.2537313432836</v>
      </c>
      <c r="N47" s="13">
        <f t="shared" si="3"/>
        <v>112.30904302019314</v>
      </c>
      <c r="O47" s="14">
        <f t="shared" si="4"/>
        <v>0</v>
      </c>
      <c r="P47" s="15">
        <f t="shared" si="5"/>
        <v>-5.3380158033362619</v>
      </c>
      <c r="Q47" s="91">
        <f t="shared" si="6"/>
        <v>0.95462686567164179</v>
      </c>
      <c r="R47" s="177"/>
      <c r="S47" s="21">
        <v>0.38680555555555551</v>
      </c>
      <c r="T47" s="21">
        <v>0.43333333333333329</v>
      </c>
      <c r="U47" s="88">
        <f t="shared" si="38"/>
        <v>6.9999999999999751</v>
      </c>
      <c r="V47" s="30">
        <f t="shared" si="37"/>
        <v>67</v>
      </c>
      <c r="W47" s="16"/>
      <c r="X47" s="16"/>
      <c r="Y47" s="19"/>
      <c r="Z47" s="19"/>
      <c r="AA47" s="168"/>
      <c r="AB47" s="168"/>
      <c r="AC47" s="18"/>
      <c r="AD47" s="18"/>
      <c r="AE47" s="14">
        <f t="shared" si="8"/>
        <v>-90.746268656716438</v>
      </c>
      <c r="AF47" s="91">
        <f t="shared" si="9"/>
        <v>0.95462686567164179</v>
      </c>
      <c r="AG47" s="177"/>
    </row>
    <row r="48" spans="1:33" ht="15.75" customHeight="1">
      <c r="A48" s="181" t="s">
        <v>2244</v>
      </c>
      <c r="B48" s="28" t="s">
        <v>5</v>
      </c>
      <c r="C48" s="93" t="s">
        <v>45</v>
      </c>
      <c r="D48" s="94"/>
      <c r="E48" s="28">
        <v>55.32</v>
      </c>
      <c r="F48" s="29">
        <v>1159</v>
      </c>
      <c r="G48" s="88">
        <f t="shared" si="35"/>
        <v>64115.88</v>
      </c>
      <c r="H48" s="30" t="s">
        <v>53</v>
      </c>
      <c r="I48" s="95">
        <v>15</v>
      </c>
      <c r="J48" s="13">
        <v>2000</v>
      </c>
      <c r="K48" s="12">
        <f t="shared" si="1"/>
        <v>133.33333333333334</v>
      </c>
      <c r="L48" s="95">
        <v>15</v>
      </c>
      <c r="M48" s="13">
        <f t="shared" si="39"/>
        <v>1931.6666666666654</v>
      </c>
      <c r="N48" s="13">
        <f t="shared" si="3"/>
        <v>128.77777777777769</v>
      </c>
      <c r="O48" s="14">
        <f t="shared" si="4"/>
        <v>0</v>
      </c>
      <c r="P48" s="15">
        <f t="shared" si="5"/>
        <v>-4.5555555555556566</v>
      </c>
      <c r="Q48" s="91">
        <f t="shared" si="6"/>
        <v>0.96583333333333254</v>
      </c>
      <c r="R48" s="177"/>
      <c r="S48" s="21">
        <v>0.70833333333333337</v>
      </c>
      <c r="T48" s="21">
        <v>0.73333333333333339</v>
      </c>
      <c r="U48" s="88" t="str">
        <f t="shared" si="38"/>
        <v/>
      </c>
      <c r="V48" s="30">
        <f t="shared" si="37"/>
        <v>36.000000000000028</v>
      </c>
      <c r="W48" s="16"/>
      <c r="X48" s="16"/>
      <c r="Y48" s="19"/>
      <c r="Z48" s="19"/>
      <c r="AA48" s="168"/>
      <c r="AB48" s="168"/>
      <c r="AC48" s="18"/>
      <c r="AD48" s="18"/>
      <c r="AE48" s="14">
        <f t="shared" si="8"/>
        <v>-68.333333333334622</v>
      </c>
      <c r="AF48" s="91">
        <f t="shared" si="9"/>
        <v>0.96583333333333266</v>
      </c>
      <c r="AG48" s="177"/>
    </row>
    <row r="49" spans="1:33" ht="15.75" customHeight="1">
      <c r="A49" s="181" t="s">
        <v>2244</v>
      </c>
      <c r="B49" s="28" t="s">
        <v>5</v>
      </c>
      <c r="C49" s="93" t="s">
        <v>44</v>
      </c>
      <c r="D49" s="94"/>
      <c r="E49" s="28">
        <v>55.56</v>
      </c>
      <c r="F49" s="29">
        <v>1566</v>
      </c>
      <c r="G49" s="88">
        <f t="shared" si="35"/>
        <v>87006.96</v>
      </c>
      <c r="H49" s="30" t="s">
        <v>53</v>
      </c>
      <c r="I49" s="95">
        <v>17</v>
      </c>
      <c r="J49" s="13">
        <v>2000</v>
      </c>
      <c r="K49" s="12">
        <f t="shared" si="1"/>
        <v>117.64705882352941</v>
      </c>
      <c r="L49" s="95">
        <v>17</v>
      </c>
      <c r="M49" s="13">
        <f t="shared" si="39"/>
        <v>1917.5510204081638</v>
      </c>
      <c r="N49" s="13">
        <f t="shared" si="3"/>
        <v>112.79711884753905</v>
      </c>
      <c r="O49" s="14">
        <f t="shared" si="4"/>
        <v>0</v>
      </c>
      <c r="P49" s="15">
        <f t="shared" si="5"/>
        <v>-4.8499399759903525</v>
      </c>
      <c r="Q49" s="91">
        <f t="shared" si="6"/>
        <v>0.95877551020408203</v>
      </c>
      <c r="R49" s="177"/>
      <c r="S49" s="21">
        <v>0.7368055555555556</v>
      </c>
      <c r="T49" s="21">
        <v>0.77083333333333337</v>
      </c>
      <c r="U49" s="88">
        <f t="shared" si="38"/>
        <v>4.9999999999999822</v>
      </c>
      <c r="V49" s="30">
        <f t="shared" si="37"/>
        <v>48.999999999999986</v>
      </c>
      <c r="W49" s="16"/>
      <c r="X49" s="16"/>
      <c r="Y49" s="19"/>
      <c r="Z49" s="19"/>
      <c r="AA49" s="168"/>
      <c r="AB49" s="168"/>
      <c r="AC49" s="18"/>
      <c r="AD49" s="18"/>
      <c r="AE49" s="14">
        <f t="shared" si="8"/>
        <v>-82.448979591836178</v>
      </c>
      <c r="AF49" s="91">
        <f t="shared" si="9"/>
        <v>0.95877551020408192</v>
      </c>
      <c r="AG49" s="177"/>
    </row>
    <row r="50" spans="1:33" ht="15.75" customHeight="1">
      <c r="A50" s="181" t="s">
        <v>2244</v>
      </c>
      <c r="B50" s="28" t="s">
        <v>5</v>
      </c>
      <c r="C50" s="170" t="s">
        <v>43</v>
      </c>
      <c r="D50" s="171"/>
      <c r="E50" s="28">
        <v>54.29</v>
      </c>
      <c r="F50" s="29">
        <v>767</v>
      </c>
      <c r="G50" s="88">
        <f t="shared" si="35"/>
        <v>41640.43</v>
      </c>
      <c r="H50" s="30" t="s">
        <v>53</v>
      </c>
      <c r="I50" s="95">
        <v>20</v>
      </c>
      <c r="J50" s="13">
        <v>2000</v>
      </c>
      <c r="K50" s="12">
        <f t="shared" si="1"/>
        <v>100</v>
      </c>
      <c r="L50" s="95">
        <v>20</v>
      </c>
      <c r="M50" s="13">
        <f t="shared" si="39"/>
        <v>1917.4999999999939</v>
      </c>
      <c r="N50" s="13">
        <f t="shared" si="3"/>
        <v>95.874999999999687</v>
      </c>
      <c r="O50" s="14">
        <f t="shared" si="4"/>
        <v>0</v>
      </c>
      <c r="P50" s="15">
        <f t="shared" si="5"/>
        <v>-4.1250000000003126</v>
      </c>
      <c r="Q50" s="91">
        <f t="shared" si="6"/>
        <v>0.95874999999999688</v>
      </c>
      <c r="R50" s="177"/>
      <c r="S50" s="21">
        <v>0.77569444444444446</v>
      </c>
      <c r="T50" s="21">
        <v>0.79236111111111118</v>
      </c>
      <c r="U50" s="88">
        <f t="shared" si="38"/>
        <v>6.9999999999999751</v>
      </c>
      <c r="V50" s="30">
        <f t="shared" si="37"/>
        <v>24.000000000000075</v>
      </c>
      <c r="W50" s="16"/>
      <c r="X50" s="16"/>
      <c r="Y50" s="19"/>
      <c r="Z50" s="19"/>
      <c r="AA50" s="172"/>
      <c r="AB50" s="173"/>
      <c r="AC50" s="18"/>
      <c r="AD50" s="18"/>
      <c r="AE50" s="14">
        <f t="shared" si="8"/>
        <v>-82.500000000006139</v>
      </c>
      <c r="AF50" s="91">
        <f t="shared" si="9"/>
        <v>0.95874999999999688</v>
      </c>
      <c r="AG50" s="177"/>
    </row>
    <row r="51" spans="1:33">
      <c r="A51" s="182" t="s">
        <v>2244</v>
      </c>
      <c r="B51" s="28" t="s">
        <v>2238</v>
      </c>
      <c r="C51" s="178"/>
      <c r="D51" s="178"/>
      <c r="E51" s="92"/>
      <c r="F51" s="12"/>
      <c r="G51" s="12"/>
      <c r="H51" s="88"/>
      <c r="I51" s="23">
        <v>19.333333333333332</v>
      </c>
      <c r="J51" s="13">
        <v>2000</v>
      </c>
      <c r="K51" s="12">
        <f t="shared" si="1"/>
        <v>103.44827586206897</v>
      </c>
      <c r="L51" s="23">
        <v>19.333333333333332</v>
      </c>
      <c r="M51" s="13">
        <f>AVERAGE(M45:M50)</f>
        <v>1926.8926723004536</v>
      </c>
      <c r="N51" s="12">
        <f t="shared" si="3"/>
        <v>99.666862360368299</v>
      </c>
      <c r="O51" s="14">
        <f t="shared" si="4"/>
        <v>0</v>
      </c>
      <c r="P51" s="15">
        <f t="shared" si="5"/>
        <v>-3.7814135017006691</v>
      </c>
      <c r="Q51" s="91">
        <f t="shared" si="6"/>
        <v>0.9634463361502269</v>
      </c>
      <c r="R51" s="177"/>
      <c r="S51" s="21"/>
      <c r="T51" s="21"/>
      <c r="U51" s="88"/>
      <c r="V51" s="30"/>
      <c r="W51" s="12"/>
      <c r="X51" s="12"/>
      <c r="Y51" s="24">
        <f>SUM(Y45:Y50)</f>
        <v>0</v>
      </c>
      <c r="Z51" s="24">
        <f>SUM(Z45:Z50)</f>
        <v>0</v>
      </c>
      <c r="AA51" s="167"/>
      <c r="AB51" s="167"/>
      <c r="AC51" s="24">
        <f>SUM(AC45:AC50)</f>
        <v>6</v>
      </c>
      <c r="AD51" s="24">
        <f>SUM(AD45:AD50)</f>
        <v>0</v>
      </c>
      <c r="AE51" s="14">
        <f>M51-J51</f>
        <v>-73.107327699546431</v>
      </c>
      <c r="AF51" s="91">
        <f t="shared" si="9"/>
        <v>0.96344633615022679</v>
      </c>
      <c r="AG51" s="177"/>
    </row>
    <row r="52" spans="1:33" ht="15.75" customHeight="1">
      <c r="A52" s="179" t="s">
        <v>2245</v>
      </c>
      <c r="B52" s="88" t="s">
        <v>33</v>
      </c>
      <c r="C52" s="169" t="s">
        <v>46</v>
      </c>
      <c r="D52" s="169"/>
      <c r="E52" s="28">
        <v>37.85</v>
      </c>
      <c r="F52" s="29">
        <v>1066</v>
      </c>
      <c r="G52" s="88">
        <f t="shared" ref="G52:G58" si="40">E52*F52</f>
        <v>40348.1</v>
      </c>
      <c r="H52" s="30" t="s">
        <v>53</v>
      </c>
      <c r="I52" s="95">
        <v>12</v>
      </c>
      <c r="J52" s="13">
        <v>2000</v>
      </c>
      <c r="K52" s="12">
        <f t="shared" si="1"/>
        <v>166.66666666666666</v>
      </c>
      <c r="L52" s="95">
        <v>12</v>
      </c>
      <c r="M52" s="13">
        <f t="shared" ref="M52:M58" si="41">F52/V52*60</f>
        <v>1938.1818181818182</v>
      </c>
      <c r="N52" s="12">
        <f t="shared" si="3"/>
        <v>161.51515151515153</v>
      </c>
      <c r="O52" s="14">
        <f t="shared" si="4"/>
        <v>0</v>
      </c>
      <c r="P52" s="15">
        <f t="shared" si="5"/>
        <v>-5.1515151515151274</v>
      </c>
      <c r="Q52" s="91">
        <f t="shared" si="6"/>
        <v>0.96909090909090922</v>
      </c>
      <c r="R52" s="177">
        <f>Q59</f>
        <v>0.96598087216071338</v>
      </c>
      <c r="S52" s="21">
        <v>0.20833333333333334</v>
      </c>
      <c r="T52" s="21">
        <v>0.23125000000000001</v>
      </c>
      <c r="U52" s="88"/>
      <c r="V52" s="30">
        <f t="shared" ref="V52:V58" si="42">(T52-S52)*24*60</f>
        <v>33</v>
      </c>
      <c r="W52" s="21"/>
      <c r="X52" s="21"/>
      <c r="Y52" s="21"/>
      <c r="Z52" s="21"/>
      <c r="AA52" s="168"/>
      <c r="AB52" s="168"/>
      <c r="AC52" s="18">
        <v>7</v>
      </c>
      <c r="AD52" s="18"/>
      <c r="AE52" s="14">
        <f t="shared" ref="AE52:AE66" si="43">M52-J52</f>
        <v>-61.818181818181756</v>
      </c>
      <c r="AF52" s="91">
        <f t="shared" si="9"/>
        <v>0.96909090909090911</v>
      </c>
      <c r="AG52" s="177">
        <f>AF59</f>
        <v>0.96598087216071349</v>
      </c>
    </row>
    <row r="53" spans="1:33" ht="15.75" customHeight="1">
      <c r="A53" s="179" t="s">
        <v>2245</v>
      </c>
      <c r="B53" s="88" t="s">
        <v>33</v>
      </c>
      <c r="C53" s="169" t="s">
        <v>47</v>
      </c>
      <c r="D53" s="169"/>
      <c r="E53" s="28">
        <v>34.36</v>
      </c>
      <c r="F53" s="29">
        <v>1969</v>
      </c>
      <c r="G53" s="88">
        <f t="shared" si="40"/>
        <v>67654.84</v>
      </c>
      <c r="H53" s="30" t="s">
        <v>53</v>
      </c>
      <c r="I53" s="95">
        <v>10</v>
      </c>
      <c r="J53" s="13">
        <v>3000</v>
      </c>
      <c r="K53" s="12">
        <f t="shared" si="1"/>
        <v>300</v>
      </c>
      <c r="L53" s="95">
        <v>10</v>
      </c>
      <c r="M53" s="13">
        <f t="shared" si="41"/>
        <v>2881.4634146341486</v>
      </c>
      <c r="N53" s="12">
        <f t="shared" si="3"/>
        <v>288.14634146341484</v>
      </c>
      <c r="O53" s="14">
        <f t="shared" si="4"/>
        <v>0</v>
      </c>
      <c r="P53" s="15">
        <f t="shared" si="5"/>
        <v>-11.853658536585158</v>
      </c>
      <c r="Q53" s="91">
        <f t="shared" si="6"/>
        <v>0.96048780487804952</v>
      </c>
      <c r="R53" s="177"/>
      <c r="S53" s="21">
        <v>0.23680555555555557</v>
      </c>
      <c r="T53" s="21">
        <v>0.26527777777777778</v>
      </c>
      <c r="U53" s="88">
        <f t="shared" ref="U53:U58" si="44">(S53-T52)*24*60</f>
        <v>8.0000000000000107</v>
      </c>
      <c r="V53" s="30">
        <f t="shared" si="42"/>
        <v>40.999999999999972</v>
      </c>
      <c r="W53" s="88"/>
      <c r="X53" s="88"/>
      <c r="Y53" s="88"/>
      <c r="Z53" s="88"/>
      <c r="AA53" s="168"/>
      <c r="AB53" s="168"/>
      <c r="AC53" s="18"/>
      <c r="AD53" s="18"/>
      <c r="AE53" s="14">
        <f t="shared" si="43"/>
        <v>-118.53658536585135</v>
      </c>
      <c r="AF53" s="91">
        <f t="shared" si="9"/>
        <v>0.96048780487804952</v>
      </c>
      <c r="AG53" s="177"/>
    </row>
    <row r="54" spans="1:33" ht="15.75" customHeight="1">
      <c r="A54" s="179" t="s">
        <v>2245</v>
      </c>
      <c r="B54" s="88" t="s">
        <v>33</v>
      </c>
      <c r="C54" s="169" t="s">
        <v>34</v>
      </c>
      <c r="D54" s="169"/>
      <c r="E54" s="28">
        <v>34.36</v>
      </c>
      <c r="F54" s="29">
        <v>1269</v>
      </c>
      <c r="G54" s="88">
        <f t="shared" si="40"/>
        <v>43602.84</v>
      </c>
      <c r="H54" s="30" t="s">
        <v>53</v>
      </c>
      <c r="I54" s="95">
        <v>10</v>
      </c>
      <c r="J54" s="13">
        <v>3000</v>
      </c>
      <c r="K54" s="12">
        <f t="shared" si="1"/>
        <v>300</v>
      </c>
      <c r="L54" s="95">
        <v>10</v>
      </c>
      <c r="M54" s="13">
        <f t="shared" si="41"/>
        <v>2928.4615384615399</v>
      </c>
      <c r="N54" s="12">
        <f t="shared" si="3"/>
        <v>292.84615384615398</v>
      </c>
      <c r="O54" s="14">
        <f t="shared" si="4"/>
        <v>0</v>
      </c>
      <c r="P54" s="15">
        <f t="shared" si="5"/>
        <v>-7.1538461538460183</v>
      </c>
      <c r="Q54" s="91">
        <f t="shared" si="6"/>
        <v>0.97615384615384659</v>
      </c>
      <c r="R54" s="177"/>
      <c r="S54" s="21">
        <v>0.26944444444444443</v>
      </c>
      <c r="T54" s="21">
        <v>0.28749999999999998</v>
      </c>
      <c r="U54" s="88">
        <f t="shared" si="44"/>
        <v>5.9999999999999787</v>
      </c>
      <c r="V54" s="30">
        <f t="shared" si="42"/>
        <v>25.999999999999986</v>
      </c>
      <c r="W54" s="88"/>
      <c r="X54" s="88"/>
      <c r="Y54" s="88"/>
      <c r="Z54" s="88"/>
      <c r="AA54" s="168"/>
      <c r="AB54" s="168"/>
      <c r="AC54" s="18"/>
      <c r="AD54" s="18"/>
      <c r="AE54" s="14">
        <f t="shared" si="43"/>
        <v>-71.538461538460069</v>
      </c>
      <c r="AF54" s="91">
        <f t="shared" si="9"/>
        <v>0.97615384615384659</v>
      </c>
      <c r="AG54" s="177"/>
    </row>
    <row r="55" spans="1:33" ht="15.75" customHeight="1">
      <c r="A55" s="179" t="s">
        <v>2245</v>
      </c>
      <c r="B55" s="88" t="s">
        <v>33</v>
      </c>
      <c r="C55" s="169" t="s">
        <v>35</v>
      </c>
      <c r="D55" s="169"/>
      <c r="E55" s="28">
        <v>26.78</v>
      </c>
      <c r="F55" s="29">
        <v>2214</v>
      </c>
      <c r="G55" s="88">
        <f t="shared" si="40"/>
        <v>59290.920000000006</v>
      </c>
      <c r="H55" s="30" t="s">
        <v>53</v>
      </c>
      <c r="I55" s="95">
        <v>10</v>
      </c>
      <c r="J55" s="13">
        <v>3000</v>
      </c>
      <c r="K55" s="12">
        <f t="shared" si="1"/>
        <v>300</v>
      </c>
      <c r="L55" s="95">
        <v>10</v>
      </c>
      <c r="M55" s="13">
        <f t="shared" si="41"/>
        <v>2887.8260869565215</v>
      </c>
      <c r="N55" s="12">
        <f t="shared" si="3"/>
        <v>288.78260869565213</v>
      </c>
      <c r="O55" s="14">
        <f t="shared" si="4"/>
        <v>0</v>
      </c>
      <c r="P55" s="15">
        <f t="shared" si="5"/>
        <v>-11.217391304347871</v>
      </c>
      <c r="Q55" s="91">
        <f t="shared" si="6"/>
        <v>0.96260869565217377</v>
      </c>
      <c r="R55" s="177"/>
      <c r="S55" s="21">
        <v>0.29305555555555551</v>
      </c>
      <c r="T55" s="21">
        <v>0.32499999999999996</v>
      </c>
      <c r="U55" s="88">
        <f t="shared" si="44"/>
        <v>7.9999999999999716</v>
      </c>
      <c r="V55" s="30">
        <f t="shared" si="42"/>
        <v>46</v>
      </c>
      <c r="W55" s="88"/>
      <c r="X55" s="88"/>
      <c r="Y55" s="88"/>
      <c r="Z55" s="88"/>
      <c r="AA55" s="168"/>
      <c r="AB55" s="168"/>
      <c r="AC55" s="18"/>
      <c r="AD55" s="18"/>
      <c r="AE55" s="14">
        <f t="shared" si="43"/>
        <v>-112.17391304347848</v>
      </c>
      <c r="AF55" s="91">
        <f t="shared" si="9"/>
        <v>0.96260869565217388</v>
      </c>
      <c r="AG55" s="177"/>
    </row>
    <row r="56" spans="1:33">
      <c r="A56" s="180" t="s">
        <v>2245</v>
      </c>
      <c r="B56" s="88" t="s">
        <v>33</v>
      </c>
      <c r="C56" s="169" t="s">
        <v>71</v>
      </c>
      <c r="D56" s="169"/>
      <c r="E56" s="28">
        <v>28.3</v>
      </c>
      <c r="F56" s="29">
        <v>1226</v>
      </c>
      <c r="G56" s="88">
        <f t="shared" si="40"/>
        <v>34695.800000000003</v>
      </c>
      <c r="H56" s="30" t="s">
        <v>53</v>
      </c>
      <c r="I56" s="95">
        <v>8</v>
      </c>
      <c r="J56" s="13">
        <v>3000</v>
      </c>
      <c r="K56" s="12">
        <f t="shared" si="1"/>
        <v>375</v>
      </c>
      <c r="L56" s="95">
        <v>8</v>
      </c>
      <c r="M56" s="13">
        <f t="shared" si="41"/>
        <v>2942.400000000001</v>
      </c>
      <c r="N56" s="12">
        <f t="shared" si="3"/>
        <v>367.80000000000013</v>
      </c>
      <c r="O56" s="14">
        <f t="shared" si="4"/>
        <v>0</v>
      </c>
      <c r="P56" s="15">
        <f t="shared" si="5"/>
        <v>-7.1999999999998749</v>
      </c>
      <c r="Q56" s="91">
        <f t="shared" si="6"/>
        <v>0.98080000000000034</v>
      </c>
      <c r="R56" s="177"/>
      <c r="S56" s="21">
        <v>0.32986111111111105</v>
      </c>
      <c r="T56" s="21">
        <v>0.34722222222222215</v>
      </c>
      <c r="U56" s="88">
        <f t="shared" si="44"/>
        <v>6.9999999999999751</v>
      </c>
      <c r="V56" s="30">
        <f t="shared" si="42"/>
        <v>24.999999999999993</v>
      </c>
      <c r="W56" s="16"/>
      <c r="X56" s="16"/>
      <c r="Y56" s="16"/>
      <c r="Z56" s="16"/>
      <c r="AA56" s="168"/>
      <c r="AB56" s="168"/>
      <c r="AC56" s="18"/>
      <c r="AD56" s="18"/>
      <c r="AE56" s="14">
        <f t="shared" si="43"/>
        <v>-57.599999999999</v>
      </c>
      <c r="AF56" s="91">
        <f t="shared" si="9"/>
        <v>0.98080000000000034</v>
      </c>
      <c r="AG56" s="177"/>
    </row>
    <row r="57" spans="1:33" ht="15" customHeight="1">
      <c r="A57" s="180" t="s">
        <v>2245</v>
      </c>
      <c r="B57" s="88" t="s">
        <v>33</v>
      </c>
      <c r="C57" s="170" t="s">
        <v>756</v>
      </c>
      <c r="D57" s="171"/>
      <c r="E57" s="28">
        <v>37.880000000000003</v>
      </c>
      <c r="F57" s="29">
        <v>2097</v>
      </c>
      <c r="G57" s="88">
        <f t="shared" si="40"/>
        <v>79434.36</v>
      </c>
      <c r="H57" s="30" t="s">
        <v>53</v>
      </c>
      <c r="I57" s="95">
        <v>10</v>
      </c>
      <c r="J57" s="13">
        <v>3000</v>
      </c>
      <c r="K57" s="12">
        <f t="shared" si="1"/>
        <v>300</v>
      </c>
      <c r="L57" s="95">
        <v>10</v>
      </c>
      <c r="M57" s="13">
        <f t="shared" si="41"/>
        <v>2859.5454545454545</v>
      </c>
      <c r="N57" s="12">
        <f t="shared" si="3"/>
        <v>285.95454545454544</v>
      </c>
      <c r="O57" s="14">
        <f t="shared" si="4"/>
        <v>0</v>
      </c>
      <c r="P57" s="15">
        <f t="shared" si="5"/>
        <v>-14.045454545454561</v>
      </c>
      <c r="Q57" s="91">
        <f t="shared" si="6"/>
        <v>0.95318181818181813</v>
      </c>
      <c r="R57" s="177"/>
      <c r="S57" s="21">
        <v>0.35138888888888881</v>
      </c>
      <c r="T57" s="21">
        <v>0.38194444444444436</v>
      </c>
      <c r="U57" s="88">
        <f t="shared" si="44"/>
        <v>5.9999999999999787</v>
      </c>
      <c r="V57" s="30">
        <f t="shared" si="42"/>
        <v>44</v>
      </c>
      <c r="W57" s="88"/>
      <c r="X57" s="88"/>
      <c r="Y57" s="98"/>
      <c r="Z57" s="98"/>
      <c r="AA57" s="172"/>
      <c r="AB57" s="173"/>
      <c r="AC57" s="18"/>
      <c r="AD57" s="18"/>
      <c r="AE57" s="14">
        <f t="shared" si="43"/>
        <v>-140.4545454545455</v>
      </c>
      <c r="AF57" s="91">
        <f t="shared" si="9"/>
        <v>0.95318181818181813</v>
      </c>
      <c r="AG57" s="177"/>
    </row>
    <row r="58" spans="1:33">
      <c r="A58" s="180" t="s">
        <v>2245</v>
      </c>
      <c r="B58" s="88" t="s">
        <v>33</v>
      </c>
      <c r="C58" s="93" t="s">
        <v>38</v>
      </c>
      <c r="D58" s="94"/>
      <c r="E58" s="28">
        <v>35.869999999999997</v>
      </c>
      <c r="F58" s="29">
        <v>3314</v>
      </c>
      <c r="G58" s="88">
        <f t="shared" si="40"/>
        <v>118873.18</v>
      </c>
      <c r="H58" s="30" t="s">
        <v>53</v>
      </c>
      <c r="I58" s="95">
        <v>9</v>
      </c>
      <c r="J58" s="13">
        <v>3000</v>
      </c>
      <c r="K58" s="12">
        <f t="shared" si="1"/>
        <v>333.33333333333331</v>
      </c>
      <c r="L58" s="95">
        <v>9</v>
      </c>
      <c r="M58" s="13">
        <f t="shared" si="41"/>
        <v>2881.7391304347825</v>
      </c>
      <c r="N58" s="12">
        <f t="shared" si="3"/>
        <v>320.19323671497585</v>
      </c>
      <c r="O58" s="14">
        <f t="shared" si="4"/>
        <v>0</v>
      </c>
      <c r="P58" s="15">
        <f t="shared" si="5"/>
        <v>-13.140096618357461</v>
      </c>
      <c r="Q58" s="91">
        <f t="shared" si="6"/>
        <v>0.9605797101449276</v>
      </c>
      <c r="R58" s="177"/>
      <c r="S58" s="21">
        <v>0.38611111111111102</v>
      </c>
      <c r="T58" s="21">
        <v>0.43402777777777768</v>
      </c>
      <c r="U58" s="88">
        <f t="shared" si="44"/>
        <v>5.9999999999999787</v>
      </c>
      <c r="V58" s="30">
        <f t="shared" si="42"/>
        <v>69</v>
      </c>
      <c r="W58" s="16"/>
      <c r="X58" s="16"/>
      <c r="Y58" s="19"/>
      <c r="Z58" s="19"/>
      <c r="AA58" s="172"/>
      <c r="AB58" s="173"/>
      <c r="AC58" s="18"/>
      <c r="AD58" s="18"/>
      <c r="AE58" s="14">
        <f t="shared" si="43"/>
        <v>-118.26086956521749</v>
      </c>
      <c r="AF58" s="91">
        <f t="shared" si="9"/>
        <v>0.96057971014492749</v>
      </c>
      <c r="AG58" s="177"/>
    </row>
    <row r="59" spans="1:33">
      <c r="A59" s="180" t="s">
        <v>2245</v>
      </c>
      <c r="B59" s="28" t="s">
        <v>2238</v>
      </c>
      <c r="C59" s="178"/>
      <c r="D59" s="178"/>
      <c r="E59" s="92"/>
      <c r="F59" s="12"/>
      <c r="G59" s="12"/>
      <c r="H59" s="88"/>
      <c r="I59" s="23">
        <v>9.8571428571428577</v>
      </c>
      <c r="J59" s="13">
        <v>2857.1428571428573</v>
      </c>
      <c r="K59" s="12">
        <f t="shared" si="1"/>
        <v>289.85507246376812</v>
      </c>
      <c r="L59" s="23">
        <v>9.8571428571428577</v>
      </c>
      <c r="M59" s="13">
        <f>AVERAGE(M52:M58)</f>
        <v>2759.94534903061</v>
      </c>
      <c r="N59" s="12">
        <f t="shared" si="3"/>
        <v>279.99445569875752</v>
      </c>
      <c r="O59" s="14">
        <f t="shared" si="4"/>
        <v>0</v>
      </c>
      <c r="P59" s="15">
        <f t="shared" si="5"/>
        <v>-9.8606167650106045</v>
      </c>
      <c r="Q59" s="91">
        <f t="shared" si="6"/>
        <v>0.96598087216071338</v>
      </c>
      <c r="R59" s="177"/>
      <c r="S59" s="21"/>
      <c r="T59" s="21"/>
      <c r="U59" s="12"/>
      <c r="V59" s="30"/>
      <c r="W59" s="12"/>
      <c r="X59" s="12"/>
      <c r="Y59" s="24">
        <f>SUM(Y52:Y58)</f>
        <v>0</v>
      </c>
      <c r="Z59" s="24">
        <f>SUM(Z52:Z58)</f>
        <v>0</v>
      </c>
      <c r="AA59" s="167"/>
      <c r="AB59" s="167"/>
      <c r="AC59" s="24">
        <f>SUM(AC52:AC58)</f>
        <v>7</v>
      </c>
      <c r="AD59" s="24">
        <f>SUM(AD52:AD58)</f>
        <v>0</v>
      </c>
      <c r="AE59" s="14">
        <f t="shared" si="43"/>
        <v>-97.197508112247306</v>
      </c>
      <c r="AF59" s="91">
        <f t="shared" si="9"/>
        <v>0.96598087216071349</v>
      </c>
      <c r="AG59" s="177"/>
    </row>
    <row r="60" spans="1:33" ht="15.75" customHeight="1">
      <c r="A60" s="174" t="s">
        <v>2246</v>
      </c>
      <c r="B60" s="88" t="s">
        <v>22</v>
      </c>
      <c r="C60" s="169" t="s">
        <v>29</v>
      </c>
      <c r="D60" s="169"/>
      <c r="E60" s="28">
        <v>20.52</v>
      </c>
      <c r="F60" s="88">
        <v>3791</v>
      </c>
      <c r="G60" s="88">
        <f t="shared" ref="G60:G65" si="45">E60*F60</f>
        <v>77791.319999999992</v>
      </c>
      <c r="H60" s="30" t="s">
        <v>53</v>
      </c>
      <c r="I60" s="95">
        <v>18</v>
      </c>
      <c r="J60" s="13">
        <v>2400</v>
      </c>
      <c r="K60" s="12">
        <f t="shared" si="1"/>
        <v>133.33333333333334</v>
      </c>
      <c r="L60" s="95">
        <v>18</v>
      </c>
      <c r="M60" s="13">
        <f t="shared" ref="M60:M65" si="46">F60/V60*60</f>
        <v>2297.5757575757575</v>
      </c>
      <c r="N60" s="12">
        <f t="shared" si="3"/>
        <v>127.64309764309763</v>
      </c>
      <c r="O60" s="14">
        <f t="shared" si="4"/>
        <v>0</v>
      </c>
      <c r="P60" s="15">
        <f t="shared" si="5"/>
        <v>-5.6902356902357099</v>
      </c>
      <c r="Q60" s="91">
        <f t="shared" si="6"/>
        <v>0.95732323232323213</v>
      </c>
      <c r="R60" s="177">
        <f>Q66</f>
        <v>0.95475015792082141</v>
      </c>
      <c r="S60" s="21">
        <v>8.3333333333333329E-2</v>
      </c>
      <c r="T60" s="21">
        <v>0.15208333333333332</v>
      </c>
      <c r="U60" s="21"/>
      <c r="V60" s="30">
        <f t="shared" ref="V60:V65" si="47">(T60-S60)*24*60</f>
        <v>99</v>
      </c>
      <c r="W60" s="16">
        <f>T60</f>
        <v>0.15208333333333332</v>
      </c>
      <c r="X60" s="16">
        <f>S61</f>
        <v>0.17083333333333331</v>
      </c>
      <c r="Y60" s="16"/>
      <c r="Z60" s="16"/>
      <c r="AA60" s="168"/>
      <c r="AB60" s="168"/>
      <c r="AC60" s="18">
        <v>6</v>
      </c>
      <c r="AD60" s="18"/>
      <c r="AE60" s="14">
        <f t="shared" si="43"/>
        <v>-102.42424242424249</v>
      </c>
      <c r="AF60" s="91">
        <f t="shared" si="9"/>
        <v>0.95732323232323224</v>
      </c>
      <c r="AG60" s="177">
        <f>AF66</f>
        <v>0.95475015792082141</v>
      </c>
    </row>
    <row r="61" spans="1:33" ht="15.75" customHeight="1">
      <c r="A61" s="175" t="s">
        <v>2246</v>
      </c>
      <c r="B61" s="88" t="s">
        <v>22</v>
      </c>
      <c r="C61" s="169" t="s">
        <v>50</v>
      </c>
      <c r="D61" s="169"/>
      <c r="E61" s="28">
        <v>24.45</v>
      </c>
      <c r="F61" s="88">
        <v>2971</v>
      </c>
      <c r="G61" s="88">
        <f t="shared" si="45"/>
        <v>72640.95</v>
      </c>
      <c r="H61" s="30" t="s">
        <v>53</v>
      </c>
      <c r="I61" s="95">
        <v>19</v>
      </c>
      <c r="J61" s="13">
        <v>2400</v>
      </c>
      <c r="K61" s="12">
        <f t="shared" si="1"/>
        <v>126.31578947368421</v>
      </c>
      <c r="L61" s="95">
        <v>19</v>
      </c>
      <c r="M61" s="13">
        <f t="shared" si="46"/>
        <v>2285.3846153846152</v>
      </c>
      <c r="N61" s="12">
        <f t="shared" si="3"/>
        <v>120.2834008097166</v>
      </c>
      <c r="O61" s="14">
        <f t="shared" si="4"/>
        <v>0</v>
      </c>
      <c r="P61" s="15">
        <f t="shared" si="5"/>
        <v>-6.032388663967609</v>
      </c>
      <c r="Q61" s="91">
        <f t="shared" si="6"/>
        <v>0.9522435897435898</v>
      </c>
      <c r="R61" s="177"/>
      <c r="S61" s="21">
        <v>0.17083333333333331</v>
      </c>
      <c r="T61" s="21">
        <v>0.22499999999999998</v>
      </c>
      <c r="U61" s="88">
        <f t="shared" ref="U61:U65" si="48">(S61-T60)*24*60</f>
        <v>26.999999999999986</v>
      </c>
      <c r="V61" s="30">
        <f t="shared" si="47"/>
        <v>78</v>
      </c>
      <c r="W61" s="16"/>
      <c r="X61" s="16"/>
      <c r="Y61" s="16"/>
      <c r="Z61" s="16"/>
      <c r="AA61" s="168"/>
      <c r="AB61" s="168"/>
      <c r="AC61" s="18"/>
      <c r="AD61" s="18"/>
      <c r="AE61" s="14">
        <f t="shared" si="43"/>
        <v>-114.61538461538476</v>
      </c>
      <c r="AF61" s="91">
        <f t="shared" si="9"/>
        <v>0.95224358974358969</v>
      </c>
      <c r="AG61" s="177"/>
    </row>
    <row r="62" spans="1:33" ht="15.75" customHeight="1">
      <c r="A62" s="175" t="s">
        <v>2246</v>
      </c>
      <c r="B62" s="88" t="s">
        <v>22</v>
      </c>
      <c r="C62" s="169" t="s">
        <v>31</v>
      </c>
      <c r="D62" s="169"/>
      <c r="E62" s="28">
        <v>20.21</v>
      </c>
      <c r="F62" s="88">
        <v>2993</v>
      </c>
      <c r="G62" s="88">
        <f t="shared" si="45"/>
        <v>60488.530000000006</v>
      </c>
      <c r="H62" s="30" t="s">
        <v>53</v>
      </c>
      <c r="I62" s="95">
        <v>15</v>
      </c>
      <c r="J62" s="13">
        <v>2400</v>
      </c>
      <c r="K62" s="12">
        <f t="shared" si="1"/>
        <v>160</v>
      </c>
      <c r="L62" s="95">
        <v>15</v>
      </c>
      <c r="M62" s="13">
        <f t="shared" si="46"/>
        <v>2302.3076923076919</v>
      </c>
      <c r="N62" s="12">
        <f t="shared" si="3"/>
        <v>153.48717948717947</v>
      </c>
      <c r="O62" s="14">
        <f t="shared" si="4"/>
        <v>0</v>
      </c>
      <c r="P62" s="15">
        <f t="shared" si="5"/>
        <v>-6.5128205128205252</v>
      </c>
      <c r="Q62" s="91">
        <f t="shared" si="6"/>
        <v>0.95929487179487172</v>
      </c>
      <c r="R62" s="177"/>
      <c r="S62" s="21">
        <v>0.23055555555555554</v>
      </c>
      <c r="T62" s="21">
        <v>0.28472222222222221</v>
      </c>
      <c r="U62" s="88">
        <f t="shared" si="48"/>
        <v>8.0000000000000107</v>
      </c>
      <c r="V62" s="30">
        <f t="shared" si="47"/>
        <v>78</v>
      </c>
      <c r="W62" s="16"/>
      <c r="X62" s="16"/>
      <c r="Y62" s="16"/>
      <c r="Z62" s="16"/>
      <c r="AA62" s="168"/>
      <c r="AB62" s="168"/>
      <c r="AC62" s="18"/>
      <c r="AD62" s="18"/>
      <c r="AE62" s="14">
        <f t="shared" si="43"/>
        <v>-97.692307692308077</v>
      </c>
      <c r="AF62" s="91">
        <f t="shared" si="9"/>
        <v>0.95929487179487161</v>
      </c>
      <c r="AG62" s="177"/>
    </row>
    <row r="63" spans="1:33" ht="15.75" customHeight="1">
      <c r="A63" s="175" t="s">
        <v>2246</v>
      </c>
      <c r="B63" s="88" t="s">
        <v>22</v>
      </c>
      <c r="C63" s="169" t="s">
        <v>52</v>
      </c>
      <c r="D63" s="169"/>
      <c r="E63" s="28">
        <v>19.02</v>
      </c>
      <c r="F63" s="88">
        <v>6200</v>
      </c>
      <c r="G63" s="88">
        <f t="shared" si="45"/>
        <v>117924</v>
      </c>
      <c r="H63" s="30">
        <v>2</v>
      </c>
      <c r="I63" s="95">
        <v>14</v>
      </c>
      <c r="J63" s="13">
        <v>2400</v>
      </c>
      <c r="K63" s="12">
        <f t="shared" si="1"/>
        <v>171.42857142857142</v>
      </c>
      <c r="L63" s="95">
        <v>14</v>
      </c>
      <c r="M63" s="13">
        <f t="shared" si="46"/>
        <v>2282.2085889570553</v>
      </c>
      <c r="N63" s="12">
        <f t="shared" si="3"/>
        <v>163.01489921121825</v>
      </c>
      <c r="O63" s="14">
        <f t="shared" si="4"/>
        <v>0</v>
      </c>
      <c r="P63" s="15">
        <f t="shared" si="5"/>
        <v>-8.4136722173531666</v>
      </c>
      <c r="Q63" s="91">
        <f t="shared" si="6"/>
        <v>0.95092024539877318</v>
      </c>
      <c r="R63" s="177"/>
      <c r="S63" s="21">
        <v>0.28819444444444442</v>
      </c>
      <c r="T63" s="21">
        <v>0.40138888888888885</v>
      </c>
      <c r="U63" s="88">
        <f t="shared" si="48"/>
        <v>4.9999999999999822</v>
      </c>
      <c r="V63" s="30">
        <f t="shared" si="47"/>
        <v>162.99999999999997</v>
      </c>
      <c r="W63" s="16"/>
      <c r="X63" s="16"/>
      <c r="Y63" s="16"/>
      <c r="Z63" s="16"/>
      <c r="AA63" s="168"/>
      <c r="AB63" s="168"/>
      <c r="AC63" s="18"/>
      <c r="AD63" s="18"/>
      <c r="AE63" s="14">
        <f t="shared" si="43"/>
        <v>-117.79141104294467</v>
      </c>
      <c r="AF63" s="91">
        <f t="shared" si="9"/>
        <v>0.95092024539877307</v>
      </c>
      <c r="AG63" s="177"/>
    </row>
    <row r="64" spans="1:33" ht="15.75" customHeight="1">
      <c r="A64" s="175" t="s">
        <v>2246</v>
      </c>
      <c r="B64" s="88" t="s">
        <v>22</v>
      </c>
      <c r="C64" s="169" t="s">
        <v>70</v>
      </c>
      <c r="D64" s="169"/>
      <c r="E64" s="28">
        <v>22.69</v>
      </c>
      <c r="F64" s="88">
        <v>4616</v>
      </c>
      <c r="G64" s="88">
        <f t="shared" si="45"/>
        <v>104737.04000000001</v>
      </c>
      <c r="H64" s="30" t="s">
        <v>53</v>
      </c>
      <c r="I64" s="95">
        <v>15</v>
      </c>
      <c r="J64" s="13">
        <v>2400</v>
      </c>
      <c r="K64" s="12">
        <f t="shared" si="1"/>
        <v>160</v>
      </c>
      <c r="L64" s="95">
        <v>15</v>
      </c>
      <c r="M64" s="13">
        <f t="shared" si="46"/>
        <v>2288.9256198347111</v>
      </c>
      <c r="N64" s="12">
        <f t="shared" si="3"/>
        <v>152.59504132231407</v>
      </c>
      <c r="O64" s="14">
        <f t="shared" si="4"/>
        <v>0</v>
      </c>
      <c r="P64" s="15">
        <f t="shared" si="5"/>
        <v>-7.4049586776859257</v>
      </c>
      <c r="Q64" s="91">
        <f t="shared" si="6"/>
        <v>0.95371900826446299</v>
      </c>
      <c r="R64" s="177"/>
      <c r="S64" s="21">
        <v>0.40486111111111106</v>
      </c>
      <c r="T64" s="21">
        <v>0.48888888888888882</v>
      </c>
      <c r="U64" s="88">
        <f t="shared" si="48"/>
        <v>4.9999999999999822</v>
      </c>
      <c r="V64" s="30">
        <f t="shared" si="47"/>
        <v>120.99999999999997</v>
      </c>
      <c r="W64" s="16">
        <f>T64</f>
        <v>0.48888888888888882</v>
      </c>
      <c r="X64" s="16">
        <f>S65</f>
        <v>0.52847222222222212</v>
      </c>
      <c r="Y64" s="16"/>
      <c r="Z64" s="16"/>
      <c r="AA64" s="168"/>
      <c r="AB64" s="168"/>
      <c r="AC64" s="18"/>
      <c r="AD64" s="18"/>
      <c r="AE64" s="14">
        <f t="shared" si="43"/>
        <v>-111.07438016528886</v>
      </c>
      <c r="AF64" s="91">
        <f t="shared" si="9"/>
        <v>0.95371900826446299</v>
      </c>
      <c r="AG64" s="177"/>
    </row>
    <row r="65" spans="1:33" ht="15.75" customHeight="1">
      <c r="A65" s="175" t="s">
        <v>2246</v>
      </c>
      <c r="B65" s="88" t="s">
        <v>22</v>
      </c>
      <c r="C65" s="169" t="s">
        <v>52</v>
      </c>
      <c r="D65" s="169"/>
      <c r="E65" s="28">
        <v>19.02</v>
      </c>
      <c r="F65" s="88">
        <v>2674</v>
      </c>
      <c r="G65" s="88">
        <f t="shared" si="45"/>
        <v>50859.479999999996</v>
      </c>
      <c r="H65" s="30" t="s">
        <v>53</v>
      </c>
      <c r="I65" s="95">
        <v>14</v>
      </c>
      <c r="J65" s="13">
        <v>2400</v>
      </c>
      <c r="K65" s="12">
        <f t="shared" si="1"/>
        <v>171.42857142857142</v>
      </c>
      <c r="L65" s="95">
        <v>14</v>
      </c>
      <c r="M65" s="13">
        <f t="shared" si="46"/>
        <v>2291.9999999999977</v>
      </c>
      <c r="N65" s="12">
        <f t="shared" si="3"/>
        <v>163.71428571428555</v>
      </c>
      <c r="O65" s="14">
        <f t="shared" si="4"/>
        <v>0</v>
      </c>
      <c r="P65" s="15">
        <f t="shared" si="5"/>
        <v>-7.7142857142858645</v>
      </c>
      <c r="Q65" s="91">
        <f t="shared" si="6"/>
        <v>0.95499999999999907</v>
      </c>
      <c r="R65" s="177"/>
      <c r="S65" s="21">
        <v>0.52847222222222212</v>
      </c>
      <c r="T65" s="21">
        <v>0.57708333333333328</v>
      </c>
      <c r="U65" s="88">
        <f t="shared" si="48"/>
        <v>56.999999999999957</v>
      </c>
      <c r="V65" s="30">
        <f t="shared" si="47"/>
        <v>70.000000000000071</v>
      </c>
      <c r="W65" s="16"/>
      <c r="X65" s="16"/>
      <c r="Y65" s="16"/>
      <c r="Z65" s="16"/>
      <c r="AA65" s="168"/>
      <c r="AB65" s="168"/>
      <c r="AC65" s="18"/>
      <c r="AD65" s="18"/>
      <c r="AE65" s="14">
        <f t="shared" si="43"/>
        <v>-108.00000000000227</v>
      </c>
      <c r="AF65" s="91">
        <f t="shared" si="9"/>
        <v>0.95499999999999907</v>
      </c>
      <c r="AG65" s="177"/>
    </row>
    <row r="66" spans="1:33" ht="16.5" customHeight="1">
      <c r="A66" s="176" t="s">
        <v>2246</v>
      </c>
      <c r="B66" s="28" t="s">
        <v>2238</v>
      </c>
      <c r="C66" s="165"/>
      <c r="D66" s="166"/>
      <c r="E66" s="92"/>
      <c r="F66" s="12"/>
      <c r="G66" s="12"/>
      <c r="H66" s="88"/>
      <c r="I66" s="23">
        <v>15.833333333333334</v>
      </c>
      <c r="J66" s="13">
        <v>2400</v>
      </c>
      <c r="K66" s="12">
        <f t="shared" si="1"/>
        <v>151.57894736842104</v>
      </c>
      <c r="L66" s="23">
        <v>15.833333333333334</v>
      </c>
      <c r="M66" s="13">
        <f>AVERAGE(M60:M65)</f>
        <v>2291.4003790099714</v>
      </c>
      <c r="N66" s="12">
        <f t="shared" si="3"/>
        <v>144.72002393747186</v>
      </c>
      <c r="O66" s="14">
        <f t="shared" si="4"/>
        <v>0</v>
      </c>
      <c r="P66" s="15">
        <f t="shared" si="5"/>
        <v>-6.8589234309491758</v>
      </c>
      <c r="Q66" s="91">
        <f t="shared" si="6"/>
        <v>0.95475015792082141</v>
      </c>
      <c r="R66" s="177"/>
      <c r="S66" s="21"/>
      <c r="T66" s="21"/>
      <c r="U66" s="12"/>
      <c r="V66" s="30"/>
      <c r="W66" s="12"/>
      <c r="X66" s="12"/>
      <c r="Y66" s="24">
        <f>SUM(Y60:Y65)</f>
        <v>0</v>
      </c>
      <c r="Z66" s="24">
        <f>SUM(Z60:Z65)</f>
        <v>0</v>
      </c>
      <c r="AA66" s="167"/>
      <c r="AB66" s="167"/>
      <c r="AC66" s="24">
        <f>SUM(AC60:AC65)</f>
        <v>6</v>
      </c>
      <c r="AD66" s="24">
        <f>SUM(AD60:AD65)</f>
        <v>0</v>
      </c>
      <c r="AE66" s="14">
        <f t="shared" si="43"/>
        <v>-108.5996209900286</v>
      </c>
      <c r="AF66" s="91">
        <f t="shared" si="9"/>
        <v>0.95475015792082141</v>
      </c>
      <c r="AG66" s="177"/>
    </row>
    <row r="67" spans="1:33">
      <c r="D67" s="87"/>
      <c r="E67" s="87"/>
    </row>
  </sheetData>
  <mergeCells count="184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A13:AB13"/>
    <mergeCell ref="A14:A18"/>
    <mergeCell ref="C14:D14"/>
    <mergeCell ref="R14:R18"/>
    <mergeCell ref="AA14:AB14"/>
    <mergeCell ref="AG14:AG18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17:D17"/>
    <mergeCell ref="AA17:AB17"/>
    <mergeCell ref="C18:D18"/>
    <mergeCell ref="AA18:AB18"/>
    <mergeCell ref="AG26:AG32"/>
    <mergeCell ref="C27:D27"/>
    <mergeCell ref="AA27:AB27"/>
    <mergeCell ref="C28:D28"/>
    <mergeCell ref="AA28:AB28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C29:D29"/>
    <mergeCell ref="AA29:AB29"/>
    <mergeCell ref="C30:D30"/>
    <mergeCell ref="AA30:AB30"/>
    <mergeCell ref="C31:D31"/>
    <mergeCell ref="AA31:AB31"/>
    <mergeCell ref="AA25:AB25"/>
    <mergeCell ref="A26:A32"/>
    <mergeCell ref="C26:D26"/>
    <mergeCell ref="R26:R32"/>
    <mergeCell ref="AA26:AB26"/>
    <mergeCell ref="C32:D32"/>
    <mergeCell ref="AA32:AB32"/>
    <mergeCell ref="A19:A25"/>
    <mergeCell ref="C19:D19"/>
    <mergeCell ref="R19:R25"/>
    <mergeCell ref="AA19:AB19"/>
    <mergeCell ref="AA24:AB24"/>
    <mergeCell ref="C25:D25"/>
    <mergeCell ref="A33:A39"/>
    <mergeCell ref="C33:D33"/>
    <mergeCell ref="R33:R39"/>
    <mergeCell ref="AA33:AB33"/>
    <mergeCell ref="AA38:AB38"/>
    <mergeCell ref="C39:D39"/>
    <mergeCell ref="AA39:AB39"/>
    <mergeCell ref="AG40:AG44"/>
    <mergeCell ref="C41:D41"/>
    <mergeCell ref="AA41:AB41"/>
    <mergeCell ref="C42:D42"/>
    <mergeCell ref="AA42:AB42"/>
    <mergeCell ref="C43:D43"/>
    <mergeCell ref="AG33:AG39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A43:AB43"/>
    <mergeCell ref="C44:D44"/>
    <mergeCell ref="AA44:AB44"/>
    <mergeCell ref="A45:A51"/>
    <mergeCell ref="C45:D45"/>
    <mergeCell ref="R45:R51"/>
    <mergeCell ref="AA45:AB45"/>
    <mergeCell ref="AA51:AB51"/>
    <mergeCell ref="A40:A44"/>
    <mergeCell ref="C40:D40"/>
    <mergeCell ref="R40:R44"/>
    <mergeCell ref="AA40:AB40"/>
    <mergeCell ref="AG52:AG59"/>
    <mergeCell ref="C53:D53"/>
    <mergeCell ref="AA53:AB53"/>
    <mergeCell ref="C54:D54"/>
    <mergeCell ref="AA54:AB54"/>
    <mergeCell ref="C55:D55"/>
    <mergeCell ref="AG45:AG51"/>
    <mergeCell ref="C46:D46"/>
    <mergeCell ref="AA46:AB46"/>
    <mergeCell ref="C47:D47"/>
    <mergeCell ref="AA47:AB47"/>
    <mergeCell ref="AA48:AB48"/>
    <mergeCell ref="AA49:AB49"/>
    <mergeCell ref="C50:D50"/>
    <mergeCell ref="AA50:AB50"/>
    <mergeCell ref="C51:D51"/>
    <mergeCell ref="AA55:AB55"/>
    <mergeCell ref="C56:D56"/>
    <mergeCell ref="AA56:AB56"/>
    <mergeCell ref="C57:D57"/>
    <mergeCell ref="AA57:AB57"/>
    <mergeCell ref="AA58:AB58"/>
    <mergeCell ref="A52:A59"/>
    <mergeCell ref="C52:D52"/>
    <mergeCell ref="R52:R59"/>
    <mergeCell ref="AA52:AB52"/>
    <mergeCell ref="C59:D59"/>
    <mergeCell ref="AA59:AB59"/>
    <mergeCell ref="A60:A66"/>
    <mergeCell ref="C60:D60"/>
    <mergeCell ref="R60:R66"/>
    <mergeCell ref="AA60:AB60"/>
    <mergeCell ref="AA65:AB65"/>
    <mergeCell ref="C66:D66"/>
    <mergeCell ref="AA66:AB66"/>
    <mergeCell ref="AG60:AG66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</mergeCells>
  <phoneticPr fontId="3" type="noConversion"/>
  <conditionalFormatting sqref="O5:O66">
    <cfRule type="cellIs" dxfId="186" priority="9" operator="greaterThan">
      <formula>0</formula>
    </cfRule>
  </conditionalFormatting>
  <conditionalFormatting sqref="P5:P66">
    <cfRule type="cellIs" dxfId="185" priority="1" operator="lessThan">
      <formula>0</formula>
    </cfRule>
  </conditionalFormatting>
  <conditionalFormatting sqref="Q5:Q66 AF5:AF66">
    <cfRule type="cellIs" dxfId="184" priority="10" operator="greaterThan">
      <formula>1</formula>
    </cfRule>
    <cfRule type="cellIs" dxfId="183" priority="11" operator="lessThan">
      <formula>0.8</formula>
    </cfRule>
  </conditionalFormatting>
  <conditionalFormatting sqref="R5:R10 AG5:AG10">
    <cfRule type="cellIs" dxfId="182" priority="37" operator="lessThan">
      <formula>0.8</formula>
    </cfRule>
  </conditionalFormatting>
  <conditionalFormatting sqref="AE5:AE66">
    <cfRule type="cellIs" dxfId="181" priority="12" operator="lessThan">
      <formula>0</formula>
    </cfRule>
  </conditionalFormatting>
  <conditionalFormatting sqref="AG14:AG55 R14:R66">
    <cfRule type="cellIs" dxfId="180" priority="13" operator="lessThan">
      <formula>0.8</formula>
    </cfRule>
  </conditionalFormatting>
  <dataValidations count="1">
    <dataValidation type="list" allowBlank="1" showInputMessage="1" showErrorMessage="1" sqref="AB9 AA5:AB8 AB56:AB58 AA9:AA58 AB11:AB52 AA59:AB66" xr:uid="{00000000-0002-0000-0F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Q32"/>
  <sheetViews>
    <sheetView zoomScale="85" zoomScaleNormal="85" workbookViewId="0">
      <selection activeCell="I3" sqref="I3:J3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2094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2095</v>
      </c>
      <c r="C3" s="154" t="str">
        <f>TEXT('0422 4度C'!A2,"yyyy.mm.ddaaaa")</f>
        <v>2026.04.22星期三</v>
      </c>
      <c r="D3" s="155"/>
      <c r="E3" s="33" t="s">
        <v>2096</v>
      </c>
      <c r="F3" s="156">
        <f>'0422 4度C'!D1</f>
        <v>151455</v>
      </c>
      <c r="G3" s="157"/>
      <c r="H3" s="33" t="s">
        <v>2097</v>
      </c>
      <c r="I3" s="158">
        <f>'0422 4度C'!F1</f>
        <v>4974654.9899999974</v>
      </c>
      <c r="J3" s="159"/>
      <c r="K3" s="34"/>
      <c r="L3" s="35"/>
      <c r="M3" s="35"/>
      <c r="N3" s="35"/>
    </row>
    <row r="4" spans="2:17" ht="28.5" customHeight="1">
      <c r="B4" s="160" t="s">
        <v>2098</v>
      </c>
      <c r="C4" s="146" t="s">
        <v>2099</v>
      </c>
      <c r="D4" s="147"/>
      <c r="E4" s="163" t="s">
        <v>2100</v>
      </c>
      <c r="F4" s="164"/>
      <c r="G4" s="163" t="s">
        <v>2101</v>
      </c>
      <c r="H4" s="164"/>
      <c r="I4" s="163" t="s">
        <v>2102</v>
      </c>
      <c r="J4" s="164"/>
      <c r="K4" s="144" t="s">
        <v>2103</v>
      </c>
      <c r="L4" s="145"/>
      <c r="M4" s="145" t="s">
        <v>2104</v>
      </c>
      <c r="N4" s="145"/>
    </row>
    <row r="5" spans="2:17" ht="28.5" customHeight="1">
      <c r="B5" s="161"/>
      <c r="C5" s="146" t="s">
        <v>2105</v>
      </c>
      <c r="D5" s="147"/>
      <c r="E5" s="146" t="s">
        <v>2106</v>
      </c>
      <c r="F5" s="147"/>
      <c r="G5" s="148" t="s">
        <v>2107</v>
      </c>
      <c r="H5" s="149"/>
      <c r="I5" s="150" t="s">
        <v>2108</v>
      </c>
      <c r="J5" s="151"/>
      <c r="K5" s="36" t="s">
        <v>2109</v>
      </c>
      <c r="L5" s="37" t="s">
        <v>2110</v>
      </c>
      <c r="M5" s="36" t="s">
        <v>2109</v>
      </c>
      <c r="N5" s="37" t="s">
        <v>2111</v>
      </c>
    </row>
    <row r="6" spans="2:17" ht="28.5" customHeight="1">
      <c r="B6" s="161"/>
      <c r="C6" s="146" t="s">
        <v>54</v>
      </c>
      <c r="D6" s="147"/>
      <c r="E6" s="138">
        <f>AVERAGE(D13:M13)</f>
        <v>156.30575174783564</v>
      </c>
      <c r="F6" s="139">
        <f>AVERAGE(D31:O31,D13:J13)</f>
        <v>162.24884185627826</v>
      </c>
      <c r="G6" s="140">
        <f>AVERAGE(D13:J13)</f>
        <v>162.24884185627826</v>
      </c>
      <c r="H6" s="141"/>
      <c r="I6" s="140">
        <f>AVERAGE(K13:M13)</f>
        <v>142.43854149480282</v>
      </c>
      <c r="J6" s="141"/>
      <c r="K6" s="142">
        <f>'0422 4度C'!Y2</f>
        <v>0</v>
      </c>
      <c r="L6" s="127">
        <f>'0422 4度C'!Z2</f>
        <v>0</v>
      </c>
      <c r="M6" s="143">
        <f>'0422 4度C'!AC2</f>
        <v>53</v>
      </c>
      <c r="N6" s="127">
        <f>'0422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150.07623173665112</v>
      </c>
      <c r="F7" s="131">
        <f>AVERAGE(D32:O32,D14:J14)</f>
        <v>156.00090661940891</v>
      </c>
      <c r="G7" s="132">
        <f>AVERAGE(D14:J14)</f>
        <v>156.00090661940891</v>
      </c>
      <c r="H7" s="133"/>
      <c r="I7" s="132">
        <f>AVERAGE(K14:M14)</f>
        <v>136.25199034354964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0.95889534258690678</v>
      </c>
      <c r="F8" s="135">
        <f>AVERAGE(D15:J15,D33:O33)</f>
        <v>0.95989353225244722</v>
      </c>
      <c r="G8" s="136">
        <f>AVERAGE(D15:J15)</f>
        <v>0.95989353225244722</v>
      </c>
      <c r="H8" s="137"/>
      <c r="I8" s="136">
        <f>AVERAGE(K15:M15)</f>
        <v>0.95656623336731228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2112</v>
      </c>
      <c r="N9" s="35"/>
      <c r="O9" s="35"/>
      <c r="P9" s="35"/>
      <c r="Q9" s="35"/>
    </row>
    <row r="10" spans="2:17" ht="30" customHeight="1">
      <c r="B10" s="110" t="s">
        <v>2113</v>
      </c>
      <c r="C10" s="111"/>
      <c r="D10" s="112" t="s">
        <v>2114</v>
      </c>
      <c r="E10" s="113"/>
      <c r="F10" s="113"/>
      <c r="G10" s="113"/>
      <c r="H10" s="113"/>
      <c r="I10" s="113"/>
      <c r="J10" s="114"/>
      <c r="K10" s="115" t="s">
        <v>2115</v>
      </c>
      <c r="L10" s="116"/>
      <c r="M10" s="117"/>
      <c r="P10" s="41"/>
      <c r="Q10" s="41"/>
    </row>
    <row r="11" spans="2:17" ht="17.25" customHeight="1">
      <c r="B11" s="118" t="s">
        <v>2116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2117</v>
      </c>
      <c r="C13" s="48" t="s">
        <v>2118</v>
      </c>
      <c r="D13" s="49">
        <f>SUMIFS('0422 4度C'!$K:$K,'0422 4度C'!$A:$A,"新豐6線",'0422 4度C'!$B:$B,"平均")</f>
        <v>119.40298507462687</v>
      </c>
      <c r="E13" s="50">
        <f>SUMIFS('0422 4度C'!$K:$K,'0422 4度C'!$A:$A,"新豐2線",'0422 4度C'!$B:$B,"平均")</f>
        <v>84.905660377358487</v>
      </c>
      <c r="F13" s="51">
        <f>SUMIFS('0422 4度C'!$K:$K,'0422 4度C'!$A:$A,"新豐5線",'0422 4度C'!$B:$B,"平均")</f>
        <v>100</v>
      </c>
      <c r="G13" s="51">
        <f>SUMIFS('0422 4度C'!$K:$K,'0422 4度C'!$A:$A,"新豐7線",'0422 4度C'!$B:$B,"平均")</f>
        <v>122.3404255319149</v>
      </c>
      <c r="H13" s="51">
        <f>SUMIFS('0422 4度C'!$K:$K,'0422 4度C'!$A:$A,"新豐3線",'0422 4度C'!$B:$B,"平均")</f>
        <v>315.78947368421052</v>
      </c>
      <c r="I13" s="51">
        <f>SUMIFS('0422 4度C'!$K:$K,'0422 4度C'!$A:$A,"新豐1線",'0422 4度C'!$B:$B,"平均")</f>
        <v>103.44827586206897</v>
      </c>
      <c r="J13" s="52">
        <f>SUMIFS('0422 4度C'!$K:$K,'0422 4度C'!$A:$A,"新豐10線",'0422 4度C'!$B:$B,"平均")</f>
        <v>289.85507246376812</v>
      </c>
      <c r="K13" s="53">
        <f>SUMIFS('0422 4度C'!$K:$K,'0422 4度C'!$A:$A,"新豐8線",'0422 4度C'!$B:$B,"平均")</f>
        <v>130.90909090909091</v>
      </c>
      <c r="L13" s="54">
        <f>SUMIFS('0422 4度C'!$K:$K,'0422 4度C'!$A:$A,"新豐9線",'0422 4度C'!$B:$B,"平均")</f>
        <v>144.82758620689654</v>
      </c>
      <c r="M13" s="52">
        <f>SUMIFS('0422 4度C'!$K:$K,'0422 4度C'!$A:$A,"新豐4線",'0422 4度C'!$B:$B,"平均")</f>
        <v>151.57894736842104</v>
      </c>
    </row>
    <row r="14" spans="2:17" ht="39.6" customHeight="1">
      <c r="B14" s="123"/>
      <c r="C14" s="55" t="s">
        <v>2119</v>
      </c>
      <c r="D14" s="56">
        <f>SUMIFS('0422 4度C'!$N:$N,'0422 4度C'!$A:$A,"新豐6線",'0422 4度C'!$B:$B,"平均")</f>
        <v>114.81569200119297</v>
      </c>
      <c r="E14" s="57">
        <f>SUMIFS('0422 4度C'!$N:$N,'0422 4度C'!$A:$A,"新豐2線",'0422 4度C'!$B:$B,"平均")</f>
        <v>81.105025889105406</v>
      </c>
      <c r="F14" s="57">
        <f>SUMIFS('0422 4度C'!$N:$N,'0422 4度C'!$A:$A,"新豐5線",'0422 4度C'!$B:$B,"平均")</f>
        <v>95.711836734693918</v>
      </c>
      <c r="G14" s="57">
        <f>SUMIFS('0422 4度C'!$N:$N,'0422 4度C'!$A:$A,"新豐7線",'0422 4度C'!$B:$B,"平均")</f>
        <v>117.06131911755381</v>
      </c>
      <c r="H14" s="57">
        <f>SUMIFS('0422 4度C'!$N:$N,'0422 4度C'!$A:$A,"新豐3線",'0422 4度C'!$B:$B,"平均")</f>
        <v>301.89522165141364</v>
      </c>
      <c r="I14" s="57">
        <f>SUMIFS('0422 4度C'!$N:$N,'0422 4度C'!$A:$A,"新豐1線",'0422 4度C'!$B:$B,"平均")</f>
        <v>99.181427151734766</v>
      </c>
      <c r="J14" s="58">
        <f>SUMIFS('0422 4度C'!$N:$N,'0422 4度C'!$A:$A,"新豐10線",'0422 4度C'!$B:$B,"平均")</f>
        <v>282.2358237901679</v>
      </c>
      <c r="K14" s="59">
        <f>SUMIFS('0422 4度C'!$N:$N,'0422 4度C'!$A:$A,"新豐8線",'0422 4度C'!$B:$B,"平均")</f>
        <v>125.2703082504174</v>
      </c>
      <c r="L14" s="60">
        <f>SUMIFS('0422 4度C'!$N:$N,'0422 4度C'!$A:$A,"新豐9線",'0422 4度C'!$B:$B,"平均")</f>
        <v>138.37180221290097</v>
      </c>
      <c r="M14" s="58">
        <f>SUMIFS('0422 4度C'!$N:$N,'0422 4度C'!$A:$A,"新豐4線",'0422 4度C'!$B:$B,"平均")</f>
        <v>145.11386056733051</v>
      </c>
    </row>
    <row r="15" spans="2:17" ht="40.15" customHeight="1">
      <c r="B15" s="124"/>
      <c r="C15" s="61" t="s">
        <v>2120</v>
      </c>
      <c r="D15" s="62">
        <f t="shared" ref="D15:M15" si="0">D14/D13</f>
        <v>0.96158142050999107</v>
      </c>
      <c r="E15" s="63">
        <f t="shared" si="0"/>
        <v>0.95523697158279708</v>
      </c>
      <c r="F15" s="63">
        <f t="shared" si="0"/>
        <v>0.95711836734693923</v>
      </c>
      <c r="G15" s="63">
        <f t="shared" si="0"/>
        <v>0.95684904322174413</v>
      </c>
      <c r="H15" s="63">
        <f t="shared" si="0"/>
        <v>0.95600153522947651</v>
      </c>
      <c r="I15" s="63">
        <f t="shared" si="0"/>
        <v>0.95875379580010267</v>
      </c>
      <c r="J15" s="64">
        <f t="shared" si="0"/>
        <v>0.97371359207607922</v>
      </c>
      <c r="K15" s="62">
        <f t="shared" si="0"/>
        <v>0.95692596580179956</v>
      </c>
      <c r="L15" s="63">
        <f t="shared" si="0"/>
        <v>0.95542434861288772</v>
      </c>
      <c r="M15" s="64">
        <f t="shared" si="0"/>
        <v>0.95734838568724989</v>
      </c>
    </row>
    <row r="16" spans="2:17" ht="17.25" customHeight="1">
      <c r="B16" s="125" t="s">
        <v>2121</v>
      </c>
      <c r="C16" s="65" t="s">
        <v>2122</v>
      </c>
      <c r="D16" s="66">
        <f>VLOOKUP("新豐6線",'0422 4度C'!$A:$T,19,0)</f>
        <v>0.70833333333333337</v>
      </c>
      <c r="E16" s="67">
        <f>VLOOKUP("新豐2線",'0422 4度C'!$A:$T,19,0)</f>
        <v>0.20833333333333334</v>
      </c>
      <c r="F16" s="67">
        <f>VLOOKUP("新豐5線",'0422 4度C'!$A:$T,19,0)</f>
        <v>0.20833333333333334</v>
      </c>
      <c r="G16" s="67">
        <f>VLOOKUP("新豐7線",'0422 4度C'!$A:$T,19,0)</f>
        <v>0.29166666666666669</v>
      </c>
      <c r="H16" s="67">
        <f>VLOOKUP("新豐3線",'0422 4度C'!$A:$T,19,0)</f>
        <v>8.3333333333333329E-2</v>
      </c>
      <c r="I16" s="67">
        <f>VLOOKUP("新豐1線",'0422 4度C'!$A:$T,19,0)</f>
        <v>0.33333333333333331</v>
      </c>
      <c r="J16" s="68">
        <f>VLOOKUP("新豐10線",'0422 4度C'!$A:$T,19,0)</f>
        <v>0.20833333333333334</v>
      </c>
      <c r="K16" s="69">
        <f>VLOOKUP("新豐8線",'0422 4度C'!$A:$T,19,0)</f>
        <v>8.3333333333333329E-2</v>
      </c>
      <c r="L16" s="70">
        <f>VLOOKUP("新豐9線",'0422 4度C'!$A:$T,19,0)</f>
        <v>8.3333333333333329E-2</v>
      </c>
      <c r="M16" s="71">
        <f>VLOOKUP("新豐4線",'0422 4度C'!$A:$T,19,0)</f>
        <v>8.3333333333333329E-2</v>
      </c>
    </row>
    <row r="17" spans="2:13" ht="17.25" customHeight="1">
      <c r="B17" s="126"/>
      <c r="C17" s="65" t="s">
        <v>2123</v>
      </c>
      <c r="D17" s="69">
        <f>LOOKUP(2,1/(('0422 4度C'!$A:$A="新豐6線")*('0422 4度C'!$T:$T&lt;&gt;"")),'0422 4度C'!$T:$T)</f>
        <v>0.8534722222222223</v>
      </c>
      <c r="E17" s="67">
        <f>LOOKUP(2,1/(('0422 4度C'!$A:$A="新豐2線")*('0422 4度C'!$T:$T&lt;&gt;"")),'0422 4度C'!$T:$T)</f>
        <v>0.6166666666666667</v>
      </c>
      <c r="F17" s="67">
        <f>LOOKUP(2,1/(('0422 4度C'!$A:$A="新豐5線")*('0422 4度C'!$T:$T&lt;&gt;"")),'0422 4度C'!$T:$T)</f>
        <v>0.82986111111111105</v>
      </c>
      <c r="G17" s="67">
        <f>LOOKUP(2,1/(('0422 4度C'!$A:$A="新豐7線")*('0422 4度C'!$T:$T&lt;&gt;"")),'0422 4度C'!$T:$T)</f>
        <v>0.8256944444444444</v>
      </c>
      <c r="H17" s="67">
        <f>LOOKUP(2,1/(('0422 4度C'!$A:$A="新豐3線")*('0422 4度C'!$T:$T&lt;&gt;"")),'0422 4度C'!$T:$T)</f>
        <v>0.38472222222222224</v>
      </c>
      <c r="I17" s="67">
        <f>LOOKUP(2,1/(('0422 4度C'!$A:$A="新豐1線")*('0422 4度C'!$T:$T&lt;&gt;"")),'0422 4度C'!$T:$T)</f>
        <v>0.80138888888888893</v>
      </c>
      <c r="J17" s="68">
        <f>LOOKUP(2,1/(('0422 4度C'!$A:$A="新豐10線")*('0422 4度C'!$T:$T&lt;&gt;"")),'0422 4度C'!$T:$T)</f>
        <v>0.43194444444444435</v>
      </c>
      <c r="K17" s="66">
        <f>LOOKUP(2,1/(('0422 4度C'!$A:$A="新豐8線")*('0422 4度C'!$T:$T&lt;&gt;"")),'0422 4度C'!$T:$T)</f>
        <v>0.60763888888888884</v>
      </c>
      <c r="L17" s="67">
        <f>LOOKUP(2,1/(('0422 4度C'!$A:$A="新豐9線")*('0422 4度C'!$T:$T&lt;&gt;"")),'0422 4度C'!$T:$T)</f>
        <v>0.63472222222222208</v>
      </c>
      <c r="M17" s="68">
        <f>LOOKUP(2,1/(('0422 4度C'!$A:$A="新豐4線")*('0422 4度C'!$T:$T&lt;&gt;"")),'0422 4度C'!$T:$T)</f>
        <v>0.59583333333333321</v>
      </c>
    </row>
    <row r="18" spans="2:13" ht="17.25" customHeight="1">
      <c r="B18" s="104" t="s">
        <v>2124</v>
      </c>
      <c r="C18" s="72" t="s">
        <v>2125</v>
      </c>
      <c r="D18" s="73">
        <f>SUMIFS('0422 4度C'!$Y:$Y,'0422 4度C'!$A:$A,"新豐6線",'0422 4度C'!$B:$B,"平均")</f>
        <v>0</v>
      </c>
      <c r="E18" s="74">
        <f>SUMIFS('0422 4度C'!$Y:$Y,'0422 4度C'!$A:$A,"新豐2線",'0422 4度C'!$B:$B,"平均")</f>
        <v>0</v>
      </c>
      <c r="F18" s="74">
        <f>SUMIFS('0422 4度C'!$Y:$Y,'0422 4度C'!$A:$A,"新豐5線",'0422 4度C'!$B:$B,"平均")</f>
        <v>0</v>
      </c>
      <c r="G18" s="74">
        <f>SUMIFS('0422 4度C'!$Y:$Y,'0422 4度C'!$A:$A,"新豐7線",'0422 4度C'!$B:$B,"平均")</f>
        <v>0</v>
      </c>
      <c r="H18" s="74">
        <f>SUMIFS('0422 4度C'!$Y:$Y,'0422 4度C'!$A:$A,"新豐3線",'0422 4度C'!$B:$B,"平均")</f>
        <v>0</v>
      </c>
      <c r="I18" s="74">
        <f>SUMIFS('0422 4度C'!$Y:$Y,'0422 4度C'!$A:$A,"新豐1線",'0422 4度C'!$B:$B,"平均")</f>
        <v>0</v>
      </c>
      <c r="J18" s="75">
        <f>SUMIFS('0422 4度C'!$Y:$Y,'0422 4度C'!$A:$A,"新豐10線",'0422 4度C'!$B:$B,"平均")</f>
        <v>0</v>
      </c>
      <c r="K18" s="76">
        <f>SUMIFS('0422 4度C'!$Y:$Y,'0422 4度C'!$A:$A,"新豐8線",'0422 4度C'!$B:$B,"平均")</f>
        <v>0</v>
      </c>
      <c r="L18" s="74">
        <f>SUMIFS('0422 4度C'!$Y:$Y,'0422 4度C'!$A:$A,"新豐9線",'0422 4度C'!$B:$B,"平均")</f>
        <v>0</v>
      </c>
      <c r="M18" s="75">
        <f>SUMIFS('0422 4度C'!$Y:$Y,'0422 4度C'!$A:$A,"新豐4線",'0422 4度C'!$B:$B,"平均")</f>
        <v>0</v>
      </c>
    </row>
    <row r="19" spans="2:13" ht="17.25" customHeight="1">
      <c r="B19" s="105"/>
      <c r="C19" s="72" t="s">
        <v>2126</v>
      </c>
      <c r="D19" s="73">
        <f>SUMIFS('0422 4度C'!$Z:$Z,'0422 4度C'!$A:$A,"新豐6線",'0422 4度C'!$B:$B,"平均")</f>
        <v>0</v>
      </c>
      <c r="E19" s="74">
        <f>SUMIFS('0422 4度C'!$Z:$Z,'0422 4度C'!$A:$A,"新豐2線",'0422 4度C'!$B:$B,"平均")</f>
        <v>0</v>
      </c>
      <c r="F19" s="74">
        <f>SUMIFS('0422 4度C'!$Z:$Z,'0422 4度C'!$A:$A,"新豐5線",'0422 4度C'!$B:$B,"平均")</f>
        <v>0</v>
      </c>
      <c r="G19" s="74">
        <f>SUMIFS('0422 4度C'!$Z:$Z,'0422 4度C'!$A:$A,"新豐7線",'0422 4度C'!$B:$B,"平均")</f>
        <v>0</v>
      </c>
      <c r="H19" s="74">
        <f>SUMIFS('0422 4度C'!$Z:$Z,'0422 4度C'!$A:$A,"新豐3線",'0422 4度C'!$B:$B,"平均")</f>
        <v>0</v>
      </c>
      <c r="I19" s="74">
        <f>SUMIFS('0422 4度C'!$Z:$Z,'0422 4度C'!$A:$A,"新豐1線",'0422 4度C'!$B:$B,"平均")</f>
        <v>0</v>
      </c>
      <c r="J19" s="75">
        <f>SUMIFS('0422 4度C'!$Z:$Z,'0422 4度C'!$A:$A,"新豐10線",'0422 4度C'!$B:$B,"平均")</f>
        <v>0</v>
      </c>
      <c r="K19" s="76">
        <f>SUMIFS('0422 4度C'!$Z:$Z,'0422 4度C'!$A:$A,"新豐8線",'0422 4度C'!$B:$B,"平均")</f>
        <v>0</v>
      </c>
      <c r="L19" s="74">
        <f>SUMIFS('0422 4度C'!$Z:$Z,'0422 4度C'!$A:$A,"新豐9線",'0422 4度C'!$B:$B,"平均")</f>
        <v>0</v>
      </c>
      <c r="M19" s="75">
        <f>SUMIFS('0422 4度C'!$Z:$Z,'0422 4度C'!$A:$A,"新豐4線",'0422 4度C'!$B:$B,"平均")</f>
        <v>0</v>
      </c>
    </row>
    <row r="20" spans="2:13" ht="17.25" customHeight="1">
      <c r="B20" s="104" t="s">
        <v>2127</v>
      </c>
      <c r="C20" s="72" t="s">
        <v>2125</v>
      </c>
      <c r="D20" s="73">
        <f>SUMIFS('0422 4度C'!$AC:$AC,'0422 4度C'!$A:$A,"新豐6線",'0422 4度C'!$B:$B,"平均")</f>
        <v>4</v>
      </c>
      <c r="E20" s="74">
        <f>SUMIFS('0422 4度C'!$AC:$AC,'0422 4度C'!$A:$A,"新豐2線",'0422 4度C'!$B:$B,"平均")</f>
        <v>3</v>
      </c>
      <c r="F20" s="74">
        <f>SUMIFS('0422 4度C'!$AC:$AC,'0422 4度C'!$A:$A,"新豐5線",'0422 4度C'!$B:$B,"平均")</f>
        <v>4</v>
      </c>
      <c r="G20" s="74">
        <f>SUMIFS('0422 4度C'!$AC:$AC,'0422 4度C'!$A:$A,"新豐7線",'0422 4度C'!$B:$B,"平均")</f>
        <v>6</v>
      </c>
      <c r="H20" s="74">
        <f>SUMIFS('0422 4度C'!$AC:$AC,'0422 4度C'!$A:$A,"新豐3線",'0422 4度C'!$B:$B,"平均")</f>
        <v>4</v>
      </c>
      <c r="I20" s="74">
        <f>SUMIFS('0422 4度C'!$AC:$AC,'0422 4度C'!$A:$A,"新豐1線",'0422 4度C'!$B:$B,"平均")</f>
        <v>6</v>
      </c>
      <c r="J20" s="75">
        <f>SUMIFS('0422 4度C'!$AC:$AC,'0422 4度C'!$A:$A,"新豐10線",'0422 4度C'!$B:$B,"平均")</f>
        <v>7</v>
      </c>
      <c r="K20" s="76">
        <f>SUMIFS('0422 4度C'!$AC:$AC,'0422 4度C'!$A:$A,"新豐8線",'0422 4度C'!$B:$B,"平均")</f>
        <v>6</v>
      </c>
      <c r="L20" s="74">
        <f>SUMIFS('0422 4度C'!$AC:$AC,'0422 4度C'!$A:$A,"新豐9線",'0422 4度C'!$B:$B,"平均")</f>
        <v>7</v>
      </c>
      <c r="M20" s="75">
        <f>SUMIFS('0422 4度C'!$AC:$AC,'0422 4度C'!$A:$A,"新豐4線",'0422 4度C'!$B:$B,"平均")</f>
        <v>6</v>
      </c>
    </row>
    <row r="21" spans="2:13" ht="17.25" customHeight="1">
      <c r="B21" s="105"/>
      <c r="C21" s="72" t="s">
        <v>2128</v>
      </c>
      <c r="D21" s="73">
        <f>SUMIFS('0422 4度C'!$AD:$AD,'0422 4度C'!$A:$A,"新豐6線",'0422 4度C'!$B:$B,"平均")</f>
        <v>0</v>
      </c>
      <c r="E21" s="74">
        <f>SUMIFS('0422 4度C'!$AD:$AD,'0422 4度C'!$A:$A,"新豐2線",'0422 4度C'!$B:$B,"平均")</f>
        <v>0</v>
      </c>
      <c r="F21" s="74">
        <f>SUMIFS('0422 4度C'!$AD:$AD,'0422 4度C'!$A:$A,"新豐5線",'0422 4度C'!$B:$B,"平均")</f>
        <v>0</v>
      </c>
      <c r="G21" s="74">
        <f>SUMIFS('0422 4度C'!$AD:$AD,'0422 4度C'!$A:$A,"新豐7線",'0422 4度C'!$B:$B,"平均")</f>
        <v>0</v>
      </c>
      <c r="H21" s="74">
        <f>SUMIFS('0422 4度C'!$AD:$AD,'0422 4度C'!$A:$A,"新豐3線",'0422 4度C'!$B:$B,"平均")</f>
        <v>0</v>
      </c>
      <c r="I21" s="74">
        <f>SUMIFS('0422 4度C'!$AD:$AD,'0422 4度C'!$A:$A,"新豐1線",'0422 4度C'!$B:$B,"平均")</f>
        <v>0</v>
      </c>
      <c r="J21" s="75">
        <f>SUMIFS('0422 4度C'!$AD:$AD,'0422 4度C'!$A:$A,"新豐10線",'0422 4度C'!$B:$B,"平均")</f>
        <v>0</v>
      </c>
      <c r="K21" s="76">
        <f>SUMIFS('0422 4度C'!$AD:$AD,'0422 4度C'!$A:$A,"新豐8線",'0422 4度C'!$B:$B,"平均")</f>
        <v>0</v>
      </c>
      <c r="L21" s="74">
        <f>SUMIFS('0422 4度C'!$AD:$AD,'0422 4度C'!$A:$A,"新豐9線",'0422 4度C'!$B:$B,"平均")</f>
        <v>0</v>
      </c>
      <c r="M21" s="75">
        <f>SUMIFS('0422 4度C'!$AD:$AD,'0422 4度C'!$A:$A,"新豐4線",'0422 4度C'!$B:$B,"平均")</f>
        <v>0</v>
      </c>
    </row>
    <row r="22" spans="2:13" ht="17.25" customHeight="1">
      <c r="B22" s="106" t="s">
        <v>2129</v>
      </c>
      <c r="C22" s="107"/>
      <c r="D22" s="77">
        <f>SUMIFS('0422 4度C'!$I:$I,'0422 4度C'!$A:$A,"新豐6線",'0422 4度C'!$B:$B,"平均")</f>
        <v>16.75</v>
      </c>
      <c r="E22" s="78">
        <f>SUMIFS('0422 4度C'!$I:$I,'0422 4度C'!$A:$A,"新豐2線",'0422 4度C'!$B:$B,"平均")</f>
        <v>17.666666666666668</v>
      </c>
      <c r="F22" s="78">
        <f>SUMIFS('0422 4度C'!$I:$I,'0422 4度C'!$A:$A,"新豐5線",'0422 4度C'!$B:$B,"平均")</f>
        <v>17.5</v>
      </c>
      <c r="G22" s="78">
        <f>SUMIFS('0422 4度C'!$I:$I,'0422 4度C'!$A:$A,"新豐7線",'0422 4度C'!$B:$B,"平均")</f>
        <v>15.666666666666666</v>
      </c>
      <c r="H22" s="78">
        <f>SUMIFS('0422 4度C'!$I:$I,'0422 4度C'!$A:$A,"新豐3線",'0422 4度C'!$B:$B,"平均")</f>
        <v>9.5</v>
      </c>
      <c r="I22" s="78">
        <f>SUMIFS('0422 4度C'!$I:$I,'0422 4度C'!$A:$A,"新豐1線",'0422 4度C'!$B:$B,"平均")</f>
        <v>19.333333333333332</v>
      </c>
      <c r="J22" s="79">
        <f>SUMIFS('0422 4度C'!$I:$I,'0422 4度C'!$A:$A,"新豐10線",'0422 4度C'!$B:$B,"平均")</f>
        <v>9.8571428571428577</v>
      </c>
      <c r="K22" s="77">
        <f>SUMIFS('0422 4度C'!$I:$I,'0422 4度C'!$A:$A,"新豐8線",'0422 4度C'!$B:$B,"平均")</f>
        <v>18.333333333333332</v>
      </c>
      <c r="L22" s="78">
        <f>SUMIFS('0422 4度C'!$I:$I,'0422 4度C'!$A:$A,"新豐9線",'0422 4度C'!$B:$B,"平均")</f>
        <v>16.571428571428573</v>
      </c>
      <c r="M22" s="79">
        <f>SUMIFS('0422 4度C'!$I:$I,'0422 4度C'!$A:$A,"新豐4線",'0422 4度C'!$B:$B,"平均")</f>
        <v>15.833333333333334</v>
      </c>
    </row>
    <row r="23" spans="2:13" ht="17.25" customHeight="1">
      <c r="B23" s="106" t="s">
        <v>2130</v>
      </c>
      <c r="C23" s="107"/>
      <c r="D23" s="80" t="s">
        <v>67</v>
      </c>
      <c r="E23" s="81" t="s">
        <v>68</v>
      </c>
      <c r="F23" s="81" t="s">
        <v>2131</v>
      </c>
      <c r="G23" s="81" t="s">
        <v>2131</v>
      </c>
      <c r="H23" s="81" t="s">
        <v>69</v>
      </c>
      <c r="I23" s="81" t="s">
        <v>67</v>
      </c>
      <c r="J23" s="82" t="s">
        <v>69</v>
      </c>
      <c r="K23" s="80" t="s">
        <v>2132</v>
      </c>
      <c r="L23" s="81" t="s">
        <v>2132</v>
      </c>
      <c r="M23" s="82" t="s">
        <v>2132</v>
      </c>
    </row>
    <row r="24" spans="2:13" ht="17.25" customHeight="1">
      <c r="B24" s="106" t="s">
        <v>2133</v>
      </c>
      <c r="C24" s="107"/>
      <c r="D24" s="80"/>
      <c r="E24" s="81"/>
      <c r="F24" s="81" t="s">
        <v>2134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2135</v>
      </c>
      <c r="C25" s="109"/>
      <c r="D25" s="83"/>
      <c r="E25" s="84" t="s">
        <v>2136</v>
      </c>
      <c r="F25" s="102" t="s">
        <v>2137</v>
      </c>
      <c r="G25" s="103"/>
      <c r="H25" s="84" t="s">
        <v>2138</v>
      </c>
      <c r="I25" s="84" t="s">
        <v>2139</v>
      </c>
      <c r="J25" s="85" t="s">
        <v>2138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7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G68"/>
  <sheetViews>
    <sheetView zoomScale="80" zoomScaleNormal="80" workbookViewId="0">
      <pane ySplit="4" topLeftCell="A5" activePane="bottomLeft" state="frozen"/>
      <selection pane="bottomLeft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120</v>
      </c>
      <c r="B1" s="1"/>
      <c r="C1" s="2" t="s">
        <v>121</v>
      </c>
      <c r="D1" s="3">
        <f>SUM(F5:F67)</f>
        <v>151455</v>
      </c>
      <c r="E1" s="88" t="s">
        <v>122</v>
      </c>
      <c r="F1" s="1">
        <f>SUM(G5:G67)</f>
        <v>4974654.9899999974</v>
      </c>
      <c r="G1" s="1" t="s">
        <v>123</v>
      </c>
      <c r="H1" s="4">
        <f>L9+L13+L45+L52+L18+L60+L32+L40+L25+L67</f>
        <v>157.01190476190476</v>
      </c>
      <c r="I1" s="215" t="s">
        <v>124</v>
      </c>
      <c r="J1" s="215"/>
      <c r="K1" s="215"/>
      <c r="L1" s="215" t="s">
        <v>125</v>
      </c>
      <c r="M1" s="215"/>
      <c r="N1" s="215"/>
      <c r="O1" s="215" t="s">
        <v>126</v>
      </c>
      <c r="P1" s="215"/>
      <c r="Q1" s="215"/>
      <c r="R1" s="215"/>
      <c r="S1" s="215" t="s">
        <v>127</v>
      </c>
      <c r="T1" s="215"/>
      <c r="U1" s="215"/>
      <c r="V1" s="215"/>
      <c r="W1" s="215"/>
      <c r="X1" s="215"/>
      <c r="Y1" s="5" t="s">
        <v>128</v>
      </c>
      <c r="Z1" s="6" t="s">
        <v>129</v>
      </c>
      <c r="AA1" s="216" t="s">
        <v>130</v>
      </c>
      <c r="AB1" s="216"/>
      <c r="AC1" s="97" t="s">
        <v>128</v>
      </c>
      <c r="AD1" s="6" t="s">
        <v>131</v>
      </c>
      <c r="AE1" s="215" t="s">
        <v>132</v>
      </c>
      <c r="AF1" s="217"/>
      <c r="AG1" s="217"/>
    </row>
    <row r="2" spans="1:33" ht="26.25" customHeight="1">
      <c r="A2" s="26">
        <v>46134</v>
      </c>
      <c r="B2" s="27" t="s">
        <v>133</v>
      </c>
      <c r="C2" s="2" t="s">
        <v>144</v>
      </c>
      <c r="D2" s="8">
        <f>AVERAGE(N9,N13,N45,N52,N18,N60,N25,N32,N40,N67)</f>
        <v>150.07623173665112</v>
      </c>
      <c r="E2" s="9" t="s">
        <v>0</v>
      </c>
      <c r="F2" s="10">
        <f>F1/D1</f>
        <v>32.845762701792594</v>
      </c>
      <c r="G2" s="1" t="s">
        <v>134</v>
      </c>
      <c r="H2" s="96">
        <f>COUNT(H5:H67)</f>
        <v>5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SUM(Y9+Y13+Y18+Y25+Y32+Y40+Y45+Y52+Y60+Y67)</f>
        <v>0</v>
      </c>
      <c r="Z2" s="11">
        <f>SUM(Z9+Z13+Z18+Z25+Z32+Z40+Z45+Z52+Z60+Z67)</f>
        <v>0</v>
      </c>
      <c r="AA2" s="216"/>
      <c r="AB2" s="216"/>
      <c r="AC2" s="11">
        <v>53</v>
      </c>
      <c r="AD2" s="11">
        <f>SUM(AD9+AD13+AD18+AD25+AD32+AD40+AD45+AD52+AD60+AD67)</f>
        <v>0</v>
      </c>
      <c r="AE2" s="217"/>
      <c r="AF2" s="217"/>
      <c r="AG2" s="217"/>
    </row>
    <row r="3" spans="1:33" ht="40.5" customHeight="1">
      <c r="A3" s="168" t="s">
        <v>135</v>
      </c>
      <c r="B3" s="168" t="s">
        <v>136</v>
      </c>
      <c r="C3" s="168" t="s">
        <v>137</v>
      </c>
      <c r="D3" s="168"/>
      <c r="E3" s="213" t="s">
        <v>138</v>
      </c>
      <c r="F3" s="168" t="s">
        <v>139</v>
      </c>
      <c r="G3" s="213" t="s">
        <v>140</v>
      </c>
      <c r="H3" s="207" t="s">
        <v>141</v>
      </c>
      <c r="I3" s="205" t="s">
        <v>142</v>
      </c>
      <c r="J3" s="202" t="s">
        <v>143</v>
      </c>
      <c r="K3" s="212" t="s">
        <v>144</v>
      </c>
      <c r="L3" s="205" t="s">
        <v>142</v>
      </c>
      <c r="M3" s="202" t="s">
        <v>143</v>
      </c>
      <c r="N3" s="212" t="s">
        <v>144</v>
      </c>
      <c r="O3" s="205" t="s">
        <v>142</v>
      </c>
      <c r="P3" s="212" t="s">
        <v>144</v>
      </c>
      <c r="Q3" s="203" t="s">
        <v>147</v>
      </c>
      <c r="R3" s="181" t="s">
        <v>148</v>
      </c>
      <c r="S3" s="168" t="s">
        <v>1</v>
      </c>
      <c r="T3" s="168"/>
      <c r="U3" s="207" t="s">
        <v>2</v>
      </c>
      <c r="V3" s="207" t="s">
        <v>149</v>
      </c>
      <c r="W3" s="168" t="s">
        <v>2140</v>
      </c>
      <c r="X3" s="168"/>
      <c r="Y3" s="208" t="s">
        <v>2141</v>
      </c>
      <c r="Z3" s="167"/>
      <c r="AA3" s="209" t="s">
        <v>152</v>
      </c>
      <c r="AB3" s="210"/>
      <c r="AC3" s="208" t="s">
        <v>2142</v>
      </c>
      <c r="AD3" s="167"/>
      <c r="AE3" s="202" t="s">
        <v>143</v>
      </c>
      <c r="AF3" s="203" t="s">
        <v>147</v>
      </c>
      <c r="AG3" s="181" t="s">
        <v>148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2143</v>
      </c>
      <c r="X4" s="88" t="s">
        <v>2144</v>
      </c>
      <c r="Y4" s="90" t="s">
        <v>2145</v>
      </c>
      <c r="Z4" s="90" t="s">
        <v>2146</v>
      </c>
      <c r="AA4" s="211"/>
      <c r="AB4" s="210"/>
      <c r="AC4" s="90" t="s">
        <v>2147</v>
      </c>
      <c r="AD4" s="90" t="s">
        <v>2148</v>
      </c>
      <c r="AE4" s="202"/>
      <c r="AF4" s="203"/>
      <c r="AG4" s="181"/>
    </row>
    <row r="5" spans="1:33">
      <c r="A5" s="204" t="s">
        <v>162</v>
      </c>
      <c r="B5" s="28" t="s">
        <v>5</v>
      </c>
      <c r="C5" s="206" t="s">
        <v>6</v>
      </c>
      <c r="D5" s="206"/>
      <c r="E5" s="28">
        <v>50.67</v>
      </c>
      <c r="F5" s="88">
        <v>1239</v>
      </c>
      <c r="G5" s="88">
        <f t="shared" ref="G5:G8" si="0">E5*F5</f>
        <v>62780.130000000005</v>
      </c>
      <c r="H5" s="30" t="s">
        <v>53</v>
      </c>
      <c r="I5" s="95">
        <v>17</v>
      </c>
      <c r="J5" s="13">
        <v>2000</v>
      </c>
      <c r="K5" s="12">
        <f t="shared" ref="K5:K67" si="1">J5/I5</f>
        <v>117.64705882352941</v>
      </c>
      <c r="L5" s="95">
        <v>17</v>
      </c>
      <c r="M5" s="13">
        <f t="shared" ref="M5:M8" si="2">F5/V5*60</f>
        <v>1906.1538461538451</v>
      </c>
      <c r="N5" s="12">
        <f t="shared" ref="N5:N67" si="3">M5/L5</f>
        <v>112.12669683257911</v>
      </c>
      <c r="O5" s="14">
        <f t="shared" ref="O5:O67" si="4">L5-I5</f>
        <v>0</v>
      </c>
      <c r="P5" s="15">
        <f t="shared" ref="P5:P67" si="5">N5-K5</f>
        <v>-5.5203619909502919</v>
      </c>
      <c r="Q5" s="91">
        <f t="shared" ref="Q5:Q67" si="6">N5/K5</f>
        <v>0.95307692307692249</v>
      </c>
      <c r="R5" s="177">
        <f>Q9</f>
        <v>0.96158142050999107</v>
      </c>
      <c r="S5" s="21">
        <v>0.70833333333333337</v>
      </c>
      <c r="T5" s="21">
        <v>0.73541666666666672</v>
      </c>
      <c r="U5" s="88"/>
      <c r="V5" s="30">
        <f t="shared" ref="V5:V8" si="7">(T5-S5)*24*60</f>
        <v>39.000000000000021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51" si="8">M5-J5</f>
        <v>-93.846153846154948</v>
      </c>
      <c r="AF5" s="91">
        <f t="shared" ref="AF5:AF67" si="9">M5/J5</f>
        <v>0.95307692307692249</v>
      </c>
      <c r="AG5" s="177">
        <f>AF9</f>
        <v>0.96158142050999118</v>
      </c>
    </row>
    <row r="6" spans="1:33">
      <c r="A6" s="205" t="s">
        <v>162</v>
      </c>
      <c r="B6" s="28" t="s">
        <v>5</v>
      </c>
      <c r="C6" s="206" t="s">
        <v>7</v>
      </c>
      <c r="D6" s="206"/>
      <c r="E6" s="28">
        <v>54.09</v>
      </c>
      <c r="F6" s="88">
        <v>980</v>
      </c>
      <c r="G6" s="88">
        <f t="shared" si="0"/>
        <v>53008.200000000004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1959.9999999999964</v>
      </c>
      <c r="N6" s="12">
        <f t="shared" si="3"/>
        <v>103.15789473684191</v>
      </c>
      <c r="O6" s="14">
        <f t="shared" si="4"/>
        <v>0</v>
      </c>
      <c r="P6" s="15">
        <f t="shared" si="5"/>
        <v>-2.1052631578949246</v>
      </c>
      <c r="Q6" s="91">
        <f t="shared" si="6"/>
        <v>0.97999999999999821</v>
      </c>
      <c r="R6" s="177"/>
      <c r="S6" s="21">
        <v>0.73888888888888893</v>
      </c>
      <c r="T6" s="21">
        <v>0.7597222222222223</v>
      </c>
      <c r="U6" s="88">
        <f t="shared" ref="U6:U8" si="10">IF(S6=TIME(17,0,0),"",(S6-T5)*24*60)</f>
        <v>4.9999999999999822</v>
      </c>
      <c r="V6" s="30">
        <f t="shared" si="7"/>
        <v>30.000000000000053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-40.000000000003638</v>
      </c>
      <c r="AF6" s="91">
        <f t="shared" si="9"/>
        <v>0.97999999999999821</v>
      </c>
      <c r="AG6" s="177"/>
    </row>
    <row r="7" spans="1:33">
      <c r="A7" s="205" t="s">
        <v>162</v>
      </c>
      <c r="B7" s="28" t="s">
        <v>5</v>
      </c>
      <c r="C7" s="200" t="s">
        <v>16</v>
      </c>
      <c r="D7" s="201"/>
      <c r="E7" s="28">
        <v>50.67</v>
      </c>
      <c r="F7" s="88">
        <v>1553</v>
      </c>
      <c r="G7" s="88">
        <f t="shared" si="0"/>
        <v>78690.510000000009</v>
      </c>
      <c r="H7" s="30" t="s">
        <v>53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1901.632653061225</v>
      </c>
      <c r="N7" s="12">
        <f t="shared" si="3"/>
        <v>126.77551020408167</v>
      </c>
      <c r="O7" s="14">
        <f t="shared" si="4"/>
        <v>0</v>
      </c>
      <c r="P7" s="15">
        <f t="shared" si="5"/>
        <v>-6.5578231292516733</v>
      </c>
      <c r="Q7" s="91">
        <f t="shared" si="6"/>
        <v>0.95081632653061243</v>
      </c>
      <c r="R7" s="177"/>
      <c r="S7" s="21">
        <v>0.76388888888888895</v>
      </c>
      <c r="T7" s="21">
        <v>0.79791666666666672</v>
      </c>
      <c r="U7" s="88">
        <f t="shared" si="10"/>
        <v>5.9999999999999787</v>
      </c>
      <c r="V7" s="30">
        <f t="shared" si="7"/>
        <v>48.999999999999986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-98.367346938774972</v>
      </c>
      <c r="AF7" s="91">
        <f t="shared" si="9"/>
        <v>0.95081632653061254</v>
      </c>
      <c r="AG7" s="177"/>
    </row>
    <row r="8" spans="1:33">
      <c r="A8" s="205" t="s">
        <v>162</v>
      </c>
      <c r="B8" s="28" t="s">
        <v>5</v>
      </c>
      <c r="C8" s="200" t="s">
        <v>1270</v>
      </c>
      <c r="D8" s="201"/>
      <c r="E8" s="28">
        <v>52.86</v>
      </c>
      <c r="F8" s="88">
        <v>2374</v>
      </c>
      <c r="G8" s="88">
        <f t="shared" si="0"/>
        <v>125489.64</v>
      </c>
      <c r="H8" s="30" t="s">
        <v>53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1924.8648648648636</v>
      </c>
      <c r="N8" s="12">
        <f t="shared" si="3"/>
        <v>120.30405405405398</v>
      </c>
      <c r="O8" s="14">
        <f t="shared" si="4"/>
        <v>0</v>
      </c>
      <c r="P8" s="15">
        <f t="shared" si="5"/>
        <v>-4.695945945946022</v>
      </c>
      <c r="Q8" s="91">
        <f t="shared" si="6"/>
        <v>0.96243243243243182</v>
      </c>
      <c r="R8" s="177"/>
      <c r="S8" s="21">
        <v>0.80208333333333337</v>
      </c>
      <c r="T8" s="21">
        <v>0.8534722222222223</v>
      </c>
      <c r="U8" s="88">
        <f t="shared" si="10"/>
        <v>5.9999999999999787</v>
      </c>
      <c r="V8" s="30">
        <f t="shared" si="7"/>
        <v>74.000000000000057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-75.135135135136352</v>
      </c>
      <c r="AF8" s="91">
        <f t="shared" si="9"/>
        <v>0.96243243243243182</v>
      </c>
      <c r="AG8" s="177"/>
    </row>
    <row r="9" spans="1:33">
      <c r="A9" s="205" t="s">
        <v>2149</v>
      </c>
      <c r="B9" s="28" t="s">
        <v>165</v>
      </c>
      <c r="C9" s="178"/>
      <c r="D9" s="178"/>
      <c r="E9" s="92"/>
      <c r="F9" s="12"/>
      <c r="G9" s="12"/>
      <c r="H9" s="88"/>
      <c r="I9" s="23">
        <v>16.75</v>
      </c>
      <c r="J9" s="13">
        <v>2000</v>
      </c>
      <c r="K9" s="12">
        <f t="shared" si="1"/>
        <v>119.40298507462687</v>
      </c>
      <c r="L9" s="23">
        <v>16.75</v>
      </c>
      <c r="M9" s="13">
        <f>AVERAGE(M5:M8)</f>
        <v>1923.1628410199824</v>
      </c>
      <c r="N9" s="12">
        <f t="shared" si="3"/>
        <v>114.81569200119297</v>
      </c>
      <c r="O9" s="14">
        <f t="shared" si="4"/>
        <v>0</v>
      </c>
      <c r="P9" s="15">
        <f t="shared" si="5"/>
        <v>-4.5872930734338979</v>
      </c>
      <c r="Q9" s="91">
        <f t="shared" si="6"/>
        <v>0.96158142050999107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v>4</v>
      </c>
      <c r="AD9" s="24">
        <f>SUM(AD5:AD8)</f>
        <v>0</v>
      </c>
      <c r="AE9" s="14">
        <f t="shared" si="8"/>
        <v>-76.837158980017648</v>
      </c>
      <c r="AF9" s="91">
        <f t="shared" si="9"/>
        <v>0.96158142050999118</v>
      </c>
      <c r="AG9" s="177"/>
    </row>
    <row r="10" spans="1:33" ht="15.75" customHeight="1">
      <c r="A10" s="199" t="s">
        <v>2150</v>
      </c>
      <c r="B10" s="28" t="s">
        <v>9</v>
      </c>
      <c r="C10" s="200" t="s">
        <v>10</v>
      </c>
      <c r="D10" s="201"/>
      <c r="E10" s="28">
        <v>39.619999999999997</v>
      </c>
      <c r="F10" s="88">
        <v>4914</v>
      </c>
      <c r="G10" s="88">
        <f t="shared" ref="G10:G12" si="11">E10*F10</f>
        <v>194692.68</v>
      </c>
      <c r="H10" s="30" t="s">
        <v>53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2" si="12">F10/V10*60</f>
        <v>1431.2621359223303</v>
      </c>
      <c r="N10" s="12">
        <f t="shared" si="3"/>
        <v>75.329586101175281</v>
      </c>
      <c r="O10" s="14">
        <f t="shared" si="4"/>
        <v>0</v>
      </c>
      <c r="P10" s="15">
        <f t="shared" si="5"/>
        <v>-3.6177823198773496</v>
      </c>
      <c r="Q10" s="91">
        <f t="shared" si="6"/>
        <v>0.95417475728155354</v>
      </c>
      <c r="R10" s="177">
        <f>Q13</f>
        <v>0.95523697158279708</v>
      </c>
      <c r="S10" s="21">
        <v>0.20833333333333334</v>
      </c>
      <c r="T10" s="21">
        <v>0.35138888888888886</v>
      </c>
      <c r="U10" s="88"/>
      <c r="V10" s="30">
        <f t="shared" ref="V10:V12" si="13">(T10-S10)*24*60</f>
        <v>205.99999999999997</v>
      </c>
      <c r="W10" s="16"/>
      <c r="X10" s="16"/>
      <c r="Y10" s="16"/>
      <c r="Z10" s="16"/>
      <c r="AA10" s="168"/>
      <c r="AB10" s="168"/>
      <c r="AC10" s="18">
        <v>3</v>
      </c>
      <c r="AD10" s="18"/>
      <c r="AE10" s="14">
        <f t="shared" si="8"/>
        <v>-68.737864077669656</v>
      </c>
      <c r="AF10" s="91">
        <f t="shared" si="9"/>
        <v>0.95417475728155354</v>
      </c>
      <c r="AG10" s="177">
        <f>AF13</f>
        <v>0.95523697158279708</v>
      </c>
    </row>
    <row r="11" spans="1:33" ht="15.75" customHeight="1">
      <c r="A11" s="199" t="s">
        <v>2151</v>
      </c>
      <c r="B11" s="28" t="s">
        <v>9</v>
      </c>
      <c r="C11" s="200" t="s">
        <v>11</v>
      </c>
      <c r="D11" s="201"/>
      <c r="E11" s="28">
        <v>39.799999999999997</v>
      </c>
      <c r="F11" s="88">
        <v>4900</v>
      </c>
      <c r="G11" s="88">
        <f t="shared" si="11"/>
        <v>195020</v>
      </c>
      <c r="H11" s="30">
        <v>2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1434.1463414634147</v>
      </c>
      <c r="N11" s="12">
        <f t="shared" si="3"/>
        <v>84.361549497847932</v>
      </c>
      <c r="O11" s="14">
        <f t="shared" si="4"/>
        <v>0</v>
      </c>
      <c r="P11" s="15">
        <f t="shared" si="5"/>
        <v>-3.8737446197991261</v>
      </c>
      <c r="Q11" s="91">
        <f t="shared" si="6"/>
        <v>0.95609756097560994</v>
      </c>
      <c r="R11" s="177"/>
      <c r="S11" s="21">
        <v>0.35486111111111107</v>
      </c>
      <c r="T11" s="21">
        <v>0.49722222222222218</v>
      </c>
      <c r="U11" s="88">
        <f t="shared" ref="U11:U12" si="14">IF(S11=TIME(17,0,0),"",(S11-T10)*24*60)</f>
        <v>4.9999999999999822</v>
      </c>
      <c r="V11" s="30">
        <f t="shared" si="13"/>
        <v>205</v>
      </c>
      <c r="W11" s="16">
        <f>T11</f>
        <v>0.49722222222222218</v>
      </c>
      <c r="X11" s="16">
        <f>S12</f>
        <v>0.53749999999999998</v>
      </c>
      <c r="Y11" s="16"/>
      <c r="Z11" s="16"/>
      <c r="AA11" s="168"/>
      <c r="AB11" s="168"/>
      <c r="AC11" s="18"/>
      <c r="AD11" s="18"/>
      <c r="AE11" s="14">
        <f t="shared" si="8"/>
        <v>-65.853658536585272</v>
      </c>
      <c r="AF11" s="91">
        <f t="shared" si="9"/>
        <v>0.95609756097560983</v>
      </c>
      <c r="AG11" s="177"/>
    </row>
    <row r="12" spans="1:33" ht="15.75" customHeight="1">
      <c r="A12" s="199" t="s">
        <v>2151</v>
      </c>
      <c r="B12" s="28" t="s">
        <v>9</v>
      </c>
      <c r="C12" s="200" t="s">
        <v>11</v>
      </c>
      <c r="D12" s="201"/>
      <c r="E12" s="28">
        <v>39.799999999999997</v>
      </c>
      <c r="F12" s="88">
        <v>2723</v>
      </c>
      <c r="G12" s="88">
        <f t="shared" si="11"/>
        <v>108375.4</v>
      </c>
      <c r="H12" s="30" t="s">
        <v>53</v>
      </c>
      <c r="I12" s="95">
        <v>17</v>
      </c>
      <c r="J12" s="13">
        <v>1500</v>
      </c>
      <c r="K12" s="12">
        <f t="shared" si="1"/>
        <v>88.235294117647058</v>
      </c>
      <c r="L12" s="95">
        <v>17</v>
      </c>
      <c r="M12" s="13">
        <f t="shared" si="12"/>
        <v>1433.1578947368412</v>
      </c>
      <c r="N12" s="12">
        <f t="shared" si="3"/>
        <v>84.303405572755366</v>
      </c>
      <c r="O12" s="14">
        <f t="shared" si="4"/>
        <v>0</v>
      </c>
      <c r="P12" s="15">
        <f t="shared" si="5"/>
        <v>-3.9318885448916916</v>
      </c>
      <c r="Q12" s="91">
        <f t="shared" si="6"/>
        <v>0.95543859649122753</v>
      </c>
      <c r="R12" s="177"/>
      <c r="S12" s="21">
        <v>0.53749999999999998</v>
      </c>
      <c r="T12" s="21">
        <v>0.6166666666666667</v>
      </c>
      <c r="U12" s="88">
        <f t="shared" si="14"/>
        <v>58.000000000000036</v>
      </c>
      <c r="V12" s="30">
        <f t="shared" si="13"/>
        <v>114.00000000000007</v>
      </c>
      <c r="W12" s="16"/>
      <c r="X12" s="16"/>
      <c r="Y12" s="16"/>
      <c r="Z12" s="16"/>
      <c r="AA12" s="168"/>
      <c r="AB12" s="168"/>
      <c r="AC12" s="18"/>
      <c r="AD12" s="18"/>
      <c r="AE12" s="14">
        <f t="shared" si="8"/>
        <v>-66.842105263158828</v>
      </c>
      <c r="AF12" s="91">
        <f t="shared" si="9"/>
        <v>0.95543859649122742</v>
      </c>
      <c r="AG12" s="177"/>
    </row>
    <row r="13" spans="1:33" ht="16.5" customHeight="1">
      <c r="A13" s="199" t="s">
        <v>2151</v>
      </c>
      <c r="B13" s="28" t="s">
        <v>2152</v>
      </c>
      <c r="C13" s="178"/>
      <c r="D13" s="178"/>
      <c r="E13" s="92"/>
      <c r="F13" s="13"/>
      <c r="G13" s="13"/>
      <c r="H13" s="88"/>
      <c r="I13" s="23">
        <v>17.666666666666668</v>
      </c>
      <c r="J13" s="13">
        <v>1500</v>
      </c>
      <c r="K13" s="12">
        <f t="shared" si="1"/>
        <v>84.905660377358487</v>
      </c>
      <c r="L13" s="23">
        <v>17.666666666666668</v>
      </c>
      <c r="M13" s="13">
        <f>AVERAGE(M10:M12)</f>
        <v>1432.8554573741956</v>
      </c>
      <c r="N13" s="12">
        <f t="shared" si="3"/>
        <v>81.105025889105406</v>
      </c>
      <c r="O13" s="14">
        <f t="shared" si="4"/>
        <v>0</v>
      </c>
      <c r="P13" s="15">
        <f t="shared" si="5"/>
        <v>-3.8006344882530811</v>
      </c>
      <c r="Q13" s="91">
        <f t="shared" si="6"/>
        <v>0.95523697158279708</v>
      </c>
      <c r="R13" s="177"/>
      <c r="S13" s="21"/>
      <c r="T13" s="21"/>
      <c r="U13" s="12"/>
      <c r="V13" s="30"/>
      <c r="W13" s="12"/>
      <c r="X13" s="12"/>
      <c r="Y13" s="24">
        <f>SUM(Y10:Y12)</f>
        <v>0</v>
      </c>
      <c r="Z13" s="24">
        <f>SUM(Z10:Z12)</f>
        <v>0</v>
      </c>
      <c r="AA13" s="167"/>
      <c r="AB13" s="167"/>
      <c r="AC13" s="24">
        <v>3</v>
      </c>
      <c r="AD13" s="24">
        <f>SUM(AD10:AD12)</f>
        <v>0</v>
      </c>
      <c r="AE13" s="14">
        <f t="shared" si="8"/>
        <v>-67.144542625804434</v>
      </c>
      <c r="AF13" s="91">
        <f t="shared" si="9"/>
        <v>0.95523697158279708</v>
      </c>
      <c r="AG13" s="177"/>
    </row>
    <row r="14" spans="1:33" ht="16.5" customHeight="1">
      <c r="A14" s="197" t="s">
        <v>2153</v>
      </c>
      <c r="B14" s="88" t="s">
        <v>12</v>
      </c>
      <c r="C14" s="193" t="s">
        <v>13</v>
      </c>
      <c r="D14" s="193"/>
      <c r="E14" s="28">
        <v>41</v>
      </c>
      <c r="F14" s="88">
        <v>1837</v>
      </c>
      <c r="G14" s="88">
        <f t="shared" ref="G14:G17" si="15">E14*F14</f>
        <v>75317</v>
      </c>
      <c r="H14" s="30" t="s">
        <v>53</v>
      </c>
      <c r="I14" s="95">
        <v>26</v>
      </c>
      <c r="J14" s="13">
        <v>1500</v>
      </c>
      <c r="K14" s="12">
        <f t="shared" si="1"/>
        <v>57.692307692307693</v>
      </c>
      <c r="L14" s="95">
        <v>26</v>
      </c>
      <c r="M14" s="13">
        <f t="shared" ref="M14:M17" si="16">F14/V14*60</f>
        <v>1431.4285714285716</v>
      </c>
      <c r="N14" s="12">
        <f t="shared" si="3"/>
        <v>55.054945054945058</v>
      </c>
      <c r="O14" s="14">
        <f t="shared" si="4"/>
        <v>0</v>
      </c>
      <c r="P14" s="15">
        <f t="shared" si="5"/>
        <v>-2.6373626373626351</v>
      </c>
      <c r="Q14" s="91">
        <f t="shared" si="6"/>
        <v>0.95428571428571429</v>
      </c>
      <c r="R14" s="177">
        <f>Q18</f>
        <v>0.95711836734693923</v>
      </c>
      <c r="S14" s="21">
        <v>0.20833333333333334</v>
      </c>
      <c r="T14" s="21">
        <v>0.26180555555555557</v>
      </c>
      <c r="U14" s="88"/>
      <c r="V14" s="30">
        <f t="shared" ref="V14:V17" si="17">(T14-S14)*24*60</f>
        <v>77</v>
      </c>
      <c r="W14" s="21"/>
      <c r="X14" s="21"/>
      <c r="Y14" s="21"/>
      <c r="Z14" s="21"/>
      <c r="AA14" s="168"/>
      <c r="AB14" s="168"/>
      <c r="AC14" s="18">
        <v>4</v>
      </c>
      <c r="AD14" s="18"/>
      <c r="AE14" s="14">
        <f t="shared" si="8"/>
        <v>-68.571428571428442</v>
      </c>
      <c r="AF14" s="91">
        <f t="shared" si="9"/>
        <v>0.9542857142857144</v>
      </c>
      <c r="AG14" s="177">
        <f>AF18</f>
        <v>0.95711836734693911</v>
      </c>
    </row>
    <row r="15" spans="1:33" ht="16.5" customHeight="1">
      <c r="A15" s="198" t="s">
        <v>2153</v>
      </c>
      <c r="B15" s="88" t="s">
        <v>5</v>
      </c>
      <c r="C15" s="193" t="s">
        <v>20</v>
      </c>
      <c r="D15" s="193"/>
      <c r="E15" s="28">
        <v>53.68</v>
      </c>
      <c r="F15" s="88">
        <v>1207</v>
      </c>
      <c r="G15" s="88">
        <f t="shared" si="15"/>
        <v>64791.76</v>
      </c>
      <c r="H15" s="30" t="s">
        <v>53</v>
      </c>
      <c r="I15" s="95">
        <v>16</v>
      </c>
      <c r="J15" s="13">
        <v>1500</v>
      </c>
      <c r="K15" s="12">
        <f t="shared" si="1"/>
        <v>93.75</v>
      </c>
      <c r="L15" s="95">
        <v>16</v>
      </c>
      <c r="M15" s="13">
        <f t="shared" si="16"/>
        <v>1448.4000000000005</v>
      </c>
      <c r="N15" s="12">
        <f t="shared" si="3"/>
        <v>90.525000000000034</v>
      </c>
      <c r="O15" s="14">
        <f t="shared" si="4"/>
        <v>0</v>
      </c>
      <c r="P15" s="15">
        <f t="shared" si="5"/>
        <v>-3.2249999999999659</v>
      </c>
      <c r="Q15" s="91">
        <f t="shared" si="6"/>
        <v>0.96560000000000035</v>
      </c>
      <c r="R15" s="177"/>
      <c r="S15" s="21">
        <v>0.70833333333333337</v>
      </c>
      <c r="T15" s="21">
        <v>0.74305555555555558</v>
      </c>
      <c r="U15" s="88" t="str">
        <f t="shared" ref="U15:U17" si="18">IF(S15=TIME(17,0,0),"",(S15-T14)*24*60)</f>
        <v/>
      </c>
      <c r="V15" s="30">
        <f t="shared" si="17"/>
        <v>49.999999999999986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-51.599999999999454</v>
      </c>
      <c r="AF15" s="91">
        <f t="shared" si="9"/>
        <v>0.96560000000000035</v>
      </c>
      <c r="AG15" s="177"/>
    </row>
    <row r="16" spans="1:33" ht="16.5" customHeight="1">
      <c r="A16" s="198" t="s">
        <v>2153</v>
      </c>
      <c r="B16" s="88" t="s">
        <v>5</v>
      </c>
      <c r="C16" s="193" t="s">
        <v>15</v>
      </c>
      <c r="D16" s="193"/>
      <c r="E16" s="28">
        <v>50.92</v>
      </c>
      <c r="F16" s="88">
        <v>2028</v>
      </c>
      <c r="G16" s="88">
        <f t="shared" si="15"/>
        <v>103265.76000000001</v>
      </c>
      <c r="H16" s="30" t="s">
        <v>53</v>
      </c>
      <c r="I16" s="95">
        <v>15</v>
      </c>
      <c r="J16" s="13">
        <v>2000</v>
      </c>
      <c r="K16" s="12">
        <f t="shared" si="1"/>
        <v>133.33333333333334</v>
      </c>
      <c r="L16" s="95">
        <v>15</v>
      </c>
      <c r="M16" s="13">
        <f t="shared" si="16"/>
        <v>1901.250000000002</v>
      </c>
      <c r="N16" s="12">
        <f t="shared" si="3"/>
        <v>126.75000000000014</v>
      </c>
      <c r="O16" s="14">
        <f t="shared" si="4"/>
        <v>0</v>
      </c>
      <c r="P16" s="15">
        <f t="shared" si="5"/>
        <v>-6.5833333333332007</v>
      </c>
      <c r="Q16" s="91">
        <f t="shared" si="6"/>
        <v>0.95062500000000105</v>
      </c>
      <c r="R16" s="177"/>
      <c r="S16" s="21">
        <v>0.74652777777777779</v>
      </c>
      <c r="T16" s="21">
        <v>0.79097222222222219</v>
      </c>
      <c r="U16" s="88">
        <f t="shared" si="18"/>
        <v>4.9999999999999822</v>
      </c>
      <c r="V16" s="30">
        <f t="shared" si="17"/>
        <v>63.999999999999929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-98.749999999997954</v>
      </c>
      <c r="AF16" s="91">
        <f t="shared" si="9"/>
        <v>0.95062500000000105</v>
      </c>
      <c r="AG16" s="177"/>
    </row>
    <row r="17" spans="1:33" ht="16.5" customHeight="1">
      <c r="A17" s="198" t="s">
        <v>2153</v>
      </c>
      <c r="B17" s="88" t="s">
        <v>5</v>
      </c>
      <c r="C17" s="193" t="s">
        <v>21</v>
      </c>
      <c r="D17" s="193"/>
      <c r="E17" s="28">
        <v>57.3</v>
      </c>
      <c r="F17" s="88">
        <v>1535</v>
      </c>
      <c r="G17" s="88">
        <f t="shared" si="15"/>
        <v>87955.5</v>
      </c>
      <c r="H17" s="30" t="s">
        <v>53</v>
      </c>
      <c r="I17" s="95">
        <v>13</v>
      </c>
      <c r="J17" s="13">
        <v>2000</v>
      </c>
      <c r="K17" s="12">
        <f t="shared" si="1"/>
        <v>153.84615384615384</v>
      </c>
      <c r="L17" s="95">
        <v>13</v>
      </c>
      <c r="M17" s="13">
        <f t="shared" si="16"/>
        <v>1918.7500000000005</v>
      </c>
      <c r="N17" s="12">
        <f t="shared" si="3"/>
        <v>147.59615384615387</v>
      </c>
      <c r="O17" s="14">
        <f t="shared" si="4"/>
        <v>0</v>
      </c>
      <c r="P17" s="15">
        <f t="shared" si="5"/>
        <v>-6.2499999999999716</v>
      </c>
      <c r="Q17" s="91">
        <f t="shared" si="6"/>
        <v>0.9593750000000002</v>
      </c>
      <c r="R17" s="177"/>
      <c r="S17" s="21">
        <v>0.79652777777777772</v>
      </c>
      <c r="T17" s="21">
        <v>0.82986111111111105</v>
      </c>
      <c r="U17" s="88">
        <f t="shared" si="18"/>
        <v>7.9999999999999716</v>
      </c>
      <c r="V17" s="30">
        <f t="shared" si="17"/>
        <v>47.999999999999986</v>
      </c>
      <c r="W17" s="16"/>
      <c r="X17" s="16"/>
      <c r="Y17" s="16"/>
      <c r="Z17" s="16"/>
      <c r="AA17" s="168"/>
      <c r="AB17" s="168"/>
      <c r="AC17" s="18"/>
      <c r="AD17" s="18"/>
      <c r="AE17" s="14">
        <f t="shared" si="8"/>
        <v>-81.249999999999545</v>
      </c>
      <c r="AF17" s="91">
        <f t="shared" si="9"/>
        <v>0.9593750000000002</v>
      </c>
      <c r="AG17" s="177"/>
    </row>
    <row r="18" spans="1:33" ht="16.5" customHeight="1">
      <c r="A18" s="198" t="s">
        <v>2153</v>
      </c>
      <c r="B18" s="28" t="s">
        <v>2152</v>
      </c>
      <c r="C18" s="178"/>
      <c r="D18" s="178"/>
      <c r="E18" s="92"/>
      <c r="F18" s="12"/>
      <c r="G18" s="12"/>
      <c r="H18" s="88"/>
      <c r="I18" s="23">
        <v>17.5</v>
      </c>
      <c r="J18" s="13">
        <v>1750</v>
      </c>
      <c r="K18" s="12">
        <f t="shared" si="1"/>
        <v>100</v>
      </c>
      <c r="L18" s="23">
        <v>17.5</v>
      </c>
      <c r="M18" s="13">
        <f>AVERAGE(M14:M17)</f>
        <v>1674.9571428571435</v>
      </c>
      <c r="N18" s="12">
        <f t="shared" si="3"/>
        <v>95.711836734693918</v>
      </c>
      <c r="O18" s="14">
        <f t="shared" si="4"/>
        <v>0</v>
      </c>
      <c r="P18" s="15">
        <f t="shared" si="5"/>
        <v>-4.2881632653060819</v>
      </c>
      <c r="Q18" s="91">
        <f t="shared" si="6"/>
        <v>0.95711836734693923</v>
      </c>
      <c r="R18" s="177"/>
      <c r="S18" s="21"/>
      <c r="T18" s="21"/>
      <c r="U18" s="88"/>
      <c r="V18" s="30"/>
      <c r="W18" s="12"/>
      <c r="X18" s="12"/>
      <c r="Y18" s="24">
        <f>SUM(Y14:Y17)</f>
        <v>0</v>
      </c>
      <c r="Z18" s="24">
        <f>SUM(Z14:Z17)</f>
        <v>0</v>
      </c>
      <c r="AA18" s="167"/>
      <c r="AB18" s="167"/>
      <c r="AC18" s="24">
        <v>4</v>
      </c>
      <c r="AD18" s="24">
        <f>SUM(AD14:AD17)</f>
        <v>0</v>
      </c>
      <c r="AE18" s="14">
        <f t="shared" si="8"/>
        <v>-75.042857142856519</v>
      </c>
      <c r="AF18" s="91">
        <f t="shared" si="9"/>
        <v>0.95711836734693911</v>
      </c>
      <c r="AG18" s="177"/>
    </row>
    <row r="19" spans="1:33" ht="15.75" customHeight="1">
      <c r="A19" s="195" t="s">
        <v>2154</v>
      </c>
      <c r="B19" s="28" t="s">
        <v>5</v>
      </c>
      <c r="C19" s="193" t="s">
        <v>17</v>
      </c>
      <c r="D19" s="193"/>
      <c r="E19" s="28">
        <v>57.73</v>
      </c>
      <c r="F19" s="88">
        <v>2076</v>
      </c>
      <c r="G19" s="88">
        <f t="shared" ref="G19:G24" si="19">E19*F19</f>
        <v>119847.48</v>
      </c>
      <c r="H19" s="30" t="s">
        <v>53</v>
      </c>
      <c r="I19" s="95">
        <v>14</v>
      </c>
      <c r="J19" s="13">
        <v>2000</v>
      </c>
      <c r="K19" s="12">
        <f t="shared" si="1"/>
        <v>142.85714285714286</v>
      </c>
      <c r="L19" s="95">
        <v>14</v>
      </c>
      <c r="M19" s="13">
        <f t="shared" ref="M19:M24" si="20">F19/V19*60</f>
        <v>1916.3076923076919</v>
      </c>
      <c r="N19" s="12">
        <f t="shared" si="3"/>
        <v>136.87912087912085</v>
      </c>
      <c r="O19" s="14">
        <f t="shared" si="4"/>
        <v>0</v>
      </c>
      <c r="P19" s="15">
        <f t="shared" si="5"/>
        <v>-5.9780219780220136</v>
      </c>
      <c r="Q19" s="91">
        <f t="shared" si="6"/>
        <v>0.95815384615384591</v>
      </c>
      <c r="R19" s="177">
        <f>Q25</f>
        <v>0.95684904322174413</v>
      </c>
      <c r="S19" s="21">
        <v>0.29166666666666669</v>
      </c>
      <c r="T19" s="21">
        <v>0.33680555555555558</v>
      </c>
      <c r="U19" s="88"/>
      <c r="V19" s="30">
        <f t="shared" ref="V19:V24" si="21">(T19-S19)*24*60</f>
        <v>65.000000000000014</v>
      </c>
      <c r="W19" s="21"/>
      <c r="X19" s="21"/>
      <c r="Y19" s="21"/>
      <c r="Z19" s="21"/>
      <c r="AA19" s="168"/>
      <c r="AB19" s="168"/>
      <c r="AC19" s="18">
        <v>6</v>
      </c>
      <c r="AD19" s="18"/>
      <c r="AE19" s="14">
        <f t="shared" si="8"/>
        <v>-83.692307692308077</v>
      </c>
      <c r="AF19" s="91">
        <f t="shared" si="9"/>
        <v>0.95815384615384591</v>
      </c>
      <c r="AG19" s="177">
        <f>AF25</f>
        <v>0.95684904322174413</v>
      </c>
    </row>
    <row r="20" spans="1:33" ht="15.75" customHeight="1">
      <c r="A20" s="196" t="s">
        <v>2154</v>
      </c>
      <c r="B20" s="28" t="s">
        <v>5</v>
      </c>
      <c r="C20" s="193" t="s">
        <v>18</v>
      </c>
      <c r="D20" s="193"/>
      <c r="E20" s="28">
        <v>53.68</v>
      </c>
      <c r="F20" s="88">
        <v>1204</v>
      </c>
      <c r="G20" s="88">
        <f t="shared" si="19"/>
        <v>64630.720000000001</v>
      </c>
      <c r="H20" s="30" t="s">
        <v>53</v>
      </c>
      <c r="I20" s="95">
        <v>16</v>
      </c>
      <c r="J20" s="13">
        <v>2000</v>
      </c>
      <c r="K20" s="12">
        <f t="shared" si="1"/>
        <v>125</v>
      </c>
      <c r="L20" s="95">
        <v>16</v>
      </c>
      <c r="M20" s="13">
        <f t="shared" si="20"/>
        <v>1901.0526315789459</v>
      </c>
      <c r="N20" s="12">
        <f t="shared" si="3"/>
        <v>118.81578947368412</v>
      </c>
      <c r="O20" s="14">
        <f t="shared" si="4"/>
        <v>0</v>
      </c>
      <c r="P20" s="15">
        <f t="shared" si="5"/>
        <v>-6.18421052631588</v>
      </c>
      <c r="Q20" s="91">
        <f t="shared" si="6"/>
        <v>0.950526315789473</v>
      </c>
      <c r="R20" s="177"/>
      <c r="S20" s="21">
        <v>0.34236111111111112</v>
      </c>
      <c r="T20" s="21">
        <v>0.36875000000000002</v>
      </c>
      <c r="U20" s="88">
        <f t="shared" ref="U20:U24" si="22">IF(S20=TIME(17,0,0),"",(S20-T19)*24*60)</f>
        <v>7.9999999999999716</v>
      </c>
      <c r="V20" s="30">
        <f t="shared" si="21"/>
        <v>38.000000000000028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-98.94736842105408</v>
      </c>
      <c r="AF20" s="91">
        <f t="shared" si="9"/>
        <v>0.950526315789473</v>
      </c>
      <c r="AG20" s="177"/>
    </row>
    <row r="21" spans="1:33" ht="15.75" customHeight="1">
      <c r="A21" s="196" t="s">
        <v>2154</v>
      </c>
      <c r="B21" s="28" t="s">
        <v>5</v>
      </c>
      <c r="C21" s="193" t="s">
        <v>73</v>
      </c>
      <c r="D21" s="193"/>
      <c r="E21" s="28">
        <v>50.67</v>
      </c>
      <c r="F21" s="88">
        <v>2194</v>
      </c>
      <c r="G21" s="88">
        <f t="shared" si="19"/>
        <v>111169.98000000001</v>
      </c>
      <c r="H21" s="30" t="s">
        <v>53</v>
      </c>
      <c r="I21" s="95">
        <v>17</v>
      </c>
      <c r="J21" s="13">
        <v>2000</v>
      </c>
      <c r="K21" s="12">
        <f t="shared" si="1"/>
        <v>117.64705882352941</v>
      </c>
      <c r="L21" s="95">
        <v>17</v>
      </c>
      <c r="M21" s="13">
        <f t="shared" si="20"/>
        <v>1907.8260869565217</v>
      </c>
      <c r="N21" s="12">
        <f t="shared" si="3"/>
        <v>112.22506393861893</v>
      </c>
      <c r="O21" s="14">
        <f t="shared" si="4"/>
        <v>0</v>
      </c>
      <c r="P21" s="15">
        <f t="shared" si="5"/>
        <v>-5.4219948849104753</v>
      </c>
      <c r="Q21" s="91">
        <f t="shared" si="6"/>
        <v>0.953913043478261</v>
      </c>
      <c r="R21" s="177"/>
      <c r="S21" s="21">
        <v>0.37291666666666667</v>
      </c>
      <c r="T21" s="21">
        <v>0.42083333333333334</v>
      </c>
      <c r="U21" s="88">
        <f t="shared" si="22"/>
        <v>5.9999999999999787</v>
      </c>
      <c r="V21" s="30">
        <f t="shared" si="21"/>
        <v>69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8"/>
        <v>-92.173913043478251</v>
      </c>
      <c r="AF21" s="91">
        <f t="shared" si="9"/>
        <v>0.95391304347826089</v>
      </c>
      <c r="AG21" s="177"/>
    </row>
    <row r="22" spans="1:33" ht="15.75" customHeight="1">
      <c r="A22" s="196" t="s">
        <v>2154</v>
      </c>
      <c r="B22" s="28" t="s">
        <v>5</v>
      </c>
      <c r="C22" s="193" t="s">
        <v>19</v>
      </c>
      <c r="D22" s="193"/>
      <c r="E22" s="28">
        <v>50.49</v>
      </c>
      <c r="F22" s="88">
        <v>1851</v>
      </c>
      <c r="G22" s="88">
        <f t="shared" si="19"/>
        <v>93456.99</v>
      </c>
      <c r="H22" s="30" t="s">
        <v>53</v>
      </c>
      <c r="I22" s="95">
        <v>15</v>
      </c>
      <c r="J22" s="13">
        <v>2000</v>
      </c>
      <c r="K22" s="12">
        <f t="shared" si="1"/>
        <v>133.33333333333334</v>
      </c>
      <c r="L22" s="95">
        <v>15</v>
      </c>
      <c r="M22" s="13">
        <f t="shared" si="20"/>
        <v>1914.8275862068979</v>
      </c>
      <c r="N22" s="12">
        <f t="shared" si="3"/>
        <v>127.6551724137932</v>
      </c>
      <c r="O22" s="14">
        <f t="shared" si="4"/>
        <v>0</v>
      </c>
      <c r="P22" s="15">
        <f t="shared" si="5"/>
        <v>-5.6781609195401472</v>
      </c>
      <c r="Q22" s="91">
        <f t="shared" si="6"/>
        <v>0.95741379310344887</v>
      </c>
      <c r="R22" s="177"/>
      <c r="S22" s="21">
        <v>0.70833333333333337</v>
      </c>
      <c r="T22" s="21">
        <v>0.74861111111111112</v>
      </c>
      <c r="U22" s="88" t="str">
        <f t="shared" si="22"/>
        <v/>
      </c>
      <c r="V22" s="30">
        <f t="shared" si="21"/>
        <v>57.999999999999957</v>
      </c>
      <c r="W22" s="16"/>
      <c r="X22" s="88"/>
      <c r="Y22" s="88"/>
      <c r="Z22" s="88"/>
      <c r="AA22" s="168"/>
      <c r="AB22" s="168"/>
      <c r="AC22" s="18"/>
      <c r="AD22" s="18"/>
      <c r="AE22" s="14">
        <f t="shared" si="8"/>
        <v>-85.172413793102123</v>
      </c>
      <c r="AF22" s="91">
        <f t="shared" si="9"/>
        <v>0.95741379310344898</v>
      </c>
      <c r="AG22" s="177"/>
    </row>
    <row r="23" spans="1:33" ht="15.75" customHeight="1">
      <c r="A23" s="196" t="s">
        <v>2154</v>
      </c>
      <c r="B23" s="28" t="s">
        <v>5</v>
      </c>
      <c r="C23" s="193" t="s">
        <v>42</v>
      </c>
      <c r="D23" s="193"/>
      <c r="E23" s="28">
        <v>57.73</v>
      </c>
      <c r="F23" s="88">
        <v>873</v>
      </c>
      <c r="G23" s="88">
        <f t="shared" si="19"/>
        <v>50398.29</v>
      </c>
      <c r="H23" s="30" t="s">
        <v>53</v>
      </c>
      <c r="I23" s="95">
        <v>16</v>
      </c>
      <c r="J23" s="13">
        <v>1500</v>
      </c>
      <c r="K23" s="12">
        <f t="shared" si="1"/>
        <v>93.75</v>
      </c>
      <c r="L23" s="95">
        <v>16</v>
      </c>
      <c r="M23" s="13">
        <f t="shared" si="20"/>
        <v>1454.9999999999989</v>
      </c>
      <c r="N23" s="12">
        <f t="shared" si="3"/>
        <v>90.937499999999929</v>
      </c>
      <c r="O23" s="14">
        <f t="shared" si="4"/>
        <v>0</v>
      </c>
      <c r="P23" s="15">
        <f t="shared" si="5"/>
        <v>-2.8125000000000711</v>
      </c>
      <c r="Q23" s="91">
        <f t="shared" si="6"/>
        <v>0.9699999999999992</v>
      </c>
      <c r="R23" s="177"/>
      <c r="S23" s="21">
        <v>0.75277777777777777</v>
      </c>
      <c r="T23" s="21">
        <v>0.77777777777777779</v>
      </c>
      <c r="U23" s="88">
        <f t="shared" si="22"/>
        <v>5.9999999999999787</v>
      </c>
      <c r="V23" s="30">
        <f t="shared" si="21"/>
        <v>36.000000000000028</v>
      </c>
      <c r="W23" s="16"/>
      <c r="X23" s="16"/>
      <c r="Y23" s="88"/>
      <c r="Z23" s="88"/>
      <c r="AA23" s="168"/>
      <c r="AB23" s="168"/>
      <c r="AC23" s="18"/>
      <c r="AD23" s="18"/>
      <c r="AE23" s="14">
        <f t="shared" si="8"/>
        <v>-45.000000000001137</v>
      </c>
      <c r="AF23" s="91">
        <f t="shared" si="9"/>
        <v>0.9699999999999992</v>
      </c>
      <c r="AG23" s="177"/>
    </row>
    <row r="24" spans="1:33" ht="15.75" customHeight="1">
      <c r="A24" s="196" t="s">
        <v>2154</v>
      </c>
      <c r="B24" s="28" t="s">
        <v>5</v>
      </c>
      <c r="C24" s="193" t="s">
        <v>14</v>
      </c>
      <c r="D24" s="193"/>
      <c r="E24" s="28">
        <v>50.98</v>
      </c>
      <c r="F24" s="88">
        <v>2036</v>
      </c>
      <c r="G24" s="88">
        <f t="shared" si="19"/>
        <v>103795.28</v>
      </c>
      <c r="H24" s="30" t="s">
        <v>53</v>
      </c>
      <c r="I24" s="95">
        <v>16</v>
      </c>
      <c r="J24" s="13">
        <v>2000</v>
      </c>
      <c r="K24" s="12">
        <f t="shared" si="1"/>
        <v>125</v>
      </c>
      <c r="L24" s="95">
        <v>16</v>
      </c>
      <c r="M24" s="13">
        <f t="shared" si="20"/>
        <v>1908.750000000002</v>
      </c>
      <c r="N24" s="12">
        <f t="shared" si="3"/>
        <v>119.29687500000013</v>
      </c>
      <c r="O24" s="14">
        <f t="shared" si="4"/>
        <v>0</v>
      </c>
      <c r="P24" s="15">
        <f t="shared" si="5"/>
        <v>-5.7031249999998721</v>
      </c>
      <c r="Q24" s="91">
        <f t="shared" si="6"/>
        <v>0.95437500000000097</v>
      </c>
      <c r="R24" s="177"/>
      <c r="S24" s="21">
        <v>0.78125</v>
      </c>
      <c r="T24" s="21">
        <v>0.8256944444444444</v>
      </c>
      <c r="U24" s="88">
        <f t="shared" si="22"/>
        <v>4.9999999999999822</v>
      </c>
      <c r="V24" s="30">
        <f t="shared" si="21"/>
        <v>63.999999999999929</v>
      </c>
      <c r="W24" s="16"/>
      <c r="X24" s="21"/>
      <c r="Y24" s="21"/>
      <c r="Z24" s="21"/>
      <c r="AA24" s="168"/>
      <c r="AB24" s="168"/>
      <c r="AC24" s="18"/>
      <c r="AD24" s="18"/>
      <c r="AE24" s="14">
        <f t="shared" si="8"/>
        <v>-91.249999999997954</v>
      </c>
      <c r="AF24" s="91">
        <f t="shared" si="9"/>
        <v>0.95437500000000097</v>
      </c>
      <c r="AG24" s="177"/>
    </row>
    <row r="25" spans="1:33" ht="15.75" customHeight="1">
      <c r="A25" s="196" t="s">
        <v>2154</v>
      </c>
      <c r="B25" s="28" t="s">
        <v>2152</v>
      </c>
      <c r="C25" s="178"/>
      <c r="D25" s="178"/>
      <c r="E25" s="92"/>
      <c r="F25" s="88"/>
      <c r="G25" s="88"/>
      <c r="H25" s="88"/>
      <c r="I25" s="23">
        <v>15.666666666666666</v>
      </c>
      <c r="J25" s="13">
        <v>1916.6666666666667</v>
      </c>
      <c r="K25" s="12">
        <f t="shared" si="1"/>
        <v>122.3404255319149</v>
      </c>
      <c r="L25" s="23">
        <v>15.666666666666666</v>
      </c>
      <c r="M25" s="13">
        <f>AVERAGE(M19:M24)</f>
        <v>1833.9606661750097</v>
      </c>
      <c r="N25" s="12">
        <f t="shared" si="3"/>
        <v>117.06131911755381</v>
      </c>
      <c r="O25" s="14">
        <f t="shared" si="4"/>
        <v>0</v>
      </c>
      <c r="P25" s="15">
        <f t="shared" si="5"/>
        <v>-5.2791064143610953</v>
      </c>
      <c r="Q25" s="91">
        <f t="shared" si="6"/>
        <v>0.95684904322174413</v>
      </c>
      <c r="R25" s="177"/>
      <c r="S25" s="21"/>
      <c r="T25" s="21"/>
      <c r="U25" s="12"/>
      <c r="V25" s="30"/>
      <c r="W25" s="12"/>
      <c r="X25" s="12"/>
      <c r="Y25" s="24">
        <f>SUM(Y19:Y24)</f>
        <v>0</v>
      </c>
      <c r="Z25" s="24">
        <f>SUM(Z19:Z24)</f>
        <v>0</v>
      </c>
      <c r="AA25" s="167"/>
      <c r="AB25" s="167"/>
      <c r="AC25" s="24">
        <v>6</v>
      </c>
      <c r="AD25" s="24">
        <f>SUM(AD19:AD24)</f>
        <v>0</v>
      </c>
      <c r="AE25" s="14">
        <f t="shared" si="8"/>
        <v>-82.706000491657051</v>
      </c>
      <c r="AF25" s="91">
        <f t="shared" si="9"/>
        <v>0.95684904322174413</v>
      </c>
      <c r="AG25" s="177"/>
    </row>
    <row r="26" spans="1:33" ht="15.75" customHeight="1">
      <c r="A26" s="194" t="s">
        <v>2155</v>
      </c>
      <c r="B26" s="28" t="s">
        <v>22</v>
      </c>
      <c r="C26" s="193" t="s">
        <v>23</v>
      </c>
      <c r="D26" s="193"/>
      <c r="E26" s="28">
        <v>31.29</v>
      </c>
      <c r="F26" s="88">
        <v>5400</v>
      </c>
      <c r="G26" s="88">
        <f t="shared" ref="G26:G31" si="23">E26*F26</f>
        <v>168966</v>
      </c>
      <c r="H26" s="30">
        <v>2</v>
      </c>
      <c r="I26" s="95">
        <v>18</v>
      </c>
      <c r="J26" s="13">
        <v>2400</v>
      </c>
      <c r="K26" s="12">
        <f t="shared" si="1"/>
        <v>133.33333333333334</v>
      </c>
      <c r="L26" s="95">
        <v>18</v>
      </c>
      <c r="M26" s="13">
        <f t="shared" ref="M26:M31" si="24">F26/V26*60</f>
        <v>2297.872340425532</v>
      </c>
      <c r="N26" s="12">
        <f t="shared" si="3"/>
        <v>127.65957446808511</v>
      </c>
      <c r="O26" s="14">
        <f t="shared" si="4"/>
        <v>0</v>
      </c>
      <c r="P26" s="15">
        <f t="shared" si="5"/>
        <v>-5.6737588652482316</v>
      </c>
      <c r="Q26" s="91">
        <f t="shared" si="6"/>
        <v>0.95744680851063824</v>
      </c>
      <c r="R26" s="177">
        <f>Q32</f>
        <v>0.95692596580179956</v>
      </c>
      <c r="S26" s="21">
        <v>8.3333333333333329E-2</v>
      </c>
      <c r="T26" s="21">
        <v>0.18124999999999999</v>
      </c>
      <c r="U26" s="88"/>
      <c r="V26" s="30">
        <f t="shared" ref="V26:V31" si="25">(T26-S26)*24*60</f>
        <v>141</v>
      </c>
      <c r="W26" s="16">
        <f>T26</f>
        <v>0.18124999999999999</v>
      </c>
      <c r="X26" s="16">
        <f>S27</f>
        <v>0.20208333333333334</v>
      </c>
      <c r="Y26" s="16"/>
      <c r="Z26" s="16"/>
      <c r="AA26" s="168"/>
      <c r="AB26" s="168"/>
      <c r="AC26" s="18">
        <v>6</v>
      </c>
      <c r="AD26" s="18"/>
      <c r="AE26" s="14">
        <f t="shared" si="8"/>
        <v>-102.127659574468</v>
      </c>
      <c r="AF26" s="91">
        <f t="shared" si="9"/>
        <v>0.95744680851063835</v>
      </c>
      <c r="AG26" s="177">
        <f>AF32</f>
        <v>0.95692596580179956</v>
      </c>
    </row>
    <row r="27" spans="1:33" ht="15.75" customHeight="1">
      <c r="A27" s="194" t="s">
        <v>2155</v>
      </c>
      <c r="B27" s="28" t="s">
        <v>22</v>
      </c>
      <c r="C27" s="193" t="s">
        <v>24</v>
      </c>
      <c r="D27" s="193"/>
      <c r="E27" s="28">
        <v>25.98</v>
      </c>
      <c r="F27" s="88">
        <v>3397</v>
      </c>
      <c r="G27" s="88">
        <f t="shared" si="23"/>
        <v>88254.06</v>
      </c>
      <c r="H27" s="30" t="s">
        <v>53</v>
      </c>
      <c r="I27" s="95">
        <v>21</v>
      </c>
      <c r="J27" s="13">
        <v>2400</v>
      </c>
      <c r="K27" s="12">
        <f t="shared" si="1"/>
        <v>114.28571428571429</v>
      </c>
      <c r="L27" s="95">
        <v>21</v>
      </c>
      <c r="M27" s="13">
        <f t="shared" si="24"/>
        <v>2290.1123595505615</v>
      </c>
      <c r="N27" s="12">
        <f t="shared" si="3"/>
        <v>109.05296950240769</v>
      </c>
      <c r="O27" s="14">
        <f t="shared" si="4"/>
        <v>0</v>
      </c>
      <c r="P27" s="15">
        <f t="shared" si="5"/>
        <v>-5.2327447833066003</v>
      </c>
      <c r="Q27" s="91">
        <f t="shared" si="6"/>
        <v>0.95421348314606724</v>
      </c>
      <c r="R27" s="177"/>
      <c r="S27" s="21">
        <v>0.20208333333333334</v>
      </c>
      <c r="T27" s="21">
        <v>0.2638888888888889</v>
      </c>
      <c r="U27" s="88">
        <f t="shared" ref="U27:U31" si="26">(S27-T26)*24*60</f>
        <v>30.000000000000014</v>
      </c>
      <c r="V27" s="30">
        <f t="shared" si="25"/>
        <v>89</v>
      </c>
      <c r="W27" s="16"/>
      <c r="X27" s="16"/>
      <c r="Y27" s="16"/>
      <c r="Z27" s="16"/>
      <c r="AA27" s="168"/>
      <c r="AB27" s="168"/>
      <c r="AC27" s="18"/>
      <c r="AD27" s="18"/>
      <c r="AE27" s="14">
        <f t="shared" si="8"/>
        <v>-109.88764044943855</v>
      </c>
      <c r="AF27" s="91">
        <f t="shared" si="9"/>
        <v>0.95421348314606724</v>
      </c>
      <c r="AG27" s="177"/>
    </row>
    <row r="28" spans="1:33" ht="15.75" customHeight="1">
      <c r="A28" s="194" t="s">
        <v>2155</v>
      </c>
      <c r="B28" s="28" t="s">
        <v>22</v>
      </c>
      <c r="C28" s="193" t="s">
        <v>26</v>
      </c>
      <c r="D28" s="193"/>
      <c r="E28" s="28">
        <v>25.99</v>
      </c>
      <c r="F28" s="88">
        <v>5013</v>
      </c>
      <c r="G28" s="88">
        <f t="shared" si="23"/>
        <v>130287.87</v>
      </c>
      <c r="H28" s="30" t="s">
        <v>53</v>
      </c>
      <c r="I28" s="95">
        <v>14</v>
      </c>
      <c r="J28" s="13">
        <v>2400</v>
      </c>
      <c r="K28" s="12">
        <f t="shared" si="1"/>
        <v>171.42857142857142</v>
      </c>
      <c r="L28" s="95">
        <v>14</v>
      </c>
      <c r="M28" s="13">
        <f t="shared" si="24"/>
        <v>2296.030534351145</v>
      </c>
      <c r="N28" s="12">
        <f t="shared" si="3"/>
        <v>164.0021810250818</v>
      </c>
      <c r="O28" s="14">
        <f t="shared" si="4"/>
        <v>0</v>
      </c>
      <c r="P28" s="15">
        <f t="shared" si="5"/>
        <v>-7.42639040348962</v>
      </c>
      <c r="Q28" s="91">
        <f t="shared" si="6"/>
        <v>0.95667938931297725</v>
      </c>
      <c r="R28" s="177"/>
      <c r="S28" s="21">
        <v>0.26805555555555555</v>
      </c>
      <c r="T28" s="21">
        <v>0.35902777777777778</v>
      </c>
      <c r="U28" s="88">
        <f t="shared" si="26"/>
        <v>5.9999999999999787</v>
      </c>
      <c r="V28" s="30">
        <f t="shared" si="25"/>
        <v>131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-103.96946564885502</v>
      </c>
      <c r="AF28" s="91">
        <f t="shared" si="9"/>
        <v>0.95667938931297702</v>
      </c>
      <c r="AG28" s="177"/>
    </row>
    <row r="29" spans="1:33" ht="15.75" customHeight="1">
      <c r="A29" s="194" t="s">
        <v>2155</v>
      </c>
      <c r="B29" s="28" t="s">
        <v>22</v>
      </c>
      <c r="C29" s="193" t="s">
        <v>27</v>
      </c>
      <c r="D29" s="193"/>
      <c r="E29" s="28">
        <v>26.18</v>
      </c>
      <c r="F29" s="88">
        <v>1703</v>
      </c>
      <c r="G29" s="88">
        <f t="shared" si="23"/>
        <v>44584.54</v>
      </c>
      <c r="H29" s="30" t="s">
        <v>53</v>
      </c>
      <c r="I29" s="95">
        <v>19</v>
      </c>
      <c r="J29" s="13">
        <v>2400</v>
      </c>
      <c r="K29" s="12">
        <f t="shared" si="1"/>
        <v>126.31578947368421</v>
      </c>
      <c r="L29" s="95">
        <v>19</v>
      </c>
      <c r="M29" s="13">
        <f t="shared" si="24"/>
        <v>2322.272727272727</v>
      </c>
      <c r="N29" s="12">
        <f t="shared" si="3"/>
        <v>122.22488038277511</v>
      </c>
      <c r="O29" s="14">
        <f t="shared" si="4"/>
        <v>0</v>
      </c>
      <c r="P29" s="15">
        <f t="shared" si="5"/>
        <v>-4.0909090909090935</v>
      </c>
      <c r="Q29" s="91">
        <f t="shared" si="6"/>
        <v>0.96761363636363629</v>
      </c>
      <c r="R29" s="177"/>
      <c r="S29" s="21">
        <v>0.36319444444444443</v>
      </c>
      <c r="T29" s="21">
        <v>0.39374999999999999</v>
      </c>
      <c r="U29" s="88">
        <f t="shared" si="26"/>
        <v>5.9999999999999787</v>
      </c>
      <c r="V29" s="30">
        <f t="shared" si="25"/>
        <v>44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8"/>
        <v>-77.727272727272975</v>
      </c>
      <c r="AF29" s="91">
        <f t="shared" si="9"/>
        <v>0.96761363636363629</v>
      </c>
      <c r="AG29" s="177"/>
    </row>
    <row r="30" spans="1:33" ht="15.75" customHeight="1">
      <c r="A30" s="194" t="s">
        <v>2155</v>
      </c>
      <c r="B30" s="28" t="s">
        <v>22</v>
      </c>
      <c r="C30" s="193" t="s">
        <v>25</v>
      </c>
      <c r="D30" s="193"/>
      <c r="E30" s="28">
        <v>26.2</v>
      </c>
      <c r="F30" s="88">
        <v>5651</v>
      </c>
      <c r="G30" s="88">
        <f t="shared" si="23"/>
        <v>148056.19999999998</v>
      </c>
      <c r="H30" s="30" t="s">
        <v>53</v>
      </c>
      <c r="I30" s="95">
        <v>20</v>
      </c>
      <c r="J30" s="13">
        <v>2400</v>
      </c>
      <c r="K30" s="12">
        <f t="shared" si="1"/>
        <v>120</v>
      </c>
      <c r="L30" s="95">
        <v>20</v>
      </c>
      <c r="M30" s="13">
        <f t="shared" si="24"/>
        <v>2290.9459459459458</v>
      </c>
      <c r="N30" s="12">
        <f t="shared" si="3"/>
        <v>114.54729729729729</v>
      </c>
      <c r="O30" s="14">
        <f t="shared" si="4"/>
        <v>0</v>
      </c>
      <c r="P30" s="15">
        <f t="shared" si="5"/>
        <v>-5.4527027027027088</v>
      </c>
      <c r="Q30" s="91">
        <f t="shared" si="6"/>
        <v>0.95456081081081079</v>
      </c>
      <c r="R30" s="177"/>
      <c r="S30" s="21">
        <v>0.39791666666666664</v>
      </c>
      <c r="T30" s="21">
        <v>0.50069444444444444</v>
      </c>
      <c r="U30" s="88">
        <f t="shared" si="26"/>
        <v>5.9999999999999787</v>
      </c>
      <c r="V30" s="30">
        <f t="shared" si="25"/>
        <v>148.00000000000003</v>
      </c>
      <c r="W30" s="16">
        <f>T30</f>
        <v>0.50069444444444444</v>
      </c>
      <c r="X30" s="16">
        <f>S31</f>
        <v>0.54097222222222219</v>
      </c>
      <c r="Y30" s="16"/>
      <c r="Z30" s="16"/>
      <c r="AA30" s="168"/>
      <c r="AB30" s="168"/>
      <c r="AC30" s="18"/>
      <c r="AD30" s="18"/>
      <c r="AE30" s="14">
        <f t="shared" si="8"/>
        <v>-109.05405405405418</v>
      </c>
      <c r="AF30" s="91">
        <f t="shared" si="9"/>
        <v>0.95456081081081079</v>
      </c>
      <c r="AG30" s="177"/>
    </row>
    <row r="31" spans="1:33" ht="15.75" customHeight="1">
      <c r="A31" s="194" t="s">
        <v>2156</v>
      </c>
      <c r="B31" s="28" t="s">
        <v>22</v>
      </c>
      <c r="C31" s="193" t="s">
        <v>23</v>
      </c>
      <c r="D31" s="193"/>
      <c r="E31" s="28">
        <v>31.29</v>
      </c>
      <c r="F31" s="88">
        <v>3652</v>
      </c>
      <c r="G31" s="88">
        <f t="shared" si="23"/>
        <v>114271.08</v>
      </c>
      <c r="H31" s="30" t="s">
        <v>53</v>
      </c>
      <c r="I31" s="95">
        <v>18</v>
      </c>
      <c r="J31" s="13">
        <v>2400</v>
      </c>
      <c r="K31" s="12">
        <f t="shared" si="1"/>
        <v>133.33333333333334</v>
      </c>
      <c r="L31" s="95">
        <v>18</v>
      </c>
      <c r="M31" s="13">
        <f t="shared" si="24"/>
        <v>2282.5000000000009</v>
      </c>
      <c r="N31" s="12">
        <f t="shared" si="3"/>
        <v>126.8055555555556</v>
      </c>
      <c r="O31" s="14">
        <f t="shared" si="4"/>
        <v>0</v>
      </c>
      <c r="P31" s="15">
        <f t="shared" si="5"/>
        <v>-6.527777777777743</v>
      </c>
      <c r="Q31" s="91">
        <f t="shared" si="6"/>
        <v>0.9510416666666669</v>
      </c>
      <c r="R31" s="177"/>
      <c r="S31" s="21">
        <v>0.54097222222222219</v>
      </c>
      <c r="T31" s="21">
        <v>0.60763888888888884</v>
      </c>
      <c r="U31" s="88">
        <f t="shared" si="26"/>
        <v>57.999999999999957</v>
      </c>
      <c r="V31" s="30">
        <f t="shared" si="25"/>
        <v>95.999999999999972</v>
      </c>
      <c r="W31" s="16"/>
      <c r="X31" s="16"/>
      <c r="Y31" s="16"/>
      <c r="Z31" s="16"/>
      <c r="AA31" s="168"/>
      <c r="AB31" s="168"/>
      <c r="AC31" s="18"/>
      <c r="AD31" s="18"/>
      <c r="AE31" s="14">
        <f t="shared" si="8"/>
        <v>-117.49999999999909</v>
      </c>
      <c r="AF31" s="91">
        <f t="shared" si="9"/>
        <v>0.95104166666666701</v>
      </c>
      <c r="AG31" s="177"/>
    </row>
    <row r="32" spans="1:33" ht="15.75" customHeight="1">
      <c r="A32" s="194" t="s">
        <v>2156</v>
      </c>
      <c r="B32" s="28" t="s">
        <v>2152</v>
      </c>
      <c r="C32" s="178"/>
      <c r="D32" s="178"/>
      <c r="E32" s="92"/>
      <c r="F32" s="88"/>
      <c r="G32" s="88"/>
      <c r="H32" s="88"/>
      <c r="I32" s="23">
        <v>18.333333333333332</v>
      </c>
      <c r="J32" s="13">
        <v>2400</v>
      </c>
      <c r="K32" s="12">
        <f t="shared" si="1"/>
        <v>130.90909090909091</v>
      </c>
      <c r="L32" s="23">
        <v>18.333333333333332</v>
      </c>
      <c r="M32" s="13">
        <f>AVERAGE(M26:M31)</f>
        <v>2296.6223179243188</v>
      </c>
      <c r="N32" s="12">
        <f t="shared" si="3"/>
        <v>125.2703082504174</v>
      </c>
      <c r="O32" s="14">
        <f t="shared" si="4"/>
        <v>0</v>
      </c>
      <c r="P32" s="15">
        <f t="shared" si="5"/>
        <v>-5.6387826586735059</v>
      </c>
      <c r="Q32" s="91">
        <f t="shared" si="6"/>
        <v>0.95692596580179956</v>
      </c>
      <c r="R32" s="177"/>
      <c r="S32" s="21"/>
      <c r="T32" s="21"/>
      <c r="U32" s="88"/>
      <c r="V32" s="30"/>
      <c r="W32" s="88"/>
      <c r="X32" s="88"/>
      <c r="Y32" s="24">
        <f>SUM(Y26:Y31)</f>
        <v>0</v>
      </c>
      <c r="Z32" s="24">
        <f>SUM(Z26:Z31)</f>
        <v>0</v>
      </c>
      <c r="AA32" s="167"/>
      <c r="AB32" s="167"/>
      <c r="AC32" s="24">
        <v>6</v>
      </c>
      <c r="AD32" s="24">
        <f>SUM(AD26:AD31)</f>
        <v>0</v>
      </c>
      <c r="AE32" s="14">
        <f t="shared" si="8"/>
        <v>-103.37768207568115</v>
      </c>
      <c r="AF32" s="91">
        <f t="shared" si="9"/>
        <v>0.95692596580179956</v>
      </c>
      <c r="AG32" s="177"/>
    </row>
    <row r="33" spans="1:33" ht="15.75" customHeight="1">
      <c r="A33" s="191" t="s">
        <v>2157</v>
      </c>
      <c r="B33" s="28" t="s">
        <v>22</v>
      </c>
      <c r="C33" s="169" t="s">
        <v>28</v>
      </c>
      <c r="D33" s="169"/>
      <c r="E33" s="28">
        <v>26.2</v>
      </c>
      <c r="F33" s="88">
        <v>4700</v>
      </c>
      <c r="G33" s="88">
        <f t="shared" ref="G33:G39" si="27">E33*F33</f>
        <v>123140</v>
      </c>
      <c r="H33" s="30">
        <v>2</v>
      </c>
      <c r="I33" s="95">
        <v>18</v>
      </c>
      <c r="J33" s="13">
        <v>2400</v>
      </c>
      <c r="K33" s="12">
        <f t="shared" si="1"/>
        <v>133.33333333333334</v>
      </c>
      <c r="L33" s="95">
        <v>18</v>
      </c>
      <c r="M33" s="13">
        <f t="shared" ref="M33:M39" si="28">F33/V33*60</f>
        <v>2292.6829268292686</v>
      </c>
      <c r="N33" s="12">
        <f t="shared" si="3"/>
        <v>127.37127371273715</v>
      </c>
      <c r="O33" s="14">
        <f t="shared" si="4"/>
        <v>0</v>
      </c>
      <c r="P33" s="15">
        <f t="shared" si="5"/>
        <v>-5.9620596205961931</v>
      </c>
      <c r="Q33" s="91">
        <f t="shared" si="6"/>
        <v>0.9552845528455286</v>
      </c>
      <c r="R33" s="177">
        <f>Q40</f>
        <v>0.95542434861288772</v>
      </c>
      <c r="S33" s="21">
        <v>8.3333333333333329E-2</v>
      </c>
      <c r="T33" s="21">
        <v>0.16874999999999998</v>
      </c>
      <c r="U33" s="88"/>
      <c r="V33" s="30">
        <f t="shared" ref="V33:V39" si="29">(T33-S33)*24*60</f>
        <v>122.99999999999999</v>
      </c>
      <c r="W33" s="21">
        <f>T33</f>
        <v>0.16874999999999998</v>
      </c>
      <c r="X33" s="21">
        <f>S34</f>
        <v>0.18958333333333333</v>
      </c>
      <c r="Y33" s="21"/>
      <c r="Z33" s="21"/>
      <c r="AA33" s="168"/>
      <c r="AB33" s="168"/>
      <c r="AC33" s="18">
        <v>7</v>
      </c>
      <c r="AD33" s="18"/>
      <c r="AE33" s="14">
        <f t="shared" si="8"/>
        <v>-107.31707317073142</v>
      </c>
      <c r="AF33" s="91">
        <f t="shared" si="9"/>
        <v>0.9552845528455286</v>
      </c>
      <c r="AG33" s="177">
        <f>AF40</f>
        <v>0.95542434861288772</v>
      </c>
    </row>
    <row r="34" spans="1:33" ht="15.75" customHeight="1">
      <c r="A34" s="191" t="s">
        <v>2158</v>
      </c>
      <c r="B34" s="28" t="s">
        <v>22</v>
      </c>
      <c r="C34" s="169" t="s">
        <v>49</v>
      </c>
      <c r="D34" s="169"/>
      <c r="E34" s="28">
        <v>20.2</v>
      </c>
      <c r="F34" s="88">
        <v>2209</v>
      </c>
      <c r="G34" s="88">
        <f t="shared" si="27"/>
        <v>44621.799999999996</v>
      </c>
      <c r="H34" s="30" t="s">
        <v>53</v>
      </c>
      <c r="I34" s="95">
        <v>15</v>
      </c>
      <c r="J34" s="13">
        <v>2400</v>
      </c>
      <c r="K34" s="12">
        <f t="shared" si="1"/>
        <v>160</v>
      </c>
      <c r="L34" s="95">
        <v>15</v>
      </c>
      <c r="M34" s="13">
        <f t="shared" si="28"/>
        <v>2285.1724137931037</v>
      </c>
      <c r="N34" s="12">
        <f t="shared" si="3"/>
        <v>152.34482758620692</v>
      </c>
      <c r="O34" s="14">
        <f t="shared" si="4"/>
        <v>0</v>
      </c>
      <c r="P34" s="15">
        <f t="shared" si="5"/>
        <v>-7.6551724137930819</v>
      </c>
      <c r="Q34" s="91">
        <f t="shared" si="6"/>
        <v>0.95215517241379322</v>
      </c>
      <c r="R34" s="177"/>
      <c r="S34" s="21">
        <v>0.18958333333333333</v>
      </c>
      <c r="T34" s="21">
        <v>0.2298611111111111</v>
      </c>
      <c r="U34" s="88">
        <f t="shared" ref="U34:U39" si="30">(S34-T33)*24*60</f>
        <v>30.000000000000014</v>
      </c>
      <c r="V34" s="30">
        <f t="shared" si="29"/>
        <v>57.999999999999993</v>
      </c>
      <c r="W34" s="88"/>
      <c r="X34" s="88"/>
      <c r="Y34" s="88"/>
      <c r="Z34" s="88"/>
      <c r="AA34" s="168"/>
      <c r="AB34" s="168"/>
      <c r="AC34" s="18"/>
      <c r="AD34" s="18"/>
      <c r="AE34" s="14">
        <f t="shared" si="8"/>
        <v>-114.82758620689629</v>
      </c>
      <c r="AF34" s="91">
        <f t="shared" si="9"/>
        <v>0.95215517241379322</v>
      </c>
      <c r="AG34" s="177"/>
    </row>
    <row r="35" spans="1:33">
      <c r="A35" s="192" t="s">
        <v>2158</v>
      </c>
      <c r="B35" s="28" t="s">
        <v>22</v>
      </c>
      <c r="C35" s="169" t="s">
        <v>32</v>
      </c>
      <c r="D35" s="169"/>
      <c r="E35" s="28">
        <v>20.52</v>
      </c>
      <c r="F35" s="88">
        <v>3091</v>
      </c>
      <c r="G35" s="88">
        <f t="shared" si="27"/>
        <v>63427.32</v>
      </c>
      <c r="H35" s="30" t="s">
        <v>53</v>
      </c>
      <c r="I35" s="95">
        <v>18</v>
      </c>
      <c r="J35" s="13">
        <v>2400</v>
      </c>
      <c r="K35" s="12">
        <f t="shared" si="1"/>
        <v>133.33333333333334</v>
      </c>
      <c r="L35" s="95">
        <v>18</v>
      </c>
      <c r="M35" s="13">
        <f t="shared" si="28"/>
        <v>2289.6296296296287</v>
      </c>
      <c r="N35" s="12">
        <f t="shared" si="3"/>
        <v>127.20164609053492</v>
      </c>
      <c r="O35" s="14">
        <f t="shared" si="4"/>
        <v>0</v>
      </c>
      <c r="P35" s="15">
        <f t="shared" si="5"/>
        <v>-6.1316872427984208</v>
      </c>
      <c r="Q35" s="91">
        <f t="shared" si="6"/>
        <v>0.95401234567901183</v>
      </c>
      <c r="R35" s="177"/>
      <c r="S35" s="21">
        <v>0.23541666666666666</v>
      </c>
      <c r="T35" s="21">
        <v>0.29166666666666669</v>
      </c>
      <c r="U35" s="88">
        <f t="shared" si="30"/>
        <v>8.0000000000000107</v>
      </c>
      <c r="V35" s="30">
        <f t="shared" si="29"/>
        <v>81.000000000000028</v>
      </c>
      <c r="W35" s="88"/>
      <c r="X35" s="88"/>
      <c r="Y35" s="88"/>
      <c r="Z35" s="88"/>
      <c r="AA35" s="168"/>
      <c r="AB35" s="168"/>
      <c r="AC35" s="18"/>
      <c r="AD35" s="18"/>
      <c r="AE35" s="14">
        <f t="shared" si="8"/>
        <v>-110.37037037037135</v>
      </c>
      <c r="AF35" s="91">
        <f t="shared" si="9"/>
        <v>0.95401234567901194</v>
      </c>
      <c r="AG35" s="177"/>
    </row>
    <row r="36" spans="1:33">
      <c r="A36" s="192" t="s">
        <v>2158</v>
      </c>
      <c r="B36" s="28" t="s">
        <v>22</v>
      </c>
      <c r="C36" s="169" t="s">
        <v>30</v>
      </c>
      <c r="D36" s="169"/>
      <c r="E36" s="28">
        <v>26.39</v>
      </c>
      <c r="F36" s="88">
        <v>6229</v>
      </c>
      <c r="G36" s="88">
        <f t="shared" si="27"/>
        <v>164383.31</v>
      </c>
      <c r="H36" s="30" t="s">
        <v>53</v>
      </c>
      <c r="I36" s="95">
        <v>19</v>
      </c>
      <c r="J36" s="13">
        <v>2400</v>
      </c>
      <c r="K36" s="12">
        <f t="shared" si="1"/>
        <v>126.31578947368421</v>
      </c>
      <c r="L36" s="95">
        <v>19</v>
      </c>
      <c r="M36" s="13">
        <f t="shared" si="28"/>
        <v>2292.8834355828221</v>
      </c>
      <c r="N36" s="12">
        <f t="shared" si="3"/>
        <v>120.67807555699063</v>
      </c>
      <c r="O36" s="14">
        <f t="shared" si="4"/>
        <v>0</v>
      </c>
      <c r="P36" s="15">
        <f t="shared" si="5"/>
        <v>-5.6377139166935706</v>
      </c>
      <c r="Q36" s="91">
        <f t="shared" si="6"/>
        <v>0.95536809815950918</v>
      </c>
      <c r="R36" s="177"/>
      <c r="S36" s="21">
        <v>0.29722222222222222</v>
      </c>
      <c r="T36" s="21">
        <v>0.41041666666666665</v>
      </c>
      <c r="U36" s="88">
        <f t="shared" si="30"/>
        <v>7.9999999999999716</v>
      </c>
      <c r="V36" s="30">
        <f t="shared" si="29"/>
        <v>162.99999999999997</v>
      </c>
      <c r="W36" s="16"/>
      <c r="X36" s="16"/>
      <c r="Y36" s="16"/>
      <c r="Z36" s="16"/>
      <c r="AA36" s="168"/>
      <c r="AB36" s="168"/>
      <c r="AC36" s="18"/>
      <c r="AD36" s="18"/>
      <c r="AE36" s="14">
        <f t="shared" si="8"/>
        <v>-107.11656441717787</v>
      </c>
      <c r="AF36" s="91">
        <f t="shared" si="9"/>
        <v>0.95536809815950918</v>
      </c>
      <c r="AG36" s="177"/>
    </row>
    <row r="37" spans="1:33">
      <c r="A37" s="192" t="s">
        <v>2158</v>
      </c>
      <c r="B37" s="28" t="s">
        <v>22</v>
      </c>
      <c r="C37" s="169" t="s">
        <v>51</v>
      </c>
      <c r="D37" s="169"/>
      <c r="E37" s="28">
        <v>24.43</v>
      </c>
      <c r="F37" s="88">
        <v>4300</v>
      </c>
      <c r="G37" s="88">
        <f t="shared" si="27"/>
        <v>105049</v>
      </c>
      <c r="H37" s="30">
        <v>2</v>
      </c>
      <c r="I37" s="95">
        <v>14</v>
      </c>
      <c r="J37" s="13">
        <v>2400</v>
      </c>
      <c r="K37" s="12">
        <f t="shared" si="1"/>
        <v>171.42857142857142</v>
      </c>
      <c r="L37" s="95">
        <v>14</v>
      </c>
      <c r="M37" s="13">
        <f t="shared" si="28"/>
        <v>2303.5714285714289</v>
      </c>
      <c r="N37" s="12">
        <f t="shared" si="3"/>
        <v>164.54081632653063</v>
      </c>
      <c r="O37" s="14">
        <f t="shared" si="4"/>
        <v>0</v>
      </c>
      <c r="P37" s="15">
        <f t="shared" si="5"/>
        <v>-6.887755102040785</v>
      </c>
      <c r="Q37" s="91">
        <f t="shared" si="6"/>
        <v>0.95982142857142871</v>
      </c>
      <c r="R37" s="177"/>
      <c r="S37" s="21">
        <v>0.41597222222222219</v>
      </c>
      <c r="T37" s="21">
        <v>0.49374999999999997</v>
      </c>
      <c r="U37" s="88">
        <f t="shared" si="30"/>
        <v>7.9999999999999716</v>
      </c>
      <c r="V37" s="30">
        <f t="shared" si="29"/>
        <v>112</v>
      </c>
      <c r="W37" s="16">
        <f>T37</f>
        <v>0.49374999999999997</v>
      </c>
      <c r="X37" s="16">
        <f>S38</f>
        <v>0.53333333333333321</v>
      </c>
      <c r="Y37" s="16"/>
      <c r="Z37" s="16"/>
      <c r="AA37" s="168"/>
      <c r="AB37" s="168"/>
      <c r="AC37" s="18"/>
      <c r="AD37" s="18"/>
      <c r="AE37" s="14">
        <f t="shared" si="8"/>
        <v>-96.428571428571104</v>
      </c>
      <c r="AF37" s="91">
        <f t="shared" si="9"/>
        <v>0.95982142857142871</v>
      </c>
      <c r="AG37" s="177"/>
    </row>
    <row r="38" spans="1:33">
      <c r="A38" s="192" t="s">
        <v>2158</v>
      </c>
      <c r="B38" s="28" t="s">
        <v>22</v>
      </c>
      <c r="C38" s="169" t="s">
        <v>51</v>
      </c>
      <c r="D38" s="169"/>
      <c r="E38" s="28">
        <v>24.43</v>
      </c>
      <c r="F38" s="88">
        <v>2628</v>
      </c>
      <c r="G38" s="88">
        <f t="shared" si="27"/>
        <v>64202.04</v>
      </c>
      <c r="H38" s="30" t="s">
        <v>53</v>
      </c>
      <c r="I38" s="95">
        <v>14</v>
      </c>
      <c r="J38" s="13">
        <v>2400</v>
      </c>
      <c r="K38" s="12">
        <f t="shared" si="1"/>
        <v>171.42857142857142</v>
      </c>
      <c r="L38" s="95">
        <v>14</v>
      </c>
      <c r="M38" s="13">
        <f t="shared" si="28"/>
        <v>2285.2173913043507</v>
      </c>
      <c r="N38" s="12">
        <f t="shared" si="3"/>
        <v>163.22981366459649</v>
      </c>
      <c r="O38" s="14">
        <f t="shared" si="4"/>
        <v>0</v>
      </c>
      <c r="P38" s="15">
        <f t="shared" si="5"/>
        <v>-8.1987577639749247</v>
      </c>
      <c r="Q38" s="91">
        <f t="shared" si="6"/>
        <v>0.95217391304347965</v>
      </c>
      <c r="R38" s="177"/>
      <c r="S38" s="21">
        <v>0.53333333333333321</v>
      </c>
      <c r="T38" s="21">
        <v>0.58124999999999982</v>
      </c>
      <c r="U38" s="88">
        <f t="shared" si="30"/>
        <v>56.999999999999879</v>
      </c>
      <c r="V38" s="30">
        <f t="shared" si="29"/>
        <v>68.999999999999915</v>
      </c>
      <c r="W38" s="16"/>
      <c r="X38" s="16"/>
      <c r="Y38" s="16"/>
      <c r="Z38" s="16"/>
      <c r="AA38" s="168"/>
      <c r="AB38" s="168"/>
      <c r="AC38" s="18"/>
      <c r="AD38" s="18"/>
      <c r="AE38" s="14">
        <f t="shared" si="8"/>
        <v>-114.78260869564929</v>
      </c>
      <c r="AF38" s="91">
        <f t="shared" si="9"/>
        <v>0.95217391304347943</v>
      </c>
      <c r="AG38" s="177"/>
    </row>
    <row r="39" spans="1:33">
      <c r="A39" s="192" t="s">
        <v>2158</v>
      </c>
      <c r="B39" s="28" t="s">
        <v>22</v>
      </c>
      <c r="C39" s="169" t="s">
        <v>28</v>
      </c>
      <c r="D39" s="169"/>
      <c r="E39" s="28">
        <v>26.2</v>
      </c>
      <c r="F39" s="88">
        <v>2724</v>
      </c>
      <c r="G39" s="88">
        <f t="shared" si="27"/>
        <v>71368.800000000003</v>
      </c>
      <c r="H39" s="30" t="s">
        <v>53</v>
      </c>
      <c r="I39" s="95">
        <v>18</v>
      </c>
      <c r="J39" s="13">
        <v>2400</v>
      </c>
      <c r="K39" s="12">
        <f t="shared" si="1"/>
        <v>133.33333333333334</v>
      </c>
      <c r="L39" s="95">
        <v>18</v>
      </c>
      <c r="M39" s="13">
        <f t="shared" si="28"/>
        <v>2301.9718309859136</v>
      </c>
      <c r="N39" s="12">
        <f t="shared" si="3"/>
        <v>127.88732394366187</v>
      </c>
      <c r="O39" s="14">
        <f t="shared" si="4"/>
        <v>0</v>
      </c>
      <c r="P39" s="15">
        <f t="shared" si="5"/>
        <v>-5.4460093896714739</v>
      </c>
      <c r="Q39" s="91">
        <f t="shared" si="6"/>
        <v>0.95915492957746395</v>
      </c>
      <c r="R39" s="177"/>
      <c r="S39" s="21">
        <v>0.58541666666666647</v>
      </c>
      <c r="T39" s="21">
        <v>0.63472222222222208</v>
      </c>
      <c r="U39" s="88">
        <f t="shared" si="30"/>
        <v>5.9999999999999787</v>
      </c>
      <c r="V39" s="30">
        <f t="shared" si="29"/>
        <v>71.000000000000071</v>
      </c>
      <c r="W39" s="16"/>
      <c r="X39" s="16"/>
      <c r="Y39" s="19"/>
      <c r="Z39" s="19"/>
      <c r="AA39" s="172"/>
      <c r="AB39" s="173"/>
      <c r="AC39" s="18"/>
      <c r="AD39" s="18"/>
      <c r="AE39" s="14">
        <f t="shared" si="8"/>
        <v>-98.028169014086416</v>
      </c>
      <c r="AF39" s="91">
        <f t="shared" si="9"/>
        <v>0.95915492957746395</v>
      </c>
      <c r="AG39" s="177"/>
    </row>
    <row r="40" spans="1:33">
      <c r="A40" s="192" t="s">
        <v>2158</v>
      </c>
      <c r="B40" s="12" t="s">
        <v>2159</v>
      </c>
      <c r="C40" s="178"/>
      <c r="D40" s="178"/>
      <c r="E40" s="92"/>
      <c r="F40" s="12"/>
      <c r="G40" s="12"/>
      <c r="H40" s="88"/>
      <c r="I40" s="23">
        <v>16.571428571428573</v>
      </c>
      <c r="J40" s="13">
        <v>2400</v>
      </c>
      <c r="K40" s="12">
        <f t="shared" si="1"/>
        <v>144.82758620689654</v>
      </c>
      <c r="L40" s="23">
        <v>16.571428571428573</v>
      </c>
      <c r="M40" s="13">
        <f>AVERAGE(M33:M39)</f>
        <v>2293.0184366709304</v>
      </c>
      <c r="N40" s="12">
        <f t="shared" si="3"/>
        <v>138.37180221290097</v>
      </c>
      <c r="O40" s="14">
        <f t="shared" si="4"/>
        <v>0</v>
      </c>
      <c r="P40" s="15">
        <f t="shared" si="5"/>
        <v>-6.455783993995567</v>
      </c>
      <c r="Q40" s="91">
        <f t="shared" si="6"/>
        <v>0.95542434861288772</v>
      </c>
      <c r="R40" s="177"/>
      <c r="S40" s="21"/>
      <c r="T40" s="21"/>
      <c r="U40" s="12"/>
      <c r="V40" s="30"/>
      <c r="W40" s="12"/>
      <c r="X40" s="12"/>
      <c r="Y40" s="24">
        <f>SUM(Y33:Y39)</f>
        <v>0</v>
      </c>
      <c r="Z40" s="24">
        <f>SUM(Z33:Z39)</f>
        <v>0</v>
      </c>
      <c r="AA40" s="167"/>
      <c r="AB40" s="167"/>
      <c r="AC40" s="24">
        <v>7</v>
      </c>
      <c r="AD40" s="24">
        <f>SUM(AD33:AD39)</f>
        <v>0</v>
      </c>
      <c r="AE40" s="14">
        <f t="shared" si="8"/>
        <v>-106.98156332906956</v>
      </c>
      <c r="AF40" s="91">
        <f t="shared" si="9"/>
        <v>0.95542434861288772</v>
      </c>
      <c r="AG40" s="177"/>
    </row>
    <row r="41" spans="1:33" ht="15.75" customHeight="1">
      <c r="A41" s="188" t="s">
        <v>2160</v>
      </c>
      <c r="B41" s="28" t="s">
        <v>33</v>
      </c>
      <c r="C41" s="170" t="s">
        <v>72</v>
      </c>
      <c r="D41" s="171"/>
      <c r="E41" s="28">
        <v>34.35</v>
      </c>
      <c r="F41" s="88">
        <v>2495</v>
      </c>
      <c r="G41" s="88">
        <f t="shared" ref="G41:G44" si="31">E41*F41</f>
        <v>85703.25</v>
      </c>
      <c r="H41" s="30" t="s">
        <v>53</v>
      </c>
      <c r="I41" s="95">
        <v>8</v>
      </c>
      <c r="J41" s="13">
        <v>3000</v>
      </c>
      <c r="K41" s="12">
        <f t="shared" si="1"/>
        <v>375</v>
      </c>
      <c r="L41" s="95">
        <v>8</v>
      </c>
      <c r="M41" s="13">
        <f t="shared" ref="M41:M44" si="32">F41/V41*60</f>
        <v>2878.8461538461543</v>
      </c>
      <c r="N41" s="13">
        <f t="shared" si="3"/>
        <v>359.85576923076928</v>
      </c>
      <c r="O41" s="14">
        <f t="shared" si="4"/>
        <v>0</v>
      </c>
      <c r="P41" s="15">
        <f t="shared" si="5"/>
        <v>-15.144230769230717</v>
      </c>
      <c r="Q41" s="91">
        <f t="shared" si="6"/>
        <v>0.95961538461538476</v>
      </c>
      <c r="R41" s="183">
        <f>Q45</f>
        <v>0.95600153522947651</v>
      </c>
      <c r="S41" s="21">
        <v>8.3333333333333329E-2</v>
      </c>
      <c r="T41" s="21">
        <v>0.11944444444444444</v>
      </c>
      <c r="U41" s="21"/>
      <c r="V41" s="30">
        <f t="shared" ref="V41:V44" si="33">(T41-S41)*24*60</f>
        <v>51.999999999999993</v>
      </c>
      <c r="W41" s="16">
        <f>T41</f>
        <v>0.11944444444444444</v>
      </c>
      <c r="X41" s="16">
        <f>S42</f>
        <v>0.13819444444444445</v>
      </c>
      <c r="Y41" s="19"/>
      <c r="Z41" s="19"/>
      <c r="AA41" s="172"/>
      <c r="AB41" s="173"/>
      <c r="AC41" s="18">
        <v>4</v>
      </c>
      <c r="AD41" s="18"/>
      <c r="AE41" s="14">
        <f t="shared" si="8"/>
        <v>-121.15384615384573</v>
      </c>
      <c r="AF41" s="91">
        <f t="shared" si="9"/>
        <v>0.95961538461538476</v>
      </c>
      <c r="AG41" s="183">
        <f>AF45</f>
        <v>0.95600153522947651</v>
      </c>
    </row>
    <row r="42" spans="1:33" ht="15.75" customHeight="1">
      <c r="A42" s="189" t="s">
        <v>2160</v>
      </c>
      <c r="B42" s="28" t="s">
        <v>33</v>
      </c>
      <c r="C42" s="170" t="s">
        <v>48</v>
      </c>
      <c r="D42" s="171"/>
      <c r="E42" s="28">
        <v>35.119999999999997</v>
      </c>
      <c r="F42" s="88">
        <v>5000</v>
      </c>
      <c r="G42" s="88">
        <f t="shared" si="31"/>
        <v>175600</v>
      </c>
      <c r="H42" s="30" t="s">
        <v>53</v>
      </c>
      <c r="I42" s="95">
        <v>10</v>
      </c>
      <c r="J42" s="13">
        <v>3000</v>
      </c>
      <c r="K42" s="12">
        <f t="shared" si="1"/>
        <v>300</v>
      </c>
      <c r="L42" s="95">
        <v>10</v>
      </c>
      <c r="M42" s="13">
        <f t="shared" si="32"/>
        <v>2857.1428571428564</v>
      </c>
      <c r="N42" s="13">
        <f t="shared" si="3"/>
        <v>285.71428571428567</v>
      </c>
      <c r="O42" s="14">
        <f t="shared" si="4"/>
        <v>0</v>
      </c>
      <c r="P42" s="15">
        <f t="shared" si="5"/>
        <v>-14.285714285714334</v>
      </c>
      <c r="Q42" s="91">
        <f t="shared" si="6"/>
        <v>0.95238095238095222</v>
      </c>
      <c r="R42" s="184"/>
      <c r="S42" s="21">
        <v>0.13819444444444445</v>
      </c>
      <c r="T42" s="21">
        <v>0.21111111111111114</v>
      </c>
      <c r="U42" s="88">
        <f t="shared" ref="U42:U44" si="34">(S42-T41)*24*60</f>
        <v>27.000000000000025</v>
      </c>
      <c r="V42" s="30">
        <f t="shared" si="33"/>
        <v>105.00000000000003</v>
      </c>
      <c r="W42" s="16"/>
      <c r="X42" s="16"/>
      <c r="Y42" s="19"/>
      <c r="Z42" s="19"/>
      <c r="AA42" s="172"/>
      <c r="AB42" s="173"/>
      <c r="AC42" s="18"/>
      <c r="AD42" s="18"/>
      <c r="AE42" s="14">
        <f t="shared" si="8"/>
        <v>-142.85714285714357</v>
      </c>
      <c r="AF42" s="91">
        <f t="shared" si="9"/>
        <v>0.95238095238095211</v>
      </c>
      <c r="AG42" s="184"/>
    </row>
    <row r="43" spans="1:33" ht="15.75" customHeight="1">
      <c r="A43" s="189" t="s">
        <v>2160</v>
      </c>
      <c r="B43" s="28" t="s">
        <v>33</v>
      </c>
      <c r="C43" s="170" t="s">
        <v>36</v>
      </c>
      <c r="D43" s="171"/>
      <c r="E43" s="28">
        <v>21.13</v>
      </c>
      <c r="F43" s="88">
        <v>4871</v>
      </c>
      <c r="G43" s="88">
        <f t="shared" si="31"/>
        <v>102924.23</v>
      </c>
      <c r="H43" s="30" t="s">
        <v>53</v>
      </c>
      <c r="I43" s="95">
        <v>10</v>
      </c>
      <c r="J43" s="13">
        <v>3000</v>
      </c>
      <c r="K43" s="12">
        <f t="shared" si="1"/>
        <v>300</v>
      </c>
      <c r="L43" s="95">
        <v>10</v>
      </c>
      <c r="M43" s="13">
        <f t="shared" si="32"/>
        <v>2865.294117647059</v>
      </c>
      <c r="N43" s="13">
        <f t="shared" si="3"/>
        <v>286.52941176470591</v>
      </c>
      <c r="O43" s="14">
        <f t="shared" si="4"/>
        <v>0</v>
      </c>
      <c r="P43" s="15">
        <f t="shared" si="5"/>
        <v>-13.470588235294088</v>
      </c>
      <c r="Q43" s="91">
        <f t="shared" si="6"/>
        <v>0.95509803921568637</v>
      </c>
      <c r="R43" s="184"/>
      <c r="S43" s="21">
        <v>0.21527777777777782</v>
      </c>
      <c r="T43" s="21">
        <v>0.28611111111111115</v>
      </c>
      <c r="U43" s="88">
        <f t="shared" si="34"/>
        <v>6.0000000000000187</v>
      </c>
      <c r="V43" s="30">
        <f t="shared" si="33"/>
        <v>102</v>
      </c>
      <c r="W43" s="16"/>
      <c r="X43" s="16"/>
      <c r="Y43" s="19"/>
      <c r="Z43" s="19"/>
      <c r="AA43" s="172"/>
      <c r="AB43" s="173"/>
      <c r="AC43" s="18"/>
      <c r="AD43" s="18"/>
      <c r="AE43" s="14">
        <f t="shared" si="8"/>
        <v>-134.70588235294099</v>
      </c>
      <c r="AF43" s="91">
        <f t="shared" si="9"/>
        <v>0.95509803921568637</v>
      </c>
      <c r="AG43" s="184"/>
    </row>
    <row r="44" spans="1:33" ht="15.75" customHeight="1">
      <c r="A44" s="189" t="s">
        <v>2160</v>
      </c>
      <c r="B44" s="28" t="s">
        <v>33</v>
      </c>
      <c r="C44" s="170" t="s">
        <v>37</v>
      </c>
      <c r="D44" s="171"/>
      <c r="E44" s="28">
        <v>27.17</v>
      </c>
      <c r="F44" s="88">
        <v>6507</v>
      </c>
      <c r="G44" s="88">
        <f t="shared" si="31"/>
        <v>176795.19</v>
      </c>
      <c r="H44" s="30" t="s">
        <v>53</v>
      </c>
      <c r="I44" s="95">
        <v>10</v>
      </c>
      <c r="J44" s="13">
        <v>3000</v>
      </c>
      <c r="K44" s="12">
        <f t="shared" si="1"/>
        <v>300</v>
      </c>
      <c r="L44" s="95">
        <v>10</v>
      </c>
      <c r="M44" s="13">
        <f t="shared" si="32"/>
        <v>2870.7352941176468</v>
      </c>
      <c r="N44" s="13">
        <f t="shared" si="3"/>
        <v>287.0735294117647</v>
      </c>
      <c r="O44" s="14">
        <f t="shared" si="4"/>
        <v>0</v>
      </c>
      <c r="P44" s="15">
        <f t="shared" si="5"/>
        <v>-12.926470588235304</v>
      </c>
      <c r="Q44" s="91">
        <f t="shared" si="6"/>
        <v>0.95691176470588235</v>
      </c>
      <c r="R44" s="184"/>
      <c r="S44" s="21">
        <v>0.2902777777777778</v>
      </c>
      <c r="T44" s="21">
        <v>0.38472222222222224</v>
      </c>
      <c r="U44" s="88">
        <f t="shared" si="34"/>
        <v>5.9999999999999787</v>
      </c>
      <c r="V44" s="30">
        <f t="shared" si="33"/>
        <v>136</v>
      </c>
      <c r="W44" s="16"/>
      <c r="X44" s="16"/>
      <c r="Y44" s="19"/>
      <c r="Z44" s="19"/>
      <c r="AA44" s="172"/>
      <c r="AB44" s="173"/>
      <c r="AC44" s="18"/>
      <c r="AD44" s="18"/>
      <c r="AE44" s="14">
        <f t="shared" si="8"/>
        <v>-129.26470588235316</v>
      </c>
      <c r="AF44" s="91">
        <f t="shared" si="9"/>
        <v>0.95691176470588224</v>
      </c>
      <c r="AG44" s="184"/>
    </row>
    <row r="45" spans="1:33" ht="15.75" customHeight="1">
      <c r="A45" s="190" t="s">
        <v>2160</v>
      </c>
      <c r="B45" s="28" t="s">
        <v>2159</v>
      </c>
      <c r="C45" s="165"/>
      <c r="D45" s="166"/>
      <c r="E45" s="89"/>
      <c r="F45" s="88"/>
      <c r="G45" s="88"/>
      <c r="H45" s="88"/>
      <c r="I45" s="23">
        <v>9.5</v>
      </c>
      <c r="J45" s="13">
        <v>3000</v>
      </c>
      <c r="K45" s="12">
        <f t="shared" si="1"/>
        <v>315.78947368421052</v>
      </c>
      <c r="L45" s="23">
        <v>9.5</v>
      </c>
      <c r="M45" s="13">
        <f>AVERAGE(M41:M44)</f>
        <v>2868.0046056884294</v>
      </c>
      <c r="N45" s="12">
        <f t="shared" si="3"/>
        <v>301.89522165141364</v>
      </c>
      <c r="O45" s="14">
        <f t="shared" si="4"/>
        <v>0</v>
      </c>
      <c r="P45" s="15">
        <f t="shared" si="5"/>
        <v>-13.894252032796885</v>
      </c>
      <c r="Q45" s="91">
        <f t="shared" si="6"/>
        <v>0.95600153522947651</v>
      </c>
      <c r="R45" s="185"/>
      <c r="S45" s="21"/>
      <c r="T45" s="21"/>
      <c r="U45" s="88"/>
      <c r="V45" s="30"/>
      <c r="W45" s="16"/>
      <c r="X45" s="16"/>
      <c r="Y45" s="24">
        <f>SUM(Y41:Y44)</f>
        <v>0</v>
      </c>
      <c r="Z45" s="24">
        <f>SUM(Z41:Z44)</f>
        <v>0</v>
      </c>
      <c r="AA45" s="186"/>
      <c r="AB45" s="187"/>
      <c r="AC45" s="24">
        <v>4</v>
      </c>
      <c r="AD45" s="24">
        <f>SUM(AD41:AD44)</f>
        <v>0</v>
      </c>
      <c r="AE45" s="14">
        <f t="shared" si="8"/>
        <v>-131.99539431157064</v>
      </c>
      <c r="AF45" s="91">
        <f t="shared" si="9"/>
        <v>0.95600153522947651</v>
      </c>
      <c r="AG45" s="185"/>
    </row>
    <row r="46" spans="1:33" ht="15.75" customHeight="1">
      <c r="A46" s="181" t="s">
        <v>2161</v>
      </c>
      <c r="B46" s="28" t="s">
        <v>5</v>
      </c>
      <c r="C46" s="169" t="s">
        <v>41</v>
      </c>
      <c r="D46" s="169"/>
      <c r="E46" s="28">
        <v>51.75</v>
      </c>
      <c r="F46" s="29">
        <v>924</v>
      </c>
      <c r="G46" s="88">
        <f t="shared" ref="G46:G51" si="35">E46*F46</f>
        <v>47817</v>
      </c>
      <c r="H46" s="30" t="s">
        <v>53</v>
      </c>
      <c r="I46" s="95">
        <v>25</v>
      </c>
      <c r="J46" s="13">
        <v>2000</v>
      </c>
      <c r="K46" s="12">
        <f t="shared" si="1"/>
        <v>80</v>
      </c>
      <c r="L46" s="95">
        <v>25</v>
      </c>
      <c r="M46" s="13">
        <f t="shared" ref="M46" si="36">F46/V46*60</f>
        <v>1911.7241379310358</v>
      </c>
      <c r="N46" s="13">
        <f t="shared" si="3"/>
        <v>76.468965517241429</v>
      </c>
      <c r="O46" s="14">
        <f t="shared" si="4"/>
        <v>0</v>
      </c>
      <c r="P46" s="15">
        <f t="shared" si="5"/>
        <v>-3.5310344827585709</v>
      </c>
      <c r="Q46" s="91">
        <f t="shared" si="6"/>
        <v>0.95586206896551784</v>
      </c>
      <c r="R46" s="177">
        <f>Q52</f>
        <v>0.95875379580010267</v>
      </c>
      <c r="S46" s="21">
        <v>0.33333333333333331</v>
      </c>
      <c r="T46" s="21">
        <v>0.35347222222222219</v>
      </c>
      <c r="U46" s="21"/>
      <c r="V46" s="30">
        <f t="shared" ref="V46:V51" si="37">(T46-S46)*24*60</f>
        <v>28.999999999999979</v>
      </c>
      <c r="W46" s="21"/>
      <c r="X46" s="21"/>
      <c r="Y46" s="21"/>
      <c r="Z46" s="21"/>
      <c r="AA46" s="168"/>
      <c r="AB46" s="168"/>
      <c r="AC46" s="18">
        <v>6</v>
      </c>
      <c r="AD46" s="18"/>
      <c r="AE46" s="14">
        <f t="shared" si="8"/>
        <v>-88.275862068964216</v>
      </c>
      <c r="AF46" s="91">
        <f t="shared" si="9"/>
        <v>0.95586206896551784</v>
      </c>
      <c r="AG46" s="177">
        <f>AF52</f>
        <v>0.95875379580010267</v>
      </c>
    </row>
    <row r="47" spans="1:33" ht="15.75" customHeight="1">
      <c r="A47" s="181" t="s">
        <v>2161</v>
      </c>
      <c r="B47" s="28" t="s">
        <v>5</v>
      </c>
      <c r="C47" s="169" t="s">
        <v>40</v>
      </c>
      <c r="D47" s="169"/>
      <c r="E47" s="28">
        <v>56.43</v>
      </c>
      <c r="F47" s="29">
        <v>1397</v>
      </c>
      <c r="G47" s="88">
        <f t="shared" si="35"/>
        <v>78832.710000000006</v>
      </c>
      <c r="H47" s="30" t="s">
        <v>53</v>
      </c>
      <c r="I47" s="95">
        <v>22</v>
      </c>
      <c r="J47" s="13">
        <v>2000</v>
      </c>
      <c r="K47" s="12">
        <f t="shared" si="1"/>
        <v>90.909090909090907</v>
      </c>
      <c r="L47" s="95">
        <v>22</v>
      </c>
      <c r="M47" s="13">
        <f>F47/V47*60</f>
        <v>1905</v>
      </c>
      <c r="N47" s="13">
        <f t="shared" si="3"/>
        <v>86.590909090909093</v>
      </c>
      <c r="O47" s="14">
        <f t="shared" si="4"/>
        <v>0</v>
      </c>
      <c r="P47" s="15">
        <f t="shared" si="5"/>
        <v>-4.318181818181813</v>
      </c>
      <c r="Q47" s="91">
        <f t="shared" si="6"/>
        <v>0.95250000000000001</v>
      </c>
      <c r="R47" s="177"/>
      <c r="S47" s="21">
        <v>0.3569444444444444</v>
      </c>
      <c r="T47" s="21">
        <v>0.38749999999999996</v>
      </c>
      <c r="U47" s="88">
        <f t="shared" ref="U47:U51" si="38">IF(S47=TIME(17,0,0),"",(S47-T46)*24*60)</f>
        <v>4.9999999999999822</v>
      </c>
      <c r="V47" s="30">
        <f t="shared" si="37"/>
        <v>44</v>
      </c>
      <c r="W47" s="16"/>
      <c r="X47" s="16"/>
      <c r="Y47" s="16"/>
      <c r="Z47" s="16"/>
      <c r="AA47" s="168"/>
      <c r="AB47" s="168"/>
      <c r="AC47" s="18"/>
      <c r="AD47" s="18"/>
      <c r="AE47" s="14">
        <f t="shared" si="8"/>
        <v>-95</v>
      </c>
      <c r="AF47" s="91">
        <f t="shared" si="9"/>
        <v>0.95250000000000001</v>
      </c>
      <c r="AG47" s="177"/>
    </row>
    <row r="48" spans="1:33" ht="15.75" customHeight="1">
      <c r="A48" s="181" t="s">
        <v>2161</v>
      </c>
      <c r="B48" s="28" t="s">
        <v>9</v>
      </c>
      <c r="C48" s="170" t="s">
        <v>39</v>
      </c>
      <c r="D48" s="171"/>
      <c r="E48" s="28">
        <v>46</v>
      </c>
      <c r="F48" s="29">
        <v>2517</v>
      </c>
      <c r="G48" s="88">
        <f t="shared" si="35"/>
        <v>115782</v>
      </c>
      <c r="H48" s="30" t="s">
        <v>53</v>
      </c>
      <c r="I48" s="95">
        <v>17</v>
      </c>
      <c r="J48" s="13">
        <v>2000</v>
      </c>
      <c r="K48" s="12">
        <f t="shared" si="1"/>
        <v>117.64705882352941</v>
      </c>
      <c r="L48" s="95">
        <v>17</v>
      </c>
      <c r="M48" s="13">
        <f t="shared" ref="M48:M51" si="39">F48/V48*60</f>
        <v>1911.6455696202522</v>
      </c>
      <c r="N48" s="13">
        <f t="shared" si="3"/>
        <v>112.4497393894266</v>
      </c>
      <c r="O48" s="14">
        <f t="shared" si="4"/>
        <v>0</v>
      </c>
      <c r="P48" s="15">
        <f t="shared" si="5"/>
        <v>-5.1973194341028091</v>
      </c>
      <c r="Q48" s="91">
        <f t="shared" si="6"/>
        <v>0.95582278481012617</v>
      </c>
      <c r="R48" s="177"/>
      <c r="S48" s="21">
        <v>0.39236111111111105</v>
      </c>
      <c r="T48" s="21">
        <v>0.44722222222222219</v>
      </c>
      <c r="U48" s="88">
        <f t="shared" si="38"/>
        <v>6.9999999999999751</v>
      </c>
      <c r="V48" s="30">
        <f t="shared" si="37"/>
        <v>79.000000000000043</v>
      </c>
      <c r="W48" s="16"/>
      <c r="X48" s="16"/>
      <c r="Y48" s="19"/>
      <c r="Z48" s="19"/>
      <c r="AA48" s="168"/>
      <c r="AB48" s="168"/>
      <c r="AC48" s="18"/>
      <c r="AD48" s="18"/>
      <c r="AE48" s="14">
        <f t="shared" si="8"/>
        <v>-88.354430379747782</v>
      </c>
      <c r="AF48" s="91">
        <f t="shared" si="9"/>
        <v>0.95582278481012606</v>
      </c>
      <c r="AG48" s="177"/>
    </row>
    <row r="49" spans="1:33" ht="15.75" customHeight="1">
      <c r="A49" s="181" t="s">
        <v>2161</v>
      </c>
      <c r="B49" s="28" t="s">
        <v>5</v>
      </c>
      <c r="C49" s="93" t="s">
        <v>45</v>
      </c>
      <c r="D49" s="94"/>
      <c r="E49" s="28">
        <v>55.32</v>
      </c>
      <c r="F49" s="29">
        <v>1246</v>
      </c>
      <c r="G49" s="88">
        <f t="shared" si="35"/>
        <v>68928.72</v>
      </c>
      <c r="H49" s="30" t="s">
        <v>53</v>
      </c>
      <c r="I49" s="95">
        <v>15</v>
      </c>
      <c r="J49" s="13">
        <v>2000</v>
      </c>
      <c r="K49" s="12">
        <f t="shared" si="1"/>
        <v>133.33333333333334</v>
      </c>
      <c r="L49" s="95">
        <v>15</v>
      </c>
      <c r="M49" s="13">
        <f t="shared" si="39"/>
        <v>1916.9230769230758</v>
      </c>
      <c r="N49" s="13">
        <f t="shared" si="3"/>
        <v>127.79487179487172</v>
      </c>
      <c r="O49" s="14">
        <f t="shared" si="4"/>
        <v>0</v>
      </c>
      <c r="P49" s="15">
        <f t="shared" si="5"/>
        <v>-5.5384615384616183</v>
      </c>
      <c r="Q49" s="91">
        <f t="shared" si="6"/>
        <v>0.95846153846153792</v>
      </c>
      <c r="R49" s="177"/>
      <c r="S49" s="21">
        <v>0.70833333333333337</v>
      </c>
      <c r="T49" s="21">
        <v>0.73541666666666672</v>
      </c>
      <c r="U49" s="88" t="str">
        <f t="shared" si="38"/>
        <v/>
      </c>
      <c r="V49" s="30">
        <f t="shared" si="37"/>
        <v>39.000000000000021</v>
      </c>
      <c r="W49" s="16"/>
      <c r="X49" s="16"/>
      <c r="Y49" s="19"/>
      <c r="Z49" s="19"/>
      <c r="AA49" s="168"/>
      <c r="AB49" s="168"/>
      <c r="AC49" s="18"/>
      <c r="AD49" s="18"/>
      <c r="AE49" s="14">
        <f t="shared" si="8"/>
        <v>-83.076923076924231</v>
      </c>
      <c r="AF49" s="91">
        <f t="shared" si="9"/>
        <v>0.95846153846153792</v>
      </c>
      <c r="AG49" s="177"/>
    </row>
    <row r="50" spans="1:33" ht="15.75" customHeight="1">
      <c r="A50" s="181" t="s">
        <v>2161</v>
      </c>
      <c r="B50" s="28" t="s">
        <v>5</v>
      </c>
      <c r="C50" s="93" t="s">
        <v>44</v>
      </c>
      <c r="D50" s="94"/>
      <c r="E50" s="28">
        <v>55.56</v>
      </c>
      <c r="F50" s="29">
        <v>1697</v>
      </c>
      <c r="G50" s="88">
        <f t="shared" si="35"/>
        <v>94285.32</v>
      </c>
      <c r="H50" s="30" t="s">
        <v>53</v>
      </c>
      <c r="I50" s="95">
        <v>17</v>
      </c>
      <c r="J50" s="13">
        <v>2000</v>
      </c>
      <c r="K50" s="12">
        <f t="shared" si="1"/>
        <v>117.64705882352941</v>
      </c>
      <c r="L50" s="95">
        <v>17</v>
      </c>
      <c r="M50" s="13">
        <f t="shared" si="39"/>
        <v>1921.1320754716994</v>
      </c>
      <c r="N50" s="13">
        <f t="shared" si="3"/>
        <v>113.00776914539408</v>
      </c>
      <c r="O50" s="14">
        <f t="shared" si="4"/>
        <v>0</v>
      </c>
      <c r="P50" s="15">
        <f t="shared" si="5"/>
        <v>-4.6392896781353272</v>
      </c>
      <c r="Q50" s="91">
        <f t="shared" si="6"/>
        <v>0.9605660377358497</v>
      </c>
      <c r="R50" s="177"/>
      <c r="S50" s="21">
        <v>0.73888888888888893</v>
      </c>
      <c r="T50" s="21">
        <v>0.77569444444444446</v>
      </c>
      <c r="U50" s="88">
        <f t="shared" si="38"/>
        <v>4.9999999999999822</v>
      </c>
      <c r="V50" s="30">
        <f t="shared" si="37"/>
        <v>52.999999999999972</v>
      </c>
      <c r="W50" s="16"/>
      <c r="X50" s="16"/>
      <c r="Y50" s="19"/>
      <c r="Z50" s="19"/>
      <c r="AA50" s="168"/>
      <c r="AB50" s="168"/>
      <c r="AC50" s="18"/>
      <c r="AD50" s="18"/>
      <c r="AE50" s="14">
        <f t="shared" si="8"/>
        <v>-78.867924528300591</v>
      </c>
      <c r="AF50" s="91">
        <f t="shared" si="9"/>
        <v>0.9605660377358497</v>
      </c>
      <c r="AG50" s="177"/>
    </row>
    <row r="51" spans="1:33" ht="15.75" customHeight="1">
      <c r="A51" s="181" t="s">
        <v>2161</v>
      </c>
      <c r="B51" s="28" t="s">
        <v>5</v>
      </c>
      <c r="C51" s="170" t="s">
        <v>43</v>
      </c>
      <c r="D51" s="171"/>
      <c r="E51" s="28">
        <v>54.29</v>
      </c>
      <c r="F51" s="29">
        <v>937</v>
      </c>
      <c r="G51" s="88">
        <f t="shared" si="35"/>
        <v>50869.729999999996</v>
      </c>
      <c r="H51" s="30" t="s">
        <v>53</v>
      </c>
      <c r="I51" s="95">
        <v>20</v>
      </c>
      <c r="J51" s="13">
        <v>2000</v>
      </c>
      <c r="K51" s="12">
        <f t="shared" si="1"/>
        <v>100</v>
      </c>
      <c r="L51" s="95">
        <v>20</v>
      </c>
      <c r="M51" s="13">
        <f t="shared" si="39"/>
        <v>1938.6206896551685</v>
      </c>
      <c r="N51" s="13">
        <f t="shared" si="3"/>
        <v>96.93103448275842</v>
      </c>
      <c r="O51" s="14">
        <f t="shared" si="4"/>
        <v>0</v>
      </c>
      <c r="P51" s="15">
        <f t="shared" si="5"/>
        <v>-3.0689655172415797</v>
      </c>
      <c r="Q51" s="91">
        <f t="shared" si="6"/>
        <v>0.96931034482758416</v>
      </c>
      <c r="R51" s="177"/>
      <c r="S51" s="21">
        <v>0.78125</v>
      </c>
      <c r="T51" s="21">
        <v>0.80138888888888893</v>
      </c>
      <c r="U51" s="88">
        <f t="shared" si="38"/>
        <v>7.9999999999999716</v>
      </c>
      <c r="V51" s="30">
        <f t="shared" si="37"/>
        <v>29.000000000000057</v>
      </c>
      <c r="W51" s="16"/>
      <c r="X51" s="16"/>
      <c r="Y51" s="19"/>
      <c r="Z51" s="19"/>
      <c r="AA51" s="172"/>
      <c r="AB51" s="173"/>
      <c r="AC51" s="18"/>
      <c r="AD51" s="18"/>
      <c r="AE51" s="14">
        <f t="shared" si="8"/>
        <v>-61.379310344831538</v>
      </c>
      <c r="AF51" s="91">
        <f t="shared" si="9"/>
        <v>0.96931034482758427</v>
      </c>
      <c r="AG51" s="177"/>
    </row>
    <row r="52" spans="1:33">
      <c r="A52" s="182" t="s">
        <v>2161</v>
      </c>
      <c r="B52" s="28" t="s">
        <v>2159</v>
      </c>
      <c r="C52" s="178"/>
      <c r="D52" s="178"/>
      <c r="E52" s="92"/>
      <c r="F52" s="12"/>
      <c r="G52" s="12"/>
      <c r="H52" s="88"/>
      <c r="I52" s="23">
        <v>19.333333333333332</v>
      </c>
      <c r="J52" s="13">
        <v>2000</v>
      </c>
      <c r="K52" s="12">
        <f t="shared" si="1"/>
        <v>103.44827586206897</v>
      </c>
      <c r="L52" s="23">
        <v>19.333333333333332</v>
      </c>
      <c r="M52" s="13">
        <f>AVERAGE(M46:M51)</f>
        <v>1917.5075916002054</v>
      </c>
      <c r="N52" s="12">
        <f t="shared" si="3"/>
        <v>99.181427151734766</v>
      </c>
      <c r="O52" s="14">
        <f t="shared" si="4"/>
        <v>0</v>
      </c>
      <c r="P52" s="15">
        <f t="shared" si="5"/>
        <v>-4.2668487103342017</v>
      </c>
      <c r="Q52" s="91">
        <f t="shared" si="6"/>
        <v>0.95875379580010267</v>
      </c>
      <c r="R52" s="177"/>
      <c r="S52" s="21"/>
      <c r="T52" s="21"/>
      <c r="U52" s="88"/>
      <c r="V52" s="30"/>
      <c r="W52" s="12"/>
      <c r="X52" s="12"/>
      <c r="Y52" s="24">
        <f>SUM(Y46:Y51)</f>
        <v>0</v>
      </c>
      <c r="Z52" s="24">
        <f>SUM(Z46:Z51)</f>
        <v>0</v>
      </c>
      <c r="AA52" s="167"/>
      <c r="AB52" s="167"/>
      <c r="AC52" s="24">
        <v>6</v>
      </c>
      <c r="AD52" s="24">
        <f>SUM(AD46:AD51)</f>
        <v>0</v>
      </c>
      <c r="AE52" s="14">
        <f>M52-J52</f>
        <v>-82.492408399794613</v>
      </c>
      <c r="AF52" s="91">
        <f t="shared" si="9"/>
        <v>0.95875379580010267</v>
      </c>
      <c r="AG52" s="177"/>
    </row>
    <row r="53" spans="1:33" ht="15.75" customHeight="1">
      <c r="A53" s="179" t="s">
        <v>2162</v>
      </c>
      <c r="B53" s="88" t="s">
        <v>33</v>
      </c>
      <c r="C53" s="169" t="s">
        <v>46</v>
      </c>
      <c r="D53" s="169"/>
      <c r="E53" s="28">
        <v>37.85</v>
      </c>
      <c r="F53" s="29">
        <v>1073</v>
      </c>
      <c r="G53" s="88">
        <f t="shared" ref="G53:G59" si="40">E53*F53</f>
        <v>40613.050000000003</v>
      </c>
      <c r="H53" s="30" t="s">
        <v>53</v>
      </c>
      <c r="I53" s="95">
        <v>12</v>
      </c>
      <c r="J53" s="13">
        <v>2000</v>
      </c>
      <c r="K53" s="12">
        <f t="shared" si="1"/>
        <v>166.66666666666666</v>
      </c>
      <c r="L53" s="95">
        <v>12</v>
      </c>
      <c r="M53" s="13">
        <f t="shared" ref="M53:M59" si="41">F53/V53*60</f>
        <v>1950.909090909091</v>
      </c>
      <c r="N53" s="12">
        <f t="shared" si="3"/>
        <v>162.57575757575759</v>
      </c>
      <c r="O53" s="14">
        <f t="shared" si="4"/>
        <v>0</v>
      </c>
      <c r="P53" s="15">
        <f t="shared" si="5"/>
        <v>-4.0909090909090651</v>
      </c>
      <c r="Q53" s="91">
        <f t="shared" si="6"/>
        <v>0.97545454545454557</v>
      </c>
      <c r="R53" s="177">
        <f>Q60</f>
        <v>0.97371359207607922</v>
      </c>
      <c r="S53" s="21">
        <v>0.20833333333333334</v>
      </c>
      <c r="T53" s="21">
        <v>0.23125000000000001</v>
      </c>
      <c r="U53" s="88"/>
      <c r="V53" s="30">
        <f t="shared" ref="V53:V59" si="42">(T53-S53)*24*60</f>
        <v>33</v>
      </c>
      <c r="W53" s="21"/>
      <c r="X53" s="21"/>
      <c r="Y53" s="21"/>
      <c r="Z53" s="21"/>
      <c r="AA53" s="168"/>
      <c r="AB53" s="168"/>
      <c r="AC53" s="18">
        <v>7</v>
      </c>
      <c r="AD53" s="18"/>
      <c r="AE53" s="14">
        <f t="shared" ref="AE53:AE67" si="43">M53-J53</f>
        <v>-49.090909090909008</v>
      </c>
      <c r="AF53" s="91">
        <f t="shared" si="9"/>
        <v>0.97545454545454546</v>
      </c>
      <c r="AG53" s="177">
        <f>AF60</f>
        <v>0.97371359207607922</v>
      </c>
    </row>
    <row r="54" spans="1:33" ht="15.75" customHeight="1">
      <c r="A54" s="179" t="s">
        <v>2162</v>
      </c>
      <c r="B54" s="88" t="s">
        <v>33</v>
      </c>
      <c r="C54" s="169" t="s">
        <v>47</v>
      </c>
      <c r="D54" s="169"/>
      <c r="E54" s="28">
        <v>34.36</v>
      </c>
      <c r="F54" s="29">
        <v>1990</v>
      </c>
      <c r="G54" s="88">
        <f t="shared" si="40"/>
        <v>68376.399999999994</v>
      </c>
      <c r="H54" s="30" t="s">
        <v>53</v>
      </c>
      <c r="I54" s="95">
        <v>10</v>
      </c>
      <c r="J54" s="13">
        <v>3000</v>
      </c>
      <c r="K54" s="12">
        <f t="shared" si="1"/>
        <v>300</v>
      </c>
      <c r="L54" s="95">
        <v>10</v>
      </c>
      <c r="M54" s="13">
        <f t="shared" si="41"/>
        <v>2912.1951219512212</v>
      </c>
      <c r="N54" s="12">
        <f t="shared" si="3"/>
        <v>291.21951219512209</v>
      </c>
      <c r="O54" s="14">
        <f t="shared" si="4"/>
        <v>0</v>
      </c>
      <c r="P54" s="15">
        <f t="shared" si="5"/>
        <v>-8.7804878048779074</v>
      </c>
      <c r="Q54" s="91">
        <f t="shared" si="6"/>
        <v>0.97073170731707359</v>
      </c>
      <c r="R54" s="177"/>
      <c r="S54" s="21">
        <v>0.23541666666666669</v>
      </c>
      <c r="T54" s="21">
        <v>0.2638888888888889</v>
      </c>
      <c r="U54" s="88">
        <f t="shared" ref="U54:U59" si="44">(S54-T53)*24*60</f>
        <v>6.0000000000000187</v>
      </c>
      <c r="V54" s="30">
        <f t="shared" si="42"/>
        <v>40.999999999999972</v>
      </c>
      <c r="W54" s="88"/>
      <c r="X54" s="88"/>
      <c r="Y54" s="88"/>
      <c r="Z54" s="88"/>
      <c r="AA54" s="168"/>
      <c r="AB54" s="168"/>
      <c r="AC54" s="18"/>
      <c r="AD54" s="18"/>
      <c r="AE54" s="14">
        <f t="shared" si="43"/>
        <v>-87.804878048778846</v>
      </c>
      <c r="AF54" s="91">
        <f t="shared" si="9"/>
        <v>0.9707317073170737</v>
      </c>
      <c r="AG54" s="177"/>
    </row>
    <row r="55" spans="1:33" ht="15.75" customHeight="1">
      <c r="A55" s="179" t="s">
        <v>2162</v>
      </c>
      <c r="B55" s="88" t="s">
        <v>33</v>
      </c>
      <c r="C55" s="169" t="s">
        <v>34</v>
      </c>
      <c r="D55" s="169"/>
      <c r="E55" s="28">
        <v>34.36</v>
      </c>
      <c r="F55" s="29">
        <v>1376</v>
      </c>
      <c r="G55" s="88">
        <f t="shared" si="40"/>
        <v>47279.360000000001</v>
      </c>
      <c r="H55" s="30" t="s">
        <v>53</v>
      </c>
      <c r="I55" s="95">
        <v>10</v>
      </c>
      <c r="J55" s="13">
        <v>3000</v>
      </c>
      <c r="K55" s="12">
        <f t="shared" si="1"/>
        <v>300</v>
      </c>
      <c r="L55" s="95">
        <v>10</v>
      </c>
      <c r="M55" s="13">
        <f t="shared" si="41"/>
        <v>2948.5714285714307</v>
      </c>
      <c r="N55" s="12">
        <f t="shared" si="3"/>
        <v>294.85714285714306</v>
      </c>
      <c r="O55" s="14">
        <f t="shared" si="4"/>
        <v>0</v>
      </c>
      <c r="P55" s="15">
        <f t="shared" si="5"/>
        <v>-5.1428571428569398</v>
      </c>
      <c r="Q55" s="91">
        <f t="shared" si="6"/>
        <v>0.98285714285714354</v>
      </c>
      <c r="R55" s="177"/>
      <c r="S55" s="21">
        <v>0.26805555555555555</v>
      </c>
      <c r="T55" s="21">
        <v>0.28749999999999998</v>
      </c>
      <c r="U55" s="88">
        <f t="shared" si="44"/>
        <v>5.9999999999999787</v>
      </c>
      <c r="V55" s="30">
        <f t="shared" si="42"/>
        <v>27.999999999999979</v>
      </c>
      <c r="W55" s="88"/>
      <c r="X55" s="88"/>
      <c r="Y55" s="88"/>
      <c r="Z55" s="88"/>
      <c r="AA55" s="168"/>
      <c r="AB55" s="168"/>
      <c r="AC55" s="18"/>
      <c r="AD55" s="18"/>
      <c r="AE55" s="14">
        <f t="shared" si="43"/>
        <v>-51.428571428569285</v>
      </c>
      <c r="AF55" s="91">
        <f t="shared" si="9"/>
        <v>0.98285714285714354</v>
      </c>
      <c r="AG55" s="177"/>
    </row>
    <row r="56" spans="1:33" ht="15.75" customHeight="1">
      <c r="A56" s="179" t="s">
        <v>2162</v>
      </c>
      <c r="B56" s="88" t="s">
        <v>33</v>
      </c>
      <c r="C56" s="169" t="s">
        <v>35</v>
      </c>
      <c r="D56" s="169"/>
      <c r="E56" s="28">
        <v>26.78</v>
      </c>
      <c r="F56" s="29">
        <v>2187</v>
      </c>
      <c r="G56" s="88">
        <f t="shared" si="40"/>
        <v>58567.86</v>
      </c>
      <c r="H56" s="30" t="s">
        <v>53</v>
      </c>
      <c r="I56" s="95">
        <v>10</v>
      </c>
      <c r="J56" s="13">
        <v>3000</v>
      </c>
      <c r="K56" s="12">
        <f t="shared" si="1"/>
        <v>300</v>
      </c>
      <c r="L56" s="95">
        <v>10</v>
      </c>
      <c r="M56" s="13">
        <f t="shared" si="41"/>
        <v>2916</v>
      </c>
      <c r="N56" s="12">
        <f t="shared" si="3"/>
        <v>291.60000000000002</v>
      </c>
      <c r="O56" s="14">
        <f t="shared" si="4"/>
        <v>0</v>
      </c>
      <c r="P56" s="15">
        <f t="shared" si="5"/>
        <v>-8.3999999999999773</v>
      </c>
      <c r="Q56" s="91">
        <f t="shared" si="6"/>
        <v>0.97200000000000009</v>
      </c>
      <c r="R56" s="177"/>
      <c r="S56" s="21">
        <v>0.29166666666666663</v>
      </c>
      <c r="T56" s="21">
        <v>0.32291666666666663</v>
      </c>
      <c r="U56" s="88">
        <f t="shared" si="44"/>
        <v>5.9999999999999787</v>
      </c>
      <c r="V56" s="30">
        <f t="shared" si="42"/>
        <v>45</v>
      </c>
      <c r="W56" s="88"/>
      <c r="X56" s="88"/>
      <c r="Y56" s="88"/>
      <c r="Z56" s="88"/>
      <c r="AA56" s="168"/>
      <c r="AB56" s="168"/>
      <c r="AC56" s="18"/>
      <c r="AD56" s="18"/>
      <c r="AE56" s="14">
        <f t="shared" si="43"/>
        <v>-84</v>
      </c>
      <c r="AF56" s="91">
        <f t="shared" si="9"/>
        <v>0.97199999999999998</v>
      </c>
      <c r="AG56" s="177"/>
    </row>
    <row r="57" spans="1:33">
      <c r="A57" s="180" t="s">
        <v>2162</v>
      </c>
      <c r="B57" s="88" t="s">
        <v>33</v>
      </c>
      <c r="C57" s="169" t="s">
        <v>71</v>
      </c>
      <c r="D57" s="169"/>
      <c r="E57" s="28">
        <v>28.3</v>
      </c>
      <c r="F57" s="29">
        <v>1282</v>
      </c>
      <c r="G57" s="88">
        <f t="shared" si="40"/>
        <v>36280.6</v>
      </c>
      <c r="H57" s="30" t="s">
        <v>53</v>
      </c>
      <c r="I57" s="95">
        <v>8</v>
      </c>
      <c r="J57" s="13">
        <v>3000</v>
      </c>
      <c r="K57" s="12">
        <f t="shared" si="1"/>
        <v>375</v>
      </c>
      <c r="L57" s="95">
        <v>8</v>
      </c>
      <c r="M57" s="13">
        <f t="shared" si="41"/>
        <v>2958.4615384615399</v>
      </c>
      <c r="N57" s="12">
        <f t="shared" si="3"/>
        <v>369.80769230769249</v>
      </c>
      <c r="O57" s="14">
        <f t="shared" si="4"/>
        <v>0</v>
      </c>
      <c r="P57" s="15">
        <f t="shared" si="5"/>
        <v>-5.1923076923075087</v>
      </c>
      <c r="Q57" s="91">
        <f t="shared" si="6"/>
        <v>0.9861538461538466</v>
      </c>
      <c r="R57" s="177"/>
      <c r="S57" s="21">
        <v>0.32847222222222217</v>
      </c>
      <c r="T57" s="21">
        <v>0.34652777777777771</v>
      </c>
      <c r="U57" s="88">
        <f t="shared" si="44"/>
        <v>7.9999999999999716</v>
      </c>
      <c r="V57" s="30">
        <f t="shared" si="42"/>
        <v>25.999999999999986</v>
      </c>
      <c r="W57" s="16"/>
      <c r="X57" s="16"/>
      <c r="Y57" s="16"/>
      <c r="Z57" s="16"/>
      <c r="AA57" s="168"/>
      <c r="AB57" s="168"/>
      <c r="AC57" s="18"/>
      <c r="AD57" s="18"/>
      <c r="AE57" s="14">
        <f t="shared" si="43"/>
        <v>-41.538461538460069</v>
      </c>
      <c r="AF57" s="91">
        <f t="shared" si="9"/>
        <v>0.9861538461538466</v>
      </c>
      <c r="AG57" s="177"/>
    </row>
    <row r="58" spans="1:33" ht="15" customHeight="1">
      <c r="A58" s="180" t="s">
        <v>2162</v>
      </c>
      <c r="B58" s="88" t="s">
        <v>33</v>
      </c>
      <c r="C58" s="170" t="s">
        <v>756</v>
      </c>
      <c r="D58" s="171"/>
      <c r="E58" s="28">
        <v>37.880000000000003</v>
      </c>
      <c r="F58" s="29">
        <v>1993</v>
      </c>
      <c r="G58" s="88">
        <f t="shared" si="40"/>
        <v>75494.840000000011</v>
      </c>
      <c r="H58" s="30" t="s">
        <v>53</v>
      </c>
      <c r="I58" s="95">
        <v>10</v>
      </c>
      <c r="J58" s="13">
        <v>3000</v>
      </c>
      <c r="K58" s="12">
        <f t="shared" si="1"/>
        <v>300</v>
      </c>
      <c r="L58" s="95">
        <v>10</v>
      </c>
      <c r="M58" s="13">
        <f t="shared" si="41"/>
        <v>2916.5853658536575</v>
      </c>
      <c r="N58" s="12">
        <f t="shared" si="3"/>
        <v>291.65853658536577</v>
      </c>
      <c r="O58" s="14">
        <f t="shared" si="4"/>
        <v>0</v>
      </c>
      <c r="P58" s="15">
        <f t="shared" si="5"/>
        <v>-8.3414634146342337</v>
      </c>
      <c r="Q58" s="91">
        <f t="shared" si="6"/>
        <v>0.97219512195121927</v>
      </c>
      <c r="R58" s="177"/>
      <c r="S58" s="21">
        <v>0.35069444444444436</v>
      </c>
      <c r="T58" s="21">
        <v>0.3791666666666666</v>
      </c>
      <c r="U58" s="88">
        <f t="shared" si="44"/>
        <v>5.9999999999999787</v>
      </c>
      <c r="V58" s="30">
        <f t="shared" si="42"/>
        <v>41.000000000000014</v>
      </c>
      <c r="W58" s="88"/>
      <c r="X58" s="88"/>
      <c r="Y58" s="98"/>
      <c r="Z58" s="98"/>
      <c r="AA58" s="172"/>
      <c r="AB58" s="173"/>
      <c r="AC58" s="18"/>
      <c r="AD58" s="18"/>
      <c r="AE58" s="14">
        <f t="shared" si="43"/>
        <v>-83.414634146342451</v>
      </c>
      <c r="AF58" s="91">
        <f t="shared" si="9"/>
        <v>0.97219512195121915</v>
      </c>
      <c r="AG58" s="177"/>
    </row>
    <row r="59" spans="1:33">
      <c r="A59" s="180" t="s">
        <v>2162</v>
      </c>
      <c r="B59" s="88" t="s">
        <v>33</v>
      </c>
      <c r="C59" s="93" t="s">
        <v>38</v>
      </c>
      <c r="D59" s="94"/>
      <c r="E59" s="28">
        <v>35.869999999999997</v>
      </c>
      <c r="F59" s="29">
        <v>3398</v>
      </c>
      <c r="G59" s="88">
        <f t="shared" si="40"/>
        <v>121886.26</v>
      </c>
      <c r="H59" s="30" t="s">
        <v>53</v>
      </c>
      <c r="I59" s="95">
        <v>9</v>
      </c>
      <c r="J59" s="13">
        <v>3000</v>
      </c>
      <c r="K59" s="12">
        <f t="shared" si="1"/>
        <v>333.33333333333331</v>
      </c>
      <c r="L59" s="95">
        <v>9</v>
      </c>
      <c r="M59" s="13">
        <f t="shared" si="41"/>
        <v>2871.5492957746483</v>
      </c>
      <c r="N59" s="12">
        <f t="shared" si="3"/>
        <v>319.06103286384979</v>
      </c>
      <c r="O59" s="14">
        <f t="shared" si="4"/>
        <v>0</v>
      </c>
      <c r="P59" s="15">
        <f t="shared" si="5"/>
        <v>-14.272300469483525</v>
      </c>
      <c r="Q59" s="91">
        <f t="shared" si="6"/>
        <v>0.95718309859154938</v>
      </c>
      <c r="R59" s="177"/>
      <c r="S59" s="21">
        <v>0.38263888888888881</v>
      </c>
      <c r="T59" s="21">
        <v>0.43194444444444435</v>
      </c>
      <c r="U59" s="88">
        <f t="shared" si="44"/>
        <v>4.9999999999999822</v>
      </c>
      <c r="V59" s="30">
        <f t="shared" si="42"/>
        <v>70.999999999999986</v>
      </c>
      <c r="W59" s="16"/>
      <c r="X59" s="16"/>
      <c r="Y59" s="19"/>
      <c r="Z59" s="19"/>
      <c r="AA59" s="172"/>
      <c r="AB59" s="173"/>
      <c r="AC59" s="18"/>
      <c r="AD59" s="18"/>
      <c r="AE59" s="14">
        <f t="shared" si="43"/>
        <v>-128.45070422535173</v>
      </c>
      <c r="AF59" s="91">
        <f t="shared" si="9"/>
        <v>0.95718309859154938</v>
      </c>
      <c r="AG59" s="177"/>
    </row>
    <row r="60" spans="1:33">
      <c r="A60" s="180" t="s">
        <v>2162</v>
      </c>
      <c r="B60" s="28" t="s">
        <v>2159</v>
      </c>
      <c r="C60" s="178"/>
      <c r="D60" s="178"/>
      <c r="E60" s="92"/>
      <c r="F60" s="12"/>
      <c r="G60" s="12"/>
      <c r="H60" s="88"/>
      <c r="I60" s="23">
        <v>9.8571428571428577</v>
      </c>
      <c r="J60" s="13">
        <v>2857.1428571428573</v>
      </c>
      <c r="K60" s="12">
        <f t="shared" si="1"/>
        <v>289.85507246376812</v>
      </c>
      <c r="L60" s="23">
        <v>9.8571428571428577</v>
      </c>
      <c r="M60" s="13">
        <f>AVERAGE(M53:M59)</f>
        <v>2782.0388345030838</v>
      </c>
      <c r="N60" s="12">
        <f t="shared" si="3"/>
        <v>282.2358237901679</v>
      </c>
      <c r="O60" s="14">
        <f t="shared" si="4"/>
        <v>0</v>
      </c>
      <c r="P60" s="15">
        <f t="shared" si="5"/>
        <v>-7.6192486736002252</v>
      </c>
      <c r="Q60" s="91">
        <f t="shared" si="6"/>
        <v>0.97371359207607922</v>
      </c>
      <c r="R60" s="177"/>
      <c r="S60" s="21"/>
      <c r="T60" s="21"/>
      <c r="U60" s="12"/>
      <c r="V60" s="30"/>
      <c r="W60" s="12"/>
      <c r="X60" s="12"/>
      <c r="Y60" s="24">
        <f>SUM(Y53:Y59)</f>
        <v>0</v>
      </c>
      <c r="Z60" s="24">
        <f>SUM(Z53:Z59)</f>
        <v>0</v>
      </c>
      <c r="AA60" s="167"/>
      <c r="AB60" s="167"/>
      <c r="AC60" s="24">
        <v>7</v>
      </c>
      <c r="AD60" s="24">
        <f>SUM(AD53:AD59)</f>
        <v>0</v>
      </c>
      <c r="AE60" s="14">
        <f t="shared" si="43"/>
        <v>-75.104022639773575</v>
      </c>
      <c r="AF60" s="91">
        <f t="shared" si="9"/>
        <v>0.97371359207607922</v>
      </c>
      <c r="AG60" s="177"/>
    </row>
    <row r="61" spans="1:33" ht="15.75" customHeight="1">
      <c r="A61" s="174" t="s">
        <v>2163</v>
      </c>
      <c r="B61" s="88" t="s">
        <v>22</v>
      </c>
      <c r="C61" s="169" t="s">
        <v>29</v>
      </c>
      <c r="D61" s="169"/>
      <c r="E61" s="28">
        <v>20.52</v>
      </c>
      <c r="F61" s="88">
        <v>4082</v>
      </c>
      <c r="G61" s="88">
        <f t="shared" ref="G61:G66" si="45">E61*F61</f>
        <v>83762.64</v>
      </c>
      <c r="H61" s="30" t="s">
        <v>53</v>
      </c>
      <c r="I61" s="95">
        <v>18</v>
      </c>
      <c r="J61" s="13">
        <v>2400</v>
      </c>
      <c r="K61" s="12">
        <f t="shared" si="1"/>
        <v>133.33333333333334</v>
      </c>
      <c r="L61" s="95">
        <v>18</v>
      </c>
      <c r="M61" s="13">
        <f t="shared" ref="M61:M66" si="46">F61/V61*60</f>
        <v>2288.9719626168226</v>
      </c>
      <c r="N61" s="12">
        <f t="shared" si="3"/>
        <v>127.16510903426791</v>
      </c>
      <c r="O61" s="14">
        <f t="shared" si="4"/>
        <v>0</v>
      </c>
      <c r="P61" s="15">
        <f t="shared" si="5"/>
        <v>-6.1682242990654288</v>
      </c>
      <c r="Q61" s="91">
        <f t="shared" si="6"/>
        <v>0.95373831775700924</v>
      </c>
      <c r="R61" s="177">
        <f>Q67</f>
        <v>0.95734838568724989</v>
      </c>
      <c r="S61" s="21">
        <v>8.3333333333333329E-2</v>
      </c>
      <c r="T61" s="21">
        <v>0.15763888888888888</v>
      </c>
      <c r="U61" s="21"/>
      <c r="V61" s="30">
        <f t="shared" ref="V61:V66" si="47">(T61-S61)*24*60</f>
        <v>107</v>
      </c>
      <c r="W61" s="16">
        <f>T61</f>
        <v>0.15763888888888888</v>
      </c>
      <c r="X61" s="16">
        <f>S62</f>
        <v>0.17569444444444443</v>
      </c>
      <c r="Y61" s="16"/>
      <c r="Z61" s="16"/>
      <c r="AA61" s="168"/>
      <c r="AB61" s="168"/>
      <c r="AC61" s="18">
        <v>6</v>
      </c>
      <c r="AD61" s="18"/>
      <c r="AE61" s="14">
        <f t="shared" si="43"/>
        <v>-111.02803738317743</v>
      </c>
      <c r="AF61" s="91">
        <f t="shared" si="9"/>
        <v>0.95373831775700946</v>
      </c>
      <c r="AG61" s="177">
        <f>AF67</f>
        <v>0.95734838568724989</v>
      </c>
    </row>
    <row r="62" spans="1:33" ht="15.75" customHeight="1">
      <c r="A62" s="175" t="s">
        <v>176</v>
      </c>
      <c r="B62" s="88" t="s">
        <v>22</v>
      </c>
      <c r="C62" s="169" t="s">
        <v>50</v>
      </c>
      <c r="D62" s="169"/>
      <c r="E62" s="28">
        <v>24.45</v>
      </c>
      <c r="F62" s="88">
        <v>2652</v>
      </c>
      <c r="G62" s="88">
        <f t="shared" si="45"/>
        <v>64841.4</v>
      </c>
      <c r="H62" s="30" t="s">
        <v>53</v>
      </c>
      <c r="I62" s="95">
        <v>19</v>
      </c>
      <c r="J62" s="13">
        <v>2400</v>
      </c>
      <c r="K62" s="12">
        <f t="shared" si="1"/>
        <v>126.31578947368421</v>
      </c>
      <c r="L62" s="95">
        <v>19</v>
      </c>
      <c r="M62" s="13">
        <f t="shared" si="46"/>
        <v>2306.086956521739</v>
      </c>
      <c r="N62" s="12">
        <f t="shared" si="3"/>
        <v>121.37299771167048</v>
      </c>
      <c r="O62" s="14">
        <f t="shared" si="4"/>
        <v>0</v>
      </c>
      <c r="P62" s="15">
        <f t="shared" si="5"/>
        <v>-4.9427917620137265</v>
      </c>
      <c r="Q62" s="91">
        <f t="shared" si="6"/>
        <v>0.96086956521739131</v>
      </c>
      <c r="R62" s="177"/>
      <c r="S62" s="21">
        <v>0.17569444444444443</v>
      </c>
      <c r="T62" s="21">
        <v>0.22361111111111109</v>
      </c>
      <c r="U62" s="88">
        <f t="shared" ref="U62:U66" si="48">(S62-T61)*24*60</f>
        <v>25.999999999999986</v>
      </c>
      <c r="V62" s="30">
        <f t="shared" si="47"/>
        <v>69</v>
      </c>
      <c r="W62" s="16"/>
      <c r="X62" s="16"/>
      <c r="Y62" s="16"/>
      <c r="Z62" s="16"/>
      <c r="AA62" s="168"/>
      <c r="AB62" s="168"/>
      <c r="AC62" s="18"/>
      <c r="AD62" s="18"/>
      <c r="AE62" s="14">
        <f t="shared" si="43"/>
        <v>-93.913043478260988</v>
      </c>
      <c r="AF62" s="91">
        <f t="shared" si="9"/>
        <v>0.96086956521739131</v>
      </c>
      <c r="AG62" s="177"/>
    </row>
    <row r="63" spans="1:33" ht="15.75" customHeight="1">
      <c r="A63" s="175" t="s">
        <v>176</v>
      </c>
      <c r="B63" s="88" t="s">
        <v>22</v>
      </c>
      <c r="C63" s="169" t="s">
        <v>31</v>
      </c>
      <c r="D63" s="169"/>
      <c r="E63" s="28">
        <v>20.21</v>
      </c>
      <c r="F63" s="88">
        <v>2986</v>
      </c>
      <c r="G63" s="88">
        <f t="shared" si="45"/>
        <v>60347.060000000005</v>
      </c>
      <c r="H63" s="30" t="s">
        <v>53</v>
      </c>
      <c r="I63" s="95">
        <v>15</v>
      </c>
      <c r="J63" s="13">
        <v>2400</v>
      </c>
      <c r="K63" s="12">
        <f t="shared" si="1"/>
        <v>160</v>
      </c>
      <c r="L63" s="95">
        <v>15</v>
      </c>
      <c r="M63" s="13">
        <f t="shared" si="46"/>
        <v>2296.9230769230771</v>
      </c>
      <c r="N63" s="12">
        <f t="shared" si="3"/>
        <v>153.12820512820514</v>
      </c>
      <c r="O63" s="14">
        <f t="shared" si="4"/>
        <v>0</v>
      </c>
      <c r="P63" s="15">
        <f t="shared" si="5"/>
        <v>-6.8717948717948616</v>
      </c>
      <c r="Q63" s="91">
        <f t="shared" si="6"/>
        <v>0.95705128205128209</v>
      </c>
      <c r="R63" s="177"/>
      <c r="S63" s="21">
        <v>0.22916666666666666</v>
      </c>
      <c r="T63" s="21">
        <v>0.28333333333333333</v>
      </c>
      <c r="U63" s="88">
        <f t="shared" si="48"/>
        <v>8.0000000000000107</v>
      </c>
      <c r="V63" s="30">
        <f t="shared" si="47"/>
        <v>78</v>
      </c>
      <c r="W63" s="16"/>
      <c r="X63" s="16"/>
      <c r="Y63" s="16"/>
      <c r="Z63" s="16"/>
      <c r="AA63" s="168"/>
      <c r="AB63" s="168"/>
      <c r="AC63" s="18"/>
      <c r="AD63" s="18"/>
      <c r="AE63" s="14">
        <f t="shared" si="43"/>
        <v>-103.07692307692287</v>
      </c>
      <c r="AF63" s="91">
        <f t="shared" si="9"/>
        <v>0.95705128205128209</v>
      </c>
      <c r="AG63" s="177"/>
    </row>
    <row r="64" spans="1:33" ht="15.75" customHeight="1">
      <c r="A64" s="175" t="s">
        <v>176</v>
      </c>
      <c r="B64" s="88" t="s">
        <v>22</v>
      </c>
      <c r="C64" s="169" t="s">
        <v>52</v>
      </c>
      <c r="D64" s="169"/>
      <c r="E64" s="28">
        <v>19.02</v>
      </c>
      <c r="F64" s="88">
        <v>6200</v>
      </c>
      <c r="G64" s="88">
        <f t="shared" si="45"/>
        <v>117924</v>
      </c>
      <c r="H64" s="30">
        <v>2</v>
      </c>
      <c r="I64" s="95">
        <v>14</v>
      </c>
      <c r="J64" s="13">
        <v>2400</v>
      </c>
      <c r="K64" s="12">
        <f t="shared" si="1"/>
        <v>171.42857142857142</v>
      </c>
      <c r="L64" s="95">
        <v>14</v>
      </c>
      <c r="M64" s="13">
        <f t="shared" si="46"/>
        <v>2296.296296296297</v>
      </c>
      <c r="N64" s="12">
        <f t="shared" si="3"/>
        <v>164.02116402116408</v>
      </c>
      <c r="O64" s="14">
        <f t="shared" si="4"/>
        <v>0</v>
      </c>
      <c r="P64" s="15">
        <f t="shared" si="5"/>
        <v>-7.4074074074073337</v>
      </c>
      <c r="Q64" s="91">
        <f t="shared" si="6"/>
        <v>0.9567901234567906</v>
      </c>
      <c r="R64" s="177"/>
      <c r="S64" s="21">
        <v>0.28680555555555554</v>
      </c>
      <c r="T64" s="21">
        <v>0.39930555555555552</v>
      </c>
      <c r="U64" s="88">
        <f t="shared" si="48"/>
        <v>4.9999999999999822</v>
      </c>
      <c r="V64" s="30">
        <f t="shared" si="47"/>
        <v>161.99999999999997</v>
      </c>
      <c r="W64" s="16"/>
      <c r="X64" s="16"/>
      <c r="Y64" s="16"/>
      <c r="Z64" s="16"/>
      <c r="AA64" s="168"/>
      <c r="AB64" s="168"/>
      <c r="AC64" s="18"/>
      <c r="AD64" s="18"/>
      <c r="AE64" s="14">
        <f t="shared" si="43"/>
        <v>-103.70370370370301</v>
      </c>
      <c r="AF64" s="91">
        <f t="shared" si="9"/>
        <v>0.95679012345679038</v>
      </c>
      <c r="AG64" s="177"/>
    </row>
    <row r="65" spans="1:33" ht="15.75" customHeight="1">
      <c r="A65" s="175" t="s">
        <v>2163</v>
      </c>
      <c r="B65" s="88" t="s">
        <v>22</v>
      </c>
      <c r="C65" s="169" t="s">
        <v>70</v>
      </c>
      <c r="D65" s="169"/>
      <c r="E65" s="28">
        <v>22.69</v>
      </c>
      <c r="F65" s="88">
        <v>4965</v>
      </c>
      <c r="G65" s="88">
        <f t="shared" si="45"/>
        <v>112655.85</v>
      </c>
      <c r="H65" s="30" t="s">
        <v>53</v>
      </c>
      <c r="I65" s="95">
        <v>15</v>
      </c>
      <c r="J65" s="13">
        <v>2400</v>
      </c>
      <c r="K65" s="12">
        <f t="shared" si="1"/>
        <v>160</v>
      </c>
      <c r="L65" s="95">
        <v>15</v>
      </c>
      <c r="M65" s="13">
        <f t="shared" si="46"/>
        <v>2291.538461538461</v>
      </c>
      <c r="N65" s="12">
        <f t="shared" si="3"/>
        <v>152.76923076923075</v>
      </c>
      <c r="O65" s="14">
        <f t="shared" si="4"/>
        <v>0</v>
      </c>
      <c r="P65" s="15">
        <f t="shared" si="5"/>
        <v>-7.2307692307692548</v>
      </c>
      <c r="Q65" s="91">
        <f t="shared" si="6"/>
        <v>0.95480769230769214</v>
      </c>
      <c r="R65" s="177"/>
      <c r="S65" s="21">
        <v>0.40347222222222218</v>
      </c>
      <c r="T65" s="21">
        <v>0.49374999999999997</v>
      </c>
      <c r="U65" s="88">
        <f t="shared" si="48"/>
        <v>5.9999999999999787</v>
      </c>
      <c r="V65" s="30">
        <f t="shared" si="47"/>
        <v>130.00000000000003</v>
      </c>
      <c r="W65" s="16">
        <f>T65</f>
        <v>0.49374999999999997</v>
      </c>
      <c r="X65" s="16">
        <f>S66</f>
        <v>0.53333333333333321</v>
      </c>
      <c r="Y65" s="16"/>
      <c r="Z65" s="16"/>
      <c r="AA65" s="168"/>
      <c r="AB65" s="168"/>
      <c r="AC65" s="18"/>
      <c r="AD65" s="18"/>
      <c r="AE65" s="14">
        <f t="shared" si="43"/>
        <v>-108.46153846153902</v>
      </c>
      <c r="AF65" s="91">
        <f t="shared" si="9"/>
        <v>0.95480769230769202</v>
      </c>
      <c r="AG65" s="177"/>
    </row>
    <row r="66" spans="1:33" ht="15.75" customHeight="1">
      <c r="A66" s="175" t="s">
        <v>176</v>
      </c>
      <c r="B66" s="88" t="s">
        <v>22</v>
      </c>
      <c r="C66" s="169" t="s">
        <v>52</v>
      </c>
      <c r="D66" s="169"/>
      <c r="E66" s="28">
        <v>19.02</v>
      </c>
      <c r="F66" s="88">
        <v>3459</v>
      </c>
      <c r="G66" s="88">
        <f t="shared" si="45"/>
        <v>65790.179999999993</v>
      </c>
      <c r="H66" s="30" t="s">
        <v>53</v>
      </c>
      <c r="I66" s="95">
        <v>14</v>
      </c>
      <c r="J66" s="13">
        <v>2400</v>
      </c>
      <c r="K66" s="12">
        <f t="shared" si="1"/>
        <v>171.42857142857142</v>
      </c>
      <c r="L66" s="95">
        <v>14</v>
      </c>
      <c r="M66" s="13">
        <f t="shared" si="46"/>
        <v>2306</v>
      </c>
      <c r="N66" s="12">
        <f t="shared" si="3"/>
        <v>164.71428571428572</v>
      </c>
      <c r="O66" s="14">
        <f t="shared" si="4"/>
        <v>0</v>
      </c>
      <c r="P66" s="15">
        <f t="shared" si="5"/>
        <v>-6.714285714285694</v>
      </c>
      <c r="Q66" s="91">
        <f t="shared" si="6"/>
        <v>0.96083333333333343</v>
      </c>
      <c r="R66" s="177"/>
      <c r="S66" s="21">
        <v>0.53333333333333321</v>
      </c>
      <c r="T66" s="21">
        <v>0.59583333333333321</v>
      </c>
      <c r="U66" s="88">
        <f t="shared" si="48"/>
        <v>56.999999999999879</v>
      </c>
      <c r="V66" s="30">
        <f t="shared" si="47"/>
        <v>90</v>
      </c>
      <c r="W66" s="16"/>
      <c r="X66" s="16"/>
      <c r="Y66" s="16"/>
      <c r="Z66" s="16"/>
      <c r="AA66" s="168"/>
      <c r="AB66" s="168"/>
      <c r="AC66" s="18"/>
      <c r="AD66" s="18"/>
      <c r="AE66" s="14">
        <f t="shared" si="43"/>
        <v>-94</v>
      </c>
      <c r="AF66" s="91">
        <f t="shared" si="9"/>
        <v>0.96083333333333332</v>
      </c>
      <c r="AG66" s="177"/>
    </row>
    <row r="67" spans="1:33" ht="16.5" customHeight="1">
      <c r="A67" s="176" t="s">
        <v>176</v>
      </c>
      <c r="B67" s="28" t="s">
        <v>165</v>
      </c>
      <c r="C67" s="165"/>
      <c r="D67" s="166"/>
      <c r="E67" s="92"/>
      <c r="F67" s="12"/>
      <c r="G67" s="12"/>
      <c r="H67" s="88"/>
      <c r="I67" s="23">
        <v>15.833333333333334</v>
      </c>
      <c r="J67" s="13">
        <v>2400</v>
      </c>
      <c r="K67" s="12">
        <f t="shared" si="1"/>
        <v>151.57894736842104</v>
      </c>
      <c r="L67" s="23">
        <v>15.833333333333334</v>
      </c>
      <c r="M67" s="13">
        <f>AVERAGE(M61:M66)</f>
        <v>2297.6361256493997</v>
      </c>
      <c r="N67" s="12">
        <f t="shared" si="3"/>
        <v>145.11386056733051</v>
      </c>
      <c r="O67" s="14">
        <f t="shared" si="4"/>
        <v>0</v>
      </c>
      <c r="P67" s="15">
        <f t="shared" si="5"/>
        <v>-6.4650868010905356</v>
      </c>
      <c r="Q67" s="91">
        <f t="shared" si="6"/>
        <v>0.95734838568724989</v>
      </c>
      <c r="R67" s="177"/>
      <c r="S67" s="21"/>
      <c r="T67" s="21"/>
      <c r="U67" s="12"/>
      <c r="V67" s="30"/>
      <c r="W67" s="12"/>
      <c r="X67" s="12"/>
      <c r="Y67" s="24">
        <f>SUM(Y61:Y66)</f>
        <v>0</v>
      </c>
      <c r="Z67" s="24">
        <f>SUM(Z61:Z66)</f>
        <v>0</v>
      </c>
      <c r="AA67" s="167"/>
      <c r="AB67" s="167"/>
      <c r="AC67" s="24">
        <v>6</v>
      </c>
      <c r="AD67" s="24">
        <f>SUM(AD61:AD66)</f>
        <v>0</v>
      </c>
      <c r="AE67" s="14">
        <f t="shared" si="43"/>
        <v>-102.36387435060033</v>
      </c>
      <c r="AF67" s="91">
        <f t="shared" si="9"/>
        <v>0.95734838568724989</v>
      </c>
      <c r="AG67" s="177"/>
    </row>
    <row r="68" spans="1:33">
      <c r="D68" s="87"/>
      <c r="E68" s="87"/>
    </row>
  </sheetData>
  <mergeCells count="186">
    <mergeCell ref="A61:A67"/>
    <mergeCell ref="C61:D61"/>
    <mergeCell ref="R61:R67"/>
    <mergeCell ref="AA61:AB61"/>
    <mergeCell ref="AA66:AB66"/>
    <mergeCell ref="C67:D67"/>
    <mergeCell ref="AA67:AB67"/>
    <mergeCell ref="AG61:AG67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C58:D58"/>
    <mergeCell ref="AA58:AB58"/>
    <mergeCell ref="AA59:AB59"/>
    <mergeCell ref="A53:A60"/>
    <mergeCell ref="C53:D53"/>
    <mergeCell ref="R53:R60"/>
    <mergeCell ref="AA53:AB53"/>
    <mergeCell ref="C60:D60"/>
    <mergeCell ref="AA60:AB60"/>
    <mergeCell ref="A46:A52"/>
    <mergeCell ref="C46:D46"/>
    <mergeCell ref="R46:R52"/>
    <mergeCell ref="AA46:AB46"/>
    <mergeCell ref="AA52:AB52"/>
    <mergeCell ref="AG53:AG60"/>
    <mergeCell ref="C54:D54"/>
    <mergeCell ref="AA54:AB54"/>
    <mergeCell ref="C55:D55"/>
    <mergeCell ref="AA55:AB55"/>
    <mergeCell ref="C56:D56"/>
    <mergeCell ref="AG46:AG52"/>
    <mergeCell ref="C47:D47"/>
    <mergeCell ref="AA47:AB47"/>
    <mergeCell ref="C48:D48"/>
    <mergeCell ref="AA48:AB48"/>
    <mergeCell ref="AA49:AB49"/>
    <mergeCell ref="AA50:AB50"/>
    <mergeCell ref="C51:D51"/>
    <mergeCell ref="AA51:AB51"/>
    <mergeCell ref="C52:D52"/>
    <mergeCell ref="AA56:AB56"/>
    <mergeCell ref="C57:D57"/>
    <mergeCell ref="AA57:AB57"/>
    <mergeCell ref="AG33:AG40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41:A45"/>
    <mergeCell ref="C41:D41"/>
    <mergeCell ref="R41:R45"/>
    <mergeCell ref="AA41:AB41"/>
    <mergeCell ref="AG41:AG45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A33:A40"/>
    <mergeCell ref="C33:D33"/>
    <mergeCell ref="R33:R40"/>
    <mergeCell ref="AA33:AB33"/>
    <mergeCell ref="AA38:AB38"/>
    <mergeCell ref="C39:D39"/>
    <mergeCell ref="AA39:AB39"/>
    <mergeCell ref="C40:D40"/>
    <mergeCell ref="AA40:AB40"/>
    <mergeCell ref="A26:A32"/>
    <mergeCell ref="C26:D26"/>
    <mergeCell ref="R26:R32"/>
    <mergeCell ref="AA26:AB26"/>
    <mergeCell ref="C32:D32"/>
    <mergeCell ref="AA32:AB32"/>
    <mergeCell ref="A19:A25"/>
    <mergeCell ref="C19:D19"/>
    <mergeCell ref="R19:R25"/>
    <mergeCell ref="AA19:AB19"/>
    <mergeCell ref="AA24:AB24"/>
    <mergeCell ref="C25:D25"/>
    <mergeCell ref="AG26:AG32"/>
    <mergeCell ref="C27:D27"/>
    <mergeCell ref="AA27:AB27"/>
    <mergeCell ref="C28:D28"/>
    <mergeCell ref="AA28:AB28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C29:D29"/>
    <mergeCell ref="AA29:AB29"/>
    <mergeCell ref="C30:D30"/>
    <mergeCell ref="AA30:AB30"/>
    <mergeCell ref="C31:D31"/>
    <mergeCell ref="AA31:AB31"/>
    <mergeCell ref="AA25:AB25"/>
    <mergeCell ref="AA13:AB13"/>
    <mergeCell ref="A14:A18"/>
    <mergeCell ref="C14:D14"/>
    <mergeCell ref="R14:R18"/>
    <mergeCell ref="AA14:AB14"/>
    <mergeCell ref="AG14:AG18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17:D17"/>
    <mergeCell ref="AA17:AB17"/>
    <mergeCell ref="C18:D18"/>
    <mergeCell ref="AA18:AB18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:O67">
    <cfRule type="cellIs" dxfId="178" priority="9" operator="greaterThan">
      <formula>0</formula>
    </cfRule>
  </conditionalFormatting>
  <conditionalFormatting sqref="P5:P67">
    <cfRule type="cellIs" dxfId="177" priority="1" operator="lessThan">
      <formula>0</formula>
    </cfRule>
  </conditionalFormatting>
  <conditionalFormatting sqref="Q5:Q67 AF5:AF67">
    <cfRule type="cellIs" dxfId="176" priority="10" operator="greaterThan">
      <formula>1</formula>
    </cfRule>
    <cfRule type="cellIs" dxfId="175" priority="11" operator="lessThan">
      <formula>0.8</formula>
    </cfRule>
  </conditionalFormatting>
  <conditionalFormatting sqref="R5:R10 AG5:AG10">
    <cfRule type="cellIs" dxfId="174" priority="37" operator="lessThan">
      <formula>0.8</formula>
    </cfRule>
  </conditionalFormatting>
  <conditionalFormatting sqref="AE5:AE67">
    <cfRule type="cellIs" dxfId="173" priority="12" operator="lessThan">
      <formula>0</formula>
    </cfRule>
  </conditionalFormatting>
  <conditionalFormatting sqref="AG14:AG56 R14:R67">
    <cfRule type="cellIs" dxfId="172" priority="13" operator="lessThan">
      <formula>0.8</formula>
    </cfRule>
  </conditionalFormatting>
  <dataValidations count="1">
    <dataValidation type="list" allowBlank="1" showInputMessage="1" showErrorMessage="1" sqref="AB9 AA5:AB8 AB57:AB59 AB11:AB53 AA9:AA59 AA60:AB67" xr:uid="{00000000-0002-0000-11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Q32"/>
  <sheetViews>
    <sheetView zoomScale="85" zoomScaleNormal="85" workbookViewId="0">
      <selection activeCell="D10" sqref="D10:J10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1997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1998</v>
      </c>
      <c r="C3" s="154" t="str">
        <f>TEXT('0421 4度C'!A2,"yyyy.mm.ddaaaa")</f>
        <v>2026.04.21星期二</v>
      </c>
      <c r="D3" s="155"/>
      <c r="E3" s="33" t="s">
        <v>77</v>
      </c>
      <c r="F3" s="156">
        <f>'0421 4度C'!D1</f>
        <v>165919</v>
      </c>
      <c r="G3" s="157"/>
      <c r="H3" s="33" t="s">
        <v>1999</v>
      </c>
      <c r="I3" s="158">
        <f>'0421 4度C'!F1</f>
        <v>5458356.3399999999</v>
      </c>
      <c r="J3" s="159"/>
      <c r="K3" s="34"/>
      <c r="L3" s="35"/>
      <c r="M3" s="35"/>
      <c r="N3" s="35"/>
    </row>
    <row r="4" spans="2:17" ht="28.5" customHeight="1">
      <c r="B4" s="160" t="s">
        <v>2000</v>
      </c>
      <c r="C4" s="146" t="s">
        <v>2001</v>
      </c>
      <c r="D4" s="147"/>
      <c r="E4" s="163" t="s">
        <v>2002</v>
      </c>
      <c r="F4" s="164"/>
      <c r="G4" s="163" t="s">
        <v>2003</v>
      </c>
      <c r="H4" s="164"/>
      <c r="I4" s="163" t="s">
        <v>2004</v>
      </c>
      <c r="J4" s="164"/>
      <c r="K4" s="144" t="s">
        <v>2005</v>
      </c>
      <c r="L4" s="145"/>
      <c r="M4" s="145" t="s">
        <v>2006</v>
      </c>
      <c r="N4" s="145"/>
    </row>
    <row r="5" spans="2:17" ht="28.5" customHeight="1">
      <c r="B5" s="161"/>
      <c r="C5" s="146" t="s">
        <v>2007</v>
      </c>
      <c r="D5" s="147"/>
      <c r="E5" s="146" t="s">
        <v>2008</v>
      </c>
      <c r="F5" s="147"/>
      <c r="G5" s="148" t="s">
        <v>2009</v>
      </c>
      <c r="H5" s="149"/>
      <c r="I5" s="150" t="s">
        <v>2010</v>
      </c>
      <c r="J5" s="151"/>
      <c r="K5" s="36" t="s">
        <v>2011</v>
      </c>
      <c r="L5" s="37" t="s">
        <v>2012</v>
      </c>
      <c r="M5" s="36" t="s">
        <v>2013</v>
      </c>
      <c r="N5" s="37" t="s">
        <v>2014</v>
      </c>
    </row>
    <row r="6" spans="2:17" ht="28.5" customHeight="1">
      <c r="B6" s="161"/>
      <c r="C6" s="146" t="s">
        <v>54</v>
      </c>
      <c r="D6" s="147"/>
      <c r="E6" s="138">
        <f>AVERAGE(D13:M13)</f>
        <v>156.71389131291988</v>
      </c>
      <c r="F6" s="139">
        <f>AVERAGE(D31:O31,D13:J13)</f>
        <v>162.17835836944846</v>
      </c>
      <c r="G6" s="140">
        <f>AVERAGE(D13:J13)</f>
        <v>162.17835836944846</v>
      </c>
      <c r="H6" s="141"/>
      <c r="I6" s="140">
        <f>AVERAGE(K13:M13)</f>
        <v>143.96346818101983</v>
      </c>
      <c r="J6" s="141"/>
      <c r="K6" s="142">
        <f>'0421 4度C'!Y2</f>
        <v>0</v>
      </c>
      <c r="L6" s="127">
        <f>'0421 4度C'!Z2</f>
        <v>0</v>
      </c>
      <c r="M6" s="143">
        <f>'0421 4度C'!AC2</f>
        <v>56</v>
      </c>
      <c r="N6" s="127">
        <f>'0421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150.35025846533014</v>
      </c>
      <c r="F7" s="131">
        <f>AVERAGE(D32:O32,D14:J14)</f>
        <v>155.71922368989104</v>
      </c>
      <c r="G7" s="132">
        <f>AVERAGE(D14:J14)</f>
        <v>155.71922368989104</v>
      </c>
      <c r="H7" s="133"/>
      <c r="I7" s="132">
        <f>AVERAGE(K14:M14)</f>
        <v>137.82267294135477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0.95935923450938954</v>
      </c>
      <c r="F8" s="135">
        <f>AVERAGE(D15:J15,D33:O33)</f>
        <v>0.96019180096976109</v>
      </c>
      <c r="G8" s="136">
        <f>AVERAGE(D15:J15)</f>
        <v>0.96019180096976109</v>
      </c>
      <c r="H8" s="137"/>
      <c r="I8" s="136">
        <f>AVERAGE(K15:M15)</f>
        <v>0.95741657943518899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2015</v>
      </c>
      <c r="N9" s="35"/>
      <c r="O9" s="35"/>
      <c r="P9" s="35"/>
      <c r="Q9" s="35"/>
    </row>
    <row r="10" spans="2:17" ht="30" customHeight="1">
      <c r="B10" s="110" t="s">
        <v>2016</v>
      </c>
      <c r="C10" s="111"/>
      <c r="D10" s="112" t="s">
        <v>2017</v>
      </c>
      <c r="E10" s="113"/>
      <c r="F10" s="113"/>
      <c r="G10" s="113"/>
      <c r="H10" s="113"/>
      <c r="I10" s="113"/>
      <c r="J10" s="114"/>
      <c r="K10" s="115" t="s">
        <v>2018</v>
      </c>
      <c r="L10" s="116"/>
      <c r="M10" s="117"/>
      <c r="P10" s="41"/>
      <c r="Q10" s="41"/>
    </row>
    <row r="11" spans="2:17" ht="17.25" customHeight="1">
      <c r="B11" s="118" t="s">
        <v>2019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2020</v>
      </c>
      <c r="C13" s="48" t="s">
        <v>98</v>
      </c>
      <c r="D13" s="49">
        <f>SUMIFS('0421 4度C'!$K:$K,'0421 4度C'!$A:$A,"新豐6線",'0421 4度C'!$B:$B,"平均")</f>
        <v>120.48192771084337</v>
      </c>
      <c r="E13" s="50">
        <f>SUMIFS('0421 4度C'!$K:$K,'0421 4度C'!$A:$A,"新豐2線",'0421 4度C'!$B:$B,"平均")</f>
        <v>83.333333333333329</v>
      </c>
      <c r="F13" s="51">
        <f>SUMIFS('0421 4度C'!$K:$K,'0421 4度C'!$A:$A,"新豐5線",'0421 4度C'!$B:$B,"平均")</f>
        <v>100</v>
      </c>
      <c r="G13" s="51">
        <f>SUMIFS('0421 4度C'!$K:$K,'0421 4度C'!$A:$A,"新豐7線",'0421 4度C'!$B:$B,"平均")</f>
        <v>122.3404255319149</v>
      </c>
      <c r="H13" s="51">
        <f>SUMIFS('0421 4度C'!$K:$K,'0421 4度C'!$A:$A,"新豐3線",'0421 4度C'!$B:$B,"平均")</f>
        <v>315.78947368421052</v>
      </c>
      <c r="I13" s="51">
        <f>SUMIFS('0421 4度C'!$K:$K,'0421 4度C'!$A:$A,"新豐1線",'0421 4度C'!$B:$B,"平均")</f>
        <v>103.44827586206897</v>
      </c>
      <c r="J13" s="52">
        <f>SUMIFS('0421 4度C'!$K:$K,'0421 4度C'!$A:$A,"新豐10線",'0421 4度C'!$B:$B,"平均")</f>
        <v>289.85507246376812</v>
      </c>
      <c r="K13" s="53">
        <f>SUMIFS('0421 4度C'!$K:$K,'0421 4度C'!$A:$A,"新豐8線",'0421 4度C'!$B:$B,"平均")</f>
        <v>135.48387096774192</v>
      </c>
      <c r="L13" s="54">
        <f>SUMIFS('0421 4度C'!$K:$K,'0421 4度C'!$A:$A,"新豐9線",'0421 4度C'!$B:$B,"平均")</f>
        <v>144.82758620689654</v>
      </c>
      <c r="M13" s="52">
        <f>SUMIFS('0421 4度C'!$K:$K,'0421 4度C'!$A:$A,"新豐4線",'0421 4度C'!$B:$B,"平均")</f>
        <v>151.57894736842104</v>
      </c>
    </row>
    <row r="14" spans="2:17" ht="39.6" customHeight="1">
      <c r="B14" s="123"/>
      <c r="C14" s="55" t="s">
        <v>2021</v>
      </c>
      <c r="D14" s="56">
        <f>SUMIFS('0421 4度C'!$N:$N,'0421 4度C'!$A:$A,"新豐6線",'0421 4度C'!$B:$B,"平均")</f>
        <v>116.25007410633643</v>
      </c>
      <c r="E14" s="57">
        <f>SUMIFS('0421 4度C'!$N:$N,'0421 4度C'!$A:$A,"新豐2線",'0421 4度C'!$B:$B,"平均")</f>
        <v>79.712808475840944</v>
      </c>
      <c r="F14" s="57">
        <f>SUMIFS('0421 4度C'!$N:$N,'0421 4度C'!$A:$A,"新豐5線",'0421 4度C'!$B:$B,"平均")</f>
        <v>95.661882431314737</v>
      </c>
      <c r="G14" s="57">
        <f>SUMIFS('0421 4度C'!$N:$N,'0421 4度C'!$A:$A,"新豐7線",'0421 4度C'!$B:$B,"平均")</f>
        <v>117.55117304317011</v>
      </c>
      <c r="H14" s="57">
        <f>SUMIFS('0421 4度C'!$N:$N,'0421 4度C'!$A:$A,"新豐3線",'0421 4度C'!$B:$B,"平均")</f>
        <v>301.07047311854933</v>
      </c>
      <c r="I14" s="57">
        <f>SUMIFS('0421 4度C'!$N:$N,'0421 4度C'!$A:$A,"新豐1線",'0421 4度C'!$B:$B,"平均")</f>
        <v>99.536048359833401</v>
      </c>
      <c r="J14" s="58">
        <f>SUMIFS('0421 4度C'!$N:$N,'0421 4度C'!$A:$A,"新豐10線",'0421 4度C'!$B:$B,"平均")</f>
        <v>280.25210629419217</v>
      </c>
      <c r="K14" s="59">
        <f>SUMIFS('0421 4度C'!$N:$N,'0421 4度C'!$A:$A,"新豐8線",'0421 4度C'!$B:$B,"平均")</f>
        <v>129.95585928570213</v>
      </c>
      <c r="L14" s="60">
        <f>SUMIFS('0421 4度C'!$N:$N,'0421 4度C'!$A:$A,"新豐9線",'0421 4度C'!$B:$B,"平均")</f>
        <v>138.71058772993297</v>
      </c>
      <c r="M14" s="58">
        <f>SUMIFS('0421 4度C'!$N:$N,'0421 4度C'!$A:$A,"新豐4線",'0421 4度C'!$B:$B,"平均")</f>
        <v>144.8015718084292</v>
      </c>
    </row>
    <row r="15" spans="2:17" ht="40.15" customHeight="1">
      <c r="B15" s="124"/>
      <c r="C15" s="61" t="s">
        <v>2022</v>
      </c>
      <c r="D15" s="62">
        <f t="shared" ref="D15:M15" si="0">D14/D13</f>
        <v>0.96487561508259245</v>
      </c>
      <c r="E15" s="63">
        <f t="shared" si="0"/>
        <v>0.95655370171009135</v>
      </c>
      <c r="F15" s="63">
        <f t="shared" si="0"/>
        <v>0.95661882431314738</v>
      </c>
      <c r="G15" s="63">
        <f t="shared" si="0"/>
        <v>0.96085306661373826</v>
      </c>
      <c r="H15" s="63">
        <f t="shared" si="0"/>
        <v>0.95338983154207291</v>
      </c>
      <c r="I15" s="63">
        <f t="shared" si="0"/>
        <v>0.96218180081172289</v>
      </c>
      <c r="J15" s="64">
        <f t="shared" si="0"/>
        <v>0.96686976671496294</v>
      </c>
      <c r="K15" s="62">
        <f t="shared" si="0"/>
        <v>0.95919800901351582</v>
      </c>
      <c r="L15" s="63">
        <f t="shared" si="0"/>
        <v>0.95776358194477529</v>
      </c>
      <c r="M15" s="64">
        <f t="shared" si="0"/>
        <v>0.95528814734727607</v>
      </c>
    </row>
    <row r="16" spans="2:17" ht="17.25" customHeight="1">
      <c r="B16" s="125" t="s">
        <v>2023</v>
      </c>
      <c r="C16" s="65" t="s">
        <v>2024</v>
      </c>
      <c r="D16" s="66">
        <f>VLOOKUP("新豐6線",'0421 4度C'!$A:$T,19,0)</f>
        <v>0.70833333333333337</v>
      </c>
      <c r="E16" s="67">
        <f>VLOOKUP("新豐2線",'0421 4度C'!$A:$T,19,0)</f>
        <v>0.20833333333333334</v>
      </c>
      <c r="F16" s="67">
        <f>VLOOKUP("新豐5線",'0421 4度C'!$A:$T,19,0)</f>
        <v>0.20833333333333334</v>
      </c>
      <c r="G16" s="67">
        <f>VLOOKUP("新豐7線",'0421 4度C'!$A:$T,19,0)</f>
        <v>0.29166666666666669</v>
      </c>
      <c r="H16" s="67">
        <f>VLOOKUP("新豐3線",'0421 4度C'!$A:$T,19,0)</f>
        <v>8.3333333333333329E-2</v>
      </c>
      <c r="I16" s="67">
        <f>VLOOKUP("新豐1線",'0421 4度C'!$A:$T,19,0)</f>
        <v>0.33333333333333331</v>
      </c>
      <c r="J16" s="68">
        <f>VLOOKUP("新豐10線",'0421 4度C'!$A:$T,19,0)</f>
        <v>0.20833333333333334</v>
      </c>
      <c r="K16" s="69">
        <f>VLOOKUP("新豐8線",'0421 4度C'!$A:$T,19,0)</f>
        <v>8.3333333333333329E-2</v>
      </c>
      <c r="L16" s="70">
        <f>VLOOKUP("新豐9線",'0421 4度C'!$A:$T,19,0)</f>
        <v>8.3333333333333329E-2</v>
      </c>
      <c r="M16" s="71">
        <f>VLOOKUP("新豐4線",'0421 4度C'!$A:$T,19,0)</f>
        <v>8.3333333333333329E-2</v>
      </c>
    </row>
    <row r="17" spans="2:13" ht="17.25" customHeight="1">
      <c r="B17" s="126"/>
      <c r="C17" s="65" t="s">
        <v>2025</v>
      </c>
      <c r="D17" s="69">
        <f>LOOKUP(2,1/(('0421 4度C'!$A:$A="新豐6線")*('0421 4度C'!$T:$T&lt;&gt;"")),'0421 4度C'!$T:$T)</f>
        <v>0.90416666666666656</v>
      </c>
      <c r="E17" s="67">
        <f>LOOKUP(2,1/(('0421 4度C'!$A:$A="新豐2線")*('0421 4度C'!$T:$T&lt;&gt;"")),'0421 4度C'!$T:$T)</f>
        <v>0.65902777777777766</v>
      </c>
      <c r="F17" s="67">
        <f>LOOKUP(2,1/(('0421 4度C'!$A:$A="新豐5線")*('0421 4度C'!$T:$T&lt;&gt;"")),'0421 4度C'!$T:$T)</f>
        <v>0.83958333333333335</v>
      </c>
      <c r="G17" s="67">
        <f>LOOKUP(2,1/(('0421 4度C'!$A:$A="新豐7線")*('0421 4度C'!$T:$T&lt;&gt;"")),'0421 4度C'!$T:$T)</f>
        <v>0.83680555555555558</v>
      </c>
      <c r="H17" s="67">
        <f>LOOKUP(2,1/(('0421 4度C'!$A:$A="新豐3線")*('0421 4度C'!$T:$T&lt;&gt;"")),'0421 4度C'!$T:$T)</f>
        <v>0.42083333333333334</v>
      </c>
      <c r="I17" s="67">
        <f>LOOKUP(2,1/(('0421 4度C'!$A:$A="新豐1線")*('0421 4度C'!$T:$T&lt;&gt;"")),'0421 4度C'!$T:$T)</f>
        <v>0.81736111111111109</v>
      </c>
      <c r="J17" s="68">
        <f>LOOKUP(2,1/(('0421 4度C'!$A:$A="新豐10線")*('0421 4度C'!$T:$T&lt;&gt;"")),'0421 4度C'!$T:$T)</f>
        <v>0.44652777777777769</v>
      </c>
      <c r="K17" s="66">
        <f>LOOKUP(2,1/(('0421 4度C'!$A:$A="新豐8線")*('0421 4度C'!$T:$T&lt;&gt;"")),'0421 4度C'!$T:$T)</f>
        <v>0.66041666666666665</v>
      </c>
      <c r="L17" s="67">
        <f>LOOKUP(2,1/(('0421 4度C'!$A:$A="新豐9線")*('0421 4度C'!$T:$T&lt;&gt;"")),'0421 4度C'!$T:$T)</f>
        <v>0.66666666666666663</v>
      </c>
      <c r="M17" s="68">
        <f>LOOKUP(2,1/(('0421 4度C'!$A:$A="新豐4線")*('0421 4度C'!$T:$T&lt;&gt;"")),'0421 4度C'!$T:$T)</f>
        <v>0.63749999999999996</v>
      </c>
    </row>
    <row r="18" spans="2:13" ht="17.25" customHeight="1">
      <c r="B18" s="104" t="s">
        <v>104</v>
      </c>
      <c r="C18" s="72" t="s">
        <v>2026</v>
      </c>
      <c r="D18" s="73">
        <f>SUMIFS('0421 4度C'!$Y:$Y,'0421 4度C'!$A:$A,"新豐6線",'0421 4度C'!$B:$B,"平均")</f>
        <v>0</v>
      </c>
      <c r="E18" s="74">
        <f>SUMIFS('0421 4度C'!$Y:$Y,'0421 4度C'!$A:$A,"新豐2線",'0421 4度C'!$B:$B,"平均")</f>
        <v>0</v>
      </c>
      <c r="F18" s="74">
        <f>SUMIFS('0421 4度C'!$Y:$Y,'0421 4度C'!$A:$A,"新豐5線",'0421 4度C'!$B:$B,"平均")</f>
        <v>0</v>
      </c>
      <c r="G18" s="74">
        <f>SUMIFS('0421 4度C'!$Y:$Y,'0421 4度C'!$A:$A,"新豐7線",'0421 4度C'!$B:$B,"平均")</f>
        <v>0</v>
      </c>
      <c r="H18" s="74">
        <f>SUMIFS('0421 4度C'!$Y:$Y,'0421 4度C'!$A:$A,"新豐3線",'0421 4度C'!$B:$B,"平均")</f>
        <v>0</v>
      </c>
      <c r="I18" s="74">
        <f>SUMIFS('0421 4度C'!$Y:$Y,'0421 4度C'!$A:$A,"新豐1線",'0421 4度C'!$B:$B,"平均")</f>
        <v>0</v>
      </c>
      <c r="J18" s="75">
        <f>SUMIFS('0421 4度C'!$Y:$Y,'0421 4度C'!$A:$A,"新豐10線",'0421 4度C'!$B:$B,"平均")</f>
        <v>0</v>
      </c>
      <c r="K18" s="76">
        <f>SUMIFS('0421 4度C'!$Y:$Y,'0421 4度C'!$A:$A,"新豐8線",'0421 4度C'!$B:$B,"平均")</f>
        <v>0</v>
      </c>
      <c r="L18" s="74">
        <f>SUMIFS('0421 4度C'!$Y:$Y,'0421 4度C'!$A:$A,"新豐9線",'0421 4度C'!$B:$B,"平均")</f>
        <v>0</v>
      </c>
      <c r="M18" s="75">
        <f>SUMIFS('0421 4度C'!$Y:$Y,'0421 4度C'!$A:$A,"新豐4線",'0421 4度C'!$B:$B,"平均")</f>
        <v>0</v>
      </c>
    </row>
    <row r="19" spans="2:13" ht="17.25" customHeight="1">
      <c r="B19" s="105"/>
      <c r="C19" s="72" t="s">
        <v>2027</v>
      </c>
      <c r="D19" s="73">
        <f>SUMIFS('0421 4度C'!$Z:$Z,'0421 4度C'!$A:$A,"新豐6線",'0421 4度C'!$B:$B,"平均")</f>
        <v>0</v>
      </c>
      <c r="E19" s="74">
        <f>SUMIFS('0421 4度C'!$Z:$Z,'0421 4度C'!$A:$A,"新豐2線",'0421 4度C'!$B:$B,"平均")</f>
        <v>0</v>
      </c>
      <c r="F19" s="74">
        <f>SUMIFS('0421 4度C'!$Z:$Z,'0421 4度C'!$A:$A,"新豐5線",'0421 4度C'!$B:$B,"平均")</f>
        <v>0</v>
      </c>
      <c r="G19" s="74">
        <f>SUMIFS('0421 4度C'!$Z:$Z,'0421 4度C'!$A:$A,"新豐7線",'0421 4度C'!$B:$B,"平均")</f>
        <v>0</v>
      </c>
      <c r="H19" s="74">
        <f>SUMIFS('0421 4度C'!$Z:$Z,'0421 4度C'!$A:$A,"新豐3線",'0421 4度C'!$B:$B,"平均")</f>
        <v>0</v>
      </c>
      <c r="I19" s="74">
        <f>SUMIFS('0421 4度C'!$Z:$Z,'0421 4度C'!$A:$A,"新豐1線",'0421 4度C'!$B:$B,"平均")</f>
        <v>0</v>
      </c>
      <c r="J19" s="75">
        <f>SUMIFS('0421 4度C'!$Z:$Z,'0421 4度C'!$A:$A,"新豐10線",'0421 4度C'!$B:$B,"平均")</f>
        <v>0</v>
      </c>
      <c r="K19" s="76">
        <f>SUMIFS('0421 4度C'!$Z:$Z,'0421 4度C'!$A:$A,"新豐8線",'0421 4度C'!$B:$B,"平均")</f>
        <v>0</v>
      </c>
      <c r="L19" s="74">
        <f>SUMIFS('0421 4度C'!$Z:$Z,'0421 4度C'!$A:$A,"新豐9線",'0421 4度C'!$B:$B,"平均")</f>
        <v>0</v>
      </c>
      <c r="M19" s="75">
        <f>SUMIFS('0421 4度C'!$Z:$Z,'0421 4度C'!$A:$A,"新豐4線",'0421 4度C'!$B:$B,"平均")</f>
        <v>0</v>
      </c>
    </row>
    <row r="20" spans="2:13" ht="17.25" customHeight="1">
      <c r="B20" s="104" t="s">
        <v>2028</v>
      </c>
      <c r="C20" s="72" t="s">
        <v>2026</v>
      </c>
      <c r="D20" s="73">
        <f>SUMIFS('0421 4度C'!$AC:$AC,'0421 4度C'!$A:$A,"新豐6線",'0421 4度C'!$B:$B,"平均")</f>
        <v>5</v>
      </c>
      <c r="E20" s="74">
        <f>SUMIFS('0421 4度C'!$AC:$AC,'0421 4度C'!$A:$A,"新豐2線",'0421 4度C'!$B:$B,"平均")</f>
        <v>4</v>
      </c>
      <c r="F20" s="74">
        <f>SUMIFS('0421 4度C'!$AC:$AC,'0421 4度C'!$A:$A,"新豐5線",'0421 4度C'!$B:$B,"平均")</f>
        <v>4</v>
      </c>
      <c r="G20" s="74">
        <f>SUMIFS('0421 4度C'!$AC:$AC,'0421 4度C'!$A:$A,"新豐7線",'0421 4度C'!$B:$B,"平均")</f>
        <v>6</v>
      </c>
      <c r="H20" s="74">
        <f>SUMIFS('0421 4度C'!$AC:$AC,'0421 4度C'!$A:$A,"新豐3線",'0421 4度C'!$B:$B,"平均")</f>
        <v>4</v>
      </c>
      <c r="I20" s="74">
        <f>SUMIFS('0421 4度C'!$AC:$AC,'0421 4度C'!$A:$A,"新豐1線",'0421 4度C'!$B:$B,"平均")</f>
        <v>6</v>
      </c>
      <c r="J20" s="75">
        <f>SUMIFS('0421 4度C'!$AC:$AC,'0421 4度C'!$A:$A,"新豐10線",'0421 4度C'!$B:$B,"平均")</f>
        <v>7</v>
      </c>
      <c r="K20" s="76">
        <f>SUMIFS('0421 4度C'!$AC:$AC,'0421 4度C'!$A:$A,"新豐8線",'0421 4度C'!$B:$B,"平均")</f>
        <v>7</v>
      </c>
      <c r="L20" s="74">
        <f>SUMIFS('0421 4度C'!$AC:$AC,'0421 4度C'!$A:$A,"新豐9線",'0421 4度C'!$B:$B,"平均")</f>
        <v>7</v>
      </c>
      <c r="M20" s="75">
        <f>SUMIFS('0421 4度C'!$AC:$AC,'0421 4度C'!$A:$A,"新豐4線",'0421 4度C'!$B:$B,"平均")</f>
        <v>6</v>
      </c>
    </row>
    <row r="21" spans="2:13" ht="17.25" customHeight="1">
      <c r="B21" s="105"/>
      <c r="C21" s="72" t="s">
        <v>2029</v>
      </c>
      <c r="D21" s="73">
        <f>SUMIFS('0421 4度C'!$AD:$AD,'0421 4度C'!$A:$A,"新豐6線",'0421 4度C'!$B:$B,"平均")</f>
        <v>0</v>
      </c>
      <c r="E21" s="74">
        <f>SUMIFS('0421 4度C'!$AD:$AD,'0421 4度C'!$A:$A,"新豐2線",'0421 4度C'!$B:$B,"平均")</f>
        <v>0</v>
      </c>
      <c r="F21" s="74">
        <f>SUMIFS('0421 4度C'!$AD:$AD,'0421 4度C'!$A:$A,"新豐5線",'0421 4度C'!$B:$B,"平均")</f>
        <v>0</v>
      </c>
      <c r="G21" s="74">
        <f>SUMIFS('0421 4度C'!$AD:$AD,'0421 4度C'!$A:$A,"新豐7線",'0421 4度C'!$B:$B,"平均")</f>
        <v>0</v>
      </c>
      <c r="H21" s="74">
        <f>SUMIFS('0421 4度C'!$AD:$AD,'0421 4度C'!$A:$A,"新豐3線",'0421 4度C'!$B:$B,"平均")</f>
        <v>0</v>
      </c>
      <c r="I21" s="74">
        <f>SUMIFS('0421 4度C'!$AD:$AD,'0421 4度C'!$A:$A,"新豐1線",'0421 4度C'!$B:$B,"平均")</f>
        <v>0</v>
      </c>
      <c r="J21" s="75">
        <f>SUMIFS('0421 4度C'!$AD:$AD,'0421 4度C'!$A:$A,"新豐10線",'0421 4度C'!$B:$B,"平均")</f>
        <v>0</v>
      </c>
      <c r="K21" s="76">
        <f>SUMIFS('0421 4度C'!$AD:$AD,'0421 4度C'!$A:$A,"新豐8線",'0421 4度C'!$B:$B,"平均")</f>
        <v>0</v>
      </c>
      <c r="L21" s="74">
        <f>SUMIFS('0421 4度C'!$AD:$AD,'0421 4度C'!$A:$A,"新豐9線",'0421 4度C'!$B:$B,"平均")</f>
        <v>0</v>
      </c>
      <c r="M21" s="75">
        <f>SUMIFS('0421 4度C'!$AD:$AD,'0421 4度C'!$A:$A,"新豐4線",'0421 4度C'!$B:$B,"平均")</f>
        <v>0</v>
      </c>
    </row>
    <row r="22" spans="2:13" ht="17.25" customHeight="1">
      <c r="B22" s="106" t="s">
        <v>2030</v>
      </c>
      <c r="C22" s="107"/>
      <c r="D22" s="77">
        <f>SUMIFS('0421 4度C'!$I:$I,'0421 4度C'!$A:$A,"新豐6線",'0421 4度C'!$B:$B,"平均")</f>
        <v>16.600000000000001</v>
      </c>
      <c r="E22" s="78">
        <f>SUMIFS('0421 4度C'!$I:$I,'0421 4度C'!$A:$A,"新豐2線",'0421 4度C'!$B:$B,"平均")</f>
        <v>18</v>
      </c>
      <c r="F22" s="78">
        <f>SUMIFS('0421 4度C'!$I:$I,'0421 4度C'!$A:$A,"新豐5線",'0421 4度C'!$B:$B,"平均")</f>
        <v>17.5</v>
      </c>
      <c r="G22" s="78">
        <f>SUMIFS('0421 4度C'!$I:$I,'0421 4度C'!$A:$A,"新豐7線",'0421 4度C'!$B:$B,"平均")</f>
        <v>15.666666666666666</v>
      </c>
      <c r="H22" s="78">
        <f>SUMIFS('0421 4度C'!$I:$I,'0421 4度C'!$A:$A,"新豐3線",'0421 4度C'!$B:$B,"平均")</f>
        <v>9.5</v>
      </c>
      <c r="I22" s="78">
        <f>SUMIFS('0421 4度C'!$I:$I,'0421 4度C'!$A:$A,"新豐1線",'0421 4度C'!$B:$B,"平均")</f>
        <v>19.333333333333332</v>
      </c>
      <c r="J22" s="79">
        <f>SUMIFS('0421 4度C'!$I:$I,'0421 4度C'!$A:$A,"新豐10線",'0421 4度C'!$B:$B,"平均")</f>
        <v>9.8571428571428577</v>
      </c>
      <c r="K22" s="77">
        <f>SUMIFS('0421 4度C'!$I:$I,'0421 4度C'!$A:$A,"新豐8線",'0421 4度C'!$B:$B,"平均")</f>
        <v>17.714285714285715</v>
      </c>
      <c r="L22" s="78">
        <f>SUMIFS('0421 4度C'!$I:$I,'0421 4度C'!$A:$A,"新豐9線",'0421 4度C'!$B:$B,"平均")</f>
        <v>16.571428571428573</v>
      </c>
      <c r="M22" s="79">
        <f>SUMIFS('0421 4度C'!$I:$I,'0421 4度C'!$A:$A,"新豐4線",'0421 4度C'!$B:$B,"平均")</f>
        <v>15.833333333333334</v>
      </c>
    </row>
    <row r="23" spans="2:13" ht="17.25" customHeight="1">
      <c r="B23" s="106" t="s">
        <v>213</v>
      </c>
      <c r="C23" s="107"/>
      <c r="D23" s="80" t="s">
        <v>67</v>
      </c>
      <c r="E23" s="81" t="s">
        <v>68</v>
      </c>
      <c r="F23" s="81" t="s">
        <v>2031</v>
      </c>
      <c r="G23" s="81" t="s">
        <v>2031</v>
      </c>
      <c r="H23" s="81" t="s">
        <v>69</v>
      </c>
      <c r="I23" s="81" t="s">
        <v>67</v>
      </c>
      <c r="J23" s="82" t="s">
        <v>69</v>
      </c>
      <c r="K23" s="80" t="s">
        <v>2032</v>
      </c>
      <c r="L23" s="81" t="s">
        <v>2032</v>
      </c>
      <c r="M23" s="82" t="s">
        <v>2032</v>
      </c>
    </row>
    <row r="24" spans="2:13" ht="17.25" customHeight="1">
      <c r="B24" s="106" t="s">
        <v>2033</v>
      </c>
      <c r="C24" s="107"/>
      <c r="D24" s="80"/>
      <c r="E24" s="81"/>
      <c r="F24" s="81" t="s">
        <v>2034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115</v>
      </c>
      <c r="C25" s="109"/>
      <c r="D25" s="83"/>
      <c r="E25" s="84" t="s">
        <v>2035</v>
      </c>
      <c r="F25" s="102" t="s">
        <v>2036</v>
      </c>
      <c r="G25" s="103"/>
      <c r="H25" s="84" t="s">
        <v>2037</v>
      </c>
      <c r="I25" s="84" t="s">
        <v>119</v>
      </c>
      <c r="J25" s="85" t="s">
        <v>2038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7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G71"/>
  <sheetViews>
    <sheetView zoomScale="80" zoomScaleNormal="80" workbookViewId="0">
      <pane ySplit="4" topLeftCell="A54" activePane="bottomLeft" state="frozen"/>
      <selection pane="bottomLeft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2039</v>
      </c>
      <c r="B1" s="1"/>
      <c r="C1" s="2" t="s">
        <v>2040</v>
      </c>
      <c r="D1" s="3">
        <f>SUM(F5:F70)</f>
        <v>165919</v>
      </c>
      <c r="E1" s="88" t="s">
        <v>2041</v>
      </c>
      <c r="F1" s="1">
        <f>SUM(G5:G70)</f>
        <v>5458356.3399999999</v>
      </c>
      <c r="G1" s="1" t="s">
        <v>2042</v>
      </c>
      <c r="H1" s="4">
        <f>L10+L15+L48+L55+L20+L63+L35+L43+L27+L70</f>
        <v>156.5761904761905</v>
      </c>
      <c r="I1" s="215" t="s">
        <v>2043</v>
      </c>
      <c r="J1" s="215"/>
      <c r="K1" s="215"/>
      <c r="L1" s="215" t="s">
        <v>2044</v>
      </c>
      <c r="M1" s="215"/>
      <c r="N1" s="215"/>
      <c r="O1" s="215" t="s">
        <v>2045</v>
      </c>
      <c r="P1" s="215"/>
      <c r="Q1" s="215"/>
      <c r="R1" s="215"/>
      <c r="S1" s="215" t="s">
        <v>2046</v>
      </c>
      <c r="T1" s="215"/>
      <c r="U1" s="215"/>
      <c r="V1" s="215"/>
      <c r="W1" s="215"/>
      <c r="X1" s="215"/>
      <c r="Y1" s="5" t="s">
        <v>2047</v>
      </c>
      <c r="Z1" s="6" t="s">
        <v>2048</v>
      </c>
      <c r="AA1" s="216" t="s">
        <v>2049</v>
      </c>
      <c r="AB1" s="216"/>
      <c r="AC1" s="97" t="s">
        <v>2047</v>
      </c>
      <c r="AD1" s="6" t="s">
        <v>2050</v>
      </c>
      <c r="AE1" s="215" t="s">
        <v>2051</v>
      </c>
      <c r="AF1" s="217"/>
      <c r="AG1" s="217"/>
    </row>
    <row r="2" spans="1:33" ht="26.25" customHeight="1">
      <c r="A2" s="26">
        <v>46133</v>
      </c>
      <c r="B2" s="27" t="s">
        <v>715</v>
      </c>
      <c r="C2" s="2" t="s">
        <v>2052</v>
      </c>
      <c r="D2" s="8">
        <f>AVERAGE(N10,N15,N48,N55,N20,N63,N27,N35,N43,N70)</f>
        <v>150.35025846533014</v>
      </c>
      <c r="E2" s="9" t="s">
        <v>0</v>
      </c>
      <c r="F2" s="10">
        <f>F1/D1</f>
        <v>32.897717199356315</v>
      </c>
      <c r="G2" s="1" t="s">
        <v>2053</v>
      </c>
      <c r="H2" s="96">
        <f>COUNT(H5:H70)</f>
        <v>8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SUM(Y10+Y15+Y20+Y27+Y35+Y43+Y48+Y55+Y63+Y70)</f>
        <v>0</v>
      </c>
      <c r="Z2" s="11">
        <f>SUM(Z10+Z15+Z20+Z27+Z35+Z43+Z48+Z55+Z63+Z70)</f>
        <v>0</v>
      </c>
      <c r="AA2" s="216"/>
      <c r="AB2" s="216"/>
      <c r="AC2" s="11">
        <v>56</v>
      </c>
      <c r="AD2" s="11">
        <f>SUM(AD10+AD15+AD20+AD27+AD35+AD43+AD48+AD55+AD63+AD70)</f>
        <v>0</v>
      </c>
      <c r="AE2" s="217"/>
      <c r="AF2" s="217"/>
      <c r="AG2" s="217"/>
    </row>
    <row r="3" spans="1:33" ht="40.5" customHeight="1">
      <c r="A3" s="168" t="s">
        <v>2054</v>
      </c>
      <c r="B3" s="168" t="s">
        <v>2055</v>
      </c>
      <c r="C3" s="168" t="s">
        <v>2056</v>
      </c>
      <c r="D3" s="168"/>
      <c r="E3" s="213" t="s">
        <v>2057</v>
      </c>
      <c r="F3" s="168" t="s">
        <v>2058</v>
      </c>
      <c r="G3" s="213" t="s">
        <v>2059</v>
      </c>
      <c r="H3" s="207" t="s">
        <v>2060</v>
      </c>
      <c r="I3" s="205" t="s">
        <v>2061</v>
      </c>
      <c r="J3" s="202" t="s">
        <v>2062</v>
      </c>
      <c r="K3" s="212" t="s">
        <v>2052</v>
      </c>
      <c r="L3" s="205" t="s">
        <v>2061</v>
      </c>
      <c r="M3" s="202" t="s">
        <v>2062</v>
      </c>
      <c r="N3" s="212" t="s">
        <v>2052</v>
      </c>
      <c r="O3" s="205" t="s">
        <v>2061</v>
      </c>
      <c r="P3" s="212" t="s">
        <v>2052</v>
      </c>
      <c r="Q3" s="203" t="s">
        <v>2063</v>
      </c>
      <c r="R3" s="181" t="s">
        <v>2064</v>
      </c>
      <c r="S3" s="168" t="s">
        <v>1</v>
      </c>
      <c r="T3" s="168"/>
      <c r="U3" s="207" t="s">
        <v>2</v>
      </c>
      <c r="V3" s="207" t="s">
        <v>2065</v>
      </c>
      <c r="W3" s="168" t="s">
        <v>2066</v>
      </c>
      <c r="X3" s="168"/>
      <c r="Y3" s="208" t="s">
        <v>2067</v>
      </c>
      <c r="Z3" s="167"/>
      <c r="AA3" s="209" t="s">
        <v>2068</v>
      </c>
      <c r="AB3" s="210"/>
      <c r="AC3" s="208" t="s">
        <v>2069</v>
      </c>
      <c r="AD3" s="167"/>
      <c r="AE3" s="202" t="s">
        <v>2062</v>
      </c>
      <c r="AF3" s="203" t="s">
        <v>2070</v>
      </c>
      <c r="AG3" s="181" t="s">
        <v>2071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2072</v>
      </c>
      <c r="X4" s="88" t="s">
        <v>2073</v>
      </c>
      <c r="Y4" s="90" t="s">
        <v>2026</v>
      </c>
      <c r="Z4" s="90" t="s">
        <v>2074</v>
      </c>
      <c r="AA4" s="211"/>
      <c r="AB4" s="210"/>
      <c r="AC4" s="90" t="s">
        <v>2075</v>
      </c>
      <c r="AD4" s="90" t="s">
        <v>2076</v>
      </c>
      <c r="AE4" s="202"/>
      <c r="AF4" s="203"/>
      <c r="AG4" s="181"/>
    </row>
    <row r="5" spans="1:33">
      <c r="A5" s="204" t="s">
        <v>2077</v>
      </c>
      <c r="B5" s="28" t="s">
        <v>5</v>
      </c>
      <c r="C5" s="206" t="s">
        <v>6</v>
      </c>
      <c r="D5" s="206"/>
      <c r="E5" s="28">
        <v>50.67</v>
      </c>
      <c r="F5" s="88">
        <v>1392</v>
      </c>
      <c r="G5" s="88">
        <f t="shared" ref="G5:G9" si="0">E5*F5</f>
        <v>70532.639999999999</v>
      </c>
      <c r="H5" s="30" t="s">
        <v>53</v>
      </c>
      <c r="I5" s="95">
        <v>17</v>
      </c>
      <c r="J5" s="13">
        <v>2000</v>
      </c>
      <c r="K5" s="12">
        <f t="shared" ref="K5:K68" si="1">J5/I5</f>
        <v>117.64705882352941</v>
      </c>
      <c r="L5" s="95">
        <v>17</v>
      </c>
      <c r="M5" s="13">
        <f t="shared" ref="M5:M9" si="2">F5/V5*60</f>
        <v>1942.3255813953485</v>
      </c>
      <c r="N5" s="12">
        <f t="shared" ref="N5:N68" si="3">M5/L5</f>
        <v>114.25444596443226</v>
      </c>
      <c r="O5" s="14">
        <f t="shared" ref="O5:O68" si="4">L5-I5</f>
        <v>0</v>
      </c>
      <c r="P5" s="15">
        <f t="shared" ref="P5:P68" si="5">N5-K5</f>
        <v>-3.3926128590971416</v>
      </c>
      <c r="Q5" s="91">
        <f t="shared" ref="Q5:Q68" si="6">N5/K5</f>
        <v>0.97116279069767431</v>
      </c>
      <c r="R5" s="177">
        <f>Q10</f>
        <v>0.96487561508259245</v>
      </c>
      <c r="S5" s="21">
        <v>0.70833333333333337</v>
      </c>
      <c r="T5" s="21">
        <v>0.73819444444444449</v>
      </c>
      <c r="U5" s="88"/>
      <c r="V5" s="30">
        <f t="shared" ref="V5:V9" si="7">(T5-S5)*24*60</f>
        <v>43.000000000000007</v>
      </c>
      <c r="W5" s="16"/>
      <c r="X5" s="17"/>
      <c r="Y5" s="17"/>
      <c r="Z5" s="17"/>
      <c r="AA5" s="168"/>
      <c r="AB5" s="168"/>
      <c r="AC5" s="18">
        <v>5</v>
      </c>
      <c r="AD5" s="18"/>
      <c r="AE5" s="14">
        <f t="shared" ref="AE5:AE54" si="8">M5-J5</f>
        <v>-57.674418604651464</v>
      </c>
      <c r="AF5" s="91">
        <f t="shared" ref="AF5:AF68" si="9">M5/J5</f>
        <v>0.97116279069767431</v>
      </c>
      <c r="AG5" s="177">
        <f>AF10</f>
        <v>0.96487561508259234</v>
      </c>
    </row>
    <row r="6" spans="1:33">
      <c r="A6" s="205" t="s">
        <v>2077</v>
      </c>
      <c r="B6" s="28" t="s">
        <v>5</v>
      </c>
      <c r="C6" s="206" t="s">
        <v>7</v>
      </c>
      <c r="D6" s="206"/>
      <c r="E6" s="28">
        <v>54.09</v>
      </c>
      <c r="F6" s="88">
        <v>1138</v>
      </c>
      <c r="G6" s="88">
        <f t="shared" si="0"/>
        <v>61554.420000000006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1950.8571428571411</v>
      </c>
      <c r="N6" s="12">
        <f t="shared" si="3"/>
        <v>102.67669172932321</v>
      </c>
      <c r="O6" s="14">
        <f t="shared" si="4"/>
        <v>0</v>
      </c>
      <c r="P6" s="15">
        <f t="shared" si="5"/>
        <v>-2.5864661654136256</v>
      </c>
      <c r="Q6" s="91">
        <f t="shared" si="6"/>
        <v>0.97542857142857053</v>
      </c>
      <c r="R6" s="177"/>
      <c r="S6" s="21">
        <v>0.74375000000000002</v>
      </c>
      <c r="T6" s="21">
        <v>0.7680555555555556</v>
      </c>
      <c r="U6" s="88">
        <f t="shared" ref="U6:U9" si="10">IF(S6=TIME(17,0,0),"",(S6-T5)*24*60)</f>
        <v>7.9999999999999716</v>
      </c>
      <c r="V6" s="30">
        <f t="shared" si="7"/>
        <v>35.000000000000036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-49.142857142858929</v>
      </c>
      <c r="AF6" s="91">
        <f t="shared" si="9"/>
        <v>0.97542857142857053</v>
      </c>
      <c r="AG6" s="177"/>
    </row>
    <row r="7" spans="1:33">
      <c r="A7" s="205" t="s">
        <v>2078</v>
      </c>
      <c r="B7" s="28" t="s">
        <v>5</v>
      </c>
      <c r="C7" s="200" t="s">
        <v>16</v>
      </c>
      <c r="D7" s="201"/>
      <c r="E7" s="28">
        <v>50.67</v>
      </c>
      <c r="F7" s="88">
        <v>1663</v>
      </c>
      <c r="G7" s="88">
        <f t="shared" si="0"/>
        <v>84264.21</v>
      </c>
      <c r="H7" s="30" t="s">
        <v>53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1918.8461538461549</v>
      </c>
      <c r="N7" s="12">
        <f t="shared" si="3"/>
        <v>127.92307692307699</v>
      </c>
      <c r="O7" s="14">
        <f t="shared" si="4"/>
        <v>0</v>
      </c>
      <c r="P7" s="15">
        <f t="shared" si="5"/>
        <v>-5.410256410256352</v>
      </c>
      <c r="Q7" s="91">
        <f t="shared" si="6"/>
        <v>0.95942307692307738</v>
      </c>
      <c r="R7" s="177"/>
      <c r="S7" s="21">
        <v>0.77152777777777781</v>
      </c>
      <c r="T7" s="21">
        <v>0.80763888888888891</v>
      </c>
      <c r="U7" s="88">
        <f t="shared" si="10"/>
        <v>4.9999999999999822</v>
      </c>
      <c r="V7" s="30">
        <f t="shared" si="7"/>
        <v>51.999999999999972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-81.153846153845052</v>
      </c>
      <c r="AF7" s="91">
        <f t="shared" si="9"/>
        <v>0.95942307692307749</v>
      </c>
      <c r="AG7" s="177"/>
    </row>
    <row r="8" spans="1:33">
      <c r="A8" s="205" t="s">
        <v>2077</v>
      </c>
      <c r="B8" s="28" t="s">
        <v>5</v>
      </c>
      <c r="C8" s="200" t="s">
        <v>1270</v>
      </c>
      <c r="D8" s="201"/>
      <c r="E8" s="28">
        <v>52.86</v>
      </c>
      <c r="F8" s="88">
        <v>700</v>
      </c>
      <c r="G8" s="88">
        <f t="shared" si="0"/>
        <v>37002</v>
      </c>
      <c r="H8" s="30">
        <v>2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1909.0909090909158</v>
      </c>
      <c r="N8" s="12">
        <f t="shared" si="3"/>
        <v>119.31818181818224</v>
      </c>
      <c r="O8" s="14">
        <f t="shared" si="4"/>
        <v>0</v>
      </c>
      <c r="P8" s="15">
        <f t="shared" si="5"/>
        <v>-5.6818181818177607</v>
      </c>
      <c r="Q8" s="91">
        <f t="shared" si="6"/>
        <v>0.95454545454545792</v>
      </c>
      <c r="R8" s="177"/>
      <c r="S8" s="21">
        <v>0.81111111111111112</v>
      </c>
      <c r="T8" s="21">
        <v>0.82638888888888884</v>
      </c>
      <c r="U8" s="88">
        <f t="shared" si="10"/>
        <v>4.9999999999999822</v>
      </c>
      <c r="V8" s="30">
        <f t="shared" si="7"/>
        <v>21.999999999999922</v>
      </c>
      <c r="W8" s="16">
        <f>T8</f>
        <v>0.82638888888888884</v>
      </c>
      <c r="X8" s="16">
        <f>S9</f>
        <v>0.86597222222222214</v>
      </c>
      <c r="Y8" s="22"/>
      <c r="Z8" s="22"/>
      <c r="AA8" s="172"/>
      <c r="AB8" s="173"/>
      <c r="AC8" s="18"/>
      <c r="AD8" s="20"/>
      <c r="AE8" s="14">
        <f t="shared" si="8"/>
        <v>-90.909090909084171</v>
      </c>
      <c r="AF8" s="91">
        <f t="shared" si="9"/>
        <v>0.95454545454545792</v>
      </c>
      <c r="AG8" s="177"/>
    </row>
    <row r="9" spans="1:33">
      <c r="A9" s="205" t="s">
        <v>2079</v>
      </c>
      <c r="B9" s="28" t="s">
        <v>5</v>
      </c>
      <c r="C9" s="200" t="s">
        <v>1270</v>
      </c>
      <c r="D9" s="201"/>
      <c r="E9" s="28">
        <v>52.86</v>
      </c>
      <c r="F9" s="88">
        <v>1767</v>
      </c>
      <c r="G9" s="88">
        <f t="shared" si="0"/>
        <v>93403.62</v>
      </c>
      <c r="H9" s="30" t="s">
        <v>53</v>
      </c>
      <c r="I9" s="95">
        <v>16</v>
      </c>
      <c r="J9" s="13">
        <v>2000</v>
      </c>
      <c r="K9" s="12">
        <f t="shared" si="1"/>
        <v>125</v>
      </c>
      <c r="L9" s="95">
        <v>16</v>
      </c>
      <c r="M9" s="13">
        <f t="shared" si="2"/>
        <v>1927.6363636363649</v>
      </c>
      <c r="N9" s="12">
        <f t="shared" si="3"/>
        <v>120.4772727272728</v>
      </c>
      <c r="O9" s="14">
        <f t="shared" si="4"/>
        <v>0</v>
      </c>
      <c r="P9" s="15">
        <f t="shared" si="5"/>
        <v>-4.5227272727271952</v>
      </c>
      <c r="Q9" s="91">
        <f t="shared" si="6"/>
        <v>0.96381818181818246</v>
      </c>
      <c r="R9" s="177"/>
      <c r="S9" s="21">
        <v>0.86597222222222214</v>
      </c>
      <c r="T9" s="21">
        <v>0.90416666666666656</v>
      </c>
      <c r="U9" s="88">
        <f t="shared" si="10"/>
        <v>56.999999999999957</v>
      </c>
      <c r="V9" s="30">
        <f t="shared" si="7"/>
        <v>54.999999999999964</v>
      </c>
      <c r="W9" s="16"/>
      <c r="X9" s="16"/>
      <c r="Y9" s="19"/>
      <c r="Z9" s="19"/>
      <c r="AA9" s="172"/>
      <c r="AB9" s="173"/>
      <c r="AC9" s="18"/>
      <c r="AD9" s="20"/>
      <c r="AE9" s="14">
        <f t="shared" si="8"/>
        <v>-72.363636363635123</v>
      </c>
      <c r="AF9" s="91">
        <f t="shared" si="9"/>
        <v>0.96381818181818246</v>
      </c>
      <c r="AG9" s="177"/>
    </row>
    <row r="10" spans="1:33">
      <c r="A10" s="205" t="s">
        <v>2077</v>
      </c>
      <c r="B10" s="28" t="s">
        <v>2080</v>
      </c>
      <c r="C10" s="178"/>
      <c r="D10" s="178"/>
      <c r="E10" s="92"/>
      <c r="F10" s="12"/>
      <c r="G10" s="12"/>
      <c r="H10" s="88"/>
      <c r="I10" s="23">
        <v>16.600000000000001</v>
      </c>
      <c r="J10" s="13">
        <v>2000</v>
      </c>
      <c r="K10" s="12">
        <f t="shared" si="1"/>
        <v>120.48192771084337</v>
      </c>
      <c r="L10" s="23">
        <v>16.600000000000001</v>
      </c>
      <c r="M10" s="13">
        <f>AVERAGE(M5:M9)</f>
        <v>1929.7512301651848</v>
      </c>
      <c r="N10" s="12">
        <f t="shared" si="3"/>
        <v>116.25007410633643</v>
      </c>
      <c r="O10" s="14">
        <f t="shared" si="4"/>
        <v>0</v>
      </c>
      <c r="P10" s="15">
        <f t="shared" si="5"/>
        <v>-4.2318536045069379</v>
      </c>
      <c r="Q10" s="91">
        <f t="shared" si="6"/>
        <v>0.96487561508259245</v>
      </c>
      <c r="R10" s="177"/>
      <c r="S10" s="21"/>
      <c r="T10" s="21"/>
      <c r="U10" s="88"/>
      <c r="V10" s="30"/>
      <c r="W10" s="12"/>
      <c r="X10" s="12"/>
      <c r="Y10" s="24">
        <f>SUM(Y5:Y9)</f>
        <v>0</v>
      </c>
      <c r="Z10" s="24">
        <f>SUM(Z5:Z9)</f>
        <v>0</v>
      </c>
      <c r="AA10" s="167"/>
      <c r="AB10" s="167"/>
      <c r="AC10" s="24">
        <v>5</v>
      </c>
      <c r="AD10" s="24">
        <f>SUM(AD5:AD9)</f>
        <v>0</v>
      </c>
      <c r="AE10" s="14">
        <f t="shared" si="8"/>
        <v>-70.248769834815221</v>
      </c>
      <c r="AF10" s="91">
        <f t="shared" si="9"/>
        <v>0.96487561508259234</v>
      </c>
      <c r="AG10" s="177"/>
    </row>
    <row r="11" spans="1:33" ht="15.75" customHeight="1">
      <c r="A11" s="199" t="s">
        <v>2081</v>
      </c>
      <c r="B11" s="28" t="s">
        <v>9</v>
      </c>
      <c r="C11" s="200" t="s">
        <v>10</v>
      </c>
      <c r="D11" s="201"/>
      <c r="E11" s="28">
        <v>39.619999999999997</v>
      </c>
      <c r="F11" s="88">
        <v>4100</v>
      </c>
      <c r="G11" s="88">
        <f t="shared" ref="G11:G14" si="11">E11*F11</f>
        <v>162442</v>
      </c>
      <c r="H11" s="30">
        <v>2</v>
      </c>
      <c r="I11" s="95">
        <v>19</v>
      </c>
      <c r="J11" s="13">
        <v>1500</v>
      </c>
      <c r="K11" s="12">
        <f t="shared" si="1"/>
        <v>78.94736842105263</v>
      </c>
      <c r="L11" s="95">
        <v>19</v>
      </c>
      <c r="M11" s="13">
        <f t="shared" ref="M11:M14" si="12">F11/V11*60</f>
        <v>1430.2325581395353</v>
      </c>
      <c r="N11" s="12">
        <f t="shared" si="3"/>
        <v>75.275397796817643</v>
      </c>
      <c r="O11" s="14">
        <f t="shared" si="4"/>
        <v>0</v>
      </c>
      <c r="P11" s="15">
        <f t="shared" si="5"/>
        <v>-3.6719706242349872</v>
      </c>
      <c r="Q11" s="91">
        <f t="shared" si="6"/>
        <v>0.95348837209302351</v>
      </c>
      <c r="R11" s="177">
        <f>Q15</f>
        <v>0.95655370171009135</v>
      </c>
      <c r="S11" s="21">
        <v>0.20833333333333334</v>
      </c>
      <c r="T11" s="21">
        <v>0.32777777777777778</v>
      </c>
      <c r="U11" s="88"/>
      <c r="V11" s="30">
        <f t="shared" ref="V11:V14" si="13">(T11-S11)*24*60</f>
        <v>171.99999999999997</v>
      </c>
      <c r="W11" s="16"/>
      <c r="X11" s="16"/>
      <c r="Y11" s="16"/>
      <c r="Z11" s="16"/>
      <c r="AA11" s="168"/>
      <c r="AB11" s="168"/>
      <c r="AC11" s="18">
        <v>4</v>
      </c>
      <c r="AD11" s="18"/>
      <c r="AE11" s="14">
        <f t="shared" si="8"/>
        <v>-69.767441860464714</v>
      </c>
      <c r="AF11" s="91">
        <f t="shared" si="9"/>
        <v>0.95348837209302351</v>
      </c>
      <c r="AG11" s="177">
        <f>AF15</f>
        <v>0.95655370171009124</v>
      </c>
    </row>
    <row r="12" spans="1:33" ht="15.75" customHeight="1">
      <c r="A12" s="199" t="s">
        <v>2081</v>
      </c>
      <c r="B12" s="28" t="s">
        <v>9</v>
      </c>
      <c r="C12" s="200" t="s">
        <v>11</v>
      </c>
      <c r="D12" s="201"/>
      <c r="E12" s="28">
        <v>39.799999999999997</v>
      </c>
      <c r="F12" s="88">
        <v>4900</v>
      </c>
      <c r="G12" s="88">
        <f t="shared" si="11"/>
        <v>195020</v>
      </c>
      <c r="H12" s="30">
        <v>2</v>
      </c>
      <c r="I12" s="95">
        <v>17</v>
      </c>
      <c r="J12" s="13">
        <v>1500</v>
      </c>
      <c r="K12" s="12">
        <f t="shared" si="1"/>
        <v>88.235294117647058</v>
      </c>
      <c r="L12" s="95">
        <v>17</v>
      </c>
      <c r="M12" s="13">
        <f t="shared" si="12"/>
        <v>1434.1463414634147</v>
      </c>
      <c r="N12" s="12">
        <f t="shared" si="3"/>
        <v>84.361549497847932</v>
      </c>
      <c r="O12" s="14">
        <f t="shared" si="4"/>
        <v>0</v>
      </c>
      <c r="P12" s="15">
        <f t="shared" si="5"/>
        <v>-3.8737446197991261</v>
      </c>
      <c r="Q12" s="91">
        <f t="shared" si="6"/>
        <v>0.95609756097560994</v>
      </c>
      <c r="R12" s="177"/>
      <c r="S12" s="21">
        <v>0.33263888888888887</v>
      </c>
      <c r="T12" s="21">
        <v>0.47499999999999998</v>
      </c>
      <c r="U12" s="88">
        <f t="shared" ref="U12:U14" si="14">IF(S12=TIME(17,0,0),"",(S12-T11)*24*60)</f>
        <v>6.9999999999999751</v>
      </c>
      <c r="V12" s="30">
        <f t="shared" si="13"/>
        <v>205</v>
      </c>
      <c r="W12" s="16">
        <f>T12</f>
        <v>0.47499999999999998</v>
      </c>
      <c r="X12" s="16">
        <f>S13</f>
        <v>0.51388888888888884</v>
      </c>
      <c r="Y12" s="16"/>
      <c r="Z12" s="16"/>
      <c r="AA12" s="168"/>
      <c r="AB12" s="168"/>
      <c r="AC12" s="18"/>
      <c r="AD12" s="18"/>
      <c r="AE12" s="14">
        <f t="shared" si="8"/>
        <v>-65.853658536585272</v>
      </c>
      <c r="AF12" s="91">
        <f t="shared" si="9"/>
        <v>0.95609756097560983</v>
      </c>
      <c r="AG12" s="177"/>
    </row>
    <row r="13" spans="1:33" ht="15.75" customHeight="1">
      <c r="A13" s="199" t="s">
        <v>2081</v>
      </c>
      <c r="B13" s="28" t="s">
        <v>9</v>
      </c>
      <c r="C13" s="200" t="s">
        <v>11</v>
      </c>
      <c r="D13" s="201"/>
      <c r="E13" s="28">
        <v>39.799999999999997</v>
      </c>
      <c r="F13" s="88">
        <v>3502</v>
      </c>
      <c r="G13" s="88">
        <f t="shared" si="11"/>
        <v>139379.59999999998</v>
      </c>
      <c r="H13" s="30" t="s">
        <v>53</v>
      </c>
      <c r="I13" s="95">
        <v>17</v>
      </c>
      <c r="J13" s="13">
        <v>1500</v>
      </c>
      <c r="K13" s="12">
        <f t="shared" si="1"/>
        <v>88.235294117647058</v>
      </c>
      <c r="L13" s="95">
        <v>17</v>
      </c>
      <c r="M13" s="13">
        <f t="shared" si="12"/>
        <v>1429.3877551020414</v>
      </c>
      <c r="N13" s="12">
        <f t="shared" si="3"/>
        <v>84.081632653061263</v>
      </c>
      <c r="O13" s="14">
        <f t="shared" si="4"/>
        <v>0</v>
      </c>
      <c r="P13" s="15">
        <f t="shared" si="5"/>
        <v>-4.1536614645857952</v>
      </c>
      <c r="Q13" s="91">
        <f t="shared" si="6"/>
        <v>0.95292517006802768</v>
      </c>
      <c r="R13" s="177"/>
      <c r="S13" s="21">
        <v>0.51388888888888884</v>
      </c>
      <c r="T13" s="21">
        <v>0.61597222222222214</v>
      </c>
      <c r="U13" s="88">
        <f t="shared" si="14"/>
        <v>55.999999999999957</v>
      </c>
      <c r="V13" s="30">
        <f t="shared" si="13"/>
        <v>146.99999999999994</v>
      </c>
      <c r="W13" s="16"/>
      <c r="X13" s="16"/>
      <c r="Y13" s="16"/>
      <c r="Z13" s="16"/>
      <c r="AA13" s="168"/>
      <c r="AB13" s="168"/>
      <c r="AC13" s="18"/>
      <c r="AD13" s="18"/>
      <c r="AE13" s="14">
        <f t="shared" si="8"/>
        <v>-70.61224489795859</v>
      </c>
      <c r="AF13" s="91">
        <f t="shared" si="9"/>
        <v>0.95292517006802757</v>
      </c>
      <c r="AG13" s="177"/>
    </row>
    <row r="14" spans="1:33" ht="15.75" customHeight="1">
      <c r="A14" s="199" t="s">
        <v>166</v>
      </c>
      <c r="B14" s="28" t="s">
        <v>9</v>
      </c>
      <c r="C14" s="200" t="s">
        <v>10</v>
      </c>
      <c r="D14" s="201"/>
      <c r="E14" s="28">
        <v>39.619999999999997</v>
      </c>
      <c r="F14" s="88">
        <v>1301</v>
      </c>
      <c r="G14" s="88">
        <f t="shared" si="11"/>
        <v>51545.619999999995</v>
      </c>
      <c r="H14" s="30" t="s">
        <v>53</v>
      </c>
      <c r="I14" s="95">
        <v>19</v>
      </c>
      <c r="J14" s="13">
        <v>1500</v>
      </c>
      <c r="K14" s="12">
        <f t="shared" si="1"/>
        <v>78.94736842105263</v>
      </c>
      <c r="L14" s="95">
        <v>19</v>
      </c>
      <c r="M14" s="13">
        <f t="shared" si="12"/>
        <v>1445.5555555555563</v>
      </c>
      <c r="N14" s="12">
        <f t="shared" si="3"/>
        <v>76.081871345029285</v>
      </c>
      <c r="O14" s="14">
        <f t="shared" si="4"/>
        <v>0</v>
      </c>
      <c r="P14" s="15">
        <f t="shared" si="5"/>
        <v>-2.8654970760233454</v>
      </c>
      <c r="Q14" s="91">
        <f t="shared" si="6"/>
        <v>0.96370370370370428</v>
      </c>
      <c r="R14" s="177"/>
      <c r="S14" s="21">
        <v>0.62152777777777768</v>
      </c>
      <c r="T14" s="21">
        <v>0.65902777777777766</v>
      </c>
      <c r="U14" s="88">
        <f t="shared" si="14"/>
        <v>7.9999999999999716</v>
      </c>
      <c r="V14" s="30">
        <f t="shared" si="13"/>
        <v>53.999999999999972</v>
      </c>
      <c r="W14" s="16"/>
      <c r="X14" s="16"/>
      <c r="Y14" s="16"/>
      <c r="Z14" s="16"/>
      <c r="AA14" s="172"/>
      <c r="AB14" s="173"/>
      <c r="AC14" s="18"/>
      <c r="AD14" s="18"/>
      <c r="AE14" s="14">
        <f t="shared" si="8"/>
        <v>-54.444444444443661</v>
      </c>
      <c r="AF14" s="91">
        <f t="shared" si="9"/>
        <v>0.96370370370370417</v>
      </c>
      <c r="AG14" s="177"/>
    </row>
    <row r="15" spans="1:33" ht="16.5" customHeight="1">
      <c r="A15" s="199" t="s">
        <v>166</v>
      </c>
      <c r="B15" s="28" t="s">
        <v>165</v>
      </c>
      <c r="C15" s="178"/>
      <c r="D15" s="178"/>
      <c r="E15" s="92"/>
      <c r="F15" s="13"/>
      <c r="G15" s="13"/>
      <c r="H15" s="88"/>
      <c r="I15" s="23">
        <v>18</v>
      </c>
      <c r="J15" s="13">
        <v>1500</v>
      </c>
      <c r="K15" s="12">
        <f t="shared" si="1"/>
        <v>83.333333333333329</v>
      </c>
      <c r="L15" s="23">
        <v>18</v>
      </c>
      <c r="M15" s="13">
        <f>AVERAGE(M11:M14)</f>
        <v>1434.8305525651369</v>
      </c>
      <c r="N15" s="12">
        <f t="shared" si="3"/>
        <v>79.712808475840944</v>
      </c>
      <c r="O15" s="14">
        <f t="shared" si="4"/>
        <v>0</v>
      </c>
      <c r="P15" s="15">
        <f t="shared" si="5"/>
        <v>-3.6205248574923843</v>
      </c>
      <c r="Q15" s="91">
        <f t="shared" si="6"/>
        <v>0.95655370171009135</v>
      </c>
      <c r="R15" s="177"/>
      <c r="S15" s="21"/>
      <c r="T15" s="21"/>
      <c r="U15" s="12"/>
      <c r="V15" s="30"/>
      <c r="W15" s="12"/>
      <c r="X15" s="12"/>
      <c r="Y15" s="24">
        <f>SUM(Y11:Y14)</f>
        <v>0</v>
      </c>
      <c r="Z15" s="24">
        <f>SUM(Z11:Z14)</f>
        <v>0</v>
      </c>
      <c r="AA15" s="167"/>
      <c r="AB15" s="167"/>
      <c r="AC15" s="24">
        <v>4</v>
      </c>
      <c r="AD15" s="24">
        <f>SUM(AD11:AD14)</f>
        <v>0</v>
      </c>
      <c r="AE15" s="14">
        <f t="shared" si="8"/>
        <v>-65.169447434863059</v>
      </c>
      <c r="AF15" s="91">
        <f t="shared" si="9"/>
        <v>0.95655370171009124</v>
      </c>
      <c r="AG15" s="177"/>
    </row>
    <row r="16" spans="1:33" ht="16.5" customHeight="1">
      <c r="A16" s="197" t="s">
        <v>2082</v>
      </c>
      <c r="B16" s="88" t="s">
        <v>12</v>
      </c>
      <c r="C16" s="193" t="s">
        <v>13</v>
      </c>
      <c r="D16" s="193"/>
      <c r="E16" s="28">
        <v>41</v>
      </c>
      <c r="F16" s="88">
        <v>1972</v>
      </c>
      <c r="G16" s="88">
        <f t="shared" ref="G16:G19" si="15">E16*F16</f>
        <v>80852</v>
      </c>
      <c r="H16" s="30" t="s">
        <v>53</v>
      </c>
      <c r="I16" s="95">
        <v>26</v>
      </c>
      <c r="J16" s="13">
        <v>1500</v>
      </c>
      <c r="K16" s="12">
        <f t="shared" si="1"/>
        <v>57.692307692307693</v>
      </c>
      <c r="L16" s="95">
        <v>26</v>
      </c>
      <c r="M16" s="13">
        <f t="shared" ref="M16:M19" si="16">F16/V16*60</f>
        <v>1442.926829268293</v>
      </c>
      <c r="N16" s="12">
        <f t="shared" si="3"/>
        <v>55.497185741088188</v>
      </c>
      <c r="O16" s="14">
        <f t="shared" si="4"/>
        <v>0</v>
      </c>
      <c r="P16" s="15">
        <f t="shared" si="5"/>
        <v>-2.1951219512195053</v>
      </c>
      <c r="Q16" s="91">
        <f t="shared" si="6"/>
        <v>0.9619512195121952</v>
      </c>
      <c r="R16" s="177">
        <f>Q20</f>
        <v>0.95661882431314738</v>
      </c>
      <c r="S16" s="21">
        <v>0.20833333333333334</v>
      </c>
      <c r="T16" s="21">
        <v>0.26527777777777778</v>
      </c>
      <c r="U16" s="88"/>
      <c r="V16" s="30">
        <f t="shared" ref="V16:V19" si="17">(T16-S16)*24*60</f>
        <v>81.999999999999986</v>
      </c>
      <c r="W16" s="21"/>
      <c r="X16" s="21"/>
      <c r="Y16" s="21"/>
      <c r="Z16" s="21"/>
      <c r="AA16" s="168"/>
      <c r="AB16" s="168"/>
      <c r="AC16" s="18">
        <v>4</v>
      </c>
      <c r="AD16" s="18"/>
      <c r="AE16" s="14">
        <f t="shared" si="8"/>
        <v>-57.073170731707023</v>
      </c>
      <c r="AF16" s="91">
        <f t="shared" si="9"/>
        <v>0.96195121951219531</v>
      </c>
      <c r="AG16" s="177">
        <f>AF20</f>
        <v>0.95661882431314738</v>
      </c>
    </row>
    <row r="17" spans="1:33" ht="16.5" customHeight="1">
      <c r="A17" s="198" t="s">
        <v>169</v>
      </c>
      <c r="B17" s="88" t="s">
        <v>5</v>
      </c>
      <c r="C17" s="193" t="s">
        <v>20</v>
      </c>
      <c r="D17" s="193"/>
      <c r="E17" s="28">
        <v>53.68</v>
      </c>
      <c r="F17" s="88">
        <v>1366</v>
      </c>
      <c r="G17" s="88">
        <f t="shared" si="15"/>
        <v>73326.880000000005</v>
      </c>
      <c r="H17" s="30" t="s">
        <v>53</v>
      </c>
      <c r="I17" s="95">
        <v>16</v>
      </c>
      <c r="J17" s="13">
        <v>1500</v>
      </c>
      <c r="K17" s="12">
        <f t="shared" si="1"/>
        <v>93.75</v>
      </c>
      <c r="L17" s="95">
        <v>16</v>
      </c>
      <c r="M17" s="13">
        <f t="shared" si="16"/>
        <v>1437.8947368421063</v>
      </c>
      <c r="N17" s="12">
        <f t="shared" si="3"/>
        <v>89.868421052631646</v>
      </c>
      <c r="O17" s="14">
        <f t="shared" si="4"/>
        <v>0</v>
      </c>
      <c r="P17" s="15">
        <f t="shared" si="5"/>
        <v>-3.8815789473683537</v>
      </c>
      <c r="Q17" s="91">
        <f t="shared" si="6"/>
        <v>0.95859649122807089</v>
      </c>
      <c r="R17" s="177"/>
      <c r="S17" s="21">
        <v>0.70833333333333337</v>
      </c>
      <c r="T17" s="21">
        <v>0.74791666666666667</v>
      </c>
      <c r="U17" s="88" t="str">
        <f t="shared" ref="U17:U19" si="18">IF(S17=TIME(17,0,0),"",(S17-T16)*24*60)</f>
        <v/>
      </c>
      <c r="V17" s="30">
        <f t="shared" si="17"/>
        <v>56.999999999999957</v>
      </c>
      <c r="W17" s="16"/>
      <c r="X17" s="16"/>
      <c r="Y17" s="16"/>
      <c r="Z17" s="16"/>
      <c r="AA17" s="168"/>
      <c r="AB17" s="168"/>
      <c r="AC17" s="18"/>
      <c r="AD17" s="18"/>
      <c r="AE17" s="14">
        <f t="shared" si="8"/>
        <v>-62.10526315789366</v>
      </c>
      <c r="AF17" s="91">
        <f t="shared" si="9"/>
        <v>0.95859649122807089</v>
      </c>
      <c r="AG17" s="177"/>
    </row>
    <row r="18" spans="1:33" ht="16.5" customHeight="1">
      <c r="A18" s="198" t="s">
        <v>2082</v>
      </c>
      <c r="B18" s="88" t="s">
        <v>5</v>
      </c>
      <c r="C18" s="193" t="s">
        <v>15</v>
      </c>
      <c r="D18" s="193"/>
      <c r="E18" s="28">
        <v>50.92</v>
      </c>
      <c r="F18" s="88">
        <v>2230</v>
      </c>
      <c r="G18" s="88">
        <f t="shared" si="15"/>
        <v>113551.6</v>
      </c>
      <c r="H18" s="30" t="s">
        <v>53</v>
      </c>
      <c r="I18" s="95">
        <v>15</v>
      </c>
      <c r="J18" s="13">
        <v>2000</v>
      </c>
      <c r="K18" s="12">
        <f t="shared" si="1"/>
        <v>133.33333333333334</v>
      </c>
      <c r="L18" s="95">
        <v>15</v>
      </c>
      <c r="M18" s="13">
        <f t="shared" si="16"/>
        <v>1911.4285714285695</v>
      </c>
      <c r="N18" s="12">
        <f t="shared" si="3"/>
        <v>127.4285714285713</v>
      </c>
      <c r="O18" s="14">
        <f t="shared" si="4"/>
        <v>0</v>
      </c>
      <c r="P18" s="15">
        <f t="shared" si="5"/>
        <v>-5.9047619047620401</v>
      </c>
      <c r="Q18" s="91">
        <f t="shared" si="6"/>
        <v>0.95571428571428474</v>
      </c>
      <c r="R18" s="177"/>
      <c r="S18" s="21">
        <v>0.75347222222222221</v>
      </c>
      <c r="T18" s="21">
        <v>0.80208333333333337</v>
      </c>
      <c r="U18" s="88">
        <f t="shared" si="18"/>
        <v>7.9999999999999716</v>
      </c>
      <c r="V18" s="30">
        <f t="shared" si="17"/>
        <v>70.000000000000071</v>
      </c>
      <c r="W18" s="16"/>
      <c r="X18" s="16"/>
      <c r="Y18" s="16"/>
      <c r="Z18" s="16"/>
      <c r="AA18" s="168"/>
      <c r="AB18" s="168"/>
      <c r="AC18" s="18"/>
      <c r="AD18" s="18"/>
      <c r="AE18" s="14">
        <f t="shared" si="8"/>
        <v>-88.571428571430488</v>
      </c>
      <c r="AF18" s="91">
        <f t="shared" si="9"/>
        <v>0.95571428571428474</v>
      </c>
      <c r="AG18" s="177"/>
    </row>
    <row r="19" spans="1:33" ht="16.5" customHeight="1">
      <c r="A19" s="198" t="s">
        <v>2082</v>
      </c>
      <c r="B19" s="88" t="s">
        <v>5</v>
      </c>
      <c r="C19" s="193" t="s">
        <v>21</v>
      </c>
      <c r="D19" s="193"/>
      <c r="E19" s="28">
        <v>57.3</v>
      </c>
      <c r="F19" s="88">
        <v>1555</v>
      </c>
      <c r="G19" s="88">
        <f t="shared" si="15"/>
        <v>89101.5</v>
      </c>
      <c r="H19" s="30" t="s">
        <v>53</v>
      </c>
      <c r="I19" s="95">
        <v>13</v>
      </c>
      <c r="J19" s="13">
        <v>2000</v>
      </c>
      <c r="K19" s="12">
        <f t="shared" si="1"/>
        <v>153.84615384615384</v>
      </c>
      <c r="L19" s="95">
        <v>13</v>
      </c>
      <c r="M19" s="13">
        <f t="shared" si="16"/>
        <v>1904.0816326530619</v>
      </c>
      <c r="N19" s="12">
        <f t="shared" si="3"/>
        <v>146.46781789638936</v>
      </c>
      <c r="O19" s="14">
        <f t="shared" si="4"/>
        <v>0</v>
      </c>
      <c r="P19" s="15">
        <f t="shared" si="5"/>
        <v>-7.3783359497644767</v>
      </c>
      <c r="Q19" s="91">
        <f t="shared" si="6"/>
        <v>0.95204081632653093</v>
      </c>
      <c r="R19" s="177"/>
      <c r="S19" s="21">
        <v>0.80555555555555558</v>
      </c>
      <c r="T19" s="21">
        <v>0.83958333333333335</v>
      </c>
      <c r="U19" s="88">
        <f t="shared" si="18"/>
        <v>4.9999999999999822</v>
      </c>
      <c r="V19" s="30">
        <f t="shared" si="17"/>
        <v>48.999999999999986</v>
      </c>
      <c r="W19" s="16"/>
      <c r="X19" s="16"/>
      <c r="Y19" s="16"/>
      <c r="Z19" s="16"/>
      <c r="AA19" s="168"/>
      <c r="AB19" s="168"/>
      <c r="AC19" s="18"/>
      <c r="AD19" s="18"/>
      <c r="AE19" s="14">
        <f t="shared" si="8"/>
        <v>-95.918367346938112</v>
      </c>
      <c r="AF19" s="91">
        <f t="shared" si="9"/>
        <v>0.95204081632653093</v>
      </c>
      <c r="AG19" s="177"/>
    </row>
    <row r="20" spans="1:33" ht="16.5" customHeight="1">
      <c r="A20" s="198" t="s">
        <v>2082</v>
      </c>
      <c r="B20" s="28" t="s">
        <v>2083</v>
      </c>
      <c r="C20" s="178"/>
      <c r="D20" s="178"/>
      <c r="E20" s="92"/>
      <c r="F20" s="12"/>
      <c r="G20" s="12"/>
      <c r="H20" s="88"/>
      <c r="I20" s="23">
        <v>17.5</v>
      </c>
      <c r="J20" s="13">
        <v>1750</v>
      </c>
      <c r="K20" s="12">
        <f t="shared" si="1"/>
        <v>100</v>
      </c>
      <c r="L20" s="23">
        <v>17.5</v>
      </c>
      <c r="M20" s="13">
        <f>AVERAGE(M16:M19)</f>
        <v>1674.0829425480078</v>
      </c>
      <c r="N20" s="12">
        <f t="shared" si="3"/>
        <v>95.661882431314737</v>
      </c>
      <c r="O20" s="14">
        <f t="shared" si="4"/>
        <v>0</v>
      </c>
      <c r="P20" s="15">
        <f t="shared" si="5"/>
        <v>-4.3381175686852629</v>
      </c>
      <c r="Q20" s="91">
        <f t="shared" si="6"/>
        <v>0.95661882431314738</v>
      </c>
      <c r="R20" s="177"/>
      <c r="S20" s="21"/>
      <c r="T20" s="21"/>
      <c r="U20" s="88"/>
      <c r="V20" s="30"/>
      <c r="W20" s="12"/>
      <c r="X20" s="12"/>
      <c r="Y20" s="24">
        <f>SUM(Y16:Y19)</f>
        <v>0</v>
      </c>
      <c r="Z20" s="24">
        <f>SUM(Z16:Z19)</f>
        <v>0</v>
      </c>
      <c r="AA20" s="167"/>
      <c r="AB20" s="167"/>
      <c r="AC20" s="24">
        <v>4</v>
      </c>
      <c r="AD20" s="24">
        <f>SUM(AD16:AD19)</f>
        <v>0</v>
      </c>
      <c r="AE20" s="14">
        <f t="shared" si="8"/>
        <v>-75.91705745199215</v>
      </c>
      <c r="AF20" s="91">
        <f t="shared" si="9"/>
        <v>0.95661882431314738</v>
      </c>
      <c r="AG20" s="177"/>
    </row>
    <row r="21" spans="1:33" ht="15.75" customHeight="1">
      <c r="A21" s="195" t="s">
        <v>170</v>
      </c>
      <c r="B21" s="28" t="s">
        <v>5</v>
      </c>
      <c r="C21" s="193" t="s">
        <v>17</v>
      </c>
      <c r="D21" s="193"/>
      <c r="E21" s="28">
        <v>57.73</v>
      </c>
      <c r="F21" s="88">
        <v>2402</v>
      </c>
      <c r="G21" s="88">
        <f t="shared" ref="G21:G26" si="19">E21*F21</f>
        <v>138667.46</v>
      </c>
      <c r="H21" s="30" t="s">
        <v>53</v>
      </c>
      <c r="I21" s="95">
        <v>14</v>
      </c>
      <c r="J21" s="13">
        <v>2000</v>
      </c>
      <c r="K21" s="12">
        <f t="shared" si="1"/>
        <v>142.85714285714286</v>
      </c>
      <c r="L21" s="95">
        <v>14</v>
      </c>
      <c r="M21" s="13">
        <f t="shared" ref="M21:M26" si="20">F21/V21*60</f>
        <v>1921.6000000000006</v>
      </c>
      <c r="N21" s="12">
        <f t="shared" si="3"/>
        <v>137.2571428571429</v>
      </c>
      <c r="O21" s="14">
        <f t="shared" si="4"/>
        <v>0</v>
      </c>
      <c r="P21" s="15">
        <f t="shared" si="5"/>
        <v>-5.5999999999999659</v>
      </c>
      <c r="Q21" s="91">
        <f t="shared" si="6"/>
        <v>0.96080000000000021</v>
      </c>
      <c r="R21" s="177">
        <f>Q27</f>
        <v>0.96085306661373826</v>
      </c>
      <c r="S21" s="21">
        <v>0.29166666666666669</v>
      </c>
      <c r="T21" s="21">
        <v>0.34375</v>
      </c>
      <c r="U21" s="88"/>
      <c r="V21" s="30">
        <f t="shared" ref="V21:V26" si="21">(T21-S21)*24*60</f>
        <v>74.999999999999972</v>
      </c>
      <c r="W21" s="21"/>
      <c r="X21" s="21"/>
      <c r="Y21" s="21"/>
      <c r="Z21" s="21"/>
      <c r="AA21" s="168"/>
      <c r="AB21" s="168"/>
      <c r="AC21" s="18">
        <v>6</v>
      </c>
      <c r="AD21" s="18"/>
      <c r="AE21" s="14">
        <f t="shared" si="8"/>
        <v>-78.399999999999409</v>
      </c>
      <c r="AF21" s="91">
        <f t="shared" si="9"/>
        <v>0.96080000000000032</v>
      </c>
      <c r="AG21" s="177">
        <f>AF27</f>
        <v>0.96085306661373826</v>
      </c>
    </row>
    <row r="22" spans="1:33" ht="15.75" customHeight="1">
      <c r="A22" s="196" t="s">
        <v>170</v>
      </c>
      <c r="B22" s="28" t="s">
        <v>5</v>
      </c>
      <c r="C22" s="193" t="s">
        <v>18</v>
      </c>
      <c r="D22" s="193"/>
      <c r="E22" s="28">
        <v>53.68</v>
      </c>
      <c r="F22" s="88">
        <v>1388</v>
      </c>
      <c r="G22" s="88">
        <f t="shared" si="19"/>
        <v>74507.839999999997</v>
      </c>
      <c r="H22" s="30" t="s">
        <v>53</v>
      </c>
      <c r="I22" s="95">
        <v>16</v>
      </c>
      <c r="J22" s="13">
        <v>2000</v>
      </c>
      <c r="K22" s="12">
        <f t="shared" si="1"/>
        <v>125</v>
      </c>
      <c r="L22" s="95">
        <v>16</v>
      </c>
      <c r="M22" s="13">
        <f t="shared" si="20"/>
        <v>1936.7441860465112</v>
      </c>
      <c r="N22" s="12">
        <f t="shared" si="3"/>
        <v>121.04651162790695</v>
      </c>
      <c r="O22" s="14">
        <f t="shared" si="4"/>
        <v>0</v>
      </c>
      <c r="P22" s="15">
        <f t="shared" si="5"/>
        <v>-3.953488372093048</v>
      </c>
      <c r="Q22" s="91">
        <f t="shared" si="6"/>
        <v>0.96837209302325566</v>
      </c>
      <c r="R22" s="177"/>
      <c r="S22" s="21">
        <v>0.34722222222222221</v>
      </c>
      <c r="T22" s="21">
        <v>0.37708333333333333</v>
      </c>
      <c r="U22" s="88">
        <f t="shared" ref="U22:U26" si="22">IF(S22=TIME(17,0,0),"",(S22-T21)*24*60)</f>
        <v>4.9999999999999822</v>
      </c>
      <c r="V22" s="30">
        <f t="shared" si="21"/>
        <v>43.000000000000007</v>
      </c>
      <c r="W22" s="16"/>
      <c r="X22" s="88"/>
      <c r="Y22" s="88"/>
      <c r="Z22" s="88"/>
      <c r="AA22" s="168"/>
      <c r="AB22" s="168"/>
      <c r="AC22" s="18"/>
      <c r="AD22" s="18"/>
      <c r="AE22" s="14">
        <f t="shared" si="8"/>
        <v>-63.255813953488769</v>
      </c>
      <c r="AF22" s="91">
        <f t="shared" si="9"/>
        <v>0.96837209302325566</v>
      </c>
      <c r="AG22" s="177"/>
    </row>
    <row r="23" spans="1:33" ht="15.75" customHeight="1">
      <c r="A23" s="196" t="s">
        <v>2084</v>
      </c>
      <c r="B23" s="28" t="s">
        <v>5</v>
      </c>
      <c r="C23" s="193" t="s">
        <v>73</v>
      </c>
      <c r="D23" s="193"/>
      <c r="E23" s="28">
        <v>50.67</v>
      </c>
      <c r="F23" s="88">
        <v>2442</v>
      </c>
      <c r="G23" s="88">
        <f t="shared" si="19"/>
        <v>123736.14</v>
      </c>
      <c r="H23" s="30" t="s">
        <v>53</v>
      </c>
      <c r="I23" s="95">
        <v>17</v>
      </c>
      <c r="J23" s="13">
        <v>2000</v>
      </c>
      <c r="K23" s="12">
        <f t="shared" si="1"/>
        <v>117.64705882352941</v>
      </c>
      <c r="L23" s="95">
        <v>17</v>
      </c>
      <c r="M23" s="13">
        <f t="shared" si="20"/>
        <v>1927.8947368421059</v>
      </c>
      <c r="N23" s="12">
        <f t="shared" si="3"/>
        <v>113.40557275541799</v>
      </c>
      <c r="O23" s="14">
        <f t="shared" si="4"/>
        <v>0</v>
      </c>
      <c r="P23" s="15">
        <f t="shared" si="5"/>
        <v>-4.2414860681114135</v>
      </c>
      <c r="Q23" s="91">
        <f t="shared" si="6"/>
        <v>0.963947368421053</v>
      </c>
      <c r="R23" s="177"/>
      <c r="S23" s="21">
        <v>0.38263888888888886</v>
      </c>
      <c r="T23" s="21">
        <v>0.43541666666666662</v>
      </c>
      <c r="U23" s="88">
        <f t="shared" si="22"/>
        <v>7.9999999999999716</v>
      </c>
      <c r="V23" s="30">
        <f t="shared" si="21"/>
        <v>75.999999999999972</v>
      </c>
      <c r="W23" s="16"/>
      <c r="X23" s="88"/>
      <c r="Y23" s="88"/>
      <c r="Z23" s="88"/>
      <c r="AA23" s="168"/>
      <c r="AB23" s="168"/>
      <c r="AC23" s="18"/>
      <c r="AD23" s="18"/>
      <c r="AE23" s="14">
        <f t="shared" si="8"/>
        <v>-72.105263157894115</v>
      </c>
      <c r="AF23" s="91">
        <f t="shared" si="9"/>
        <v>0.963947368421053</v>
      </c>
      <c r="AG23" s="177"/>
    </row>
    <row r="24" spans="1:33" ht="15.75" customHeight="1">
      <c r="A24" s="196" t="s">
        <v>2084</v>
      </c>
      <c r="B24" s="28" t="s">
        <v>5</v>
      </c>
      <c r="C24" s="193" t="s">
        <v>19</v>
      </c>
      <c r="D24" s="193"/>
      <c r="E24" s="28">
        <v>50.49</v>
      </c>
      <c r="F24" s="88">
        <v>1969</v>
      </c>
      <c r="G24" s="88">
        <f t="shared" si="19"/>
        <v>99414.81</v>
      </c>
      <c r="H24" s="30" t="s">
        <v>53</v>
      </c>
      <c r="I24" s="95">
        <v>15</v>
      </c>
      <c r="J24" s="13">
        <v>2000</v>
      </c>
      <c r="K24" s="12">
        <f t="shared" si="1"/>
        <v>133.33333333333334</v>
      </c>
      <c r="L24" s="95">
        <v>15</v>
      </c>
      <c r="M24" s="13">
        <f t="shared" si="20"/>
        <v>1905.4838709677435</v>
      </c>
      <c r="N24" s="12">
        <f t="shared" si="3"/>
        <v>127.03225806451624</v>
      </c>
      <c r="O24" s="14">
        <f t="shared" si="4"/>
        <v>0</v>
      </c>
      <c r="P24" s="15">
        <f t="shared" si="5"/>
        <v>-6.301075268817101</v>
      </c>
      <c r="Q24" s="91">
        <f t="shared" si="6"/>
        <v>0.95274193548387176</v>
      </c>
      <c r="R24" s="177"/>
      <c r="S24" s="21">
        <v>0.70833333333333337</v>
      </c>
      <c r="T24" s="21">
        <v>0.75138888888888888</v>
      </c>
      <c r="U24" s="88" t="str">
        <f t="shared" si="22"/>
        <v/>
      </c>
      <c r="V24" s="30">
        <f t="shared" si="21"/>
        <v>61.999999999999943</v>
      </c>
      <c r="W24" s="16"/>
      <c r="X24" s="88"/>
      <c r="Y24" s="88"/>
      <c r="Z24" s="88"/>
      <c r="AA24" s="168"/>
      <c r="AB24" s="168"/>
      <c r="AC24" s="18"/>
      <c r="AD24" s="18"/>
      <c r="AE24" s="14">
        <f t="shared" si="8"/>
        <v>-94.516129032256458</v>
      </c>
      <c r="AF24" s="91">
        <f t="shared" si="9"/>
        <v>0.95274193548387176</v>
      </c>
      <c r="AG24" s="177"/>
    </row>
    <row r="25" spans="1:33" ht="15.75" customHeight="1">
      <c r="A25" s="196" t="s">
        <v>170</v>
      </c>
      <c r="B25" s="28" t="s">
        <v>5</v>
      </c>
      <c r="C25" s="193" t="s">
        <v>42</v>
      </c>
      <c r="D25" s="193"/>
      <c r="E25" s="28">
        <v>57.73</v>
      </c>
      <c r="F25" s="88">
        <v>914</v>
      </c>
      <c r="G25" s="88">
        <f t="shared" si="19"/>
        <v>52765.219999999994</v>
      </c>
      <c r="H25" s="30" t="s">
        <v>53</v>
      </c>
      <c r="I25" s="95">
        <v>16</v>
      </c>
      <c r="J25" s="13">
        <v>1500</v>
      </c>
      <c r="K25" s="12">
        <f t="shared" si="1"/>
        <v>93.75</v>
      </c>
      <c r="L25" s="95">
        <v>16</v>
      </c>
      <c r="M25" s="13">
        <f t="shared" si="20"/>
        <v>1443.1578947368412</v>
      </c>
      <c r="N25" s="12">
        <f t="shared" si="3"/>
        <v>90.197368421052573</v>
      </c>
      <c r="O25" s="14">
        <f t="shared" si="4"/>
        <v>0</v>
      </c>
      <c r="P25" s="15">
        <f t="shared" si="5"/>
        <v>-3.5526315789474268</v>
      </c>
      <c r="Q25" s="91">
        <f t="shared" si="6"/>
        <v>0.96210526315789413</v>
      </c>
      <c r="R25" s="177"/>
      <c r="S25" s="21">
        <v>0.75694444444444442</v>
      </c>
      <c r="T25" s="21">
        <v>0.78333333333333333</v>
      </c>
      <c r="U25" s="88">
        <f t="shared" si="22"/>
        <v>7.9999999999999716</v>
      </c>
      <c r="V25" s="30">
        <f t="shared" si="21"/>
        <v>38.000000000000028</v>
      </c>
      <c r="W25" s="16"/>
      <c r="X25" s="16"/>
      <c r="Y25" s="88"/>
      <c r="Z25" s="88"/>
      <c r="AA25" s="168"/>
      <c r="AB25" s="168"/>
      <c r="AC25" s="18"/>
      <c r="AD25" s="18"/>
      <c r="AE25" s="14">
        <f t="shared" si="8"/>
        <v>-56.842105263158828</v>
      </c>
      <c r="AF25" s="91">
        <f t="shared" si="9"/>
        <v>0.96210526315789413</v>
      </c>
      <c r="AG25" s="177"/>
    </row>
    <row r="26" spans="1:33" ht="15.75" customHeight="1">
      <c r="A26" s="196" t="s">
        <v>170</v>
      </c>
      <c r="B26" s="28" t="s">
        <v>5</v>
      </c>
      <c r="C26" s="193" t="s">
        <v>14</v>
      </c>
      <c r="D26" s="193"/>
      <c r="E26" s="28">
        <v>50.98</v>
      </c>
      <c r="F26" s="88">
        <v>2266</v>
      </c>
      <c r="G26" s="88">
        <f t="shared" si="19"/>
        <v>115520.68</v>
      </c>
      <c r="H26" s="30" t="s">
        <v>53</v>
      </c>
      <c r="I26" s="95">
        <v>16</v>
      </c>
      <c r="J26" s="13">
        <v>2000</v>
      </c>
      <c r="K26" s="12">
        <f t="shared" si="1"/>
        <v>125</v>
      </c>
      <c r="L26" s="95">
        <v>16</v>
      </c>
      <c r="M26" s="13">
        <f t="shared" si="20"/>
        <v>1914.9295774647869</v>
      </c>
      <c r="N26" s="12">
        <f t="shared" si="3"/>
        <v>119.68309859154918</v>
      </c>
      <c r="O26" s="14">
        <f t="shared" si="4"/>
        <v>0</v>
      </c>
      <c r="P26" s="15">
        <f t="shared" si="5"/>
        <v>-5.3169014084508177</v>
      </c>
      <c r="Q26" s="91">
        <f t="shared" si="6"/>
        <v>0.95746478873239349</v>
      </c>
      <c r="R26" s="177"/>
      <c r="S26" s="21">
        <v>0.78749999999999998</v>
      </c>
      <c r="T26" s="21">
        <v>0.83680555555555558</v>
      </c>
      <c r="U26" s="88">
        <f t="shared" si="22"/>
        <v>5.9999999999999787</v>
      </c>
      <c r="V26" s="30">
        <f t="shared" si="21"/>
        <v>71.000000000000071</v>
      </c>
      <c r="W26" s="16"/>
      <c r="X26" s="21"/>
      <c r="Y26" s="21"/>
      <c r="Z26" s="21"/>
      <c r="AA26" s="168"/>
      <c r="AB26" s="168"/>
      <c r="AC26" s="18"/>
      <c r="AD26" s="18"/>
      <c r="AE26" s="14">
        <f t="shared" si="8"/>
        <v>-85.070422535213083</v>
      </c>
      <c r="AF26" s="91">
        <f t="shared" si="9"/>
        <v>0.95746478873239349</v>
      </c>
      <c r="AG26" s="177"/>
    </row>
    <row r="27" spans="1:33" ht="15.75" customHeight="1">
      <c r="A27" s="196" t="s">
        <v>170</v>
      </c>
      <c r="B27" s="28" t="s">
        <v>165</v>
      </c>
      <c r="C27" s="178"/>
      <c r="D27" s="178"/>
      <c r="E27" s="92"/>
      <c r="F27" s="88"/>
      <c r="G27" s="88"/>
      <c r="H27" s="88"/>
      <c r="I27" s="23">
        <v>15.666666666666666</v>
      </c>
      <c r="J27" s="13">
        <v>1916.6666666666667</v>
      </c>
      <c r="K27" s="12">
        <f t="shared" si="1"/>
        <v>122.3404255319149</v>
      </c>
      <c r="L27" s="23">
        <v>15.666666666666666</v>
      </c>
      <c r="M27" s="13">
        <f>AVERAGE(M21:M26)</f>
        <v>1841.6350443429983</v>
      </c>
      <c r="N27" s="12">
        <f t="shared" si="3"/>
        <v>117.55117304317011</v>
      </c>
      <c r="O27" s="14">
        <f t="shared" si="4"/>
        <v>0</v>
      </c>
      <c r="P27" s="15">
        <f t="shared" si="5"/>
        <v>-4.7892524887447934</v>
      </c>
      <c r="Q27" s="91">
        <f t="shared" si="6"/>
        <v>0.96085306661373826</v>
      </c>
      <c r="R27" s="177"/>
      <c r="S27" s="21"/>
      <c r="T27" s="21"/>
      <c r="U27" s="12"/>
      <c r="V27" s="30"/>
      <c r="W27" s="12"/>
      <c r="X27" s="12"/>
      <c r="Y27" s="24">
        <f>SUM(Y21:Y26)</f>
        <v>0</v>
      </c>
      <c r="Z27" s="24">
        <f>SUM(Z21:Z26)</f>
        <v>0</v>
      </c>
      <c r="AA27" s="167"/>
      <c r="AB27" s="167"/>
      <c r="AC27" s="24">
        <v>6</v>
      </c>
      <c r="AD27" s="24">
        <f>SUM(AD21:AD26)</f>
        <v>0</v>
      </c>
      <c r="AE27" s="14">
        <f t="shared" si="8"/>
        <v>-75.031622323668444</v>
      </c>
      <c r="AF27" s="91">
        <f t="shared" si="9"/>
        <v>0.96085306661373826</v>
      </c>
      <c r="AG27" s="177"/>
    </row>
    <row r="28" spans="1:33" ht="15.75" customHeight="1">
      <c r="A28" s="194" t="s">
        <v>171</v>
      </c>
      <c r="B28" s="28" t="s">
        <v>22</v>
      </c>
      <c r="C28" s="193" t="s">
        <v>23</v>
      </c>
      <c r="D28" s="193"/>
      <c r="E28" s="28">
        <v>31.29</v>
      </c>
      <c r="F28" s="88">
        <v>6500</v>
      </c>
      <c r="G28" s="88">
        <f t="shared" ref="G28:G34" si="23">E28*F28</f>
        <v>203385</v>
      </c>
      <c r="H28" s="30">
        <v>2</v>
      </c>
      <c r="I28" s="95">
        <v>18</v>
      </c>
      <c r="J28" s="13">
        <v>2400</v>
      </c>
      <c r="K28" s="12">
        <f t="shared" si="1"/>
        <v>133.33333333333334</v>
      </c>
      <c r="L28" s="95">
        <v>18</v>
      </c>
      <c r="M28" s="13">
        <f t="shared" ref="M28:M34" si="24">F28/V28*60</f>
        <v>2294.1176470588234</v>
      </c>
      <c r="N28" s="12">
        <f t="shared" si="3"/>
        <v>127.45098039215685</v>
      </c>
      <c r="O28" s="14">
        <f t="shared" si="4"/>
        <v>0</v>
      </c>
      <c r="P28" s="15">
        <f t="shared" si="5"/>
        <v>-5.8823529411764923</v>
      </c>
      <c r="Q28" s="91">
        <f t="shared" si="6"/>
        <v>0.95588235294117629</v>
      </c>
      <c r="R28" s="177">
        <f>Q35</f>
        <v>0.95919800901351582</v>
      </c>
      <c r="S28" s="21">
        <v>8.3333333333333329E-2</v>
      </c>
      <c r="T28" s="21">
        <v>0.2013888888888889</v>
      </c>
      <c r="U28" s="88"/>
      <c r="V28" s="30">
        <f t="shared" ref="V28:V34" si="25">(T28-S28)*24*60</f>
        <v>170</v>
      </c>
      <c r="W28" s="16">
        <f>T28</f>
        <v>0.2013888888888889</v>
      </c>
      <c r="X28" s="16">
        <f>S29</f>
        <v>0.22013888888888891</v>
      </c>
      <c r="Y28" s="16"/>
      <c r="Z28" s="16"/>
      <c r="AA28" s="168"/>
      <c r="AB28" s="168"/>
      <c r="AC28" s="18">
        <v>7</v>
      </c>
      <c r="AD28" s="18"/>
      <c r="AE28" s="14">
        <f t="shared" si="8"/>
        <v>-105.88235294117658</v>
      </c>
      <c r="AF28" s="91">
        <f t="shared" si="9"/>
        <v>0.95588235294117641</v>
      </c>
      <c r="AG28" s="177">
        <f>AF35</f>
        <v>0.95919800901351571</v>
      </c>
    </row>
    <row r="29" spans="1:33" ht="15.75" customHeight="1">
      <c r="A29" s="194" t="s">
        <v>2085</v>
      </c>
      <c r="B29" s="28" t="s">
        <v>22</v>
      </c>
      <c r="C29" s="193" t="s">
        <v>24</v>
      </c>
      <c r="D29" s="193"/>
      <c r="E29" s="28">
        <v>25.98</v>
      </c>
      <c r="F29" s="88">
        <v>3379</v>
      </c>
      <c r="G29" s="88">
        <f t="shared" si="23"/>
        <v>87786.42</v>
      </c>
      <c r="H29" s="30" t="s">
        <v>53</v>
      </c>
      <c r="I29" s="95">
        <v>21</v>
      </c>
      <c r="J29" s="13">
        <v>2400</v>
      </c>
      <c r="K29" s="12">
        <f t="shared" si="1"/>
        <v>114.28571428571429</v>
      </c>
      <c r="L29" s="95">
        <v>21</v>
      </c>
      <c r="M29" s="13">
        <f t="shared" si="24"/>
        <v>2303.8636363636374</v>
      </c>
      <c r="N29" s="12">
        <f t="shared" si="3"/>
        <v>109.70779220779225</v>
      </c>
      <c r="O29" s="14">
        <f t="shared" si="4"/>
        <v>0</v>
      </c>
      <c r="P29" s="15">
        <f t="shared" si="5"/>
        <v>-4.5779220779220395</v>
      </c>
      <c r="Q29" s="91">
        <f t="shared" si="6"/>
        <v>0.95994318181818217</v>
      </c>
      <c r="R29" s="177"/>
      <c r="S29" s="21">
        <v>0.22013888888888891</v>
      </c>
      <c r="T29" s="21">
        <v>0.28125</v>
      </c>
      <c r="U29" s="88">
        <f t="shared" ref="U29:U34" si="26">(S29-T28)*24*60</f>
        <v>27.000000000000025</v>
      </c>
      <c r="V29" s="30">
        <f t="shared" si="25"/>
        <v>87.999999999999972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8"/>
        <v>-96.136363636362603</v>
      </c>
      <c r="AF29" s="91">
        <f t="shared" si="9"/>
        <v>0.95994318181818228</v>
      </c>
      <c r="AG29" s="177"/>
    </row>
    <row r="30" spans="1:33" ht="15.75" customHeight="1">
      <c r="A30" s="194" t="s">
        <v>2085</v>
      </c>
      <c r="B30" s="28" t="s">
        <v>22</v>
      </c>
      <c r="C30" s="193" t="s">
        <v>26</v>
      </c>
      <c r="D30" s="193"/>
      <c r="E30" s="28">
        <v>25.99</v>
      </c>
      <c r="F30" s="88">
        <v>3500</v>
      </c>
      <c r="G30" s="88">
        <f t="shared" si="23"/>
        <v>90965</v>
      </c>
      <c r="H30" s="30">
        <v>2</v>
      </c>
      <c r="I30" s="95">
        <v>14</v>
      </c>
      <c r="J30" s="13">
        <v>2400</v>
      </c>
      <c r="K30" s="12">
        <f t="shared" si="1"/>
        <v>171.42857142857142</v>
      </c>
      <c r="L30" s="95">
        <v>14</v>
      </c>
      <c r="M30" s="13">
        <f t="shared" si="24"/>
        <v>2307.6923076923076</v>
      </c>
      <c r="N30" s="12">
        <f t="shared" si="3"/>
        <v>164.83516483516482</v>
      </c>
      <c r="O30" s="14">
        <f t="shared" si="4"/>
        <v>0</v>
      </c>
      <c r="P30" s="15">
        <f t="shared" si="5"/>
        <v>-6.5934065934065984</v>
      </c>
      <c r="Q30" s="91">
        <f t="shared" si="6"/>
        <v>0.96153846153846145</v>
      </c>
      <c r="R30" s="177"/>
      <c r="S30" s="21">
        <v>0.28541666666666665</v>
      </c>
      <c r="T30" s="21">
        <v>0.34861111111111109</v>
      </c>
      <c r="U30" s="88">
        <f t="shared" si="26"/>
        <v>5.9999999999999787</v>
      </c>
      <c r="V30" s="30">
        <f t="shared" si="25"/>
        <v>91</v>
      </c>
      <c r="W30" s="16"/>
      <c r="X30" s="16"/>
      <c r="Y30" s="16"/>
      <c r="Z30" s="16"/>
      <c r="AA30" s="168"/>
      <c r="AB30" s="168"/>
      <c r="AC30" s="18"/>
      <c r="AD30" s="18"/>
      <c r="AE30" s="14">
        <f t="shared" si="8"/>
        <v>-92.307692307692378</v>
      </c>
      <c r="AF30" s="91">
        <f t="shared" si="9"/>
        <v>0.96153846153846156</v>
      </c>
      <c r="AG30" s="177"/>
    </row>
    <row r="31" spans="1:33" ht="15.75" customHeight="1">
      <c r="A31" s="194" t="s">
        <v>2085</v>
      </c>
      <c r="B31" s="28" t="s">
        <v>22</v>
      </c>
      <c r="C31" s="193" t="s">
        <v>27</v>
      </c>
      <c r="D31" s="193"/>
      <c r="E31" s="28">
        <v>26.18</v>
      </c>
      <c r="F31" s="88">
        <v>1746</v>
      </c>
      <c r="G31" s="88">
        <f t="shared" si="23"/>
        <v>45710.28</v>
      </c>
      <c r="H31" s="30" t="s">
        <v>53</v>
      </c>
      <c r="I31" s="95">
        <v>19</v>
      </c>
      <c r="J31" s="13">
        <v>2400</v>
      </c>
      <c r="K31" s="12">
        <f t="shared" si="1"/>
        <v>126.31578947368421</v>
      </c>
      <c r="L31" s="95">
        <v>19</v>
      </c>
      <c r="M31" s="13">
        <f t="shared" si="24"/>
        <v>2328</v>
      </c>
      <c r="N31" s="12">
        <f t="shared" si="3"/>
        <v>122.52631578947368</v>
      </c>
      <c r="O31" s="14">
        <f t="shared" si="4"/>
        <v>0</v>
      </c>
      <c r="P31" s="15">
        <f t="shared" si="5"/>
        <v>-3.7894736842105203</v>
      </c>
      <c r="Q31" s="91">
        <f t="shared" si="6"/>
        <v>0.97000000000000008</v>
      </c>
      <c r="R31" s="177"/>
      <c r="S31" s="21">
        <v>0.35347222222222219</v>
      </c>
      <c r="T31" s="21">
        <v>0.38472222222222219</v>
      </c>
      <c r="U31" s="88">
        <f t="shared" si="26"/>
        <v>6.9999999999999751</v>
      </c>
      <c r="V31" s="30">
        <f t="shared" si="25"/>
        <v>45</v>
      </c>
      <c r="W31" s="16"/>
      <c r="X31" s="16"/>
      <c r="Y31" s="16"/>
      <c r="Z31" s="16"/>
      <c r="AA31" s="168"/>
      <c r="AB31" s="168"/>
      <c r="AC31" s="18"/>
      <c r="AD31" s="18"/>
      <c r="AE31" s="14">
        <f t="shared" si="8"/>
        <v>-72</v>
      </c>
      <c r="AF31" s="91">
        <f t="shared" si="9"/>
        <v>0.97</v>
      </c>
      <c r="AG31" s="177"/>
    </row>
    <row r="32" spans="1:33" ht="15.75" customHeight="1">
      <c r="A32" s="194" t="s">
        <v>2085</v>
      </c>
      <c r="B32" s="28" t="s">
        <v>22</v>
      </c>
      <c r="C32" s="193" t="s">
        <v>25</v>
      </c>
      <c r="D32" s="193"/>
      <c r="E32" s="28">
        <v>26.2</v>
      </c>
      <c r="F32" s="88">
        <v>6082</v>
      </c>
      <c r="G32" s="88">
        <f t="shared" si="23"/>
        <v>159348.4</v>
      </c>
      <c r="H32" s="30" t="s">
        <v>53</v>
      </c>
      <c r="I32" s="95">
        <v>20</v>
      </c>
      <c r="J32" s="13">
        <v>2400</v>
      </c>
      <c r="K32" s="12">
        <f t="shared" si="1"/>
        <v>120</v>
      </c>
      <c r="L32" s="95">
        <v>20</v>
      </c>
      <c r="M32" s="13">
        <f t="shared" si="24"/>
        <v>2295.0943396226412</v>
      </c>
      <c r="N32" s="12">
        <f t="shared" si="3"/>
        <v>114.75471698113206</v>
      </c>
      <c r="O32" s="14">
        <f t="shared" si="4"/>
        <v>0</v>
      </c>
      <c r="P32" s="15">
        <f t="shared" si="5"/>
        <v>-5.2452830188679371</v>
      </c>
      <c r="Q32" s="91">
        <f t="shared" si="6"/>
        <v>0.95628930817610047</v>
      </c>
      <c r="R32" s="177"/>
      <c r="S32" s="21">
        <v>0.38888888888888884</v>
      </c>
      <c r="T32" s="21">
        <v>0.4993055555555555</v>
      </c>
      <c r="U32" s="88">
        <f t="shared" si="26"/>
        <v>5.9999999999999787</v>
      </c>
      <c r="V32" s="30">
        <f t="shared" si="25"/>
        <v>159</v>
      </c>
      <c r="W32" s="16">
        <f>T32</f>
        <v>0.4993055555555555</v>
      </c>
      <c r="X32" s="16">
        <f>S33</f>
        <v>0.54027777777777775</v>
      </c>
      <c r="Y32" s="16"/>
      <c r="Z32" s="16"/>
      <c r="AA32" s="168"/>
      <c r="AB32" s="168"/>
      <c r="AC32" s="18"/>
      <c r="AD32" s="18"/>
      <c r="AE32" s="14">
        <f t="shared" si="8"/>
        <v>-104.9056603773588</v>
      </c>
      <c r="AF32" s="91">
        <f t="shared" si="9"/>
        <v>0.95628930817610047</v>
      </c>
      <c r="AG32" s="177"/>
    </row>
    <row r="33" spans="1:33" ht="15.75" customHeight="1">
      <c r="A33" s="194" t="s">
        <v>171</v>
      </c>
      <c r="B33" s="28" t="s">
        <v>22</v>
      </c>
      <c r="C33" s="193" t="s">
        <v>23</v>
      </c>
      <c r="D33" s="193"/>
      <c r="E33" s="28">
        <v>31.29</v>
      </c>
      <c r="F33" s="88">
        <v>4423</v>
      </c>
      <c r="G33" s="88">
        <f t="shared" si="23"/>
        <v>138395.66999999998</v>
      </c>
      <c r="H33" s="30" t="s">
        <v>53</v>
      </c>
      <c r="I33" s="95">
        <v>18</v>
      </c>
      <c r="J33" s="13">
        <v>2400</v>
      </c>
      <c r="K33" s="12">
        <f t="shared" si="1"/>
        <v>133.33333333333334</v>
      </c>
      <c r="L33" s="95">
        <v>18</v>
      </c>
      <c r="M33" s="13">
        <f t="shared" si="24"/>
        <v>2287.758620689654</v>
      </c>
      <c r="N33" s="12">
        <f t="shared" si="3"/>
        <v>127.09770114942522</v>
      </c>
      <c r="O33" s="14">
        <f t="shared" si="4"/>
        <v>0</v>
      </c>
      <c r="P33" s="15">
        <f t="shared" si="5"/>
        <v>-6.2356321839081232</v>
      </c>
      <c r="Q33" s="91">
        <f t="shared" si="6"/>
        <v>0.95323275862068912</v>
      </c>
      <c r="R33" s="177"/>
      <c r="S33" s="21">
        <v>0.54027777777777775</v>
      </c>
      <c r="T33" s="21">
        <v>0.62083333333333335</v>
      </c>
      <c r="U33" s="88">
        <f t="shared" si="26"/>
        <v>59.000000000000028</v>
      </c>
      <c r="V33" s="30">
        <f t="shared" si="25"/>
        <v>116.00000000000007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-112.24137931034602</v>
      </c>
      <c r="AF33" s="91">
        <f t="shared" si="9"/>
        <v>0.95323275862068912</v>
      </c>
      <c r="AG33" s="177"/>
    </row>
    <row r="34" spans="1:33" ht="15.75" customHeight="1">
      <c r="A34" s="194" t="s">
        <v>171</v>
      </c>
      <c r="B34" s="28" t="s">
        <v>22</v>
      </c>
      <c r="C34" s="193" t="s">
        <v>26</v>
      </c>
      <c r="D34" s="193"/>
      <c r="E34" s="28">
        <v>25.99</v>
      </c>
      <c r="F34" s="88">
        <v>1915</v>
      </c>
      <c r="G34" s="88">
        <f t="shared" si="23"/>
        <v>49770.85</v>
      </c>
      <c r="H34" s="30" t="s">
        <v>53</v>
      </c>
      <c r="I34" s="95">
        <v>14</v>
      </c>
      <c r="J34" s="13">
        <v>2400</v>
      </c>
      <c r="K34" s="12">
        <f t="shared" si="1"/>
        <v>171.42857142857142</v>
      </c>
      <c r="L34" s="95">
        <v>14</v>
      </c>
      <c r="M34" s="13">
        <f t="shared" si="24"/>
        <v>2298.0000000000009</v>
      </c>
      <c r="N34" s="12">
        <f t="shared" si="3"/>
        <v>164.1428571428572</v>
      </c>
      <c r="O34" s="14">
        <f t="shared" si="4"/>
        <v>0</v>
      </c>
      <c r="P34" s="15">
        <f t="shared" si="5"/>
        <v>-7.2857142857142208</v>
      </c>
      <c r="Q34" s="91">
        <f t="shared" si="6"/>
        <v>0.95750000000000035</v>
      </c>
      <c r="R34" s="177"/>
      <c r="S34" s="21">
        <v>0.62569444444444444</v>
      </c>
      <c r="T34" s="21">
        <v>0.66041666666666665</v>
      </c>
      <c r="U34" s="88">
        <f t="shared" si="26"/>
        <v>6.9999999999999751</v>
      </c>
      <c r="V34" s="30">
        <f t="shared" si="25"/>
        <v>49.999999999999986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8"/>
        <v>-101.99999999999909</v>
      </c>
      <c r="AF34" s="91">
        <f t="shared" si="9"/>
        <v>0.95750000000000035</v>
      </c>
      <c r="AG34" s="177"/>
    </row>
    <row r="35" spans="1:33" ht="15.75" customHeight="1">
      <c r="A35" s="194" t="s">
        <v>171</v>
      </c>
      <c r="B35" s="28" t="s">
        <v>165</v>
      </c>
      <c r="C35" s="178"/>
      <c r="D35" s="178"/>
      <c r="E35" s="92"/>
      <c r="F35" s="88"/>
      <c r="G35" s="88"/>
      <c r="H35" s="88"/>
      <c r="I35" s="23">
        <v>17.714285714285715</v>
      </c>
      <c r="J35" s="13">
        <v>2400</v>
      </c>
      <c r="K35" s="12">
        <f t="shared" si="1"/>
        <v>135.48387096774192</v>
      </c>
      <c r="L35" s="23">
        <v>17.714285714285715</v>
      </c>
      <c r="M35" s="13">
        <f>AVERAGE(M28:M34)</f>
        <v>2302.0752216324377</v>
      </c>
      <c r="N35" s="12">
        <f t="shared" si="3"/>
        <v>129.95585928570213</v>
      </c>
      <c r="O35" s="14">
        <f t="shared" si="4"/>
        <v>0</v>
      </c>
      <c r="P35" s="15">
        <f t="shared" si="5"/>
        <v>-5.5280116820397893</v>
      </c>
      <c r="Q35" s="91">
        <f t="shared" si="6"/>
        <v>0.95919800901351582</v>
      </c>
      <c r="R35" s="177"/>
      <c r="S35" s="21"/>
      <c r="T35" s="21"/>
      <c r="U35" s="88"/>
      <c r="V35" s="30"/>
      <c r="W35" s="88"/>
      <c r="X35" s="88"/>
      <c r="Y35" s="24">
        <f>SUM(Y28:Y34)</f>
        <v>0</v>
      </c>
      <c r="Z35" s="24">
        <f>SUM(Z28:Z34)</f>
        <v>0</v>
      </c>
      <c r="AA35" s="167"/>
      <c r="AB35" s="167"/>
      <c r="AC35" s="24">
        <v>7</v>
      </c>
      <c r="AD35" s="24">
        <f>SUM(AD28:AD34)</f>
        <v>0</v>
      </c>
      <c r="AE35" s="14">
        <f t="shared" si="8"/>
        <v>-97.92477836756234</v>
      </c>
      <c r="AF35" s="91">
        <f t="shared" si="9"/>
        <v>0.95919800901351571</v>
      </c>
      <c r="AG35" s="177"/>
    </row>
    <row r="36" spans="1:33" ht="15.75" customHeight="1">
      <c r="A36" s="191" t="s">
        <v>2086</v>
      </c>
      <c r="B36" s="28" t="s">
        <v>22</v>
      </c>
      <c r="C36" s="169" t="s">
        <v>28</v>
      </c>
      <c r="D36" s="169"/>
      <c r="E36" s="28">
        <v>26.2</v>
      </c>
      <c r="F36" s="88">
        <v>4700</v>
      </c>
      <c r="G36" s="88">
        <f t="shared" ref="G36:G42" si="27">E36*F36</f>
        <v>123140</v>
      </c>
      <c r="H36" s="30">
        <v>2</v>
      </c>
      <c r="I36" s="95">
        <v>18</v>
      </c>
      <c r="J36" s="13">
        <v>2400</v>
      </c>
      <c r="K36" s="12">
        <f t="shared" si="1"/>
        <v>133.33333333333334</v>
      </c>
      <c r="L36" s="95">
        <v>18</v>
      </c>
      <c r="M36" s="13">
        <f t="shared" ref="M36:M42" si="28">F36/V36*60</f>
        <v>2292.6829268292686</v>
      </c>
      <c r="N36" s="12">
        <f t="shared" si="3"/>
        <v>127.37127371273715</v>
      </c>
      <c r="O36" s="14">
        <f t="shared" si="4"/>
        <v>0</v>
      </c>
      <c r="P36" s="15">
        <f t="shared" si="5"/>
        <v>-5.9620596205961931</v>
      </c>
      <c r="Q36" s="91">
        <f t="shared" si="6"/>
        <v>0.9552845528455286</v>
      </c>
      <c r="R36" s="177">
        <f>Q43</f>
        <v>0.95776358194477529</v>
      </c>
      <c r="S36" s="21">
        <v>8.3333333333333329E-2</v>
      </c>
      <c r="T36" s="21">
        <v>0.16874999999999998</v>
      </c>
      <c r="U36" s="88"/>
      <c r="V36" s="30">
        <f t="shared" ref="V36:V42" si="29">(T36-S36)*24*60</f>
        <v>122.99999999999999</v>
      </c>
      <c r="W36" s="21">
        <f>T36</f>
        <v>0.16874999999999998</v>
      </c>
      <c r="X36" s="21">
        <f>S37</f>
        <v>0.18819444444444441</v>
      </c>
      <c r="Y36" s="21"/>
      <c r="Z36" s="21"/>
      <c r="AA36" s="168"/>
      <c r="AB36" s="168"/>
      <c r="AC36" s="18">
        <v>7</v>
      </c>
      <c r="AD36" s="18"/>
      <c r="AE36" s="14">
        <f t="shared" si="8"/>
        <v>-107.31707317073142</v>
      </c>
      <c r="AF36" s="91">
        <f t="shared" si="9"/>
        <v>0.9552845528455286</v>
      </c>
      <c r="AG36" s="177">
        <f>AF43</f>
        <v>0.95776358194477529</v>
      </c>
    </row>
    <row r="37" spans="1:33" ht="15.75" customHeight="1">
      <c r="A37" s="191" t="s">
        <v>2087</v>
      </c>
      <c r="B37" s="28" t="s">
        <v>22</v>
      </c>
      <c r="C37" s="169" t="s">
        <v>49</v>
      </c>
      <c r="D37" s="169"/>
      <c r="E37" s="28">
        <v>20.2</v>
      </c>
      <c r="F37" s="88">
        <v>2363</v>
      </c>
      <c r="G37" s="88">
        <f t="shared" si="27"/>
        <v>47732.6</v>
      </c>
      <c r="H37" s="30" t="s">
        <v>53</v>
      </c>
      <c r="I37" s="95">
        <v>15</v>
      </c>
      <c r="J37" s="13">
        <v>2400</v>
      </c>
      <c r="K37" s="12">
        <f t="shared" si="1"/>
        <v>160</v>
      </c>
      <c r="L37" s="95">
        <v>15</v>
      </c>
      <c r="M37" s="13">
        <f t="shared" si="28"/>
        <v>2286.7741935483864</v>
      </c>
      <c r="N37" s="12">
        <f t="shared" si="3"/>
        <v>152.45161290322577</v>
      </c>
      <c r="O37" s="14">
        <f t="shared" si="4"/>
        <v>0</v>
      </c>
      <c r="P37" s="15">
        <f t="shared" si="5"/>
        <v>-7.5483870967742348</v>
      </c>
      <c r="Q37" s="91">
        <f t="shared" si="6"/>
        <v>0.95282258064516101</v>
      </c>
      <c r="R37" s="177"/>
      <c r="S37" s="21">
        <v>0.18819444444444441</v>
      </c>
      <c r="T37" s="21">
        <v>0.23124999999999998</v>
      </c>
      <c r="U37" s="88">
        <f t="shared" ref="U37:U42" si="30">(S37-T36)*24*60</f>
        <v>27.999999999999979</v>
      </c>
      <c r="V37" s="30">
        <f t="shared" si="29"/>
        <v>62.000000000000021</v>
      </c>
      <c r="W37" s="88"/>
      <c r="X37" s="88"/>
      <c r="Y37" s="88"/>
      <c r="Z37" s="88"/>
      <c r="AA37" s="168"/>
      <c r="AB37" s="168"/>
      <c r="AC37" s="18"/>
      <c r="AD37" s="18"/>
      <c r="AE37" s="14">
        <f t="shared" si="8"/>
        <v>-113.22580645161361</v>
      </c>
      <c r="AF37" s="91">
        <f t="shared" si="9"/>
        <v>0.95282258064516101</v>
      </c>
      <c r="AG37" s="177"/>
    </row>
    <row r="38" spans="1:33">
      <c r="A38" s="192" t="s">
        <v>2087</v>
      </c>
      <c r="B38" s="28" t="s">
        <v>22</v>
      </c>
      <c r="C38" s="169" t="s">
        <v>32</v>
      </c>
      <c r="D38" s="169"/>
      <c r="E38" s="28">
        <v>20.52</v>
      </c>
      <c r="F38" s="88">
        <v>3103</v>
      </c>
      <c r="G38" s="88">
        <f t="shared" si="27"/>
        <v>63673.56</v>
      </c>
      <c r="H38" s="30" t="s">
        <v>53</v>
      </c>
      <c r="I38" s="95">
        <v>18</v>
      </c>
      <c r="J38" s="13">
        <v>2400</v>
      </c>
      <c r="K38" s="12">
        <f t="shared" si="1"/>
        <v>133.33333333333334</v>
      </c>
      <c r="L38" s="95">
        <v>18</v>
      </c>
      <c r="M38" s="13">
        <f t="shared" si="28"/>
        <v>2298.5185185185178</v>
      </c>
      <c r="N38" s="12">
        <f t="shared" si="3"/>
        <v>127.69547325102877</v>
      </c>
      <c r="O38" s="14">
        <f t="shared" si="4"/>
        <v>0</v>
      </c>
      <c r="P38" s="15">
        <f t="shared" si="5"/>
        <v>-5.6378600823045701</v>
      </c>
      <c r="Q38" s="91">
        <f t="shared" si="6"/>
        <v>0.95771604938271571</v>
      </c>
      <c r="R38" s="177"/>
      <c r="S38" s="21">
        <v>0.23541666666666666</v>
      </c>
      <c r="T38" s="21">
        <v>0.29166666666666669</v>
      </c>
      <c r="U38" s="88">
        <f t="shared" si="30"/>
        <v>6.0000000000000187</v>
      </c>
      <c r="V38" s="30">
        <f t="shared" si="29"/>
        <v>81.000000000000028</v>
      </c>
      <c r="W38" s="88"/>
      <c r="X38" s="88"/>
      <c r="Y38" s="88"/>
      <c r="Z38" s="88"/>
      <c r="AA38" s="168"/>
      <c r="AB38" s="168"/>
      <c r="AC38" s="18"/>
      <c r="AD38" s="18"/>
      <c r="AE38" s="14">
        <f t="shared" si="8"/>
        <v>-101.48148148148221</v>
      </c>
      <c r="AF38" s="91">
        <f t="shared" si="9"/>
        <v>0.95771604938271571</v>
      </c>
      <c r="AG38" s="177"/>
    </row>
    <row r="39" spans="1:33">
      <c r="A39" s="192" t="s">
        <v>172</v>
      </c>
      <c r="B39" s="28" t="s">
        <v>22</v>
      </c>
      <c r="C39" s="169" t="s">
        <v>30</v>
      </c>
      <c r="D39" s="169"/>
      <c r="E39" s="28">
        <v>26.39</v>
      </c>
      <c r="F39" s="88">
        <v>6653</v>
      </c>
      <c r="G39" s="88">
        <f t="shared" si="27"/>
        <v>175572.67</v>
      </c>
      <c r="H39" s="30" t="s">
        <v>53</v>
      </c>
      <c r="I39" s="95">
        <v>19</v>
      </c>
      <c r="J39" s="13">
        <v>2400</v>
      </c>
      <c r="K39" s="12">
        <f t="shared" si="1"/>
        <v>126.31578947368421</v>
      </c>
      <c r="L39" s="95">
        <v>19</v>
      </c>
      <c r="M39" s="13">
        <f t="shared" si="28"/>
        <v>2294.1379310344823</v>
      </c>
      <c r="N39" s="12">
        <f t="shared" si="3"/>
        <v>120.74410163339381</v>
      </c>
      <c r="O39" s="14">
        <f t="shared" si="4"/>
        <v>0</v>
      </c>
      <c r="P39" s="15">
        <f t="shared" si="5"/>
        <v>-5.5716878402903944</v>
      </c>
      <c r="Q39" s="91">
        <f t="shared" si="6"/>
        <v>0.95589080459770104</v>
      </c>
      <c r="R39" s="177"/>
      <c r="S39" s="21">
        <v>0.29722222222222222</v>
      </c>
      <c r="T39" s="21">
        <v>0.41805555555555557</v>
      </c>
      <c r="U39" s="88">
        <f t="shared" si="30"/>
        <v>7.9999999999999716</v>
      </c>
      <c r="V39" s="30">
        <f t="shared" si="29"/>
        <v>174.00000000000003</v>
      </c>
      <c r="W39" s="16"/>
      <c r="X39" s="16"/>
      <c r="Y39" s="16"/>
      <c r="Z39" s="16"/>
      <c r="AA39" s="168"/>
      <c r="AB39" s="168"/>
      <c r="AC39" s="18"/>
      <c r="AD39" s="18"/>
      <c r="AE39" s="14">
        <f t="shared" si="8"/>
        <v>-105.86206896551766</v>
      </c>
      <c r="AF39" s="91">
        <f t="shared" si="9"/>
        <v>0.95589080459770093</v>
      </c>
      <c r="AG39" s="177"/>
    </row>
    <row r="40" spans="1:33">
      <c r="A40" s="192" t="s">
        <v>2087</v>
      </c>
      <c r="B40" s="28" t="s">
        <v>22</v>
      </c>
      <c r="C40" s="169" t="s">
        <v>51</v>
      </c>
      <c r="D40" s="169"/>
      <c r="E40" s="28">
        <v>24.43</v>
      </c>
      <c r="F40" s="88">
        <v>4300</v>
      </c>
      <c r="G40" s="88">
        <f t="shared" si="27"/>
        <v>105049</v>
      </c>
      <c r="H40" s="30">
        <v>2</v>
      </c>
      <c r="I40" s="95">
        <v>14</v>
      </c>
      <c r="J40" s="13">
        <v>2400</v>
      </c>
      <c r="K40" s="12">
        <f t="shared" si="1"/>
        <v>171.42857142857142</v>
      </c>
      <c r="L40" s="95">
        <v>14</v>
      </c>
      <c r="M40" s="13">
        <f t="shared" si="28"/>
        <v>2303.5714285714289</v>
      </c>
      <c r="N40" s="12">
        <f t="shared" si="3"/>
        <v>164.54081632653063</v>
      </c>
      <c r="O40" s="14">
        <f t="shared" si="4"/>
        <v>0</v>
      </c>
      <c r="P40" s="15">
        <f t="shared" si="5"/>
        <v>-6.887755102040785</v>
      </c>
      <c r="Q40" s="91">
        <f t="shared" si="6"/>
        <v>0.95982142857142871</v>
      </c>
      <c r="R40" s="177"/>
      <c r="S40" s="21">
        <v>0.42291666666666666</v>
      </c>
      <c r="T40" s="21">
        <v>0.50069444444444444</v>
      </c>
      <c r="U40" s="88">
        <f t="shared" si="30"/>
        <v>6.9999999999999751</v>
      </c>
      <c r="V40" s="30">
        <f t="shared" si="29"/>
        <v>112</v>
      </c>
      <c r="W40" s="16">
        <f>T40</f>
        <v>0.50069444444444444</v>
      </c>
      <c r="X40" s="16">
        <f>S41</f>
        <v>0.54166666666666663</v>
      </c>
      <c r="Y40" s="16"/>
      <c r="Z40" s="16"/>
      <c r="AA40" s="168"/>
      <c r="AB40" s="168"/>
      <c r="AC40" s="18"/>
      <c r="AD40" s="18"/>
      <c r="AE40" s="14">
        <f t="shared" si="8"/>
        <v>-96.428571428571104</v>
      </c>
      <c r="AF40" s="91">
        <f t="shared" si="9"/>
        <v>0.95982142857142871</v>
      </c>
      <c r="AG40" s="177"/>
    </row>
    <row r="41" spans="1:33">
      <c r="A41" s="192" t="s">
        <v>172</v>
      </c>
      <c r="B41" s="28" t="s">
        <v>22</v>
      </c>
      <c r="C41" s="169" t="s">
        <v>51</v>
      </c>
      <c r="D41" s="169"/>
      <c r="E41" s="28">
        <v>24.43</v>
      </c>
      <c r="F41" s="88">
        <v>3229</v>
      </c>
      <c r="G41" s="88">
        <f t="shared" si="27"/>
        <v>78884.47</v>
      </c>
      <c r="H41" s="30" t="s">
        <v>53</v>
      </c>
      <c r="I41" s="95">
        <v>14</v>
      </c>
      <c r="J41" s="13">
        <v>2400</v>
      </c>
      <c r="K41" s="12">
        <f t="shared" si="1"/>
        <v>171.42857142857142</v>
      </c>
      <c r="L41" s="95">
        <v>14</v>
      </c>
      <c r="M41" s="13">
        <f t="shared" si="28"/>
        <v>2306.4285714285706</v>
      </c>
      <c r="N41" s="12">
        <f t="shared" si="3"/>
        <v>164.74489795918362</v>
      </c>
      <c r="O41" s="14">
        <f t="shared" si="4"/>
        <v>0</v>
      </c>
      <c r="P41" s="15">
        <f t="shared" si="5"/>
        <v>-6.6836734693877986</v>
      </c>
      <c r="Q41" s="91">
        <f t="shared" si="6"/>
        <v>0.96101190476190446</v>
      </c>
      <c r="R41" s="177"/>
      <c r="S41" s="21">
        <v>0.54166666666666663</v>
      </c>
      <c r="T41" s="21">
        <v>0.6</v>
      </c>
      <c r="U41" s="88">
        <f t="shared" si="30"/>
        <v>58.99999999999995</v>
      </c>
      <c r="V41" s="30">
        <f t="shared" si="29"/>
        <v>84.000000000000028</v>
      </c>
      <c r="W41" s="16"/>
      <c r="X41" s="16"/>
      <c r="Y41" s="16"/>
      <c r="Z41" s="16"/>
      <c r="AA41" s="168"/>
      <c r="AB41" s="168"/>
      <c r="AC41" s="18"/>
      <c r="AD41" s="18"/>
      <c r="AE41" s="14">
        <f t="shared" si="8"/>
        <v>-93.571428571429351</v>
      </c>
      <c r="AF41" s="91">
        <f t="shared" si="9"/>
        <v>0.96101190476190446</v>
      </c>
      <c r="AG41" s="177"/>
    </row>
    <row r="42" spans="1:33">
      <c r="A42" s="192" t="s">
        <v>172</v>
      </c>
      <c r="B42" s="28" t="s">
        <v>22</v>
      </c>
      <c r="C42" s="169" t="s">
        <v>28</v>
      </c>
      <c r="D42" s="169"/>
      <c r="E42" s="28">
        <v>26.2</v>
      </c>
      <c r="F42" s="88">
        <v>3424</v>
      </c>
      <c r="G42" s="88">
        <f t="shared" si="27"/>
        <v>89708.800000000003</v>
      </c>
      <c r="H42" s="30" t="s">
        <v>53</v>
      </c>
      <c r="I42" s="95">
        <v>18</v>
      </c>
      <c r="J42" s="13">
        <v>2400</v>
      </c>
      <c r="K42" s="12">
        <f t="shared" si="1"/>
        <v>133.33333333333334</v>
      </c>
      <c r="L42" s="95">
        <v>18</v>
      </c>
      <c r="M42" s="13">
        <f t="shared" si="28"/>
        <v>2308.3146067415732</v>
      </c>
      <c r="N42" s="12">
        <f t="shared" si="3"/>
        <v>128.23970037453185</v>
      </c>
      <c r="O42" s="14">
        <f t="shared" si="4"/>
        <v>0</v>
      </c>
      <c r="P42" s="15">
        <f t="shared" si="5"/>
        <v>-5.0936329588014928</v>
      </c>
      <c r="Q42" s="91">
        <f t="shared" si="6"/>
        <v>0.96179775280898883</v>
      </c>
      <c r="R42" s="177"/>
      <c r="S42" s="21">
        <v>0.60486111111111107</v>
      </c>
      <c r="T42" s="21">
        <v>0.66666666666666663</v>
      </c>
      <c r="U42" s="88">
        <f t="shared" si="30"/>
        <v>6.9999999999999751</v>
      </c>
      <c r="V42" s="30">
        <f t="shared" si="29"/>
        <v>89</v>
      </c>
      <c r="W42" s="16"/>
      <c r="X42" s="16"/>
      <c r="Y42" s="19"/>
      <c r="Z42" s="19"/>
      <c r="AA42" s="172"/>
      <c r="AB42" s="173"/>
      <c r="AC42" s="18"/>
      <c r="AD42" s="18"/>
      <c r="AE42" s="14">
        <f t="shared" si="8"/>
        <v>-91.685393258426757</v>
      </c>
      <c r="AF42" s="91">
        <f t="shared" si="9"/>
        <v>0.96179775280898883</v>
      </c>
      <c r="AG42" s="177"/>
    </row>
    <row r="43" spans="1:33">
      <c r="A43" s="192" t="s">
        <v>2088</v>
      </c>
      <c r="B43" s="12" t="s">
        <v>2089</v>
      </c>
      <c r="C43" s="178"/>
      <c r="D43" s="178"/>
      <c r="E43" s="92"/>
      <c r="F43" s="12"/>
      <c r="G43" s="12"/>
      <c r="H43" s="88"/>
      <c r="I43" s="23">
        <v>16.571428571428573</v>
      </c>
      <c r="J43" s="13">
        <v>2400</v>
      </c>
      <c r="K43" s="12">
        <f t="shared" si="1"/>
        <v>144.82758620689654</v>
      </c>
      <c r="L43" s="23">
        <v>16.571428571428573</v>
      </c>
      <c r="M43" s="13">
        <f>AVERAGE(M36:M42)</f>
        <v>2298.6325966674608</v>
      </c>
      <c r="N43" s="12">
        <f t="shared" si="3"/>
        <v>138.71058772993297</v>
      </c>
      <c r="O43" s="14">
        <f t="shared" si="4"/>
        <v>0</v>
      </c>
      <c r="P43" s="15">
        <f t="shared" si="5"/>
        <v>-6.1169984769635732</v>
      </c>
      <c r="Q43" s="91">
        <f t="shared" si="6"/>
        <v>0.95776358194477529</v>
      </c>
      <c r="R43" s="177"/>
      <c r="S43" s="21"/>
      <c r="T43" s="21"/>
      <c r="U43" s="12"/>
      <c r="V43" s="30"/>
      <c r="W43" s="12"/>
      <c r="X43" s="12"/>
      <c r="Y43" s="24">
        <f>SUM(Y36:Y42)</f>
        <v>0</v>
      </c>
      <c r="Z43" s="24">
        <f>SUM(Z36:Z42)</f>
        <v>0</v>
      </c>
      <c r="AA43" s="167"/>
      <c r="AB43" s="167"/>
      <c r="AC43" s="24">
        <v>7</v>
      </c>
      <c r="AD43" s="24">
        <f>SUM(AD36:AD42)</f>
        <v>0</v>
      </c>
      <c r="AE43" s="14">
        <f t="shared" si="8"/>
        <v>-101.3674033325392</v>
      </c>
      <c r="AF43" s="91">
        <f t="shared" si="9"/>
        <v>0.95776358194477529</v>
      </c>
      <c r="AG43" s="177"/>
    </row>
    <row r="44" spans="1:33" ht="15.75" customHeight="1">
      <c r="A44" s="188" t="s">
        <v>2090</v>
      </c>
      <c r="B44" s="28" t="s">
        <v>33</v>
      </c>
      <c r="C44" s="170" t="s">
        <v>72</v>
      </c>
      <c r="D44" s="171"/>
      <c r="E44" s="28">
        <v>34.35</v>
      </c>
      <c r="F44" s="88">
        <v>2529</v>
      </c>
      <c r="G44" s="88">
        <f t="shared" ref="G44:G47" si="31">E44*F44</f>
        <v>86871.150000000009</v>
      </c>
      <c r="H44" s="30" t="s">
        <v>53</v>
      </c>
      <c r="I44" s="95">
        <v>8</v>
      </c>
      <c r="J44" s="13">
        <v>3000</v>
      </c>
      <c r="K44" s="12">
        <f t="shared" si="1"/>
        <v>375</v>
      </c>
      <c r="L44" s="95">
        <v>8</v>
      </c>
      <c r="M44" s="13">
        <f t="shared" ref="M44:M47" si="32">F44/V44*60</f>
        <v>2863.0188679245284</v>
      </c>
      <c r="N44" s="13">
        <f t="shared" si="3"/>
        <v>357.87735849056605</v>
      </c>
      <c r="O44" s="14">
        <f t="shared" si="4"/>
        <v>0</v>
      </c>
      <c r="P44" s="15">
        <f t="shared" si="5"/>
        <v>-17.122641509433947</v>
      </c>
      <c r="Q44" s="91">
        <f t="shared" si="6"/>
        <v>0.95433962264150951</v>
      </c>
      <c r="R44" s="183">
        <f>Q48</f>
        <v>0.95338983154207291</v>
      </c>
      <c r="S44" s="21">
        <v>8.3333333333333329E-2</v>
      </c>
      <c r="T44" s="21">
        <v>0.12013888888888888</v>
      </c>
      <c r="U44" s="21"/>
      <c r="V44" s="30">
        <f t="shared" ref="V44:V47" si="33">(T44-S44)*24*60</f>
        <v>52.999999999999993</v>
      </c>
      <c r="W44" s="16">
        <f>T44</f>
        <v>0.12013888888888888</v>
      </c>
      <c r="X44" s="16">
        <f>S45</f>
        <v>0.13888888888888887</v>
      </c>
      <c r="Y44" s="19"/>
      <c r="Z44" s="19"/>
      <c r="AA44" s="172"/>
      <c r="AB44" s="173"/>
      <c r="AC44" s="18">
        <v>4</v>
      </c>
      <c r="AD44" s="18"/>
      <c r="AE44" s="14">
        <f t="shared" si="8"/>
        <v>-136.98113207547158</v>
      </c>
      <c r="AF44" s="91">
        <f t="shared" si="9"/>
        <v>0.95433962264150951</v>
      </c>
      <c r="AG44" s="183">
        <f>AF48</f>
        <v>0.95338983154207291</v>
      </c>
    </row>
    <row r="45" spans="1:33" ht="15.75" customHeight="1">
      <c r="A45" s="189" t="s">
        <v>2090</v>
      </c>
      <c r="B45" s="28" t="s">
        <v>33</v>
      </c>
      <c r="C45" s="170" t="s">
        <v>48</v>
      </c>
      <c r="D45" s="171"/>
      <c r="E45" s="28">
        <v>35.119999999999997</v>
      </c>
      <c r="F45" s="88">
        <v>5674</v>
      </c>
      <c r="G45" s="88">
        <f t="shared" si="31"/>
        <v>199270.87999999998</v>
      </c>
      <c r="H45" s="30" t="s">
        <v>53</v>
      </c>
      <c r="I45" s="95">
        <v>10</v>
      </c>
      <c r="J45" s="13">
        <v>3000</v>
      </c>
      <c r="K45" s="12">
        <f t="shared" si="1"/>
        <v>300</v>
      </c>
      <c r="L45" s="95">
        <v>10</v>
      </c>
      <c r="M45" s="13">
        <f t="shared" si="32"/>
        <v>2860.8403361344535</v>
      </c>
      <c r="N45" s="13">
        <f t="shared" si="3"/>
        <v>286.08403361344534</v>
      </c>
      <c r="O45" s="14">
        <f t="shared" si="4"/>
        <v>0</v>
      </c>
      <c r="P45" s="15">
        <f t="shared" si="5"/>
        <v>-13.915966386554658</v>
      </c>
      <c r="Q45" s="91">
        <f t="shared" si="6"/>
        <v>0.95361344537815118</v>
      </c>
      <c r="R45" s="184"/>
      <c r="S45" s="21">
        <v>0.13888888888888887</v>
      </c>
      <c r="T45" s="21">
        <v>0.22152777777777777</v>
      </c>
      <c r="U45" s="88">
        <f t="shared" ref="U45:U47" si="34">(S45-T44)*24*60</f>
        <v>26.999999999999986</v>
      </c>
      <c r="V45" s="30">
        <f t="shared" si="33"/>
        <v>119.00000000000001</v>
      </c>
      <c r="W45" s="16"/>
      <c r="X45" s="16"/>
      <c r="Y45" s="19"/>
      <c r="Z45" s="19"/>
      <c r="AA45" s="172"/>
      <c r="AB45" s="173"/>
      <c r="AC45" s="18"/>
      <c r="AD45" s="18"/>
      <c r="AE45" s="14">
        <f t="shared" si="8"/>
        <v>-139.15966386554646</v>
      </c>
      <c r="AF45" s="91">
        <f t="shared" si="9"/>
        <v>0.95361344537815118</v>
      </c>
      <c r="AG45" s="184"/>
    </row>
    <row r="46" spans="1:33" ht="15.75" customHeight="1">
      <c r="A46" s="189" t="s">
        <v>2090</v>
      </c>
      <c r="B46" s="28" t="s">
        <v>33</v>
      </c>
      <c r="C46" s="170" t="s">
        <v>36</v>
      </c>
      <c r="D46" s="171"/>
      <c r="E46" s="28">
        <v>21.13</v>
      </c>
      <c r="F46" s="88">
        <v>5629</v>
      </c>
      <c r="G46" s="88">
        <f t="shared" si="31"/>
        <v>118940.76999999999</v>
      </c>
      <c r="H46" s="30" t="s">
        <v>53</v>
      </c>
      <c r="I46" s="95">
        <v>10</v>
      </c>
      <c r="J46" s="13">
        <v>3000</v>
      </c>
      <c r="K46" s="12">
        <f t="shared" si="1"/>
        <v>300</v>
      </c>
      <c r="L46" s="95">
        <v>10</v>
      </c>
      <c r="M46" s="13">
        <f t="shared" si="32"/>
        <v>2862.2033898305081</v>
      </c>
      <c r="N46" s="13">
        <f t="shared" si="3"/>
        <v>286.22033898305079</v>
      </c>
      <c r="O46" s="14">
        <f t="shared" si="4"/>
        <v>0</v>
      </c>
      <c r="P46" s="15">
        <f t="shared" si="5"/>
        <v>-13.779661016949206</v>
      </c>
      <c r="Q46" s="91">
        <f t="shared" si="6"/>
        <v>0.95406779661016927</v>
      </c>
      <c r="R46" s="184"/>
      <c r="S46" s="21">
        <v>0.22638888888888889</v>
      </c>
      <c r="T46" s="21">
        <v>0.30833333333333335</v>
      </c>
      <c r="U46" s="88">
        <f t="shared" si="34"/>
        <v>7.0000000000000151</v>
      </c>
      <c r="V46" s="30">
        <f t="shared" si="33"/>
        <v>118.00000000000001</v>
      </c>
      <c r="W46" s="16"/>
      <c r="X46" s="16"/>
      <c r="Y46" s="19"/>
      <c r="Z46" s="19"/>
      <c r="AA46" s="172"/>
      <c r="AB46" s="173"/>
      <c r="AC46" s="18"/>
      <c r="AD46" s="18"/>
      <c r="AE46" s="14">
        <f t="shared" si="8"/>
        <v>-137.79661016949194</v>
      </c>
      <c r="AF46" s="91">
        <f t="shared" si="9"/>
        <v>0.95406779661016938</v>
      </c>
      <c r="AG46" s="184"/>
    </row>
    <row r="47" spans="1:33" ht="15.75" customHeight="1">
      <c r="A47" s="189" t="s">
        <v>2090</v>
      </c>
      <c r="B47" s="28" t="s">
        <v>33</v>
      </c>
      <c r="C47" s="170" t="s">
        <v>37</v>
      </c>
      <c r="D47" s="171"/>
      <c r="E47" s="28">
        <v>27.17</v>
      </c>
      <c r="F47" s="88">
        <v>7422</v>
      </c>
      <c r="G47" s="88">
        <f t="shared" si="31"/>
        <v>201655.74000000002</v>
      </c>
      <c r="H47" s="30" t="s">
        <v>53</v>
      </c>
      <c r="I47" s="95">
        <v>10</v>
      </c>
      <c r="J47" s="13">
        <v>3000</v>
      </c>
      <c r="K47" s="12">
        <f t="shared" si="1"/>
        <v>300</v>
      </c>
      <c r="L47" s="95">
        <v>10</v>
      </c>
      <c r="M47" s="13">
        <f t="shared" si="32"/>
        <v>2854.6153846153848</v>
      </c>
      <c r="N47" s="13">
        <f t="shared" si="3"/>
        <v>285.46153846153845</v>
      </c>
      <c r="O47" s="14">
        <f t="shared" si="4"/>
        <v>0</v>
      </c>
      <c r="P47" s="15">
        <f t="shared" si="5"/>
        <v>-14.538461538461547</v>
      </c>
      <c r="Q47" s="91">
        <f t="shared" si="6"/>
        <v>0.95153846153846156</v>
      </c>
      <c r="R47" s="184"/>
      <c r="S47" s="21">
        <v>0.3125</v>
      </c>
      <c r="T47" s="21">
        <v>0.42083333333333334</v>
      </c>
      <c r="U47" s="88">
        <f t="shared" si="34"/>
        <v>5.9999999999999787</v>
      </c>
      <c r="V47" s="30">
        <f t="shared" si="33"/>
        <v>156</v>
      </c>
      <c r="W47" s="16"/>
      <c r="X47" s="16"/>
      <c r="Y47" s="19"/>
      <c r="Z47" s="19"/>
      <c r="AA47" s="172"/>
      <c r="AB47" s="173"/>
      <c r="AC47" s="18"/>
      <c r="AD47" s="18"/>
      <c r="AE47" s="14">
        <f t="shared" si="8"/>
        <v>-145.38461538461524</v>
      </c>
      <c r="AF47" s="91">
        <f t="shared" si="9"/>
        <v>0.95153846153846156</v>
      </c>
      <c r="AG47" s="184"/>
    </row>
    <row r="48" spans="1:33" ht="15.75" customHeight="1">
      <c r="A48" s="190" t="s">
        <v>2090</v>
      </c>
      <c r="B48" s="28" t="s">
        <v>2089</v>
      </c>
      <c r="C48" s="165"/>
      <c r="D48" s="166"/>
      <c r="E48" s="89"/>
      <c r="F48" s="88"/>
      <c r="G48" s="88"/>
      <c r="H48" s="88"/>
      <c r="I48" s="23">
        <v>9.5</v>
      </c>
      <c r="J48" s="13">
        <v>3000</v>
      </c>
      <c r="K48" s="12">
        <f t="shared" si="1"/>
        <v>315.78947368421052</v>
      </c>
      <c r="L48" s="23">
        <v>9.5</v>
      </c>
      <c r="M48" s="13">
        <f>AVERAGE(M44:M47)</f>
        <v>2860.1694946262187</v>
      </c>
      <c r="N48" s="12">
        <f t="shared" si="3"/>
        <v>301.07047311854933</v>
      </c>
      <c r="O48" s="14">
        <f t="shared" si="4"/>
        <v>0</v>
      </c>
      <c r="P48" s="15">
        <f t="shared" si="5"/>
        <v>-14.71900056566119</v>
      </c>
      <c r="Q48" s="91">
        <f t="shared" si="6"/>
        <v>0.95338983154207291</v>
      </c>
      <c r="R48" s="185"/>
      <c r="S48" s="21"/>
      <c r="T48" s="21"/>
      <c r="U48" s="88"/>
      <c r="V48" s="30"/>
      <c r="W48" s="16"/>
      <c r="X48" s="16"/>
      <c r="Y48" s="24">
        <f>SUM(Y44:Y47)</f>
        <v>0</v>
      </c>
      <c r="Z48" s="24">
        <f>SUM(Z44:Z47)</f>
        <v>0</v>
      </c>
      <c r="AA48" s="186"/>
      <c r="AB48" s="187"/>
      <c r="AC48" s="24">
        <v>4</v>
      </c>
      <c r="AD48" s="24">
        <f>SUM(AD44:AD47)</f>
        <v>0</v>
      </c>
      <c r="AE48" s="14">
        <f t="shared" si="8"/>
        <v>-139.83050537378131</v>
      </c>
      <c r="AF48" s="91">
        <f t="shared" si="9"/>
        <v>0.95338983154207291</v>
      </c>
      <c r="AG48" s="185"/>
    </row>
    <row r="49" spans="1:33" ht="15.75" customHeight="1">
      <c r="A49" s="181" t="s">
        <v>2091</v>
      </c>
      <c r="B49" s="28" t="s">
        <v>5</v>
      </c>
      <c r="C49" s="169" t="s">
        <v>41</v>
      </c>
      <c r="D49" s="169"/>
      <c r="E49" s="28">
        <v>51.75</v>
      </c>
      <c r="F49" s="29">
        <v>1001</v>
      </c>
      <c r="G49" s="88">
        <f t="shared" ref="G49:G54" si="35">E49*F49</f>
        <v>51801.75</v>
      </c>
      <c r="H49" s="30" t="s">
        <v>53</v>
      </c>
      <c r="I49" s="95">
        <v>25</v>
      </c>
      <c r="J49" s="13">
        <v>2000</v>
      </c>
      <c r="K49" s="12">
        <f t="shared" si="1"/>
        <v>80</v>
      </c>
      <c r="L49" s="95">
        <v>25</v>
      </c>
      <c r="M49" s="13">
        <f t="shared" ref="M49" si="36">F49/V49*60</f>
        <v>1937.4193548387113</v>
      </c>
      <c r="N49" s="13">
        <f t="shared" si="3"/>
        <v>77.496774193548447</v>
      </c>
      <c r="O49" s="14">
        <f t="shared" si="4"/>
        <v>0</v>
      </c>
      <c r="P49" s="15">
        <f t="shared" si="5"/>
        <v>-2.5032258064515531</v>
      </c>
      <c r="Q49" s="91">
        <f t="shared" si="6"/>
        <v>0.96870967741935554</v>
      </c>
      <c r="R49" s="177">
        <f>Q55</f>
        <v>0.96218180081172289</v>
      </c>
      <c r="S49" s="21">
        <v>0.33333333333333331</v>
      </c>
      <c r="T49" s="21">
        <v>0.35486111111111107</v>
      </c>
      <c r="U49" s="21"/>
      <c r="V49" s="30">
        <f t="shared" ref="V49:V54" si="37">(T49-S49)*24*60</f>
        <v>30.999999999999972</v>
      </c>
      <c r="W49" s="21"/>
      <c r="X49" s="21"/>
      <c r="Y49" s="21"/>
      <c r="Z49" s="21"/>
      <c r="AA49" s="168"/>
      <c r="AB49" s="168"/>
      <c r="AC49" s="18">
        <v>6</v>
      </c>
      <c r="AD49" s="18"/>
      <c r="AE49" s="14">
        <f t="shared" si="8"/>
        <v>-62.580645161288658</v>
      </c>
      <c r="AF49" s="91">
        <f t="shared" si="9"/>
        <v>0.96870967741935565</v>
      </c>
      <c r="AG49" s="177">
        <f>AF55</f>
        <v>0.96218180081172289</v>
      </c>
    </row>
    <row r="50" spans="1:33" ht="15.75" customHeight="1">
      <c r="A50" s="181" t="s">
        <v>2091</v>
      </c>
      <c r="B50" s="28" t="s">
        <v>5</v>
      </c>
      <c r="C50" s="169" t="s">
        <v>40</v>
      </c>
      <c r="D50" s="169"/>
      <c r="E50" s="28">
        <v>56.43</v>
      </c>
      <c r="F50" s="29">
        <v>1528</v>
      </c>
      <c r="G50" s="88">
        <f t="shared" si="35"/>
        <v>86225.04</v>
      </c>
      <c r="H50" s="30" t="s">
        <v>53</v>
      </c>
      <c r="I50" s="95">
        <v>22</v>
      </c>
      <c r="J50" s="13">
        <v>2000</v>
      </c>
      <c r="K50" s="12">
        <f t="shared" si="1"/>
        <v>90.909090909090907</v>
      </c>
      <c r="L50" s="95">
        <v>22</v>
      </c>
      <c r="M50" s="13">
        <f>F50/V50*60</f>
        <v>1910.0000000000005</v>
      </c>
      <c r="N50" s="13">
        <f t="shared" si="3"/>
        <v>86.818181818181841</v>
      </c>
      <c r="O50" s="14">
        <f t="shared" si="4"/>
        <v>0</v>
      </c>
      <c r="P50" s="15">
        <f t="shared" si="5"/>
        <v>-4.0909090909090651</v>
      </c>
      <c r="Q50" s="91">
        <f t="shared" si="6"/>
        <v>0.95500000000000029</v>
      </c>
      <c r="R50" s="177"/>
      <c r="S50" s="21">
        <v>0.36041666666666661</v>
      </c>
      <c r="T50" s="21">
        <v>0.39374999999999993</v>
      </c>
      <c r="U50" s="88">
        <f t="shared" ref="U50:U54" si="38">IF(S50=TIME(17,0,0),"",(S50-T49)*24*60)</f>
        <v>7.9999999999999716</v>
      </c>
      <c r="V50" s="30">
        <f t="shared" si="37"/>
        <v>47.999999999999986</v>
      </c>
      <c r="W50" s="16"/>
      <c r="X50" s="16"/>
      <c r="Y50" s="16"/>
      <c r="Z50" s="16"/>
      <c r="AA50" s="168"/>
      <c r="AB50" s="168"/>
      <c r="AC50" s="18"/>
      <c r="AD50" s="18"/>
      <c r="AE50" s="14">
        <f t="shared" si="8"/>
        <v>-89.999999999999545</v>
      </c>
      <c r="AF50" s="91">
        <f t="shared" si="9"/>
        <v>0.95500000000000018</v>
      </c>
      <c r="AG50" s="177"/>
    </row>
    <row r="51" spans="1:33" ht="15.75" customHeight="1">
      <c r="A51" s="181" t="s">
        <v>2091</v>
      </c>
      <c r="B51" s="28" t="s">
        <v>9</v>
      </c>
      <c r="C51" s="170" t="s">
        <v>39</v>
      </c>
      <c r="D51" s="171"/>
      <c r="E51" s="28">
        <v>46</v>
      </c>
      <c r="F51" s="29">
        <v>2715</v>
      </c>
      <c r="G51" s="88">
        <f t="shared" si="35"/>
        <v>124890</v>
      </c>
      <c r="H51" s="30" t="s">
        <v>53</v>
      </c>
      <c r="I51" s="95">
        <v>17</v>
      </c>
      <c r="J51" s="13">
        <v>2000</v>
      </c>
      <c r="K51" s="12">
        <f t="shared" si="1"/>
        <v>117.64705882352941</v>
      </c>
      <c r="L51" s="95">
        <v>17</v>
      </c>
      <c r="M51" s="13">
        <f t="shared" ref="M51:M54" si="39">F51/V51*60</f>
        <v>1916.4705882352937</v>
      </c>
      <c r="N51" s="13">
        <f t="shared" si="3"/>
        <v>112.73356401384081</v>
      </c>
      <c r="O51" s="14">
        <f t="shared" si="4"/>
        <v>0</v>
      </c>
      <c r="P51" s="15">
        <f t="shared" si="5"/>
        <v>-4.9134948096886006</v>
      </c>
      <c r="Q51" s="91">
        <f t="shared" si="6"/>
        <v>0.95823529411764685</v>
      </c>
      <c r="R51" s="177"/>
      <c r="S51" s="21">
        <v>0.39930555555555547</v>
      </c>
      <c r="T51" s="21">
        <v>0.45833333333333326</v>
      </c>
      <c r="U51" s="88">
        <f t="shared" si="38"/>
        <v>7.9999999999999716</v>
      </c>
      <c r="V51" s="30">
        <f t="shared" si="37"/>
        <v>85.000000000000014</v>
      </c>
      <c r="W51" s="16"/>
      <c r="X51" s="16"/>
      <c r="Y51" s="19"/>
      <c r="Z51" s="19"/>
      <c r="AA51" s="168"/>
      <c r="AB51" s="168"/>
      <c r="AC51" s="18"/>
      <c r="AD51" s="18"/>
      <c r="AE51" s="14">
        <f t="shared" si="8"/>
        <v>-83.52941176470631</v>
      </c>
      <c r="AF51" s="91">
        <f t="shared" si="9"/>
        <v>0.95823529411764685</v>
      </c>
      <c r="AG51" s="177"/>
    </row>
    <row r="52" spans="1:33" ht="15.75" customHeight="1">
      <c r="A52" s="181" t="s">
        <v>2091</v>
      </c>
      <c r="B52" s="28" t="s">
        <v>5</v>
      </c>
      <c r="C52" s="93" t="s">
        <v>45</v>
      </c>
      <c r="D52" s="94"/>
      <c r="E52" s="28">
        <v>55.32</v>
      </c>
      <c r="F52" s="29">
        <v>1547</v>
      </c>
      <c r="G52" s="88">
        <f t="shared" si="35"/>
        <v>85580.04</v>
      </c>
      <c r="H52" s="30" t="s">
        <v>53</v>
      </c>
      <c r="I52" s="95">
        <v>15</v>
      </c>
      <c r="J52" s="13">
        <v>2000</v>
      </c>
      <c r="K52" s="12">
        <f t="shared" si="1"/>
        <v>133.33333333333334</v>
      </c>
      <c r="L52" s="95">
        <v>15</v>
      </c>
      <c r="M52" s="13">
        <f t="shared" si="39"/>
        <v>1933.7500000000007</v>
      </c>
      <c r="N52" s="13">
        <f t="shared" si="3"/>
        <v>128.91666666666671</v>
      </c>
      <c r="O52" s="14">
        <f t="shared" si="4"/>
        <v>0</v>
      </c>
      <c r="P52" s="15">
        <f t="shared" si="5"/>
        <v>-4.4166666666666288</v>
      </c>
      <c r="Q52" s="91">
        <f t="shared" si="6"/>
        <v>0.96687500000000026</v>
      </c>
      <c r="R52" s="177"/>
      <c r="S52" s="21">
        <v>0.70833333333333337</v>
      </c>
      <c r="T52" s="21">
        <v>0.7416666666666667</v>
      </c>
      <c r="U52" s="88" t="str">
        <f t="shared" si="38"/>
        <v/>
      </c>
      <c r="V52" s="30">
        <f t="shared" si="37"/>
        <v>47.999999999999986</v>
      </c>
      <c r="W52" s="16"/>
      <c r="X52" s="16"/>
      <c r="Y52" s="19"/>
      <c r="Z52" s="19"/>
      <c r="AA52" s="168"/>
      <c r="AB52" s="168"/>
      <c r="AC52" s="18"/>
      <c r="AD52" s="18"/>
      <c r="AE52" s="14">
        <f t="shared" si="8"/>
        <v>-66.249999999999318</v>
      </c>
      <c r="AF52" s="91">
        <f t="shared" si="9"/>
        <v>0.96687500000000037</v>
      </c>
      <c r="AG52" s="177"/>
    </row>
    <row r="53" spans="1:33" ht="15.75" customHeight="1">
      <c r="A53" s="181" t="s">
        <v>2091</v>
      </c>
      <c r="B53" s="28" t="s">
        <v>5</v>
      </c>
      <c r="C53" s="93" t="s">
        <v>44</v>
      </c>
      <c r="D53" s="94"/>
      <c r="E53" s="28">
        <v>55.56</v>
      </c>
      <c r="F53" s="29">
        <v>2023</v>
      </c>
      <c r="G53" s="88">
        <f t="shared" si="35"/>
        <v>112397.88</v>
      </c>
      <c r="H53" s="30" t="s">
        <v>53</v>
      </c>
      <c r="I53" s="95">
        <v>17</v>
      </c>
      <c r="J53" s="13">
        <v>2000</v>
      </c>
      <c r="K53" s="12">
        <f t="shared" si="1"/>
        <v>117.64705882352941</v>
      </c>
      <c r="L53" s="95">
        <v>17</v>
      </c>
      <c r="M53" s="13">
        <f t="shared" si="39"/>
        <v>1926.6666666666686</v>
      </c>
      <c r="N53" s="13">
        <f t="shared" si="3"/>
        <v>113.33333333333344</v>
      </c>
      <c r="O53" s="14">
        <f t="shared" si="4"/>
        <v>0</v>
      </c>
      <c r="P53" s="15">
        <f t="shared" si="5"/>
        <v>-4.3137254901959636</v>
      </c>
      <c r="Q53" s="91">
        <f t="shared" si="6"/>
        <v>0.96333333333333426</v>
      </c>
      <c r="R53" s="177"/>
      <c r="S53" s="21">
        <v>0.74722222222222223</v>
      </c>
      <c r="T53" s="21">
        <v>0.79097222222222219</v>
      </c>
      <c r="U53" s="88">
        <f t="shared" si="38"/>
        <v>7.9999999999999716</v>
      </c>
      <c r="V53" s="30">
        <f t="shared" si="37"/>
        <v>62.999999999999936</v>
      </c>
      <c r="W53" s="16"/>
      <c r="X53" s="16"/>
      <c r="Y53" s="19"/>
      <c r="Z53" s="19"/>
      <c r="AA53" s="168"/>
      <c r="AB53" s="168"/>
      <c r="AC53" s="18"/>
      <c r="AD53" s="18"/>
      <c r="AE53" s="14">
        <f t="shared" si="8"/>
        <v>-73.333333333331439</v>
      </c>
      <c r="AF53" s="91">
        <f t="shared" si="9"/>
        <v>0.96333333333333426</v>
      </c>
      <c r="AG53" s="177"/>
    </row>
    <row r="54" spans="1:33" ht="15.75" customHeight="1">
      <c r="A54" s="181" t="s">
        <v>2091</v>
      </c>
      <c r="B54" s="28" t="s">
        <v>5</v>
      </c>
      <c r="C54" s="170" t="s">
        <v>43</v>
      </c>
      <c r="D54" s="171"/>
      <c r="E54" s="28">
        <v>54.29</v>
      </c>
      <c r="F54" s="29">
        <v>1025</v>
      </c>
      <c r="G54" s="88">
        <f t="shared" si="35"/>
        <v>55647.25</v>
      </c>
      <c r="H54" s="30" t="s">
        <v>53</v>
      </c>
      <c r="I54" s="95">
        <v>20</v>
      </c>
      <c r="J54" s="13">
        <v>2000</v>
      </c>
      <c r="K54" s="12">
        <f t="shared" si="1"/>
        <v>100</v>
      </c>
      <c r="L54" s="95">
        <v>20</v>
      </c>
      <c r="M54" s="13">
        <f t="shared" si="39"/>
        <v>1921.8749999999975</v>
      </c>
      <c r="N54" s="13">
        <f t="shared" si="3"/>
        <v>96.093749999999872</v>
      </c>
      <c r="O54" s="14">
        <f t="shared" si="4"/>
        <v>0</v>
      </c>
      <c r="P54" s="15">
        <f t="shared" si="5"/>
        <v>-3.9062500000001279</v>
      </c>
      <c r="Q54" s="91">
        <f t="shared" si="6"/>
        <v>0.96093749999999867</v>
      </c>
      <c r="R54" s="177"/>
      <c r="S54" s="21">
        <v>0.79513888888888884</v>
      </c>
      <c r="T54" s="21">
        <v>0.81736111111111109</v>
      </c>
      <c r="U54" s="88">
        <f t="shared" si="38"/>
        <v>5.9999999999999787</v>
      </c>
      <c r="V54" s="30">
        <f t="shared" si="37"/>
        <v>32.000000000000043</v>
      </c>
      <c r="W54" s="16"/>
      <c r="X54" s="16"/>
      <c r="Y54" s="19"/>
      <c r="Z54" s="19"/>
      <c r="AA54" s="172"/>
      <c r="AB54" s="173"/>
      <c r="AC54" s="18"/>
      <c r="AD54" s="18"/>
      <c r="AE54" s="14">
        <f t="shared" si="8"/>
        <v>-78.125000000002501</v>
      </c>
      <c r="AF54" s="91">
        <f t="shared" si="9"/>
        <v>0.96093749999999878</v>
      </c>
      <c r="AG54" s="177"/>
    </row>
    <row r="55" spans="1:33">
      <c r="A55" s="182" t="s">
        <v>2091</v>
      </c>
      <c r="B55" s="28" t="s">
        <v>2089</v>
      </c>
      <c r="C55" s="178"/>
      <c r="D55" s="178"/>
      <c r="E55" s="92"/>
      <c r="F55" s="12"/>
      <c r="G55" s="12"/>
      <c r="H55" s="88"/>
      <c r="I55" s="23">
        <v>19.333333333333332</v>
      </c>
      <c r="J55" s="13">
        <v>2000</v>
      </c>
      <c r="K55" s="12">
        <f t="shared" si="1"/>
        <v>103.44827586206897</v>
      </c>
      <c r="L55" s="23">
        <v>19.333333333333332</v>
      </c>
      <c r="M55" s="13">
        <f>AVERAGE(M49:M54)</f>
        <v>1924.3636016234457</v>
      </c>
      <c r="N55" s="12">
        <f t="shared" si="3"/>
        <v>99.536048359833401</v>
      </c>
      <c r="O55" s="14">
        <f t="shared" si="4"/>
        <v>0</v>
      </c>
      <c r="P55" s="15">
        <f t="shared" si="5"/>
        <v>-3.9122275022355666</v>
      </c>
      <c r="Q55" s="91">
        <f t="shared" si="6"/>
        <v>0.96218180081172289</v>
      </c>
      <c r="R55" s="177"/>
      <c r="S55" s="21"/>
      <c r="T55" s="21"/>
      <c r="U55" s="88"/>
      <c r="V55" s="30"/>
      <c r="W55" s="12"/>
      <c r="X55" s="12"/>
      <c r="Y55" s="24">
        <f>SUM(Y49:Y54)</f>
        <v>0</v>
      </c>
      <c r="Z55" s="24">
        <f>SUM(Z49:Z54)</f>
        <v>0</v>
      </c>
      <c r="AA55" s="167"/>
      <c r="AB55" s="167"/>
      <c r="AC55" s="24">
        <v>6</v>
      </c>
      <c r="AD55" s="24">
        <f>SUM(AD49:AD54)</f>
        <v>0</v>
      </c>
      <c r="AE55" s="14">
        <f>M55-J55</f>
        <v>-75.636398376554325</v>
      </c>
      <c r="AF55" s="91">
        <f t="shared" si="9"/>
        <v>0.96218180081172289</v>
      </c>
      <c r="AG55" s="177"/>
    </row>
    <row r="56" spans="1:33" ht="15.75" customHeight="1">
      <c r="A56" s="179" t="s">
        <v>2092</v>
      </c>
      <c r="B56" s="88" t="s">
        <v>33</v>
      </c>
      <c r="C56" s="169" t="s">
        <v>46</v>
      </c>
      <c r="D56" s="169"/>
      <c r="E56" s="28">
        <v>37.85</v>
      </c>
      <c r="F56" s="29">
        <v>1156</v>
      </c>
      <c r="G56" s="88">
        <f t="shared" ref="G56:G62" si="40">E56*F56</f>
        <v>43754.6</v>
      </c>
      <c r="H56" s="30" t="s">
        <v>53</v>
      </c>
      <c r="I56" s="95">
        <v>12</v>
      </c>
      <c r="J56" s="13">
        <v>2000</v>
      </c>
      <c r="K56" s="12">
        <f t="shared" si="1"/>
        <v>166.66666666666666</v>
      </c>
      <c r="L56" s="95">
        <v>12</v>
      </c>
      <c r="M56" s="13">
        <f t="shared" ref="M56:M62" si="41">F56/V56*60</f>
        <v>1926.666666666667</v>
      </c>
      <c r="N56" s="12">
        <f t="shared" si="3"/>
        <v>160.55555555555557</v>
      </c>
      <c r="O56" s="14">
        <f t="shared" si="4"/>
        <v>0</v>
      </c>
      <c r="P56" s="15">
        <f t="shared" si="5"/>
        <v>-6.1111111111110858</v>
      </c>
      <c r="Q56" s="91">
        <f t="shared" si="6"/>
        <v>0.96333333333333349</v>
      </c>
      <c r="R56" s="177">
        <f>Q63</f>
        <v>0.96686976671496294</v>
      </c>
      <c r="S56" s="21">
        <v>0.20833333333333334</v>
      </c>
      <c r="T56" s="21">
        <v>0.23333333333333334</v>
      </c>
      <c r="U56" s="88"/>
      <c r="V56" s="30">
        <f t="shared" ref="V56:V62" si="42">(T56-S56)*24*60</f>
        <v>35.999999999999993</v>
      </c>
      <c r="W56" s="21"/>
      <c r="X56" s="21"/>
      <c r="Y56" s="21"/>
      <c r="Z56" s="21"/>
      <c r="AA56" s="168"/>
      <c r="AB56" s="168"/>
      <c r="AC56" s="18">
        <v>7</v>
      </c>
      <c r="AD56" s="18"/>
      <c r="AE56" s="14">
        <f t="shared" ref="AE56:AE70" si="43">M56-J56</f>
        <v>-73.33333333333303</v>
      </c>
      <c r="AF56" s="91">
        <f t="shared" si="9"/>
        <v>0.96333333333333349</v>
      </c>
      <c r="AG56" s="177">
        <f>AF63</f>
        <v>0.96686976671496294</v>
      </c>
    </row>
    <row r="57" spans="1:33" ht="15.75" customHeight="1">
      <c r="A57" s="179" t="s">
        <v>2092</v>
      </c>
      <c r="B57" s="88" t="s">
        <v>33</v>
      </c>
      <c r="C57" s="169" t="s">
        <v>47</v>
      </c>
      <c r="D57" s="169"/>
      <c r="E57" s="28">
        <v>34.36</v>
      </c>
      <c r="F57" s="29">
        <v>2201</v>
      </c>
      <c r="G57" s="88">
        <f t="shared" si="40"/>
        <v>75626.36</v>
      </c>
      <c r="H57" s="30" t="s">
        <v>53</v>
      </c>
      <c r="I57" s="95">
        <v>10</v>
      </c>
      <c r="J57" s="13">
        <v>3000</v>
      </c>
      <c r="K57" s="12">
        <f t="shared" si="1"/>
        <v>300</v>
      </c>
      <c r="L57" s="95">
        <v>10</v>
      </c>
      <c r="M57" s="13">
        <f t="shared" si="41"/>
        <v>2870.8695652173915</v>
      </c>
      <c r="N57" s="12">
        <f t="shared" si="3"/>
        <v>287.08695652173913</v>
      </c>
      <c r="O57" s="14">
        <f t="shared" si="4"/>
        <v>0</v>
      </c>
      <c r="P57" s="15">
        <f t="shared" si="5"/>
        <v>-12.913043478260875</v>
      </c>
      <c r="Q57" s="91">
        <f t="shared" si="6"/>
        <v>0.95695652173913037</v>
      </c>
      <c r="R57" s="177"/>
      <c r="S57" s="21">
        <v>0.23680555555555555</v>
      </c>
      <c r="T57" s="21">
        <v>0.26874999999999999</v>
      </c>
      <c r="U57" s="88">
        <f t="shared" ref="U57:U62" si="44">(S57-T56)*24*60</f>
        <v>4.9999999999999822</v>
      </c>
      <c r="V57" s="30">
        <f t="shared" si="42"/>
        <v>46</v>
      </c>
      <c r="W57" s="88"/>
      <c r="X57" s="88"/>
      <c r="Y57" s="88"/>
      <c r="Z57" s="88"/>
      <c r="AA57" s="168"/>
      <c r="AB57" s="168"/>
      <c r="AC57" s="18"/>
      <c r="AD57" s="18"/>
      <c r="AE57" s="14">
        <f t="shared" si="43"/>
        <v>-129.13043478260852</v>
      </c>
      <c r="AF57" s="91">
        <f t="shared" si="9"/>
        <v>0.95695652173913048</v>
      </c>
      <c r="AG57" s="177"/>
    </row>
    <row r="58" spans="1:33" ht="15.75" customHeight="1">
      <c r="A58" s="179" t="s">
        <v>2092</v>
      </c>
      <c r="B58" s="88" t="s">
        <v>33</v>
      </c>
      <c r="C58" s="169" t="s">
        <v>34</v>
      </c>
      <c r="D58" s="169"/>
      <c r="E58" s="28">
        <v>34.36</v>
      </c>
      <c r="F58" s="29">
        <v>1324</v>
      </c>
      <c r="G58" s="88">
        <f t="shared" si="40"/>
        <v>45492.639999999999</v>
      </c>
      <c r="H58" s="30" t="s">
        <v>53</v>
      </c>
      <c r="I58" s="95">
        <v>10</v>
      </c>
      <c r="J58" s="13">
        <v>3000</v>
      </c>
      <c r="K58" s="12">
        <f t="shared" si="1"/>
        <v>300</v>
      </c>
      <c r="L58" s="95">
        <v>10</v>
      </c>
      <c r="M58" s="13">
        <f t="shared" si="41"/>
        <v>2942.2222222222235</v>
      </c>
      <c r="N58" s="12">
        <f t="shared" si="3"/>
        <v>294.22222222222234</v>
      </c>
      <c r="O58" s="14">
        <f t="shared" si="4"/>
        <v>0</v>
      </c>
      <c r="P58" s="15">
        <f t="shared" si="5"/>
        <v>-5.7777777777776578</v>
      </c>
      <c r="Q58" s="91">
        <f t="shared" si="6"/>
        <v>0.98074074074074113</v>
      </c>
      <c r="R58" s="177"/>
      <c r="S58" s="21">
        <v>0.27430555555555552</v>
      </c>
      <c r="T58" s="21">
        <v>0.29305555555555551</v>
      </c>
      <c r="U58" s="88">
        <f t="shared" si="44"/>
        <v>7.9999999999999716</v>
      </c>
      <c r="V58" s="30">
        <f t="shared" si="42"/>
        <v>26.999999999999986</v>
      </c>
      <c r="W58" s="88"/>
      <c r="X58" s="88"/>
      <c r="Y58" s="88"/>
      <c r="Z58" s="88"/>
      <c r="AA58" s="168"/>
      <c r="AB58" s="168"/>
      <c r="AC58" s="18"/>
      <c r="AD58" s="18"/>
      <c r="AE58" s="14">
        <f t="shared" si="43"/>
        <v>-57.777777777776464</v>
      </c>
      <c r="AF58" s="91">
        <f t="shared" si="9"/>
        <v>0.98074074074074113</v>
      </c>
      <c r="AG58" s="177"/>
    </row>
    <row r="59" spans="1:33" ht="15.75" customHeight="1">
      <c r="A59" s="179" t="s">
        <v>2092</v>
      </c>
      <c r="B59" s="88" t="s">
        <v>33</v>
      </c>
      <c r="C59" s="169" t="s">
        <v>35</v>
      </c>
      <c r="D59" s="169"/>
      <c r="E59" s="28">
        <v>26.78</v>
      </c>
      <c r="F59" s="29">
        <v>2416</v>
      </c>
      <c r="G59" s="88">
        <f t="shared" si="40"/>
        <v>64700.480000000003</v>
      </c>
      <c r="H59" s="30" t="s">
        <v>53</v>
      </c>
      <c r="I59" s="95">
        <v>10</v>
      </c>
      <c r="J59" s="13">
        <v>3000</v>
      </c>
      <c r="K59" s="12">
        <f t="shared" si="1"/>
        <v>300</v>
      </c>
      <c r="L59" s="95">
        <v>10</v>
      </c>
      <c r="M59" s="13">
        <f t="shared" si="41"/>
        <v>2899.2000000000007</v>
      </c>
      <c r="N59" s="12">
        <f t="shared" si="3"/>
        <v>289.92000000000007</v>
      </c>
      <c r="O59" s="14">
        <f t="shared" si="4"/>
        <v>0</v>
      </c>
      <c r="P59" s="15">
        <f t="shared" si="5"/>
        <v>-10.079999999999927</v>
      </c>
      <c r="Q59" s="91">
        <f t="shared" si="6"/>
        <v>0.96640000000000026</v>
      </c>
      <c r="R59" s="177"/>
      <c r="S59" s="21">
        <v>0.29652777777777772</v>
      </c>
      <c r="T59" s="21">
        <v>0.33124999999999993</v>
      </c>
      <c r="U59" s="88">
        <f t="shared" si="44"/>
        <v>4.9999999999999822</v>
      </c>
      <c r="V59" s="30">
        <f t="shared" si="42"/>
        <v>49.999999999999986</v>
      </c>
      <c r="W59" s="88"/>
      <c r="X59" s="88"/>
      <c r="Y59" s="88"/>
      <c r="Z59" s="88"/>
      <c r="AA59" s="168"/>
      <c r="AB59" s="168"/>
      <c r="AC59" s="18"/>
      <c r="AD59" s="18"/>
      <c r="AE59" s="14">
        <f t="shared" si="43"/>
        <v>-100.79999999999927</v>
      </c>
      <c r="AF59" s="91">
        <f t="shared" si="9"/>
        <v>0.96640000000000026</v>
      </c>
      <c r="AG59" s="177"/>
    </row>
    <row r="60" spans="1:33">
      <c r="A60" s="180" t="s">
        <v>2092</v>
      </c>
      <c r="B60" s="88" t="s">
        <v>33</v>
      </c>
      <c r="C60" s="169" t="s">
        <v>71</v>
      </c>
      <c r="D60" s="169"/>
      <c r="E60" s="28">
        <v>28.3</v>
      </c>
      <c r="F60" s="29">
        <v>1259</v>
      </c>
      <c r="G60" s="88">
        <f t="shared" si="40"/>
        <v>35629.700000000004</v>
      </c>
      <c r="H60" s="30" t="s">
        <v>53</v>
      </c>
      <c r="I60" s="95">
        <v>8</v>
      </c>
      <c r="J60" s="13">
        <v>3000</v>
      </c>
      <c r="K60" s="12">
        <f t="shared" si="1"/>
        <v>375</v>
      </c>
      <c r="L60" s="95">
        <v>8</v>
      </c>
      <c r="M60" s="13">
        <f t="shared" si="41"/>
        <v>2905.3846153846171</v>
      </c>
      <c r="N60" s="12">
        <f t="shared" si="3"/>
        <v>363.17307692307713</v>
      </c>
      <c r="O60" s="14">
        <f t="shared" si="4"/>
        <v>0</v>
      </c>
      <c r="P60" s="15">
        <f t="shared" si="5"/>
        <v>-11.826923076922867</v>
      </c>
      <c r="Q60" s="91">
        <f t="shared" si="6"/>
        <v>0.96846153846153904</v>
      </c>
      <c r="R60" s="177"/>
      <c r="S60" s="21">
        <v>0.33611111111111103</v>
      </c>
      <c r="T60" s="21">
        <v>0.35416666666666657</v>
      </c>
      <c r="U60" s="88">
        <f t="shared" si="44"/>
        <v>6.9999999999999751</v>
      </c>
      <c r="V60" s="30">
        <f t="shared" si="42"/>
        <v>25.999999999999986</v>
      </c>
      <c r="W60" s="16"/>
      <c r="X60" s="16"/>
      <c r="Y60" s="16"/>
      <c r="Z60" s="16"/>
      <c r="AA60" s="168"/>
      <c r="AB60" s="168"/>
      <c r="AC60" s="18"/>
      <c r="AD60" s="18"/>
      <c r="AE60" s="14">
        <f t="shared" si="43"/>
        <v>-94.615384615382936</v>
      </c>
      <c r="AF60" s="91">
        <f t="shared" si="9"/>
        <v>0.96846153846153904</v>
      </c>
      <c r="AG60" s="177"/>
    </row>
    <row r="61" spans="1:33" ht="15" customHeight="1">
      <c r="A61" s="180" t="s">
        <v>2092</v>
      </c>
      <c r="B61" s="88" t="s">
        <v>33</v>
      </c>
      <c r="C61" s="170" t="s">
        <v>756</v>
      </c>
      <c r="D61" s="171"/>
      <c r="E61" s="28">
        <v>37.880000000000003</v>
      </c>
      <c r="F61" s="29">
        <v>1698</v>
      </c>
      <c r="G61" s="88">
        <f t="shared" si="40"/>
        <v>64320.240000000005</v>
      </c>
      <c r="H61" s="30" t="s">
        <v>53</v>
      </c>
      <c r="I61" s="95">
        <v>10</v>
      </c>
      <c r="J61" s="13">
        <v>3000</v>
      </c>
      <c r="K61" s="12">
        <f t="shared" si="1"/>
        <v>300</v>
      </c>
      <c r="L61" s="95">
        <v>10</v>
      </c>
      <c r="M61" s="13">
        <f t="shared" si="41"/>
        <v>2910.8571428571399</v>
      </c>
      <c r="N61" s="12">
        <f t="shared" si="3"/>
        <v>291.085714285714</v>
      </c>
      <c r="O61" s="14">
        <f t="shared" si="4"/>
        <v>0</v>
      </c>
      <c r="P61" s="15">
        <f t="shared" si="5"/>
        <v>-8.9142857142859953</v>
      </c>
      <c r="Q61" s="91">
        <f t="shared" si="6"/>
        <v>0.97028571428571331</v>
      </c>
      <c r="R61" s="177"/>
      <c r="S61" s="21">
        <v>0.35972222222222211</v>
      </c>
      <c r="T61" s="21">
        <v>0.38402777777777769</v>
      </c>
      <c r="U61" s="88">
        <f t="shared" si="44"/>
        <v>7.9999999999999716</v>
      </c>
      <c r="V61" s="30">
        <f t="shared" si="42"/>
        <v>35.000000000000036</v>
      </c>
      <c r="W61" s="88"/>
      <c r="X61" s="88"/>
      <c r="Y61" s="98"/>
      <c r="Z61" s="98"/>
      <c r="AA61" s="172"/>
      <c r="AB61" s="173"/>
      <c r="AC61" s="18"/>
      <c r="AD61" s="18"/>
      <c r="AE61" s="14">
        <f t="shared" si="43"/>
        <v>-89.142857142860066</v>
      </c>
      <c r="AF61" s="91">
        <f t="shared" si="9"/>
        <v>0.97028571428571331</v>
      </c>
      <c r="AG61" s="177"/>
    </row>
    <row r="62" spans="1:33">
      <c r="A62" s="180" t="s">
        <v>2092</v>
      </c>
      <c r="B62" s="88" t="s">
        <v>33</v>
      </c>
      <c r="C62" s="93" t="s">
        <v>38</v>
      </c>
      <c r="D62" s="94"/>
      <c r="E62" s="28">
        <v>35.869999999999997</v>
      </c>
      <c r="F62" s="29">
        <v>3939</v>
      </c>
      <c r="G62" s="88">
        <f t="shared" si="40"/>
        <v>141291.93</v>
      </c>
      <c r="H62" s="30" t="s">
        <v>53</v>
      </c>
      <c r="I62" s="95">
        <v>9</v>
      </c>
      <c r="J62" s="13">
        <v>3000</v>
      </c>
      <c r="K62" s="12">
        <f t="shared" si="1"/>
        <v>333.33333333333331</v>
      </c>
      <c r="L62" s="95">
        <v>9</v>
      </c>
      <c r="M62" s="13">
        <f t="shared" si="41"/>
        <v>2882.1951219512184</v>
      </c>
      <c r="N62" s="12">
        <f t="shared" si="3"/>
        <v>320.24390243902428</v>
      </c>
      <c r="O62" s="14">
        <f t="shared" si="4"/>
        <v>0</v>
      </c>
      <c r="P62" s="15">
        <f t="shared" si="5"/>
        <v>-13.089430894309032</v>
      </c>
      <c r="Q62" s="91">
        <f t="shared" si="6"/>
        <v>0.96073170731707291</v>
      </c>
      <c r="R62" s="177"/>
      <c r="S62" s="21">
        <v>0.38958333333333323</v>
      </c>
      <c r="T62" s="21">
        <v>0.44652777777777769</v>
      </c>
      <c r="U62" s="88">
        <f t="shared" si="44"/>
        <v>7.9999999999999716</v>
      </c>
      <c r="V62" s="30">
        <f t="shared" si="42"/>
        <v>82.000000000000028</v>
      </c>
      <c r="W62" s="16"/>
      <c r="X62" s="16"/>
      <c r="Y62" s="19"/>
      <c r="Z62" s="19"/>
      <c r="AA62" s="172"/>
      <c r="AB62" s="173"/>
      <c r="AC62" s="18"/>
      <c r="AD62" s="18"/>
      <c r="AE62" s="14">
        <f t="shared" si="43"/>
        <v>-117.80487804878157</v>
      </c>
      <c r="AF62" s="91">
        <f t="shared" si="9"/>
        <v>0.9607317073170728</v>
      </c>
      <c r="AG62" s="177"/>
    </row>
    <row r="63" spans="1:33">
      <c r="A63" s="180" t="s">
        <v>2092</v>
      </c>
      <c r="B63" s="28" t="s">
        <v>2089</v>
      </c>
      <c r="C63" s="178"/>
      <c r="D63" s="178"/>
      <c r="E63" s="92"/>
      <c r="F63" s="12"/>
      <c r="G63" s="12"/>
      <c r="H63" s="88"/>
      <c r="I63" s="23">
        <v>9.8571428571428577</v>
      </c>
      <c r="J63" s="13">
        <v>2857.1428571428573</v>
      </c>
      <c r="K63" s="12">
        <f t="shared" si="1"/>
        <v>289.85507246376812</v>
      </c>
      <c r="L63" s="23">
        <v>9.8571428571428577</v>
      </c>
      <c r="M63" s="13">
        <f>AVERAGE(M56:M62)</f>
        <v>2762.4850477570371</v>
      </c>
      <c r="N63" s="12">
        <f t="shared" si="3"/>
        <v>280.25210629419217</v>
      </c>
      <c r="O63" s="14">
        <f t="shared" si="4"/>
        <v>0</v>
      </c>
      <c r="P63" s="15">
        <f t="shared" si="5"/>
        <v>-9.6029661695759501</v>
      </c>
      <c r="Q63" s="91">
        <f t="shared" si="6"/>
        <v>0.96686976671496294</v>
      </c>
      <c r="R63" s="177"/>
      <c r="S63" s="21"/>
      <c r="T63" s="21"/>
      <c r="U63" s="12"/>
      <c r="V63" s="30"/>
      <c r="W63" s="12"/>
      <c r="X63" s="12"/>
      <c r="Y63" s="24">
        <f>SUM(Y56:Y62)</f>
        <v>0</v>
      </c>
      <c r="Z63" s="24">
        <f>SUM(Z56:Z62)</f>
        <v>0</v>
      </c>
      <c r="AA63" s="167"/>
      <c r="AB63" s="167"/>
      <c r="AC63" s="24">
        <v>7</v>
      </c>
      <c r="AD63" s="24">
        <f>SUM(AD56:AD62)</f>
        <v>0</v>
      </c>
      <c r="AE63" s="14">
        <f t="shared" si="43"/>
        <v>-94.657809385820201</v>
      </c>
      <c r="AF63" s="91">
        <f t="shared" si="9"/>
        <v>0.96686976671496294</v>
      </c>
      <c r="AG63" s="177"/>
    </row>
    <row r="64" spans="1:33" ht="15.75" customHeight="1">
      <c r="A64" s="174" t="s">
        <v>2093</v>
      </c>
      <c r="B64" s="88" t="s">
        <v>22</v>
      </c>
      <c r="C64" s="169" t="s">
        <v>29</v>
      </c>
      <c r="D64" s="169"/>
      <c r="E64" s="28">
        <v>20.52</v>
      </c>
      <c r="F64" s="88">
        <v>4282</v>
      </c>
      <c r="G64" s="88">
        <f t="shared" ref="G64:G69" si="45">E64*F64</f>
        <v>87866.64</v>
      </c>
      <c r="H64" s="30" t="s">
        <v>53</v>
      </c>
      <c r="I64" s="95">
        <v>18</v>
      </c>
      <c r="J64" s="13">
        <v>2400</v>
      </c>
      <c r="K64" s="12">
        <f t="shared" si="1"/>
        <v>133.33333333333334</v>
      </c>
      <c r="L64" s="95">
        <v>18</v>
      </c>
      <c r="M64" s="13">
        <f t="shared" ref="M64:M69" si="46">F64/V64*60</f>
        <v>2293.928571428572</v>
      </c>
      <c r="N64" s="12">
        <f t="shared" si="3"/>
        <v>127.44047619047622</v>
      </c>
      <c r="O64" s="14">
        <f t="shared" si="4"/>
        <v>0</v>
      </c>
      <c r="P64" s="15">
        <f t="shared" si="5"/>
        <v>-5.8928571428571246</v>
      </c>
      <c r="Q64" s="91">
        <f t="shared" si="6"/>
        <v>0.95580357142857153</v>
      </c>
      <c r="R64" s="177">
        <f>Q70</f>
        <v>0.95528814734727607</v>
      </c>
      <c r="S64" s="21">
        <v>8.3333333333333329E-2</v>
      </c>
      <c r="T64" s="21">
        <v>0.16111111111111109</v>
      </c>
      <c r="U64" s="21"/>
      <c r="V64" s="30">
        <f t="shared" ref="V64:V69" si="47">(T64-S64)*24*60</f>
        <v>111.99999999999997</v>
      </c>
      <c r="W64" s="16">
        <f>T64</f>
        <v>0.16111111111111109</v>
      </c>
      <c r="X64" s="16">
        <f>S65</f>
        <v>0.18124999999999999</v>
      </c>
      <c r="Y64" s="16"/>
      <c r="Z64" s="16"/>
      <c r="AA64" s="168"/>
      <c r="AB64" s="168"/>
      <c r="AC64" s="18">
        <v>6</v>
      </c>
      <c r="AD64" s="18"/>
      <c r="AE64" s="14">
        <f t="shared" si="43"/>
        <v>-106.07142857142799</v>
      </c>
      <c r="AF64" s="91">
        <f t="shared" si="9"/>
        <v>0.95580357142857164</v>
      </c>
      <c r="AG64" s="177">
        <f>AF70</f>
        <v>0.95528814734727596</v>
      </c>
    </row>
    <row r="65" spans="1:33" ht="15.75" customHeight="1">
      <c r="A65" s="175" t="s">
        <v>176</v>
      </c>
      <c r="B65" s="88" t="s">
        <v>22</v>
      </c>
      <c r="C65" s="169" t="s">
        <v>50</v>
      </c>
      <c r="D65" s="169"/>
      <c r="E65" s="28">
        <v>24.45</v>
      </c>
      <c r="F65" s="88">
        <v>2667</v>
      </c>
      <c r="G65" s="88">
        <f t="shared" si="45"/>
        <v>65208.15</v>
      </c>
      <c r="H65" s="30" t="s">
        <v>53</v>
      </c>
      <c r="I65" s="95">
        <v>19</v>
      </c>
      <c r="J65" s="13">
        <v>2400</v>
      </c>
      <c r="K65" s="12">
        <f t="shared" si="1"/>
        <v>126.31578947368421</v>
      </c>
      <c r="L65" s="95">
        <v>19</v>
      </c>
      <c r="M65" s="13">
        <f t="shared" si="46"/>
        <v>2286.0000000000005</v>
      </c>
      <c r="N65" s="12">
        <f t="shared" si="3"/>
        <v>120.31578947368423</v>
      </c>
      <c r="O65" s="14">
        <f t="shared" si="4"/>
        <v>0</v>
      </c>
      <c r="P65" s="15">
        <f t="shared" si="5"/>
        <v>-5.9999999999999716</v>
      </c>
      <c r="Q65" s="91">
        <f t="shared" si="6"/>
        <v>0.95250000000000024</v>
      </c>
      <c r="R65" s="177"/>
      <c r="S65" s="21">
        <v>0.18124999999999999</v>
      </c>
      <c r="T65" s="21">
        <v>0.2298611111111111</v>
      </c>
      <c r="U65" s="88">
        <f t="shared" ref="U65:U69" si="48">(S65-T64)*24*60</f>
        <v>29.000000000000018</v>
      </c>
      <c r="V65" s="30">
        <f t="shared" si="47"/>
        <v>69.999999999999986</v>
      </c>
      <c r="W65" s="16"/>
      <c r="X65" s="16"/>
      <c r="Y65" s="16"/>
      <c r="Z65" s="16"/>
      <c r="AA65" s="168"/>
      <c r="AB65" s="168"/>
      <c r="AC65" s="18"/>
      <c r="AD65" s="18"/>
      <c r="AE65" s="14">
        <f t="shared" si="43"/>
        <v>-113.99999999999955</v>
      </c>
      <c r="AF65" s="91">
        <f t="shared" si="9"/>
        <v>0.95250000000000024</v>
      </c>
      <c r="AG65" s="177"/>
    </row>
    <row r="66" spans="1:33" ht="15.75" customHeight="1">
      <c r="A66" s="175" t="s">
        <v>176</v>
      </c>
      <c r="B66" s="88" t="s">
        <v>22</v>
      </c>
      <c r="C66" s="169" t="s">
        <v>31</v>
      </c>
      <c r="D66" s="169"/>
      <c r="E66" s="28">
        <v>20.21</v>
      </c>
      <c r="F66" s="88">
        <v>3110</v>
      </c>
      <c r="G66" s="88">
        <f t="shared" si="45"/>
        <v>62853.100000000006</v>
      </c>
      <c r="H66" s="30" t="s">
        <v>53</v>
      </c>
      <c r="I66" s="95">
        <v>15</v>
      </c>
      <c r="J66" s="13">
        <v>2400</v>
      </c>
      <c r="K66" s="12">
        <f t="shared" si="1"/>
        <v>160</v>
      </c>
      <c r="L66" s="95">
        <v>15</v>
      </c>
      <c r="M66" s="13">
        <f t="shared" si="46"/>
        <v>2303.7037037037044</v>
      </c>
      <c r="N66" s="12">
        <f t="shared" si="3"/>
        <v>153.58024691358028</v>
      </c>
      <c r="O66" s="14">
        <f t="shared" si="4"/>
        <v>0</v>
      </c>
      <c r="P66" s="15">
        <f t="shared" si="5"/>
        <v>-6.4197530864197176</v>
      </c>
      <c r="Q66" s="91">
        <f t="shared" si="6"/>
        <v>0.95987654320987681</v>
      </c>
      <c r="R66" s="177"/>
      <c r="S66" s="21">
        <v>0.23333333333333331</v>
      </c>
      <c r="T66" s="21">
        <v>0.2895833333333333</v>
      </c>
      <c r="U66" s="88">
        <f t="shared" si="48"/>
        <v>4.9999999999999822</v>
      </c>
      <c r="V66" s="30">
        <f t="shared" si="47"/>
        <v>80.999999999999986</v>
      </c>
      <c r="W66" s="16"/>
      <c r="X66" s="16"/>
      <c r="Y66" s="16"/>
      <c r="Z66" s="16"/>
      <c r="AA66" s="168"/>
      <c r="AB66" s="168"/>
      <c r="AC66" s="18"/>
      <c r="AD66" s="18"/>
      <c r="AE66" s="14">
        <f t="shared" si="43"/>
        <v>-96.296296296295623</v>
      </c>
      <c r="AF66" s="91">
        <f t="shared" si="9"/>
        <v>0.95987654320987681</v>
      </c>
      <c r="AG66" s="177"/>
    </row>
    <row r="67" spans="1:33" ht="15.75" customHeight="1">
      <c r="A67" s="175" t="s">
        <v>176</v>
      </c>
      <c r="B67" s="88" t="s">
        <v>22</v>
      </c>
      <c r="C67" s="169" t="s">
        <v>52</v>
      </c>
      <c r="D67" s="169"/>
      <c r="E67" s="28">
        <v>19.02</v>
      </c>
      <c r="F67" s="88">
        <v>6200</v>
      </c>
      <c r="G67" s="88">
        <f t="shared" si="45"/>
        <v>117924</v>
      </c>
      <c r="H67" s="30">
        <v>2</v>
      </c>
      <c r="I67" s="95">
        <v>14</v>
      </c>
      <c r="J67" s="13">
        <v>2400</v>
      </c>
      <c r="K67" s="12">
        <f t="shared" si="1"/>
        <v>171.42857142857142</v>
      </c>
      <c r="L67" s="95">
        <v>14</v>
      </c>
      <c r="M67" s="13">
        <f t="shared" si="46"/>
        <v>2282.2085889570553</v>
      </c>
      <c r="N67" s="12">
        <f t="shared" si="3"/>
        <v>163.01489921121825</v>
      </c>
      <c r="O67" s="14">
        <f t="shared" si="4"/>
        <v>0</v>
      </c>
      <c r="P67" s="15">
        <f t="shared" si="5"/>
        <v>-8.4136722173531666</v>
      </c>
      <c r="Q67" s="91">
        <f t="shared" si="6"/>
        <v>0.95092024539877318</v>
      </c>
      <c r="R67" s="177"/>
      <c r="S67" s="21">
        <v>0.2944444444444444</v>
      </c>
      <c r="T67" s="21">
        <v>0.40763888888888883</v>
      </c>
      <c r="U67" s="88">
        <f t="shared" si="48"/>
        <v>6.9999999999999751</v>
      </c>
      <c r="V67" s="30">
        <f t="shared" si="47"/>
        <v>162.99999999999997</v>
      </c>
      <c r="W67" s="16"/>
      <c r="X67" s="16"/>
      <c r="Y67" s="16"/>
      <c r="Z67" s="16"/>
      <c r="AA67" s="168"/>
      <c r="AB67" s="168"/>
      <c r="AC67" s="18"/>
      <c r="AD67" s="18"/>
      <c r="AE67" s="14">
        <f t="shared" si="43"/>
        <v>-117.79141104294467</v>
      </c>
      <c r="AF67" s="91">
        <f t="shared" si="9"/>
        <v>0.95092024539877307</v>
      </c>
      <c r="AG67" s="177"/>
    </row>
    <row r="68" spans="1:33" ht="15.75" customHeight="1">
      <c r="A68" s="175" t="s">
        <v>176</v>
      </c>
      <c r="B68" s="88" t="s">
        <v>22</v>
      </c>
      <c r="C68" s="169" t="s">
        <v>70</v>
      </c>
      <c r="D68" s="169"/>
      <c r="E68" s="28">
        <v>22.69</v>
      </c>
      <c r="F68" s="88">
        <v>5172</v>
      </c>
      <c r="G68" s="88">
        <f t="shared" si="45"/>
        <v>117352.68000000001</v>
      </c>
      <c r="H68" s="30" t="s">
        <v>53</v>
      </c>
      <c r="I68" s="95">
        <v>15</v>
      </c>
      <c r="J68" s="13">
        <v>2400</v>
      </c>
      <c r="K68" s="12">
        <f t="shared" si="1"/>
        <v>160</v>
      </c>
      <c r="L68" s="95">
        <v>15</v>
      </c>
      <c r="M68" s="13">
        <f t="shared" si="46"/>
        <v>2298.6666666666652</v>
      </c>
      <c r="N68" s="12">
        <f t="shared" si="3"/>
        <v>153.24444444444435</v>
      </c>
      <c r="O68" s="14">
        <f t="shared" si="4"/>
        <v>0</v>
      </c>
      <c r="P68" s="15">
        <f t="shared" si="5"/>
        <v>-6.7555555555556452</v>
      </c>
      <c r="Q68" s="91">
        <f t="shared" si="6"/>
        <v>0.95777777777777717</v>
      </c>
      <c r="R68" s="177"/>
      <c r="S68" s="21">
        <v>0.41180555555555548</v>
      </c>
      <c r="T68" s="21">
        <v>0.50555555555555554</v>
      </c>
      <c r="U68" s="88">
        <f t="shared" si="48"/>
        <v>5.9999999999999787</v>
      </c>
      <c r="V68" s="30">
        <f t="shared" si="47"/>
        <v>135.00000000000009</v>
      </c>
      <c r="W68" s="16">
        <f>T68</f>
        <v>0.50555555555555554</v>
      </c>
      <c r="X68" s="16">
        <f>S69</f>
        <v>0.5444444444444444</v>
      </c>
      <c r="Y68" s="16"/>
      <c r="Z68" s="16"/>
      <c r="AA68" s="168"/>
      <c r="AB68" s="168"/>
      <c r="AC68" s="18"/>
      <c r="AD68" s="18"/>
      <c r="AE68" s="14">
        <f t="shared" si="43"/>
        <v>-101.33333333333485</v>
      </c>
      <c r="AF68" s="91">
        <f t="shared" si="9"/>
        <v>0.95777777777777717</v>
      </c>
      <c r="AG68" s="177"/>
    </row>
    <row r="69" spans="1:33" ht="15.75" customHeight="1">
      <c r="A69" s="175" t="s">
        <v>176</v>
      </c>
      <c r="B69" s="88" t="s">
        <v>22</v>
      </c>
      <c r="C69" s="169" t="s">
        <v>52</v>
      </c>
      <c r="D69" s="169"/>
      <c r="E69" s="28">
        <v>19.02</v>
      </c>
      <c r="F69" s="88">
        <v>5118</v>
      </c>
      <c r="G69" s="88">
        <f t="shared" si="45"/>
        <v>97344.36</v>
      </c>
      <c r="H69" s="30" t="s">
        <v>53</v>
      </c>
      <c r="I69" s="95">
        <v>14</v>
      </c>
      <c r="J69" s="13">
        <v>2400</v>
      </c>
      <c r="K69" s="12">
        <f t="shared" ref="K69:K70" si="49">J69/I69</f>
        <v>171.42857142857142</v>
      </c>
      <c r="L69" s="95">
        <v>14</v>
      </c>
      <c r="M69" s="13">
        <f t="shared" si="46"/>
        <v>2291.6417910447763</v>
      </c>
      <c r="N69" s="12">
        <f t="shared" ref="N69:N70" si="50">M69/L69</f>
        <v>163.68869936034116</v>
      </c>
      <c r="O69" s="14">
        <f t="shared" ref="O69:O70" si="51">L69-I69</f>
        <v>0</v>
      </c>
      <c r="P69" s="15">
        <f t="shared" ref="P69:P70" si="52">N69-K69</f>
        <v>-7.7398720682302553</v>
      </c>
      <c r="Q69" s="91">
        <f t="shared" ref="Q69:Q70" si="53">N69/K69</f>
        <v>0.95485074626865685</v>
      </c>
      <c r="R69" s="177"/>
      <c r="S69" s="21">
        <v>0.5444444444444444</v>
      </c>
      <c r="T69" s="21">
        <v>0.63749999999999996</v>
      </c>
      <c r="U69" s="88">
        <f t="shared" si="48"/>
        <v>55.999999999999957</v>
      </c>
      <c r="V69" s="30">
        <f t="shared" si="47"/>
        <v>134</v>
      </c>
      <c r="W69" s="16"/>
      <c r="X69" s="16"/>
      <c r="Y69" s="16"/>
      <c r="Z69" s="16"/>
      <c r="AA69" s="168"/>
      <c r="AB69" s="168"/>
      <c r="AC69" s="18"/>
      <c r="AD69" s="18"/>
      <c r="AE69" s="14">
        <f t="shared" si="43"/>
        <v>-108.35820895522374</v>
      </c>
      <c r="AF69" s="91">
        <f t="shared" ref="AF69:AF70" si="54">M69/J69</f>
        <v>0.95485074626865674</v>
      </c>
      <c r="AG69" s="177"/>
    </row>
    <row r="70" spans="1:33" ht="16.5" customHeight="1">
      <c r="A70" s="176" t="s">
        <v>176</v>
      </c>
      <c r="B70" s="28" t="s">
        <v>165</v>
      </c>
      <c r="C70" s="165"/>
      <c r="D70" s="166"/>
      <c r="E70" s="92"/>
      <c r="F70" s="12"/>
      <c r="G70" s="12"/>
      <c r="H70" s="88"/>
      <c r="I70" s="23">
        <v>15.833333333333334</v>
      </c>
      <c r="J70" s="13">
        <v>2400</v>
      </c>
      <c r="K70" s="12">
        <f t="shared" si="49"/>
        <v>151.57894736842104</v>
      </c>
      <c r="L70" s="23">
        <v>15.833333333333334</v>
      </c>
      <c r="M70" s="13">
        <f>AVERAGE(M64:M69)</f>
        <v>2292.6915536334623</v>
      </c>
      <c r="N70" s="12">
        <f t="shared" si="50"/>
        <v>144.8015718084292</v>
      </c>
      <c r="O70" s="14">
        <f t="shared" si="51"/>
        <v>0</v>
      </c>
      <c r="P70" s="15">
        <f t="shared" si="52"/>
        <v>-6.7773755599918388</v>
      </c>
      <c r="Q70" s="91">
        <f t="shared" si="53"/>
        <v>0.95528814734727607</v>
      </c>
      <c r="R70" s="177"/>
      <c r="S70" s="21"/>
      <c r="T70" s="21"/>
      <c r="U70" s="12"/>
      <c r="V70" s="30"/>
      <c r="W70" s="12"/>
      <c r="X70" s="12"/>
      <c r="Y70" s="24">
        <f>SUM(Y64:Y69)</f>
        <v>0</v>
      </c>
      <c r="Z70" s="24">
        <f>SUM(Z64:Z69)</f>
        <v>0</v>
      </c>
      <c r="AA70" s="167"/>
      <c r="AB70" s="167"/>
      <c r="AC70" s="24">
        <v>6</v>
      </c>
      <c r="AD70" s="24">
        <f>SUM(AD64:AD69)</f>
        <v>0</v>
      </c>
      <c r="AE70" s="14">
        <f t="shared" si="43"/>
        <v>-107.30844636653774</v>
      </c>
      <c r="AF70" s="91">
        <f t="shared" si="54"/>
        <v>0.95528814734727596</v>
      </c>
      <c r="AG70" s="177"/>
    </row>
    <row r="71" spans="1:33">
      <c r="D71" s="87"/>
      <c r="E71" s="87"/>
    </row>
  </sheetData>
  <mergeCells count="192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5"/>
    <mergeCell ref="C11:D11"/>
    <mergeCell ref="R11:R15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6:AG20"/>
    <mergeCell ref="C17:D17"/>
    <mergeCell ref="AA17:AB17"/>
    <mergeCell ref="C18:D18"/>
    <mergeCell ref="AA18:AB18"/>
    <mergeCell ref="C19:D19"/>
    <mergeCell ref="AG11:AG15"/>
    <mergeCell ref="C12:D12"/>
    <mergeCell ref="AA12:AB12"/>
    <mergeCell ref="C13:D13"/>
    <mergeCell ref="AA13:AB13"/>
    <mergeCell ref="C14:D14"/>
    <mergeCell ref="AA14:AB14"/>
    <mergeCell ref="C15:D15"/>
    <mergeCell ref="AA15:AB15"/>
    <mergeCell ref="AA19:AB19"/>
    <mergeCell ref="C20:D20"/>
    <mergeCell ref="AA20:AB20"/>
    <mergeCell ref="A21:A27"/>
    <mergeCell ref="C21:D21"/>
    <mergeCell ref="R21:R27"/>
    <mergeCell ref="AA21:AB21"/>
    <mergeCell ref="AA26:AB26"/>
    <mergeCell ref="C27:D27"/>
    <mergeCell ref="AA27:AB27"/>
    <mergeCell ref="A16:A20"/>
    <mergeCell ref="C16:D16"/>
    <mergeCell ref="R16:R20"/>
    <mergeCell ref="AA16:AB16"/>
    <mergeCell ref="AG28:AG35"/>
    <mergeCell ref="C29:D29"/>
    <mergeCell ref="AA29:AB29"/>
    <mergeCell ref="C30:D30"/>
    <mergeCell ref="AA30:AB30"/>
    <mergeCell ref="C31:D31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A31:AB31"/>
    <mergeCell ref="C32:D32"/>
    <mergeCell ref="AA32:AB32"/>
    <mergeCell ref="C33:D33"/>
    <mergeCell ref="AA33:AB33"/>
    <mergeCell ref="C34:D34"/>
    <mergeCell ref="AA34:AB34"/>
    <mergeCell ref="A28:A35"/>
    <mergeCell ref="C28:D28"/>
    <mergeCell ref="R28:R35"/>
    <mergeCell ref="AA28:AB28"/>
    <mergeCell ref="C35:D35"/>
    <mergeCell ref="AA35:AB35"/>
    <mergeCell ref="A36:A43"/>
    <mergeCell ref="C36:D36"/>
    <mergeCell ref="R36:R43"/>
    <mergeCell ref="AA36:AB36"/>
    <mergeCell ref="AA41:AB41"/>
    <mergeCell ref="C42:D42"/>
    <mergeCell ref="AA42:AB42"/>
    <mergeCell ref="C43:D43"/>
    <mergeCell ref="AA43:AB43"/>
    <mergeCell ref="A44:A48"/>
    <mergeCell ref="C44:D44"/>
    <mergeCell ref="R44:R48"/>
    <mergeCell ref="AA44:AB44"/>
    <mergeCell ref="AG44:AG48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AG36:AG43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49:A55"/>
    <mergeCell ref="C49:D49"/>
    <mergeCell ref="R49:R55"/>
    <mergeCell ref="AA49:AB49"/>
    <mergeCell ref="AA55:AB55"/>
    <mergeCell ref="AG56:AG63"/>
    <mergeCell ref="C57:D57"/>
    <mergeCell ref="AA57:AB57"/>
    <mergeCell ref="C58:D58"/>
    <mergeCell ref="AA58:AB58"/>
    <mergeCell ref="C59:D59"/>
    <mergeCell ref="AG49:AG55"/>
    <mergeCell ref="C50:D50"/>
    <mergeCell ref="AA50:AB50"/>
    <mergeCell ref="C51:D51"/>
    <mergeCell ref="AA51:AB51"/>
    <mergeCell ref="AA52:AB52"/>
    <mergeCell ref="AA53:AB53"/>
    <mergeCell ref="C54:D54"/>
    <mergeCell ref="AA54:AB54"/>
    <mergeCell ref="C55:D55"/>
    <mergeCell ref="AA59:AB59"/>
    <mergeCell ref="C60:D60"/>
    <mergeCell ref="AA60:AB60"/>
    <mergeCell ref="C61:D61"/>
    <mergeCell ref="AA61:AB61"/>
    <mergeCell ref="AA62:AB62"/>
    <mergeCell ref="A56:A63"/>
    <mergeCell ref="C56:D56"/>
    <mergeCell ref="R56:R63"/>
    <mergeCell ref="AA56:AB56"/>
    <mergeCell ref="C63:D63"/>
    <mergeCell ref="AA63:AB63"/>
    <mergeCell ref="A64:A70"/>
    <mergeCell ref="C64:D64"/>
    <mergeCell ref="R64:R70"/>
    <mergeCell ref="AA64:AB64"/>
    <mergeCell ref="AA69:AB69"/>
    <mergeCell ref="C70:D70"/>
    <mergeCell ref="AA70:AB70"/>
    <mergeCell ref="AG64:AG70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</mergeCells>
  <phoneticPr fontId="3" type="noConversion"/>
  <conditionalFormatting sqref="O5:O70">
    <cfRule type="cellIs" dxfId="170" priority="9" operator="greaterThan">
      <formula>0</formula>
    </cfRule>
  </conditionalFormatting>
  <conditionalFormatting sqref="P5:P70">
    <cfRule type="cellIs" dxfId="169" priority="1" operator="lessThan">
      <formula>0</formula>
    </cfRule>
  </conditionalFormatting>
  <conditionalFormatting sqref="Q5:Q70 AF5:AF70">
    <cfRule type="cellIs" dxfId="168" priority="10" operator="greaterThan">
      <formula>1</formula>
    </cfRule>
    <cfRule type="cellIs" dxfId="167" priority="11" operator="lessThan">
      <formula>0.8</formula>
    </cfRule>
  </conditionalFormatting>
  <conditionalFormatting sqref="R5:R11 AG5:AG11">
    <cfRule type="cellIs" dxfId="166" priority="37" operator="lessThan">
      <formula>0.8</formula>
    </cfRule>
  </conditionalFormatting>
  <conditionalFormatting sqref="AE5:AE70">
    <cfRule type="cellIs" dxfId="165" priority="12" operator="lessThan">
      <formula>0</formula>
    </cfRule>
  </conditionalFormatting>
  <conditionalFormatting sqref="AG16:AG59 R16:R70">
    <cfRule type="cellIs" dxfId="164" priority="13" operator="lessThan">
      <formula>0.8</formula>
    </cfRule>
  </conditionalFormatting>
  <dataValidations count="1">
    <dataValidation type="list" allowBlank="1" showInputMessage="1" showErrorMessage="1" sqref="AB10 AA5:AB9 AB60:AB62 AB12:AB56 AA10:AA62 AA63:AB70" xr:uid="{00000000-0002-0000-13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32"/>
  <sheetViews>
    <sheetView zoomScale="85" zoomScaleNormal="85" workbookViewId="0"/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1901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379</v>
      </c>
      <c r="C3" s="154" t="str">
        <f>TEXT('0420 4度C'!A2,"yyyy.mm.ddaaaa")</f>
        <v>2026.04.20星期一</v>
      </c>
      <c r="D3" s="155"/>
      <c r="E3" s="33" t="s">
        <v>1902</v>
      </c>
      <c r="F3" s="156">
        <f>'0420 4度C'!D1</f>
        <v>171649</v>
      </c>
      <c r="G3" s="157"/>
      <c r="H3" s="33" t="s">
        <v>1903</v>
      </c>
      <c r="I3" s="158">
        <f>'0420 4度C'!F1</f>
        <v>5681502.5100000016</v>
      </c>
      <c r="J3" s="159"/>
      <c r="K3" s="34"/>
      <c r="L3" s="35"/>
      <c r="M3" s="35"/>
      <c r="N3" s="35"/>
    </row>
    <row r="4" spans="2:17" ht="28.5" customHeight="1">
      <c r="B4" s="160" t="s">
        <v>1904</v>
      </c>
      <c r="C4" s="146" t="s">
        <v>1905</v>
      </c>
      <c r="D4" s="147"/>
      <c r="E4" s="163" t="s">
        <v>1906</v>
      </c>
      <c r="F4" s="164"/>
      <c r="G4" s="163" t="s">
        <v>1907</v>
      </c>
      <c r="H4" s="164"/>
      <c r="I4" s="163" t="s">
        <v>1908</v>
      </c>
      <c r="J4" s="164"/>
      <c r="K4" s="144" t="s">
        <v>1909</v>
      </c>
      <c r="L4" s="145"/>
      <c r="M4" s="145" t="s">
        <v>1910</v>
      </c>
      <c r="N4" s="145"/>
    </row>
    <row r="5" spans="2:17" ht="28.5" customHeight="1">
      <c r="B5" s="161"/>
      <c r="C5" s="146" t="s">
        <v>1911</v>
      </c>
      <c r="D5" s="147"/>
      <c r="E5" s="146" t="s">
        <v>1912</v>
      </c>
      <c r="F5" s="147"/>
      <c r="G5" s="148" t="s">
        <v>1913</v>
      </c>
      <c r="H5" s="149"/>
      <c r="I5" s="150" t="s">
        <v>1914</v>
      </c>
      <c r="J5" s="151"/>
      <c r="K5" s="36" t="s">
        <v>1915</v>
      </c>
      <c r="L5" s="37" t="s">
        <v>1916</v>
      </c>
      <c r="M5" s="36" t="s">
        <v>1915</v>
      </c>
      <c r="N5" s="37" t="s">
        <v>1917</v>
      </c>
    </row>
    <row r="6" spans="2:17" ht="28.5" customHeight="1">
      <c r="B6" s="161"/>
      <c r="C6" s="146" t="s">
        <v>54</v>
      </c>
      <c r="D6" s="147"/>
      <c r="E6" s="138">
        <f>AVERAGE(D13:M13)</f>
        <v>156.13040688738994</v>
      </c>
      <c r="F6" s="139">
        <f>AVERAGE(D31:O31,D13:J13)</f>
        <v>162.02422370713182</v>
      </c>
      <c r="G6" s="140">
        <f>AVERAGE(D13:J13)</f>
        <v>162.02422370713182</v>
      </c>
      <c r="H6" s="141"/>
      <c r="I6" s="140">
        <f>AVERAGE(K13:M13)</f>
        <v>142.37816764132552</v>
      </c>
      <c r="J6" s="141"/>
      <c r="K6" s="142">
        <f>'0420 4度C'!Y2</f>
        <v>0</v>
      </c>
      <c r="L6" s="127">
        <f>'0420 4度C'!Z2</f>
        <v>0</v>
      </c>
      <c r="M6" s="143">
        <f>'0420 4度C'!AC2</f>
        <v>57</v>
      </c>
      <c r="N6" s="127">
        <f>'0420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149.49714481434813</v>
      </c>
      <c r="F7" s="131">
        <f>AVERAGE(D32:O32,D14:J14)</f>
        <v>155.12444847346651</v>
      </c>
      <c r="G7" s="132">
        <f>AVERAGE(D14:J14)</f>
        <v>155.12444847346651</v>
      </c>
      <c r="H7" s="133"/>
      <c r="I7" s="132">
        <f>AVERAGE(K14:M14)</f>
        <v>136.36676960973864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0.9583126697891251</v>
      </c>
      <c r="F8" s="135">
        <f>AVERAGE(D15:J15,D33:O33)</f>
        <v>0.95852061554385648</v>
      </c>
      <c r="G8" s="136">
        <f>AVERAGE(D15:J15)</f>
        <v>0.95852061554385648</v>
      </c>
      <c r="H8" s="137"/>
      <c r="I8" s="136">
        <f>AVERAGE(K15:M15)</f>
        <v>0.95782746302808486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1918</v>
      </c>
      <c r="N9" s="35"/>
      <c r="O9" s="35"/>
      <c r="P9" s="35"/>
      <c r="Q9" s="35"/>
    </row>
    <row r="10" spans="2:17" ht="30" customHeight="1">
      <c r="B10" s="110" t="s">
        <v>1919</v>
      </c>
      <c r="C10" s="111"/>
      <c r="D10" s="112" t="s">
        <v>1920</v>
      </c>
      <c r="E10" s="113"/>
      <c r="F10" s="113"/>
      <c r="G10" s="113"/>
      <c r="H10" s="113"/>
      <c r="I10" s="113"/>
      <c r="J10" s="114"/>
      <c r="K10" s="115" t="s">
        <v>198</v>
      </c>
      <c r="L10" s="116"/>
      <c r="M10" s="117"/>
      <c r="P10" s="41"/>
      <c r="Q10" s="41"/>
    </row>
    <row r="11" spans="2:17" ht="17.25" customHeight="1">
      <c r="B11" s="118" t="s">
        <v>1921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1922</v>
      </c>
      <c r="C13" s="48" t="s">
        <v>1923</v>
      </c>
      <c r="D13" s="49">
        <f>SUMIFS('0420 4度C'!$K:$K,'0420 4度C'!$A:$A,"新豐6線",'0420 4度C'!$B:$B,"平均")</f>
        <v>119.40298507462687</v>
      </c>
      <c r="E13" s="50">
        <f>SUMIFS('0420 4度C'!$K:$K,'0420 4度C'!$A:$A,"新豐2線",'0420 4度C'!$B:$B,"平均")</f>
        <v>83.333333333333329</v>
      </c>
      <c r="F13" s="51">
        <f>SUMIFS('0420 4度C'!$K:$K,'0420 4度C'!$A:$A,"新豐5線",'0420 4度C'!$B:$B,"平均")</f>
        <v>100</v>
      </c>
      <c r="G13" s="51">
        <f>SUMIFS('0420 4度C'!$K:$K,'0420 4度C'!$A:$A,"新豐7線",'0420 4度C'!$B:$B,"平均")</f>
        <v>122.3404255319149</v>
      </c>
      <c r="H13" s="51">
        <f>SUMIFS('0420 4度C'!$K:$K,'0420 4度C'!$A:$A,"新豐3線",'0420 4度C'!$B:$B,"平均")</f>
        <v>315.78947368421052</v>
      </c>
      <c r="I13" s="51">
        <f>SUMIFS('0420 4度C'!$K:$K,'0420 4度C'!$A:$A,"新豐1線",'0420 4度C'!$B:$B,"平均")</f>
        <v>103.44827586206897</v>
      </c>
      <c r="J13" s="52">
        <f>SUMIFS('0420 4度C'!$K:$K,'0420 4度C'!$A:$A,"新豐10線",'0420 4度C'!$B:$B,"平均")</f>
        <v>289.85507246376812</v>
      </c>
      <c r="K13" s="53">
        <f>SUMIFS('0420 4度C'!$K:$K,'0420 4度C'!$A:$A,"新豐8線",'0420 4度C'!$B:$B,"平均")</f>
        <v>133.33333333333334</v>
      </c>
      <c r="L13" s="54">
        <f>SUMIFS('0420 4度C'!$K:$K,'0420 4度C'!$A:$A,"新豐9線",'0420 4度C'!$B:$B,"平均")</f>
        <v>142.22222222222223</v>
      </c>
      <c r="M13" s="52">
        <f>SUMIFS('0420 4度C'!$K:$K,'0420 4度C'!$A:$A,"新豐4線",'0420 4度C'!$B:$B,"平均")</f>
        <v>151.57894736842104</v>
      </c>
    </row>
    <row r="14" spans="2:17" ht="39.6" customHeight="1">
      <c r="B14" s="123"/>
      <c r="C14" s="55" t="s">
        <v>1924</v>
      </c>
      <c r="D14" s="56">
        <f>SUMIFS('0420 4度C'!$N:$N,'0420 4度C'!$A:$A,"新豐6線",'0420 4度C'!$B:$B,"平均")</f>
        <v>115.05883735734477</v>
      </c>
      <c r="E14" s="57">
        <f>SUMIFS('0420 4度C'!$N:$N,'0420 4度C'!$A:$A,"新豐2線",'0420 4度C'!$B:$B,"平均")</f>
        <v>79.808965785198097</v>
      </c>
      <c r="F14" s="57">
        <f>SUMIFS('0420 4度C'!$N:$N,'0420 4度C'!$A:$A,"新豐5線",'0420 4度C'!$B:$B,"平均")</f>
        <v>96.072694660379753</v>
      </c>
      <c r="G14" s="57">
        <f>SUMIFS('0420 4度C'!$N:$N,'0420 4度C'!$A:$A,"新豐7線",'0420 4度C'!$B:$B,"平均")</f>
        <v>117.33251094687411</v>
      </c>
      <c r="H14" s="57">
        <f>SUMIFS('0420 4度C'!$N:$N,'0420 4度C'!$A:$A,"新豐3線",'0420 4度C'!$B:$B,"平均")</f>
        <v>301.13764315708659</v>
      </c>
      <c r="I14" s="57">
        <f>SUMIFS('0420 4度C'!$N:$N,'0420 4度C'!$A:$A,"新豐1線",'0420 4度C'!$B:$B,"平均")</f>
        <v>99.110195717014093</v>
      </c>
      <c r="J14" s="58">
        <f>SUMIFS('0420 4度C'!$N:$N,'0420 4度C'!$A:$A,"新豐10線",'0420 4度C'!$B:$B,"平均")</f>
        <v>277.35029169036824</v>
      </c>
      <c r="K14" s="59">
        <f>SUMIFS('0420 4度C'!$N:$N,'0420 4度C'!$A:$A,"新豐8線",'0420 4度C'!$B:$B,"平均")</f>
        <v>127.80238105826135</v>
      </c>
      <c r="L14" s="60">
        <f>SUMIFS('0420 4度C'!$N:$N,'0420 4度C'!$A:$A,"新豐9線",'0420 4度C'!$B:$B,"平均")</f>
        <v>136.34977764485774</v>
      </c>
      <c r="M14" s="58">
        <f>SUMIFS('0420 4度C'!$N:$N,'0420 4度C'!$A:$A,"新豐4線",'0420 4度C'!$B:$B,"平均")</f>
        <v>144.94815012609683</v>
      </c>
    </row>
    <row r="15" spans="2:17" ht="40.15" customHeight="1">
      <c r="B15" s="124"/>
      <c r="C15" s="61" t="s">
        <v>1925</v>
      </c>
      <c r="D15" s="62">
        <f t="shared" ref="D15:M15" si="0">D14/D13</f>
        <v>0.96361776286776246</v>
      </c>
      <c r="E15" s="63">
        <f t="shared" si="0"/>
        <v>0.95770758942237721</v>
      </c>
      <c r="F15" s="63">
        <f t="shared" si="0"/>
        <v>0.96072694660379754</v>
      </c>
      <c r="G15" s="63">
        <f t="shared" si="0"/>
        <v>0.95906574165271008</v>
      </c>
      <c r="H15" s="63">
        <f t="shared" si="0"/>
        <v>0.95360253666410755</v>
      </c>
      <c r="I15" s="63">
        <f t="shared" si="0"/>
        <v>0.95806522526446958</v>
      </c>
      <c r="J15" s="64">
        <f t="shared" si="0"/>
        <v>0.95685850633177039</v>
      </c>
      <c r="K15" s="62">
        <f t="shared" si="0"/>
        <v>0.95851785793695998</v>
      </c>
      <c r="L15" s="63">
        <f t="shared" si="0"/>
        <v>0.95870937406540591</v>
      </c>
      <c r="M15" s="64">
        <f t="shared" si="0"/>
        <v>0.95625515708188891</v>
      </c>
    </row>
    <row r="16" spans="2:17" ht="17.25" customHeight="1">
      <c r="B16" s="125" t="s">
        <v>204</v>
      </c>
      <c r="C16" s="65" t="s">
        <v>1926</v>
      </c>
      <c r="D16" s="66">
        <f>VLOOKUP("新豐6線",'0420 4度C'!$A:$T,19,0)</f>
        <v>0.70833333333333337</v>
      </c>
      <c r="E16" s="67">
        <f>VLOOKUP("新豐2線",'0420 4度C'!$A:$T,19,0)</f>
        <v>0.20833333333333334</v>
      </c>
      <c r="F16" s="67">
        <f>VLOOKUP("新豐5線",'0420 4度C'!$A:$T,19,0)</f>
        <v>0.20833333333333334</v>
      </c>
      <c r="G16" s="67">
        <f>VLOOKUP("新豐7線",'0420 4度C'!$A:$T,19,0)</f>
        <v>0.29166666666666669</v>
      </c>
      <c r="H16" s="67">
        <f>VLOOKUP("新豐3線",'0420 4度C'!$A:$T,19,0)</f>
        <v>8.3333333333333329E-2</v>
      </c>
      <c r="I16" s="67">
        <f>VLOOKUP("新豐1線",'0420 4度C'!$A:$T,19,0)</f>
        <v>0.33333333333333331</v>
      </c>
      <c r="J16" s="68">
        <f>VLOOKUP("新豐10線",'0420 4度C'!$A:$T,19,0)</f>
        <v>0.20833333333333334</v>
      </c>
      <c r="K16" s="69">
        <f>VLOOKUP("新豐8線",'0420 4度C'!$A:$T,19,0)</f>
        <v>8.3333333333333329E-2</v>
      </c>
      <c r="L16" s="70">
        <f>VLOOKUP("新豐9線",'0420 4度C'!$A:$T,19,0)</f>
        <v>8.3333333333333329E-2</v>
      </c>
      <c r="M16" s="71">
        <f>VLOOKUP("新豐4線",'0420 4度C'!$A:$T,19,0)</f>
        <v>8.3333333333333329E-2</v>
      </c>
    </row>
    <row r="17" spans="2:13" ht="17.25" customHeight="1">
      <c r="B17" s="126"/>
      <c r="C17" s="65" t="s">
        <v>1927</v>
      </c>
      <c r="D17" s="69">
        <f>LOOKUP(2,1/(('0420 4度C'!$A:$A="新豐6線")*('0420 4度C'!$T:$T&lt;&gt;"")),'0420 4度C'!$T:$T)</f>
        <v>0.85972222222222228</v>
      </c>
      <c r="E17" s="67">
        <f>LOOKUP(2,1/(('0420 4度C'!$A:$A="新豐2線")*('0420 4度C'!$T:$T&lt;&gt;"")),'0420 4度C'!$T:$T)</f>
        <v>0.66458333333333319</v>
      </c>
      <c r="F17" s="67">
        <f>LOOKUP(2,1/(('0420 4度C'!$A:$A="新豐5線")*('0420 4度C'!$T:$T&lt;&gt;"")),'0420 4度C'!$T:$T)</f>
        <v>0.84305555555555556</v>
      </c>
      <c r="G17" s="67">
        <f>LOOKUP(2,1/(('0420 4度C'!$A:$A="新豐7線")*('0420 4度C'!$T:$T&lt;&gt;"")),'0420 4度C'!$T:$T)</f>
        <v>0.84166666666666667</v>
      </c>
      <c r="H17" s="67">
        <f>LOOKUP(2,1/(('0420 4度C'!$A:$A="新豐3線")*('0420 4度C'!$T:$T&lt;&gt;"")),'0420 4度C'!$T:$T)</f>
        <v>0.44027777777777777</v>
      </c>
      <c r="I17" s="67">
        <f>LOOKUP(2,1/(('0420 4度C'!$A:$A="新豐1線")*('0420 4度C'!$T:$T&lt;&gt;"")),'0420 4度C'!$T:$T)</f>
        <v>0.82013888888888886</v>
      </c>
      <c r="J17" s="68">
        <f>LOOKUP(2,1/(('0420 4度C'!$A:$A="新豐10線")*('0420 4度C'!$T:$T&lt;&gt;"")),'0420 4度C'!$T:$T)</f>
        <v>0.49166666666666659</v>
      </c>
      <c r="K17" s="66">
        <f>LOOKUP(2,1/(('0420 4度C'!$A:$A="新豐8線")*('0420 4度C'!$T:$T&lt;&gt;"")),'0420 4度C'!$T:$T)</f>
        <v>0.66111111111111109</v>
      </c>
      <c r="L17" s="67">
        <f>LOOKUP(2,1/(('0420 4度C'!$A:$A="新豐9線")*('0420 4度C'!$T:$T&lt;&gt;"")),'0420 4度C'!$T:$T)</f>
        <v>0.67013888888888884</v>
      </c>
      <c r="M17" s="68">
        <f>LOOKUP(2,1/(('0420 4度C'!$A:$A="新豐4線")*('0420 4度C'!$T:$T&lt;&gt;"")),'0420 4度C'!$T:$T)</f>
        <v>0.63402777777777775</v>
      </c>
    </row>
    <row r="18" spans="2:13" ht="17.25" customHeight="1">
      <c r="B18" s="104" t="s">
        <v>1928</v>
      </c>
      <c r="C18" s="72" t="s">
        <v>1929</v>
      </c>
      <c r="D18" s="73">
        <f>SUMIFS('0420 4度C'!$Y:$Y,'0420 4度C'!$A:$A,"新豐6線",'0420 4度C'!$B:$B,"平均")</f>
        <v>0</v>
      </c>
      <c r="E18" s="74">
        <f>SUMIFS('0420 4度C'!$Y:$Y,'0420 4度C'!$A:$A,"新豐2線",'0420 4度C'!$B:$B,"平均")</f>
        <v>0</v>
      </c>
      <c r="F18" s="74">
        <f>SUMIFS('0420 4度C'!$Y:$Y,'0420 4度C'!$A:$A,"新豐5線",'0420 4度C'!$B:$B,"平均")</f>
        <v>0</v>
      </c>
      <c r="G18" s="74">
        <f>SUMIFS('0420 4度C'!$Y:$Y,'0420 4度C'!$A:$A,"新豐7線",'0420 4度C'!$B:$B,"平均")</f>
        <v>0</v>
      </c>
      <c r="H18" s="74">
        <f>SUMIFS('0420 4度C'!$Y:$Y,'0420 4度C'!$A:$A,"新豐3線",'0420 4度C'!$B:$B,"平均")</f>
        <v>0</v>
      </c>
      <c r="I18" s="74">
        <f>SUMIFS('0420 4度C'!$Y:$Y,'0420 4度C'!$A:$A,"新豐1線",'0420 4度C'!$B:$B,"平均")</f>
        <v>0</v>
      </c>
      <c r="J18" s="75">
        <f>SUMIFS('0420 4度C'!$Y:$Y,'0420 4度C'!$A:$A,"新豐10線",'0420 4度C'!$B:$B,"平均")</f>
        <v>0</v>
      </c>
      <c r="K18" s="76">
        <f>SUMIFS('0420 4度C'!$Y:$Y,'0420 4度C'!$A:$A,"新豐8線",'0420 4度C'!$B:$B,"平均")</f>
        <v>0</v>
      </c>
      <c r="L18" s="74">
        <f>SUMIFS('0420 4度C'!$Y:$Y,'0420 4度C'!$A:$A,"新豐9線",'0420 4度C'!$B:$B,"平均")</f>
        <v>0</v>
      </c>
      <c r="M18" s="75">
        <f>SUMIFS('0420 4度C'!$Y:$Y,'0420 4度C'!$A:$A,"新豐4線",'0420 4度C'!$B:$B,"平均")</f>
        <v>0</v>
      </c>
    </row>
    <row r="19" spans="2:13" ht="17.25" customHeight="1">
      <c r="B19" s="105"/>
      <c r="C19" s="72" t="s">
        <v>1930</v>
      </c>
      <c r="D19" s="73">
        <f>SUMIFS('0420 4度C'!$Z:$Z,'0420 4度C'!$A:$A,"新豐6線",'0420 4度C'!$B:$B,"平均")</f>
        <v>0</v>
      </c>
      <c r="E19" s="74">
        <f>SUMIFS('0420 4度C'!$Z:$Z,'0420 4度C'!$A:$A,"新豐2線",'0420 4度C'!$B:$B,"平均")</f>
        <v>0</v>
      </c>
      <c r="F19" s="74">
        <f>SUMIFS('0420 4度C'!$Z:$Z,'0420 4度C'!$A:$A,"新豐5線",'0420 4度C'!$B:$B,"平均")</f>
        <v>0</v>
      </c>
      <c r="G19" s="74">
        <f>SUMIFS('0420 4度C'!$Z:$Z,'0420 4度C'!$A:$A,"新豐7線",'0420 4度C'!$B:$B,"平均")</f>
        <v>0</v>
      </c>
      <c r="H19" s="74">
        <f>SUMIFS('0420 4度C'!$Z:$Z,'0420 4度C'!$A:$A,"新豐3線",'0420 4度C'!$B:$B,"平均")</f>
        <v>0</v>
      </c>
      <c r="I19" s="74">
        <f>SUMIFS('0420 4度C'!$Z:$Z,'0420 4度C'!$A:$A,"新豐1線",'0420 4度C'!$B:$B,"平均")</f>
        <v>0</v>
      </c>
      <c r="J19" s="75">
        <f>SUMIFS('0420 4度C'!$Z:$Z,'0420 4度C'!$A:$A,"新豐10線",'0420 4度C'!$B:$B,"平均")</f>
        <v>0</v>
      </c>
      <c r="K19" s="76">
        <f>SUMIFS('0420 4度C'!$Z:$Z,'0420 4度C'!$A:$A,"新豐8線",'0420 4度C'!$B:$B,"平均")</f>
        <v>0</v>
      </c>
      <c r="L19" s="74">
        <f>SUMIFS('0420 4度C'!$Z:$Z,'0420 4度C'!$A:$A,"新豐9線",'0420 4度C'!$B:$B,"平均")</f>
        <v>0</v>
      </c>
      <c r="M19" s="75">
        <f>SUMIFS('0420 4度C'!$Z:$Z,'0420 4度C'!$A:$A,"新豐4線",'0420 4度C'!$B:$B,"平均")</f>
        <v>0</v>
      </c>
    </row>
    <row r="20" spans="2:13" ht="17.25" customHeight="1">
      <c r="B20" s="104" t="s">
        <v>210</v>
      </c>
      <c r="C20" s="72" t="s">
        <v>1929</v>
      </c>
      <c r="D20" s="73">
        <f>SUMIFS('0420 4度C'!$AC:$AC,'0420 4度C'!$A:$A,"新豐6線",'0420 4度C'!$B:$B,"平均")</f>
        <v>4</v>
      </c>
      <c r="E20" s="74">
        <f>SUMIFS('0420 4度C'!$AC:$AC,'0420 4度C'!$A:$A,"新豐2線",'0420 4度C'!$B:$B,"平均")</f>
        <v>4</v>
      </c>
      <c r="F20" s="74">
        <f>SUMIFS('0420 4度C'!$AC:$AC,'0420 4度C'!$A:$A,"新豐5線",'0420 4度C'!$B:$B,"平均")</f>
        <v>4</v>
      </c>
      <c r="G20" s="74">
        <f>SUMIFS('0420 4度C'!$AC:$AC,'0420 4度C'!$A:$A,"新豐7線",'0420 4度C'!$B:$B,"平均")</f>
        <v>6</v>
      </c>
      <c r="H20" s="74">
        <f>SUMIFS('0420 4度C'!$AC:$AC,'0420 4度C'!$A:$A,"新豐3線",'0420 4度C'!$B:$B,"平均")</f>
        <v>4</v>
      </c>
      <c r="I20" s="74">
        <f>SUMIFS('0420 4度C'!$AC:$AC,'0420 4度C'!$A:$A,"新豐1線",'0420 4度C'!$B:$B,"平均")</f>
        <v>6</v>
      </c>
      <c r="J20" s="75">
        <f>SUMIFS('0420 4度C'!$AC:$AC,'0420 4度C'!$A:$A,"新豐10線",'0420 4度C'!$B:$B,"平均")</f>
        <v>7</v>
      </c>
      <c r="K20" s="76">
        <f>SUMIFS('0420 4度C'!$AC:$AC,'0420 4度C'!$A:$A,"新豐8線",'0420 4度C'!$B:$B,"平均")</f>
        <v>8</v>
      </c>
      <c r="L20" s="74">
        <f>SUMIFS('0420 4度C'!$AC:$AC,'0420 4度C'!$A:$A,"新豐9線",'0420 4度C'!$B:$B,"平均")</f>
        <v>8</v>
      </c>
      <c r="M20" s="75">
        <f>SUMIFS('0420 4度C'!$AC:$AC,'0420 4度C'!$A:$A,"新豐4線",'0420 4度C'!$B:$B,"平均")</f>
        <v>6</v>
      </c>
    </row>
    <row r="21" spans="2:13" ht="17.25" customHeight="1">
      <c r="B21" s="105"/>
      <c r="C21" s="72" t="s">
        <v>1931</v>
      </c>
      <c r="D21" s="73">
        <f>SUMIFS('0420 4度C'!$AD:$AD,'0420 4度C'!$A:$A,"新豐6線",'0420 4度C'!$B:$B,"平均")</f>
        <v>0</v>
      </c>
      <c r="E21" s="74">
        <f>SUMIFS('0420 4度C'!$AD:$AD,'0420 4度C'!$A:$A,"新豐2線",'0420 4度C'!$B:$B,"平均")</f>
        <v>0</v>
      </c>
      <c r="F21" s="74">
        <f>SUMIFS('0420 4度C'!$AD:$AD,'0420 4度C'!$A:$A,"新豐5線",'0420 4度C'!$B:$B,"平均")</f>
        <v>0</v>
      </c>
      <c r="G21" s="74">
        <f>SUMIFS('0420 4度C'!$AD:$AD,'0420 4度C'!$A:$A,"新豐7線",'0420 4度C'!$B:$B,"平均")</f>
        <v>0</v>
      </c>
      <c r="H21" s="74">
        <f>SUMIFS('0420 4度C'!$AD:$AD,'0420 4度C'!$A:$A,"新豐3線",'0420 4度C'!$B:$B,"平均")</f>
        <v>0</v>
      </c>
      <c r="I21" s="74">
        <f>SUMIFS('0420 4度C'!$AD:$AD,'0420 4度C'!$A:$A,"新豐1線",'0420 4度C'!$B:$B,"平均")</f>
        <v>0</v>
      </c>
      <c r="J21" s="75">
        <f>SUMIFS('0420 4度C'!$AD:$AD,'0420 4度C'!$A:$A,"新豐10線",'0420 4度C'!$B:$B,"平均")</f>
        <v>0</v>
      </c>
      <c r="K21" s="76">
        <f>SUMIFS('0420 4度C'!$AD:$AD,'0420 4度C'!$A:$A,"新豐8線",'0420 4度C'!$B:$B,"平均")</f>
        <v>0</v>
      </c>
      <c r="L21" s="74">
        <f>SUMIFS('0420 4度C'!$AD:$AD,'0420 4度C'!$A:$A,"新豐9線",'0420 4度C'!$B:$B,"平均")</f>
        <v>0</v>
      </c>
      <c r="M21" s="75">
        <f>SUMIFS('0420 4度C'!$AD:$AD,'0420 4度C'!$A:$A,"新豐4線",'0420 4度C'!$B:$B,"平均")</f>
        <v>0</v>
      </c>
    </row>
    <row r="22" spans="2:13" ht="17.25" customHeight="1">
      <c r="B22" s="106" t="s">
        <v>1932</v>
      </c>
      <c r="C22" s="107"/>
      <c r="D22" s="77">
        <f>SUMIFS('0420 4度C'!$I:$I,'0420 4度C'!$A:$A,"新豐6線",'0420 4度C'!$B:$B,"平均")</f>
        <v>16.75</v>
      </c>
      <c r="E22" s="78">
        <f>SUMIFS('0420 4度C'!$I:$I,'0420 4度C'!$A:$A,"新豐2線",'0420 4度C'!$B:$B,"平均")</f>
        <v>18</v>
      </c>
      <c r="F22" s="78">
        <f>SUMIFS('0420 4度C'!$I:$I,'0420 4度C'!$A:$A,"新豐5線",'0420 4度C'!$B:$B,"平均")</f>
        <v>17.5</v>
      </c>
      <c r="G22" s="78">
        <f>SUMIFS('0420 4度C'!$I:$I,'0420 4度C'!$A:$A,"新豐7線",'0420 4度C'!$B:$B,"平均")</f>
        <v>15.666666666666666</v>
      </c>
      <c r="H22" s="78">
        <f>SUMIFS('0420 4度C'!$I:$I,'0420 4度C'!$A:$A,"新豐3線",'0420 4度C'!$B:$B,"平均")</f>
        <v>9.5</v>
      </c>
      <c r="I22" s="78">
        <f>SUMIFS('0420 4度C'!$I:$I,'0420 4度C'!$A:$A,"新豐1線",'0420 4度C'!$B:$B,"平均")</f>
        <v>19.333333333333332</v>
      </c>
      <c r="J22" s="79">
        <f>SUMIFS('0420 4度C'!$I:$I,'0420 4度C'!$A:$A,"新豐10線",'0420 4度C'!$B:$B,"平均")</f>
        <v>9.8571428571428577</v>
      </c>
      <c r="K22" s="77">
        <f>SUMIFS('0420 4度C'!$I:$I,'0420 4度C'!$A:$A,"新豐8線",'0420 4度C'!$B:$B,"平均")</f>
        <v>18</v>
      </c>
      <c r="L22" s="78">
        <f>SUMIFS('0420 4度C'!$I:$I,'0420 4度C'!$A:$A,"新豐9線",'0420 4度C'!$B:$B,"平均")</f>
        <v>16.875</v>
      </c>
      <c r="M22" s="79">
        <f>SUMIFS('0420 4度C'!$I:$I,'0420 4度C'!$A:$A,"新豐4線",'0420 4度C'!$B:$B,"平均")</f>
        <v>15.833333333333334</v>
      </c>
    </row>
    <row r="23" spans="2:13" ht="17.25" customHeight="1">
      <c r="B23" s="106" t="s">
        <v>1933</v>
      </c>
      <c r="C23" s="107"/>
      <c r="D23" s="80" t="s">
        <v>67</v>
      </c>
      <c r="E23" s="81" t="s">
        <v>68</v>
      </c>
      <c r="F23" s="81" t="s">
        <v>1934</v>
      </c>
      <c r="G23" s="81" t="s">
        <v>1934</v>
      </c>
      <c r="H23" s="81" t="s">
        <v>69</v>
      </c>
      <c r="I23" s="81" t="s">
        <v>67</v>
      </c>
      <c r="J23" s="82" t="s">
        <v>69</v>
      </c>
      <c r="K23" s="80" t="s">
        <v>1935</v>
      </c>
      <c r="L23" s="81" t="s">
        <v>1935</v>
      </c>
      <c r="M23" s="82" t="s">
        <v>1936</v>
      </c>
    </row>
    <row r="24" spans="2:13" ht="17.25" customHeight="1">
      <c r="B24" s="106" t="s">
        <v>1937</v>
      </c>
      <c r="C24" s="107"/>
      <c r="D24" s="80"/>
      <c r="E24" s="81"/>
      <c r="F24" s="81" t="s">
        <v>1938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1939</v>
      </c>
      <c r="C25" s="109"/>
      <c r="D25" s="83"/>
      <c r="E25" s="84" t="s">
        <v>1940</v>
      </c>
      <c r="F25" s="102" t="s">
        <v>1941</v>
      </c>
      <c r="G25" s="103"/>
      <c r="H25" s="84" t="s">
        <v>1942</v>
      </c>
      <c r="I25" s="84" t="s">
        <v>424</v>
      </c>
      <c r="J25" s="85" t="s">
        <v>1942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6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13">
    <pageSetUpPr fitToPage="1"/>
  </sheetPr>
  <dimension ref="A1:AG72"/>
  <sheetViews>
    <sheetView topLeftCell="J1" zoomScale="80" zoomScaleNormal="80"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1943</v>
      </c>
      <c r="B1" s="1"/>
      <c r="C1" s="2" t="s">
        <v>1944</v>
      </c>
      <c r="D1" s="3">
        <f>SUM(F5:F71)</f>
        <v>171649</v>
      </c>
      <c r="E1" s="88" t="s">
        <v>1945</v>
      </c>
      <c r="F1" s="1">
        <f>SUM(G5:G71)</f>
        <v>5681502.5100000016</v>
      </c>
      <c r="G1" s="1" t="s">
        <v>1946</v>
      </c>
      <c r="H1" s="4">
        <f>L9+L14+L49+L56+L19+L64+L35+L44+L26+L71</f>
        <v>157.3154761904762</v>
      </c>
      <c r="I1" s="215" t="s">
        <v>1947</v>
      </c>
      <c r="J1" s="215"/>
      <c r="K1" s="215"/>
      <c r="L1" s="215" t="s">
        <v>1948</v>
      </c>
      <c r="M1" s="215"/>
      <c r="N1" s="215"/>
      <c r="O1" s="215" t="s">
        <v>1949</v>
      </c>
      <c r="P1" s="215"/>
      <c r="Q1" s="215"/>
      <c r="R1" s="215"/>
      <c r="S1" s="215" t="s">
        <v>1950</v>
      </c>
      <c r="T1" s="215"/>
      <c r="U1" s="215"/>
      <c r="V1" s="215"/>
      <c r="W1" s="215"/>
      <c r="X1" s="215"/>
      <c r="Y1" s="5" t="s">
        <v>1951</v>
      </c>
      <c r="Z1" s="6" t="s">
        <v>1952</v>
      </c>
      <c r="AA1" s="216" t="s">
        <v>1953</v>
      </c>
      <c r="AB1" s="216"/>
      <c r="AC1" s="97" t="s">
        <v>1951</v>
      </c>
      <c r="AD1" s="6" t="s">
        <v>1954</v>
      </c>
      <c r="AE1" s="215" t="s">
        <v>1955</v>
      </c>
      <c r="AF1" s="217"/>
      <c r="AG1" s="217"/>
    </row>
    <row r="2" spans="1:33" ht="26.25" customHeight="1">
      <c r="A2" s="26">
        <v>46132</v>
      </c>
      <c r="B2" s="27" t="s">
        <v>597</v>
      </c>
      <c r="C2" s="2" t="s">
        <v>1922</v>
      </c>
      <c r="D2" s="8">
        <f>AVERAGE(N9,N14,N49,N56,N19,N64,N26,N35,N44,N71)</f>
        <v>149.49714481434816</v>
      </c>
      <c r="E2" s="9" t="s">
        <v>0</v>
      </c>
      <c r="F2" s="10">
        <f>F1/D1</f>
        <v>33.099537486382104</v>
      </c>
      <c r="G2" s="1" t="s">
        <v>1956</v>
      </c>
      <c r="H2" s="96">
        <f>COUNT(H5:H71)</f>
        <v>9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SUM(Y9+Y14+Y19+Y26+Y35+Y44+Y49+Y56+Y64+Y71)</f>
        <v>0</v>
      </c>
      <c r="Z2" s="11">
        <f>SUM(Z9+Z14+Z19+Z26+Z35+Z44+Z49+Z56+Z64+Z71)</f>
        <v>0</v>
      </c>
      <c r="AA2" s="216"/>
      <c r="AB2" s="216"/>
      <c r="AC2" s="11">
        <v>57</v>
      </c>
      <c r="AD2" s="11">
        <f>SUM(AD9+AD14+AD19+AD26+AD35+AD44+AD49+AD56+AD64+AD71)</f>
        <v>0</v>
      </c>
      <c r="AE2" s="217"/>
      <c r="AF2" s="217"/>
      <c r="AG2" s="217"/>
    </row>
    <row r="3" spans="1:33" ht="40.5" customHeight="1">
      <c r="A3" s="168" t="s">
        <v>1957</v>
      </c>
      <c r="B3" s="168" t="s">
        <v>1958</v>
      </c>
      <c r="C3" s="168" t="s">
        <v>1959</v>
      </c>
      <c r="D3" s="168"/>
      <c r="E3" s="213" t="s">
        <v>1960</v>
      </c>
      <c r="F3" s="168" t="s">
        <v>1961</v>
      </c>
      <c r="G3" s="213" t="s">
        <v>1962</v>
      </c>
      <c r="H3" s="207" t="s">
        <v>1963</v>
      </c>
      <c r="I3" s="205" t="s">
        <v>1964</v>
      </c>
      <c r="J3" s="202" t="s">
        <v>1965</v>
      </c>
      <c r="K3" s="212" t="s">
        <v>1922</v>
      </c>
      <c r="L3" s="205" t="s">
        <v>1964</v>
      </c>
      <c r="M3" s="202" t="s">
        <v>1965</v>
      </c>
      <c r="N3" s="212" t="s">
        <v>1922</v>
      </c>
      <c r="O3" s="205" t="s">
        <v>1964</v>
      </c>
      <c r="P3" s="212" t="s">
        <v>1922</v>
      </c>
      <c r="Q3" s="203" t="s">
        <v>1966</v>
      </c>
      <c r="R3" s="181" t="s">
        <v>1967</v>
      </c>
      <c r="S3" s="168" t="s">
        <v>1</v>
      </c>
      <c r="T3" s="168"/>
      <c r="U3" s="207" t="s">
        <v>2</v>
      </c>
      <c r="V3" s="207" t="s">
        <v>1968</v>
      </c>
      <c r="W3" s="168" t="s">
        <v>1969</v>
      </c>
      <c r="X3" s="168"/>
      <c r="Y3" s="208" t="s">
        <v>1970</v>
      </c>
      <c r="Z3" s="167"/>
      <c r="AA3" s="209" t="s">
        <v>1971</v>
      </c>
      <c r="AB3" s="210"/>
      <c r="AC3" s="208" t="s">
        <v>1972</v>
      </c>
      <c r="AD3" s="167"/>
      <c r="AE3" s="202" t="s">
        <v>1973</v>
      </c>
      <c r="AF3" s="203" t="s">
        <v>1966</v>
      </c>
      <c r="AG3" s="181" t="s">
        <v>1974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1975</v>
      </c>
      <c r="X4" s="88" t="s">
        <v>1976</v>
      </c>
      <c r="Y4" s="90" t="s">
        <v>1929</v>
      </c>
      <c r="Z4" s="90" t="s">
        <v>1977</v>
      </c>
      <c r="AA4" s="211"/>
      <c r="AB4" s="210"/>
      <c r="AC4" s="90" t="s">
        <v>1978</v>
      </c>
      <c r="AD4" s="90" t="s">
        <v>1979</v>
      </c>
      <c r="AE4" s="202"/>
      <c r="AF4" s="203"/>
      <c r="AG4" s="181"/>
    </row>
    <row r="5" spans="1:33">
      <c r="A5" s="204" t="s">
        <v>1980</v>
      </c>
      <c r="B5" s="28" t="s">
        <v>5</v>
      </c>
      <c r="C5" s="206" t="s">
        <v>6</v>
      </c>
      <c r="D5" s="206"/>
      <c r="E5" s="28">
        <v>50.67</v>
      </c>
      <c r="F5" s="88">
        <v>1447</v>
      </c>
      <c r="G5" s="88">
        <f t="shared" ref="G5:G8" si="0">E5*F5</f>
        <v>73319.490000000005</v>
      </c>
      <c r="H5" s="30" t="s">
        <v>53</v>
      </c>
      <c r="I5" s="95">
        <v>17</v>
      </c>
      <c r="J5" s="13">
        <v>2000</v>
      </c>
      <c r="K5" s="12">
        <f t="shared" ref="K5:K68" si="1">J5/I5</f>
        <v>117.64705882352941</v>
      </c>
      <c r="L5" s="95">
        <v>17</v>
      </c>
      <c r="M5" s="13">
        <f t="shared" ref="M5:M8" si="2">F5/V5*60</f>
        <v>1929.3333333333335</v>
      </c>
      <c r="N5" s="12">
        <f t="shared" ref="N5:N68" si="3">M5/L5</f>
        <v>113.49019607843138</v>
      </c>
      <c r="O5" s="14">
        <f t="shared" ref="O5:O68" si="4">L5-I5</f>
        <v>0</v>
      </c>
      <c r="P5" s="15">
        <f t="shared" ref="P5:P68" si="5">N5-K5</f>
        <v>-4.1568627450980244</v>
      </c>
      <c r="Q5" s="91">
        <f t="shared" ref="Q5:Q68" si="6">N5/K5</f>
        <v>0.96466666666666678</v>
      </c>
      <c r="R5" s="177">
        <f>Q9</f>
        <v>0.96361776286776246</v>
      </c>
      <c r="S5" s="21">
        <v>0.70833333333333337</v>
      </c>
      <c r="T5" s="21">
        <v>0.73958333333333337</v>
      </c>
      <c r="U5" s="88"/>
      <c r="V5" s="30">
        <f t="shared" ref="V5:V8" si="7">(T5-S5)*24*60</f>
        <v>45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55" si="8">M5-J5</f>
        <v>-70.666666666666515</v>
      </c>
      <c r="AF5" s="91">
        <f t="shared" ref="AF5:AF68" si="9">M5/J5</f>
        <v>0.96466666666666678</v>
      </c>
      <c r="AG5" s="177">
        <f>AF9</f>
        <v>0.96361776286776246</v>
      </c>
    </row>
    <row r="6" spans="1:33">
      <c r="A6" s="205" t="s">
        <v>1980</v>
      </c>
      <c r="B6" s="28" t="s">
        <v>5</v>
      </c>
      <c r="C6" s="206" t="s">
        <v>7</v>
      </c>
      <c r="D6" s="206"/>
      <c r="E6" s="28">
        <v>54.09</v>
      </c>
      <c r="F6" s="88">
        <v>1202</v>
      </c>
      <c r="G6" s="88">
        <f t="shared" si="0"/>
        <v>65016.180000000008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1949.1891891891878</v>
      </c>
      <c r="N6" s="12">
        <f t="shared" si="3"/>
        <v>102.58890469416778</v>
      </c>
      <c r="O6" s="14">
        <f t="shared" si="4"/>
        <v>0</v>
      </c>
      <c r="P6" s="15">
        <f t="shared" si="5"/>
        <v>-2.6742532005690549</v>
      </c>
      <c r="Q6" s="91">
        <f t="shared" si="6"/>
        <v>0.97459459459459397</v>
      </c>
      <c r="R6" s="177"/>
      <c r="S6" s="21">
        <v>0.74444444444444446</v>
      </c>
      <c r="T6" s="21">
        <v>0.77013888888888893</v>
      </c>
      <c r="U6" s="88">
        <f t="shared" ref="U6:U8" si="10">IF(S6=TIME(17,0,0),"",(S6-T5)*24*60)</f>
        <v>6.9999999999999751</v>
      </c>
      <c r="V6" s="30">
        <f t="shared" si="7"/>
        <v>37.000000000000028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-50.8108108108122</v>
      </c>
      <c r="AF6" s="91">
        <f t="shared" si="9"/>
        <v>0.97459459459459385</v>
      </c>
      <c r="AG6" s="177"/>
    </row>
    <row r="7" spans="1:33">
      <c r="A7" s="205" t="s">
        <v>1980</v>
      </c>
      <c r="B7" s="28" t="s">
        <v>5</v>
      </c>
      <c r="C7" s="200" t="s">
        <v>16</v>
      </c>
      <c r="D7" s="201"/>
      <c r="E7" s="28">
        <v>50.67</v>
      </c>
      <c r="F7" s="88">
        <v>1662</v>
      </c>
      <c r="G7" s="88">
        <f t="shared" si="0"/>
        <v>84213.540000000008</v>
      </c>
      <c r="H7" s="30" t="s">
        <v>53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1917.6923076923088</v>
      </c>
      <c r="N7" s="12">
        <f t="shared" si="3"/>
        <v>127.84615384615391</v>
      </c>
      <c r="O7" s="14">
        <f t="shared" si="4"/>
        <v>0</v>
      </c>
      <c r="P7" s="15">
        <f t="shared" si="5"/>
        <v>-5.4871794871794322</v>
      </c>
      <c r="Q7" s="91">
        <f t="shared" si="6"/>
        <v>0.95884615384615424</v>
      </c>
      <c r="R7" s="177"/>
      <c r="S7" s="21">
        <v>0.77361111111111114</v>
      </c>
      <c r="T7" s="21">
        <v>0.80972222222222223</v>
      </c>
      <c r="U7" s="88">
        <f t="shared" si="10"/>
        <v>4.9999999999999822</v>
      </c>
      <c r="V7" s="30">
        <f t="shared" si="7"/>
        <v>51.999999999999972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-82.307692307691241</v>
      </c>
      <c r="AF7" s="91">
        <f t="shared" si="9"/>
        <v>0.95884615384615435</v>
      </c>
      <c r="AG7" s="177"/>
    </row>
    <row r="8" spans="1:33">
      <c r="A8" s="205" t="s">
        <v>1980</v>
      </c>
      <c r="B8" s="28" t="s">
        <v>5</v>
      </c>
      <c r="C8" s="200" t="s">
        <v>1270</v>
      </c>
      <c r="D8" s="201"/>
      <c r="E8" s="28">
        <v>52.86</v>
      </c>
      <c r="F8" s="88">
        <v>2104</v>
      </c>
      <c r="G8" s="88">
        <f t="shared" si="0"/>
        <v>111217.44</v>
      </c>
      <c r="H8" s="30" t="s">
        <v>53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1912.7272727272702</v>
      </c>
      <c r="N8" s="12">
        <f t="shared" si="3"/>
        <v>119.54545454545439</v>
      </c>
      <c r="O8" s="14">
        <f t="shared" si="4"/>
        <v>0</v>
      </c>
      <c r="P8" s="15">
        <f t="shared" si="5"/>
        <v>-5.4545454545456096</v>
      </c>
      <c r="Q8" s="91">
        <f t="shared" si="6"/>
        <v>0.95636363636363508</v>
      </c>
      <c r="R8" s="177"/>
      <c r="S8" s="21">
        <v>0.81388888888888888</v>
      </c>
      <c r="T8" s="21">
        <v>0.85972222222222228</v>
      </c>
      <c r="U8" s="88">
        <f t="shared" si="10"/>
        <v>5.9999999999999787</v>
      </c>
      <c r="V8" s="30">
        <f t="shared" si="7"/>
        <v>66.000000000000085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-87.272727272729753</v>
      </c>
      <c r="AF8" s="91">
        <f t="shared" si="9"/>
        <v>0.95636363636363508</v>
      </c>
      <c r="AG8" s="177"/>
    </row>
    <row r="9" spans="1:33">
      <c r="A9" s="205" t="s">
        <v>1980</v>
      </c>
      <c r="B9" s="28" t="s">
        <v>1981</v>
      </c>
      <c r="C9" s="178"/>
      <c r="D9" s="178"/>
      <c r="E9" s="92"/>
      <c r="F9" s="12"/>
      <c r="G9" s="12"/>
      <c r="H9" s="88"/>
      <c r="I9" s="23">
        <v>16.75</v>
      </c>
      <c r="J9" s="13">
        <v>2000</v>
      </c>
      <c r="K9" s="12">
        <f t="shared" si="1"/>
        <v>119.40298507462687</v>
      </c>
      <c r="L9" s="23">
        <v>16.75</v>
      </c>
      <c r="M9" s="13">
        <f>AVERAGE(M5:M8)</f>
        <v>1927.235525735525</v>
      </c>
      <c r="N9" s="12">
        <f t="shared" si="3"/>
        <v>115.05883735734477</v>
      </c>
      <c r="O9" s="14">
        <f t="shared" si="4"/>
        <v>0</v>
      </c>
      <c r="P9" s="15">
        <f t="shared" si="5"/>
        <v>-4.3441477172820981</v>
      </c>
      <c r="Q9" s="91">
        <f t="shared" si="6"/>
        <v>0.96361776286776246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v>4</v>
      </c>
      <c r="AD9" s="24">
        <f>SUM(AD5:AD8)</f>
        <v>0</v>
      </c>
      <c r="AE9" s="14">
        <f t="shared" si="8"/>
        <v>-72.764474264474984</v>
      </c>
      <c r="AF9" s="91">
        <f t="shared" si="9"/>
        <v>0.96361776286776246</v>
      </c>
      <c r="AG9" s="177"/>
    </row>
    <row r="10" spans="1:33" ht="15.75" customHeight="1">
      <c r="A10" s="199" t="s">
        <v>1982</v>
      </c>
      <c r="B10" s="28" t="s">
        <v>9</v>
      </c>
      <c r="C10" s="200" t="s">
        <v>10</v>
      </c>
      <c r="D10" s="201"/>
      <c r="E10" s="28">
        <v>39.619999999999997</v>
      </c>
      <c r="F10" s="88">
        <v>4100</v>
      </c>
      <c r="G10" s="88">
        <f t="shared" ref="G10:G13" si="11">E10*F10</f>
        <v>162442</v>
      </c>
      <c r="H10" s="30">
        <v>2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3" si="12">F10/V10*60</f>
        <v>1430.2325581395353</v>
      </c>
      <c r="N10" s="12">
        <f t="shared" si="3"/>
        <v>75.275397796817643</v>
      </c>
      <c r="O10" s="14">
        <f t="shared" si="4"/>
        <v>0</v>
      </c>
      <c r="P10" s="15">
        <f t="shared" si="5"/>
        <v>-3.6719706242349872</v>
      </c>
      <c r="Q10" s="91">
        <f t="shared" si="6"/>
        <v>0.95348837209302351</v>
      </c>
      <c r="R10" s="177">
        <f>Q14</f>
        <v>0.95770758942237721</v>
      </c>
      <c r="S10" s="21">
        <v>0.20833333333333334</v>
      </c>
      <c r="T10" s="21">
        <v>0.32777777777777778</v>
      </c>
      <c r="U10" s="88"/>
      <c r="V10" s="30">
        <f t="shared" ref="V10:V13" si="13">(T10-S10)*24*60</f>
        <v>171.99999999999997</v>
      </c>
      <c r="W10" s="16"/>
      <c r="X10" s="16"/>
      <c r="Y10" s="16"/>
      <c r="Z10" s="16"/>
      <c r="AA10" s="168"/>
      <c r="AB10" s="168"/>
      <c r="AC10" s="18">
        <v>4</v>
      </c>
      <c r="AD10" s="18"/>
      <c r="AE10" s="14">
        <f t="shared" si="8"/>
        <v>-69.767441860464714</v>
      </c>
      <c r="AF10" s="91">
        <f t="shared" si="9"/>
        <v>0.95348837209302351</v>
      </c>
      <c r="AG10" s="177">
        <f>AF14</f>
        <v>0.95770758942237721</v>
      </c>
    </row>
    <row r="11" spans="1:33" ht="15.75" customHeight="1">
      <c r="A11" s="199" t="s">
        <v>1982</v>
      </c>
      <c r="B11" s="28" t="s">
        <v>9</v>
      </c>
      <c r="C11" s="200" t="s">
        <v>11</v>
      </c>
      <c r="D11" s="201"/>
      <c r="E11" s="28">
        <v>39.799999999999997</v>
      </c>
      <c r="F11" s="88">
        <v>4900</v>
      </c>
      <c r="G11" s="88">
        <f t="shared" si="11"/>
        <v>195020</v>
      </c>
      <c r="H11" s="30">
        <v>2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1434.1463414634147</v>
      </c>
      <c r="N11" s="12">
        <f t="shared" si="3"/>
        <v>84.361549497847932</v>
      </c>
      <c r="O11" s="14">
        <f t="shared" si="4"/>
        <v>0</v>
      </c>
      <c r="P11" s="15">
        <f t="shared" si="5"/>
        <v>-3.8737446197991261</v>
      </c>
      <c r="Q11" s="91">
        <f t="shared" si="6"/>
        <v>0.95609756097560994</v>
      </c>
      <c r="R11" s="177"/>
      <c r="S11" s="21">
        <v>0.33124999999999999</v>
      </c>
      <c r="T11" s="21">
        <v>0.47361111111111109</v>
      </c>
      <c r="U11" s="88">
        <f t="shared" ref="U11:U13" si="14">IF(S11=TIME(17,0,0),"",(S11-T10)*24*60)</f>
        <v>4.9999999999999822</v>
      </c>
      <c r="V11" s="30">
        <f t="shared" si="13"/>
        <v>205</v>
      </c>
      <c r="W11" s="16">
        <f>T11</f>
        <v>0.47361111111111109</v>
      </c>
      <c r="X11" s="16">
        <f>S12</f>
        <v>0.51458333333333328</v>
      </c>
      <c r="Y11" s="16"/>
      <c r="Z11" s="16"/>
      <c r="AA11" s="168"/>
      <c r="AB11" s="168"/>
      <c r="AC11" s="18"/>
      <c r="AD11" s="18"/>
      <c r="AE11" s="14">
        <f t="shared" si="8"/>
        <v>-65.853658536585272</v>
      </c>
      <c r="AF11" s="91">
        <f t="shared" si="9"/>
        <v>0.95609756097560983</v>
      </c>
      <c r="AG11" s="177"/>
    </row>
    <row r="12" spans="1:33" ht="15.75" customHeight="1">
      <c r="A12" s="199" t="s">
        <v>1983</v>
      </c>
      <c r="B12" s="28" t="s">
        <v>9</v>
      </c>
      <c r="C12" s="200" t="s">
        <v>11</v>
      </c>
      <c r="D12" s="201"/>
      <c r="E12" s="28">
        <v>39.799999999999997</v>
      </c>
      <c r="F12" s="88">
        <v>3645</v>
      </c>
      <c r="G12" s="88">
        <f t="shared" si="11"/>
        <v>145071</v>
      </c>
      <c r="H12" s="30" t="s">
        <v>53</v>
      </c>
      <c r="I12" s="95">
        <v>17</v>
      </c>
      <c r="J12" s="13">
        <v>1500</v>
      </c>
      <c r="K12" s="12">
        <f t="shared" si="1"/>
        <v>88.235294117647058</v>
      </c>
      <c r="L12" s="95">
        <v>17</v>
      </c>
      <c r="M12" s="13">
        <f t="shared" si="12"/>
        <v>1438.8157894736848</v>
      </c>
      <c r="N12" s="12">
        <f t="shared" si="3"/>
        <v>84.636222910216759</v>
      </c>
      <c r="O12" s="14">
        <f t="shared" si="4"/>
        <v>0</v>
      </c>
      <c r="P12" s="15">
        <f t="shared" si="5"/>
        <v>-3.5990712074302991</v>
      </c>
      <c r="Q12" s="91">
        <f t="shared" si="6"/>
        <v>0.95921052631578996</v>
      </c>
      <c r="R12" s="177"/>
      <c r="S12" s="21">
        <v>0.51458333333333328</v>
      </c>
      <c r="T12" s="21">
        <v>0.6201388888888888</v>
      </c>
      <c r="U12" s="88">
        <f t="shared" si="14"/>
        <v>58.99999999999995</v>
      </c>
      <c r="V12" s="30">
        <f t="shared" si="13"/>
        <v>151.99999999999994</v>
      </c>
      <c r="W12" s="16"/>
      <c r="X12" s="16"/>
      <c r="Y12" s="16"/>
      <c r="Z12" s="16"/>
      <c r="AA12" s="168"/>
      <c r="AB12" s="168"/>
      <c r="AC12" s="18"/>
      <c r="AD12" s="18"/>
      <c r="AE12" s="14">
        <f t="shared" si="8"/>
        <v>-61.184210526315155</v>
      </c>
      <c r="AF12" s="91">
        <f t="shared" si="9"/>
        <v>0.95921052631578985</v>
      </c>
      <c r="AG12" s="177"/>
    </row>
    <row r="13" spans="1:33" ht="15.75" customHeight="1">
      <c r="A13" s="199" t="s">
        <v>1983</v>
      </c>
      <c r="B13" s="28" t="s">
        <v>9</v>
      </c>
      <c r="C13" s="200" t="s">
        <v>10</v>
      </c>
      <c r="D13" s="201"/>
      <c r="E13" s="28">
        <v>39.619999999999997</v>
      </c>
      <c r="F13" s="88">
        <v>1419</v>
      </c>
      <c r="G13" s="88">
        <f t="shared" si="11"/>
        <v>56220.78</v>
      </c>
      <c r="H13" s="30" t="s">
        <v>53</v>
      </c>
      <c r="I13" s="95">
        <v>19</v>
      </c>
      <c r="J13" s="13">
        <v>1500</v>
      </c>
      <c r="K13" s="12">
        <f t="shared" si="1"/>
        <v>78.94736842105263</v>
      </c>
      <c r="L13" s="95">
        <v>19</v>
      </c>
      <c r="M13" s="13">
        <f t="shared" si="12"/>
        <v>1443.0508474576284</v>
      </c>
      <c r="N13" s="12">
        <f t="shared" si="3"/>
        <v>75.950044603033078</v>
      </c>
      <c r="O13" s="14">
        <f t="shared" si="4"/>
        <v>0</v>
      </c>
      <c r="P13" s="15">
        <f t="shared" si="5"/>
        <v>-2.9973238180195523</v>
      </c>
      <c r="Q13" s="91">
        <f t="shared" si="6"/>
        <v>0.96203389830508568</v>
      </c>
      <c r="R13" s="177"/>
      <c r="S13" s="21">
        <v>0.62361111111111101</v>
      </c>
      <c r="T13" s="21">
        <v>0.66458333333333319</v>
      </c>
      <c r="U13" s="88">
        <f t="shared" si="14"/>
        <v>4.9999999999999822</v>
      </c>
      <c r="V13" s="30">
        <f t="shared" si="13"/>
        <v>58.99999999999995</v>
      </c>
      <c r="W13" s="16"/>
      <c r="X13" s="16"/>
      <c r="Y13" s="16"/>
      <c r="Z13" s="16"/>
      <c r="AA13" s="172"/>
      <c r="AB13" s="173"/>
      <c r="AC13" s="18"/>
      <c r="AD13" s="18"/>
      <c r="AE13" s="14">
        <f t="shared" si="8"/>
        <v>-56.949152542371621</v>
      </c>
      <c r="AF13" s="91">
        <f t="shared" si="9"/>
        <v>0.96203389830508557</v>
      </c>
      <c r="AG13" s="177"/>
    </row>
    <row r="14" spans="1:33" ht="16.5" customHeight="1">
      <c r="A14" s="199" t="s">
        <v>1983</v>
      </c>
      <c r="B14" s="28" t="s">
        <v>1984</v>
      </c>
      <c r="C14" s="178"/>
      <c r="D14" s="178"/>
      <c r="E14" s="92"/>
      <c r="F14" s="13"/>
      <c r="G14" s="13"/>
      <c r="H14" s="88"/>
      <c r="I14" s="23">
        <v>18</v>
      </c>
      <c r="J14" s="13">
        <v>1500</v>
      </c>
      <c r="K14" s="12">
        <f t="shared" si="1"/>
        <v>83.333333333333329</v>
      </c>
      <c r="L14" s="23">
        <v>18</v>
      </c>
      <c r="M14" s="13">
        <f>AVERAGE(M10:M13)</f>
        <v>1436.5613841335658</v>
      </c>
      <c r="N14" s="12">
        <f t="shared" si="3"/>
        <v>79.808965785198097</v>
      </c>
      <c r="O14" s="14">
        <f t="shared" si="4"/>
        <v>0</v>
      </c>
      <c r="P14" s="15">
        <f t="shared" si="5"/>
        <v>-3.5243675481352312</v>
      </c>
      <c r="Q14" s="91">
        <f t="shared" si="6"/>
        <v>0.95770758942237721</v>
      </c>
      <c r="R14" s="177"/>
      <c r="S14" s="21"/>
      <c r="T14" s="21"/>
      <c r="U14" s="12"/>
      <c r="V14" s="30"/>
      <c r="W14" s="12"/>
      <c r="X14" s="12"/>
      <c r="Y14" s="24">
        <f>SUM(Y10:Y13)</f>
        <v>0</v>
      </c>
      <c r="Z14" s="24">
        <f>SUM(Z10:Z13)</f>
        <v>0</v>
      </c>
      <c r="AA14" s="167"/>
      <c r="AB14" s="167"/>
      <c r="AC14" s="24">
        <v>4</v>
      </c>
      <c r="AD14" s="24">
        <f>SUM(AD10:AD13)</f>
        <v>0</v>
      </c>
      <c r="AE14" s="14">
        <f t="shared" si="8"/>
        <v>-63.438615866434247</v>
      </c>
      <c r="AF14" s="91">
        <f t="shared" si="9"/>
        <v>0.95770758942237721</v>
      </c>
      <c r="AG14" s="177"/>
    </row>
    <row r="15" spans="1:33" ht="16.5" customHeight="1">
      <c r="A15" s="197" t="s">
        <v>1985</v>
      </c>
      <c r="B15" s="88" t="s">
        <v>12</v>
      </c>
      <c r="C15" s="193" t="s">
        <v>13</v>
      </c>
      <c r="D15" s="193"/>
      <c r="E15" s="28">
        <v>41</v>
      </c>
      <c r="F15" s="88">
        <v>2267</v>
      </c>
      <c r="G15" s="88">
        <f t="shared" ref="G15:G18" si="15">E15*F15</f>
        <v>92947</v>
      </c>
      <c r="H15" s="30" t="s">
        <v>53</v>
      </c>
      <c r="I15" s="95">
        <v>26</v>
      </c>
      <c r="J15" s="13">
        <v>1500</v>
      </c>
      <c r="K15" s="12">
        <f t="shared" si="1"/>
        <v>57.692307692307693</v>
      </c>
      <c r="L15" s="95">
        <v>26</v>
      </c>
      <c r="M15" s="13">
        <f t="shared" ref="M15:M18" si="16">F15/V15*60</f>
        <v>1431.78947368421</v>
      </c>
      <c r="N15" s="12">
        <f t="shared" si="3"/>
        <v>55.068825910931153</v>
      </c>
      <c r="O15" s="14">
        <f t="shared" si="4"/>
        <v>0</v>
      </c>
      <c r="P15" s="15">
        <f t="shared" si="5"/>
        <v>-2.6234817813765403</v>
      </c>
      <c r="Q15" s="91">
        <f t="shared" si="6"/>
        <v>0.95452631578947333</v>
      </c>
      <c r="R15" s="177">
        <f>Q19</f>
        <v>0.96072694660379754</v>
      </c>
      <c r="S15" s="21">
        <v>0.20833333333333334</v>
      </c>
      <c r="T15" s="21">
        <v>0.27430555555555558</v>
      </c>
      <c r="U15" s="88"/>
      <c r="V15" s="30">
        <f t="shared" ref="V15:V18" si="17">(T15-S15)*24*60</f>
        <v>95.000000000000028</v>
      </c>
      <c r="W15" s="21"/>
      <c r="X15" s="21"/>
      <c r="Y15" s="21"/>
      <c r="Z15" s="21"/>
      <c r="AA15" s="168"/>
      <c r="AB15" s="168"/>
      <c r="AC15" s="18">
        <v>4</v>
      </c>
      <c r="AD15" s="18"/>
      <c r="AE15" s="14">
        <f t="shared" si="8"/>
        <v>-68.210526315790048</v>
      </c>
      <c r="AF15" s="91">
        <f t="shared" si="9"/>
        <v>0.95452631578947333</v>
      </c>
      <c r="AG15" s="177">
        <f>AF19</f>
        <v>0.96072694660379754</v>
      </c>
    </row>
    <row r="16" spans="1:33" ht="16.5" customHeight="1">
      <c r="A16" s="198" t="s">
        <v>1985</v>
      </c>
      <c r="B16" s="88" t="s">
        <v>5</v>
      </c>
      <c r="C16" s="193" t="s">
        <v>20</v>
      </c>
      <c r="D16" s="193"/>
      <c r="E16" s="28">
        <v>53.68</v>
      </c>
      <c r="F16" s="88">
        <v>1413</v>
      </c>
      <c r="G16" s="88">
        <f t="shared" si="15"/>
        <v>75849.84</v>
      </c>
      <c r="H16" s="30" t="s">
        <v>53</v>
      </c>
      <c r="I16" s="95">
        <v>16</v>
      </c>
      <c r="J16" s="13">
        <v>1500</v>
      </c>
      <c r="K16" s="12">
        <f t="shared" si="1"/>
        <v>93.75</v>
      </c>
      <c r="L16" s="95">
        <v>16</v>
      </c>
      <c r="M16" s="13">
        <f t="shared" si="16"/>
        <v>1436.9491525423741</v>
      </c>
      <c r="N16" s="12">
        <f t="shared" si="3"/>
        <v>89.809322033898383</v>
      </c>
      <c r="O16" s="14">
        <f t="shared" si="4"/>
        <v>0</v>
      </c>
      <c r="P16" s="15">
        <f t="shared" si="5"/>
        <v>-3.9406779661016174</v>
      </c>
      <c r="Q16" s="91">
        <f t="shared" si="6"/>
        <v>0.95796610169491603</v>
      </c>
      <c r="R16" s="177"/>
      <c r="S16" s="21">
        <v>0.70833333333333337</v>
      </c>
      <c r="T16" s="21">
        <v>0.74930555555555556</v>
      </c>
      <c r="U16" s="88" t="str">
        <f t="shared" ref="U16:U18" si="18">IF(S16=TIME(17,0,0),"",(S16-T15)*24*60)</f>
        <v/>
      </c>
      <c r="V16" s="30">
        <f t="shared" si="17"/>
        <v>58.99999999999995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-63.050847457625878</v>
      </c>
      <c r="AF16" s="91">
        <f t="shared" si="9"/>
        <v>0.95796610169491603</v>
      </c>
      <c r="AG16" s="177"/>
    </row>
    <row r="17" spans="1:33" ht="16.5" customHeight="1">
      <c r="A17" s="198" t="s">
        <v>1985</v>
      </c>
      <c r="B17" s="88" t="s">
        <v>5</v>
      </c>
      <c r="C17" s="193" t="s">
        <v>15</v>
      </c>
      <c r="D17" s="193"/>
      <c r="E17" s="28">
        <v>50.92</v>
      </c>
      <c r="F17" s="88">
        <v>2397</v>
      </c>
      <c r="G17" s="88">
        <f t="shared" si="15"/>
        <v>122055.24</v>
      </c>
      <c r="H17" s="30" t="s">
        <v>53</v>
      </c>
      <c r="I17" s="95">
        <v>15</v>
      </c>
      <c r="J17" s="13">
        <v>2000</v>
      </c>
      <c r="K17" s="12">
        <f t="shared" si="1"/>
        <v>133.33333333333334</v>
      </c>
      <c r="L17" s="95">
        <v>15</v>
      </c>
      <c r="M17" s="13">
        <f t="shared" si="16"/>
        <v>1917.5999999999985</v>
      </c>
      <c r="N17" s="12">
        <f t="shared" si="3"/>
        <v>127.8399999999999</v>
      </c>
      <c r="O17" s="14">
        <f t="shared" si="4"/>
        <v>0</v>
      </c>
      <c r="P17" s="15">
        <f t="shared" si="5"/>
        <v>-5.4933333333334389</v>
      </c>
      <c r="Q17" s="91">
        <f t="shared" si="6"/>
        <v>0.95879999999999921</v>
      </c>
      <c r="R17" s="177"/>
      <c r="S17" s="21">
        <v>0.75277777777777777</v>
      </c>
      <c r="T17" s="21">
        <v>0.80486111111111114</v>
      </c>
      <c r="U17" s="88">
        <f t="shared" si="18"/>
        <v>4.9999999999999822</v>
      </c>
      <c r="V17" s="30">
        <f t="shared" si="17"/>
        <v>75.000000000000057</v>
      </c>
      <c r="W17" s="16"/>
      <c r="X17" s="16"/>
      <c r="Y17" s="16"/>
      <c r="Z17" s="16"/>
      <c r="AA17" s="168"/>
      <c r="AB17" s="168"/>
      <c r="AC17" s="18"/>
      <c r="AD17" s="18"/>
      <c r="AE17" s="14">
        <f t="shared" si="8"/>
        <v>-82.400000000001455</v>
      </c>
      <c r="AF17" s="91">
        <f t="shared" si="9"/>
        <v>0.95879999999999932</v>
      </c>
      <c r="AG17" s="177"/>
    </row>
    <row r="18" spans="1:33" ht="16.5" customHeight="1">
      <c r="A18" s="198" t="s">
        <v>1986</v>
      </c>
      <c r="B18" s="88" t="s">
        <v>5</v>
      </c>
      <c r="C18" s="193" t="s">
        <v>21</v>
      </c>
      <c r="D18" s="193"/>
      <c r="E18" s="28">
        <v>57.3</v>
      </c>
      <c r="F18" s="88">
        <v>1551</v>
      </c>
      <c r="G18" s="88">
        <f t="shared" si="15"/>
        <v>88872.299999999988</v>
      </c>
      <c r="H18" s="30" t="s">
        <v>53</v>
      </c>
      <c r="I18" s="95">
        <v>13</v>
      </c>
      <c r="J18" s="13">
        <v>2000</v>
      </c>
      <c r="K18" s="12">
        <f t="shared" si="1"/>
        <v>153.84615384615384</v>
      </c>
      <c r="L18" s="95">
        <v>13</v>
      </c>
      <c r="M18" s="13">
        <f t="shared" si="16"/>
        <v>1938.7500000000005</v>
      </c>
      <c r="N18" s="12">
        <f t="shared" si="3"/>
        <v>149.13461538461542</v>
      </c>
      <c r="O18" s="14">
        <f t="shared" si="4"/>
        <v>0</v>
      </c>
      <c r="P18" s="15">
        <f t="shared" si="5"/>
        <v>-4.7115384615384244</v>
      </c>
      <c r="Q18" s="91">
        <f t="shared" si="6"/>
        <v>0.96937500000000021</v>
      </c>
      <c r="R18" s="177"/>
      <c r="S18" s="21">
        <v>0.80972222222222223</v>
      </c>
      <c r="T18" s="21">
        <v>0.84305555555555556</v>
      </c>
      <c r="U18" s="88">
        <f t="shared" si="18"/>
        <v>6.9999999999999751</v>
      </c>
      <c r="V18" s="30">
        <f t="shared" si="17"/>
        <v>47.999999999999986</v>
      </c>
      <c r="W18" s="16"/>
      <c r="X18" s="16"/>
      <c r="Y18" s="16"/>
      <c r="Z18" s="16"/>
      <c r="AA18" s="168"/>
      <c r="AB18" s="168"/>
      <c r="AC18" s="18"/>
      <c r="AD18" s="18"/>
      <c r="AE18" s="14">
        <f t="shared" si="8"/>
        <v>-61.249999999999545</v>
      </c>
      <c r="AF18" s="91">
        <f t="shared" si="9"/>
        <v>0.96937500000000021</v>
      </c>
      <c r="AG18" s="177"/>
    </row>
    <row r="19" spans="1:33" ht="16.5" customHeight="1">
      <c r="A19" s="198" t="s">
        <v>1986</v>
      </c>
      <c r="B19" s="28" t="s">
        <v>1987</v>
      </c>
      <c r="C19" s="178"/>
      <c r="D19" s="178"/>
      <c r="E19" s="92"/>
      <c r="F19" s="12"/>
      <c r="G19" s="12"/>
      <c r="H19" s="88"/>
      <c r="I19" s="23">
        <v>17.5</v>
      </c>
      <c r="J19" s="13">
        <v>1750</v>
      </c>
      <c r="K19" s="12">
        <f t="shared" si="1"/>
        <v>100</v>
      </c>
      <c r="L19" s="23">
        <v>17.5</v>
      </c>
      <c r="M19" s="13">
        <f>AVERAGE(M15:M18)</f>
        <v>1681.2721565566458</v>
      </c>
      <c r="N19" s="12">
        <f t="shared" si="3"/>
        <v>96.072694660379753</v>
      </c>
      <c r="O19" s="14">
        <f t="shared" si="4"/>
        <v>0</v>
      </c>
      <c r="P19" s="15">
        <f t="shared" si="5"/>
        <v>-3.9273053396202471</v>
      </c>
      <c r="Q19" s="91">
        <f t="shared" si="6"/>
        <v>0.96072694660379754</v>
      </c>
      <c r="R19" s="177"/>
      <c r="S19" s="21"/>
      <c r="T19" s="21"/>
      <c r="U19" s="88"/>
      <c r="V19" s="30"/>
      <c r="W19" s="12"/>
      <c r="X19" s="12"/>
      <c r="Y19" s="24">
        <f>SUM(Y15:Y18)</f>
        <v>0</v>
      </c>
      <c r="Z19" s="24">
        <f>SUM(Z15:Z18)</f>
        <v>0</v>
      </c>
      <c r="AA19" s="167"/>
      <c r="AB19" s="167"/>
      <c r="AC19" s="24">
        <v>4</v>
      </c>
      <c r="AD19" s="24">
        <f>SUM(AD15:AD18)</f>
        <v>0</v>
      </c>
      <c r="AE19" s="14">
        <f t="shared" si="8"/>
        <v>-68.727843443354232</v>
      </c>
      <c r="AF19" s="91">
        <f t="shared" si="9"/>
        <v>0.96072694660379754</v>
      </c>
      <c r="AG19" s="177"/>
    </row>
    <row r="20" spans="1:33" ht="15.75" customHeight="1">
      <c r="A20" s="195" t="s">
        <v>1988</v>
      </c>
      <c r="B20" s="28" t="s">
        <v>5</v>
      </c>
      <c r="C20" s="193" t="s">
        <v>17</v>
      </c>
      <c r="D20" s="193"/>
      <c r="E20" s="28">
        <v>57.73</v>
      </c>
      <c r="F20" s="88">
        <v>2636</v>
      </c>
      <c r="G20" s="88">
        <f t="shared" ref="G20:G25" si="19">E20*F20</f>
        <v>152176.28</v>
      </c>
      <c r="H20" s="30" t="s">
        <v>53</v>
      </c>
      <c r="I20" s="95">
        <v>14</v>
      </c>
      <c r="J20" s="13">
        <v>2000</v>
      </c>
      <c r="K20" s="12">
        <f t="shared" si="1"/>
        <v>142.85714285714286</v>
      </c>
      <c r="L20" s="95">
        <v>14</v>
      </c>
      <c r="M20" s="13">
        <f t="shared" ref="M20:M25" si="20">F20/V20*60</f>
        <v>1905.5421686746981</v>
      </c>
      <c r="N20" s="12">
        <f t="shared" si="3"/>
        <v>136.11015490533558</v>
      </c>
      <c r="O20" s="14">
        <f t="shared" si="4"/>
        <v>0</v>
      </c>
      <c r="P20" s="15">
        <f t="shared" si="5"/>
        <v>-6.7469879518072844</v>
      </c>
      <c r="Q20" s="91">
        <f t="shared" si="6"/>
        <v>0.95277108433734903</v>
      </c>
      <c r="R20" s="177">
        <f>Q26</f>
        <v>0.95906574165271008</v>
      </c>
      <c r="S20" s="21">
        <v>0.29166666666666669</v>
      </c>
      <c r="T20" s="21">
        <v>0.34930555555555559</v>
      </c>
      <c r="U20" s="88"/>
      <c r="V20" s="30">
        <f t="shared" ref="V20:V25" si="21">(T20-S20)*24*60</f>
        <v>83.000000000000028</v>
      </c>
      <c r="W20" s="21"/>
      <c r="X20" s="21"/>
      <c r="Y20" s="21"/>
      <c r="Z20" s="21"/>
      <c r="AA20" s="168"/>
      <c r="AB20" s="168"/>
      <c r="AC20" s="18">
        <v>6</v>
      </c>
      <c r="AD20" s="18"/>
      <c r="AE20" s="14">
        <f t="shared" si="8"/>
        <v>-94.457831325301868</v>
      </c>
      <c r="AF20" s="91">
        <f t="shared" si="9"/>
        <v>0.95277108433734903</v>
      </c>
      <c r="AG20" s="177">
        <f>AF26</f>
        <v>0.95906574165271008</v>
      </c>
    </row>
    <row r="21" spans="1:33" ht="15.75" customHeight="1">
      <c r="A21" s="196" t="s">
        <v>1989</v>
      </c>
      <c r="B21" s="28" t="s">
        <v>5</v>
      </c>
      <c r="C21" s="193" t="s">
        <v>18</v>
      </c>
      <c r="D21" s="193"/>
      <c r="E21" s="28">
        <v>53.68</v>
      </c>
      <c r="F21" s="88">
        <v>1438</v>
      </c>
      <c r="G21" s="88">
        <f t="shared" si="19"/>
        <v>77191.839999999997</v>
      </c>
      <c r="H21" s="30" t="s">
        <v>53</v>
      </c>
      <c r="I21" s="95">
        <v>16</v>
      </c>
      <c r="J21" s="13">
        <v>2000</v>
      </c>
      <c r="K21" s="12">
        <f t="shared" si="1"/>
        <v>125</v>
      </c>
      <c r="L21" s="95">
        <v>16</v>
      </c>
      <c r="M21" s="13">
        <f t="shared" si="20"/>
        <v>1917.3333333333333</v>
      </c>
      <c r="N21" s="12">
        <f t="shared" si="3"/>
        <v>119.83333333333333</v>
      </c>
      <c r="O21" s="14">
        <f t="shared" si="4"/>
        <v>0</v>
      </c>
      <c r="P21" s="15">
        <f t="shared" si="5"/>
        <v>-5.1666666666666714</v>
      </c>
      <c r="Q21" s="91">
        <f t="shared" si="6"/>
        <v>0.95866666666666667</v>
      </c>
      <c r="R21" s="177"/>
      <c r="S21" s="21">
        <v>0.35347222222222224</v>
      </c>
      <c r="T21" s="21">
        <v>0.38472222222222224</v>
      </c>
      <c r="U21" s="88">
        <f t="shared" ref="U21:U25" si="22">IF(S21=TIME(17,0,0),"",(S21-T20)*24*60)</f>
        <v>5.9999999999999787</v>
      </c>
      <c r="V21" s="30">
        <f t="shared" si="21"/>
        <v>45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8"/>
        <v>-82.666666666666742</v>
      </c>
      <c r="AF21" s="91">
        <f t="shared" si="9"/>
        <v>0.95866666666666667</v>
      </c>
      <c r="AG21" s="177"/>
    </row>
    <row r="22" spans="1:33" ht="15.75" customHeight="1">
      <c r="A22" s="196" t="s">
        <v>266</v>
      </c>
      <c r="B22" s="28" t="s">
        <v>5</v>
      </c>
      <c r="C22" s="193" t="s">
        <v>73</v>
      </c>
      <c r="D22" s="193"/>
      <c r="E22" s="28">
        <v>50.67</v>
      </c>
      <c r="F22" s="88">
        <v>2840</v>
      </c>
      <c r="G22" s="88">
        <f t="shared" si="19"/>
        <v>143902.80000000002</v>
      </c>
      <c r="H22" s="30" t="s">
        <v>53</v>
      </c>
      <c r="I22" s="95">
        <v>17</v>
      </c>
      <c r="J22" s="13">
        <v>2000</v>
      </c>
      <c r="K22" s="12">
        <f t="shared" si="1"/>
        <v>117.64705882352941</v>
      </c>
      <c r="L22" s="95">
        <v>17</v>
      </c>
      <c r="M22" s="13">
        <f t="shared" si="20"/>
        <v>1914.6067415730338</v>
      </c>
      <c r="N22" s="12">
        <f t="shared" si="3"/>
        <v>112.62392597488434</v>
      </c>
      <c r="O22" s="14">
        <f t="shared" si="4"/>
        <v>0</v>
      </c>
      <c r="P22" s="15">
        <f t="shared" si="5"/>
        <v>-5.0231328486450622</v>
      </c>
      <c r="Q22" s="91">
        <f t="shared" si="6"/>
        <v>0.95730337078651695</v>
      </c>
      <c r="R22" s="177"/>
      <c r="S22" s="21">
        <v>0.38958333333333334</v>
      </c>
      <c r="T22" s="21">
        <v>0.4513888888888889</v>
      </c>
      <c r="U22" s="88">
        <f t="shared" si="22"/>
        <v>6.9999999999999751</v>
      </c>
      <c r="V22" s="30">
        <f t="shared" si="21"/>
        <v>89</v>
      </c>
      <c r="W22" s="16"/>
      <c r="X22" s="88"/>
      <c r="Y22" s="88"/>
      <c r="Z22" s="88"/>
      <c r="AA22" s="168"/>
      <c r="AB22" s="168"/>
      <c r="AC22" s="18"/>
      <c r="AD22" s="18"/>
      <c r="AE22" s="14">
        <f t="shared" si="8"/>
        <v>-85.393258426966213</v>
      </c>
      <c r="AF22" s="91">
        <f t="shared" si="9"/>
        <v>0.95730337078651684</v>
      </c>
      <c r="AG22" s="177"/>
    </row>
    <row r="23" spans="1:33" ht="15.75" customHeight="1">
      <c r="A23" s="196" t="s">
        <v>1990</v>
      </c>
      <c r="B23" s="28" t="s">
        <v>5</v>
      </c>
      <c r="C23" s="193" t="s">
        <v>19</v>
      </c>
      <c r="D23" s="193"/>
      <c r="E23" s="28">
        <v>50.49</v>
      </c>
      <c r="F23" s="88">
        <v>2050</v>
      </c>
      <c r="G23" s="88">
        <f t="shared" si="19"/>
        <v>103504.5</v>
      </c>
      <c r="H23" s="30" t="s">
        <v>53</v>
      </c>
      <c r="I23" s="95">
        <v>15</v>
      </c>
      <c r="J23" s="13">
        <v>2000</v>
      </c>
      <c r="K23" s="12">
        <f t="shared" si="1"/>
        <v>133.33333333333334</v>
      </c>
      <c r="L23" s="95">
        <v>15</v>
      </c>
      <c r="M23" s="13">
        <f t="shared" si="20"/>
        <v>1921.875000000002</v>
      </c>
      <c r="N23" s="12">
        <f t="shared" si="3"/>
        <v>128.12500000000014</v>
      </c>
      <c r="O23" s="14">
        <f t="shared" si="4"/>
        <v>0</v>
      </c>
      <c r="P23" s="15">
        <f t="shared" si="5"/>
        <v>-5.2083333333332007</v>
      </c>
      <c r="Q23" s="91">
        <f t="shared" si="6"/>
        <v>0.960937500000001</v>
      </c>
      <c r="R23" s="177"/>
      <c r="S23" s="21">
        <v>0.70833333333333337</v>
      </c>
      <c r="T23" s="21">
        <v>0.75277777777777777</v>
      </c>
      <c r="U23" s="88" t="str">
        <f t="shared" si="22"/>
        <v/>
      </c>
      <c r="V23" s="30">
        <f t="shared" si="21"/>
        <v>63.999999999999929</v>
      </c>
      <c r="W23" s="16"/>
      <c r="X23" s="88"/>
      <c r="Y23" s="88"/>
      <c r="Z23" s="88"/>
      <c r="AA23" s="168"/>
      <c r="AB23" s="168"/>
      <c r="AC23" s="18"/>
      <c r="AD23" s="18"/>
      <c r="AE23" s="14">
        <f t="shared" si="8"/>
        <v>-78.124999999997954</v>
      </c>
      <c r="AF23" s="91">
        <f t="shared" si="9"/>
        <v>0.960937500000001</v>
      </c>
      <c r="AG23" s="177"/>
    </row>
    <row r="24" spans="1:33" ht="15.75" customHeight="1">
      <c r="A24" s="196" t="s">
        <v>1988</v>
      </c>
      <c r="B24" s="28" t="s">
        <v>5</v>
      </c>
      <c r="C24" s="193" t="s">
        <v>42</v>
      </c>
      <c r="D24" s="193"/>
      <c r="E24" s="28">
        <v>57.73</v>
      </c>
      <c r="F24" s="88">
        <v>945</v>
      </c>
      <c r="G24" s="88">
        <f t="shared" si="19"/>
        <v>54554.85</v>
      </c>
      <c r="H24" s="30" t="s">
        <v>53</v>
      </c>
      <c r="I24" s="95">
        <v>16</v>
      </c>
      <c r="J24" s="13">
        <v>1500</v>
      </c>
      <c r="K24" s="12">
        <f t="shared" si="1"/>
        <v>93.75</v>
      </c>
      <c r="L24" s="95">
        <v>16</v>
      </c>
      <c r="M24" s="13">
        <f t="shared" si="20"/>
        <v>1453.8461538461531</v>
      </c>
      <c r="N24" s="12">
        <f t="shared" si="3"/>
        <v>90.865384615384571</v>
      </c>
      <c r="O24" s="14">
        <f t="shared" si="4"/>
        <v>0</v>
      </c>
      <c r="P24" s="15">
        <f t="shared" si="5"/>
        <v>-2.8846153846154294</v>
      </c>
      <c r="Q24" s="91">
        <f t="shared" si="6"/>
        <v>0.96923076923076878</v>
      </c>
      <c r="R24" s="177"/>
      <c r="S24" s="21">
        <v>0.75694444444444442</v>
      </c>
      <c r="T24" s="21">
        <v>0.78402777777777777</v>
      </c>
      <c r="U24" s="88">
        <f t="shared" si="22"/>
        <v>5.9999999999999787</v>
      </c>
      <c r="V24" s="30">
        <f t="shared" si="21"/>
        <v>39.000000000000021</v>
      </c>
      <c r="W24" s="16"/>
      <c r="X24" s="16"/>
      <c r="Y24" s="88"/>
      <c r="Z24" s="88"/>
      <c r="AA24" s="168"/>
      <c r="AB24" s="168"/>
      <c r="AC24" s="18"/>
      <c r="AD24" s="18"/>
      <c r="AE24" s="14">
        <f t="shared" si="8"/>
        <v>-46.153846153846871</v>
      </c>
      <c r="AF24" s="91">
        <f t="shared" si="9"/>
        <v>0.96923076923076878</v>
      </c>
      <c r="AG24" s="177"/>
    </row>
    <row r="25" spans="1:33" ht="15.75" customHeight="1">
      <c r="A25" s="196" t="s">
        <v>266</v>
      </c>
      <c r="B25" s="28" t="s">
        <v>5</v>
      </c>
      <c r="C25" s="193" t="s">
        <v>14</v>
      </c>
      <c r="D25" s="193"/>
      <c r="E25" s="28">
        <v>50.98</v>
      </c>
      <c r="F25" s="88">
        <v>2427</v>
      </c>
      <c r="G25" s="88">
        <f t="shared" si="19"/>
        <v>123728.45999999999</v>
      </c>
      <c r="H25" s="30" t="s">
        <v>53</v>
      </c>
      <c r="I25" s="95">
        <v>16</v>
      </c>
      <c r="J25" s="13">
        <v>2000</v>
      </c>
      <c r="K25" s="12">
        <f t="shared" si="1"/>
        <v>125</v>
      </c>
      <c r="L25" s="95">
        <v>16</v>
      </c>
      <c r="M25" s="13">
        <f t="shared" si="20"/>
        <v>1916.0526315789459</v>
      </c>
      <c r="N25" s="12">
        <f t="shared" si="3"/>
        <v>119.75328947368412</v>
      </c>
      <c r="O25" s="14">
        <f t="shared" si="4"/>
        <v>0</v>
      </c>
      <c r="P25" s="15">
        <f t="shared" si="5"/>
        <v>-5.24671052631588</v>
      </c>
      <c r="Q25" s="91">
        <f t="shared" si="6"/>
        <v>0.95802631578947295</v>
      </c>
      <c r="R25" s="177"/>
      <c r="S25" s="21">
        <v>0.78888888888888886</v>
      </c>
      <c r="T25" s="21">
        <v>0.84166666666666667</v>
      </c>
      <c r="U25" s="88">
        <f t="shared" si="22"/>
        <v>6.9999999999999751</v>
      </c>
      <c r="V25" s="30">
        <f t="shared" si="21"/>
        <v>76.000000000000057</v>
      </c>
      <c r="W25" s="16"/>
      <c r="X25" s="21"/>
      <c r="Y25" s="21"/>
      <c r="Z25" s="21"/>
      <c r="AA25" s="168"/>
      <c r="AB25" s="168"/>
      <c r="AC25" s="18"/>
      <c r="AD25" s="18"/>
      <c r="AE25" s="14">
        <f t="shared" si="8"/>
        <v>-83.94736842105408</v>
      </c>
      <c r="AF25" s="91">
        <f t="shared" si="9"/>
        <v>0.95802631578947295</v>
      </c>
      <c r="AG25" s="177"/>
    </row>
    <row r="26" spans="1:33" ht="15.75" customHeight="1">
      <c r="A26" s="196" t="s">
        <v>1989</v>
      </c>
      <c r="B26" s="28" t="s">
        <v>1984</v>
      </c>
      <c r="C26" s="178"/>
      <c r="D26" s="178"/>
      <c r="E26" s="92"/>
      <c r="F26" s="88"/>
      <c r="G26" s="88"/>
      <c r="H26" s="88"/>
      <c r="I26" s="23">
        <v>15.666666666666666</v>
      </c>
      <c r="J26" s="13">
        <v>1916.6666666666667</v>
      </c>
      <c r="K26" s="12">
        <f t="shared" si="1"/>
        <v>122.3404255319149</v>
      </c>
      <c r="L26" s="23">
        <v>15.666666666666666</v>
      </c>
      <c r="M26" s="13">
        <f>AVERAGE(M20:M25)</f>
        <v>1838.2093381676943</v>
      </c>
      <c r="N26" s="12">
        <f t="shared" si="3"/>
        <v>117.33251094687411</v>
      </c>
      <c r="O26" s="14">
        <f t="shared" si="4"/>
        <v>0</v>
      </c>
      <c r="P26" s="15">
        <f t="shared" si="5"/>
        <v>-5.007914585040794</v>
      </c>
      <c r="Q26" s="91">
        <f t="shared" si="6"/>
        <v>0.95906574165271008</v>
      </c>
      <c r="R26" s="177"/>
      <c r="S26" s="21"/>
      <c r="T26" s="21"/>
      <c r="U26" s="12"/>
      <c r="V26" s="30"/>
      <c r="W26" s="12"/>
      <c r="X26" s="12"/>
      <c r="Y26" s="24">
        <f>SUM(Y20:Y25)</f>
        <v>0</v>
      </c>
      <c r="Z26" s="24">
        <f>SUM(Z20:Z25)</f>
        <v>0</v>
      </c>
      <c r="AA26" s="167"/>
      <c r="AB26" s="167"/>
      <c r="AC26" s="24">
        <v>6</v>
      </c>
      <c r="AD26" s="24">
        <f>SUM(AD20:AD25)</f>
        <v>0</v>
      </c>
      <c r="AE26" s="14">
        <f t="shared" si="8"/>
        <v>-78.457328498972402</v>
      </c>
      <c r="AF26" s="91">
        <f t="shared" si="9"/>
        <v>0.95906574165271008</v>
      </c>
      <c r="AG26" s="177"/>
    </row>
    <row r="27" spans="1:33" ht="15.75" customHeight="1">
      <c r="A27" s="194" t="s">
        <v>171</v>
      </c>
      <c r="B27" s="28" t="s">
        <v>22</v>
      </c>
      <c r="C27" s="193" t="s">
        <v>23</v>
      </c>
      <c r="D27" s="193"/>
      <c r="E27" s="28">
        <v>31.29</v>
      </c>
      <c r="F27" s="88">
        <v>8100</v>
      </c>
      <c r="G27" s="88">
        <f t="shared" ref="G27:G34" si="23">E27*F27</f>
        <v>253449</v>
      </c>
      <c r="H27" s="30">
        <v>2</v>
      </c>
      <c r="I27" s="95">
        <v>18</v>
      </c>
      <c r="J27" s="13">
        <v>2400</v>
      </c>
      <c r="K27" s="12">
        <f t="shared" si="1"/>
        <v>133.33333333333334</v>
      </c>
      <c r="L27" s="95">
        <v>18</v>
      </c>
      <c r="M27" s="13">
        <f t="shared" ref="M27:M34" si="24">F27/V27*60</f>
        <v>2292.4528301886789</v>
      </c>
      <c r="N27" s="12">
        <f t="shared" si="3"/>
        <v>127.35849056603772</v>
      </c>
      <c r="O27" s="14">
        <f t="shared" si="4"/>
        <v>0</v>
      </c>
      <c r="P27" s="15">
        <f t="shared" si="5"/>
        <v>-5.9748427672956268</v>
      </c>
      <c r="Q27" s="91">
        <f t="shared" si="6"/>
        <v>0.95518867924528283</v>
      </c>
      <c r="R27" s="177">
        <f>Q35</f>
        <v>0.95851785793695998</v>
      </c>
      <c r="S27" s="21">
        <v>8.3333333333333329E-2</v>
      </c>
      <c r="T27" s="21">
        <v>0.23055555555555557</v>
      </c>
      <c r="U27" s="88"/>
      <c r="V27" s="30">
        <f t="shared" ref="V27:V34" si="25">(T27-S27)*24*60</f>
        <v>212.00000000000006</v>
      </c>
      <c r="W27" s="16">
        <f>T27</f>
        <v>0.23055555555555557</v>
      </c>
      <c r="X27" s="16">
        <f>S28</f>
        <v>0.25</v>
      </c>
      <c r="Y27" s="16"/>
      <c r="Z27" s="16"/>
      <c r="AA27" s="168"/>
      <c r="AB27" s="168"/>
      <c r="AC27" s="18">
        <v>8</v>
      </c>
      <c r="AD27" s="18"/>
      <c r="AE27" s="14">
        <f t="shared" si="8"/>
        <v>-107.54716981132106</v>
      </c>
      <c r="AF27" s="91">
        <f t="shared" si="9"/>
        <v>0.95518867924528295</v>
      </c>
      <c r="AG27" s="177">
        <f>AF35</f>
        <v>0.95851785793696009</v>
      </c>
    </row>
    <row r="28" spans="1:33" ht="15.75" customHeight="1">
      <c r="A28" s="194" t="s">
        <v>1991</v>
      </c>
      <c r="B28" s="28" t="s">
        <v>22</v>
      </c>
      <c r="C28" s="193" t="s">
        <v>24</v>
      </c>
      <c r="D28" s="193"/>
      <c r="E28" s="28">
        <v>25.98</v>
      </c>
      <c r="F28" s="88">
        <v>3537</v>
      </c>
      <c r="G28" s="88">
        <f t="shared" si="23"/>
        <v>91891.26</v>
      </c>
      <c r="H28" s="30" t="s">
        <v>53</v>
      </c>
      <c r="I28" s="95">
        <v>21</v>
      </c>
      <c r="J28" s="13">
        <v>2400</v>
      </c>
      <c r="K28" s="12">
        <f t="shared" si="1"/>
        <v>114.28571428571429</v>
      </c>
      <c r="L28" s="95">
        <v>21</v>
      </c>
      <c r="M28" s="13">
        <f t="shared" si="24"/>
        <v>2306.739130434783</v>
      </c>
      <c r="N28" s="12">
        <f t="shared" si="3"/>
        <v>109.84472049689442</v>
      </c>
      <c r="O28" s="14">
        <f t="shared" si="4"/>
        <v>0</v>
      </c>
      <c r="P28" s="15">
        <f t="shared" si="5"/>
        <v>-4.4409937888198669</v>
      </c>
      <c r="Q28" s="91">
        <f t="shared" si="6"/>
        <v>0.96114130434782619</v>
      </c>
      <c r="R28" s="177"/>
      <c r="S28" s="21">
        <v>0.25</v>
      </c>
      <c r="T28" s="21">
        <v>0.31388888888888888</v>
      </c>
      <c r="U28" s="88">
        <f t="shared" ref="U28:U34" si="26">(S28-T27)*24*60</f>
        <v>27.999999999999979</v>
      </c>
      <c r="V28" s="30">
        <f t="shared" si="25"/>
        <v>92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-93.260869565217035</v>
      </c>
      <c r="AF28" s="91">
        <f t="shared" si="9"/>
        <v>0.96114130434782619</v>
      </c>
      <c r="AG28" s="177"/>
    </row>
    <row r="29" spans="1:33" ht="15.75" customHeight="1">
      <c r="A29" s="194" t="s">
        <v>1991</v>
      </c>
      <c r="B29" s="28" t="s">
        <v>22</v>
      </c>
      <c r="C29" s="193" t="s">
        <v>26</v>
      </c>
      <c r="D29" s="193"/>
      <c r="E29" s="28">
        <v>25.99</v>
      </c>
      <c r="F29" s="88">
        <v>4100</v>
      </c>
      <c r="G29" s="88">
        <f t="shared" si="23"/>
        <v>106559</v>
      </c>
      <c r="H29" s="30">
        <v>2</v>
      </c>
      <c r="I29" s="95">
        <v>14</v>
      </c>
      <c r="J29" s="13">
        <v>2400</v>
      </c>
      <c r="K29" s="12">
        <f t="shared" si="1"/>
        <v>171.42857142857142</v>
      </c>
      <c r="L29" s="95">
        <v>14</v>
      </c>
      <c r="M29" s="13">
        <f t="shared" si="24"/>
        <v>2299.0654205607475</v>
      </c>
      <c r="N29" s="12">
        <f t="shared" si="3"/>
        <v>164.21895861148195</v>
      </c>
      <c r="O29" s="14">
        <f t="shared" si="4"/>
        <v>0</v>
      </c>
      <c r="P29" s="15">
        <f t="shared" si="5"/>
        <v>-7.2096128170894644</v>
      </c>
      <c r="Q29" s="91">
        <f t="shared" si="6"/>
        <v>0.9579439252336448</v>
      </c>
      <c r="R29" s="177"/>
      <c r="S29" s="21">
        <v>0.31944444444444442</v>
      </c>
      <c r="T29" s="21">
        <v>0.39374999999999999</v>
      </c>
      <c r="U29" s="88">
        <f t="shared" si="26"/>
        <v>7.9999999999999716</v>
      </c>
      <c r="V29" s="30">
        <f t="shared" si="25"/>
        <v>107.00000000000001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8"/>
        <v>-100.9345794392525</v>
      </c>
      <c r="AF29" s="91">
        <f t="shared" si="9"/>
        <v>0.9579439252336448</v>
      </c>
      <c r="AG29" s="177"/>
    </row>
    <row r="30" spans="1:33" ht="15.75" customHeight="1">
      <c r="A30" s="194" t="s">
        <v>1991</v>
      </c>
      <c r="B30" s="28" t="s">
        <v>22</v>
      </c>
      <c r="C30" s="193" t="s">
        <v>27</v>
      </c>
      <c r="D30" s="193"/>
      <c r="E30" s="28">
        <v>26.18</v>
      </c>
      <c r="F30" s="88">
        <v>1764</v>
      </c>
      <c r="G30" s="88">
        <f t="shared" si="23"/>
        <v>46181.52</v>
      </c>
      <c r="H30" s="30" t="s">
        <v>53</v>
      </c>
      <c r="I30" s="95">
        <v>19</v>
      </c>
      <c r="J30" s="13">
        <v>2400</v>
      </c>
      <c r="K30" s="12">
        <f t="shared" si="1"/>
        <v>126.31578947368421</v>
      </c>
      <c r="L30" s="95">
        <v>19</v>
      </c>
      <c r="M30" s="13">
        <f t="shared" si="24"/>
        <v>2300.8695652173915</v>
      </c>
      <c r="N30" s="12">
        <f t="shared" si="3"/>
        <v>121.09839816933639</v>
      </c>
      <c r="O30" s="14">
        <f t="shared" si="4"/>
        <v>0</v>
      </c>
      <c r="P30" s="15">
        <f t="shared" si="5"/>
        <v>-5.2173913043478137</v>
      </c>
      <c r="Q30" s="91">
        <f t="shared" si="6"/>
        <v>0.95869565217391317</v>
      </c>
      <c r="R30" s="177"/>
      <c r="S30" s="21">
        <v>0.3972222222222222</v>
      </c>
      <c r="T30" s="21">
        <v>0.42916666666666664</v>
      </c>
      <c r="U30" s="88">
        <f t="shared" si="26"/>
        <v>4.9999999999999822</v>
      </c>
      <c r="V30" s="30">
        <f t="shared" si="25"/>
        <v>46</v>
      </c>
      <c r="W30" s="16"/>
      <c r="X30" s="16"/>
      <c r="Y30" s="16"/>
      <c r="Z30" s="16"/>
      <c r="AA30" s="168"/>
      <c r="AB30" s="168"/>
      <c r="AC30" s="18"/>
      <c r="AD30" s="18"/>
      <c r="AE30" s="14">
        <f t="shared" si="8"/>
        <v>-99.130434782608518</v>
      </c>
      <c r="AF30" s="91">
        <f t="shared" si="9"/>
        <v>0.95869565217391317</v>
      </c>
      <c r="AG30" s="177"/>
    </row>
    <row r="31" spans="1:33" ht="15.75" customHeight="1">
      <c r="A31" s="194" t="s">
        <v>1991</v>
      </c>
      <c r="B31" s="28" t="s">
        <v>22</v>
      </c>
      <c r="C31" s="193" t="s">
        <v>25</v>
      </c>
      <c r="D31" s="193"/>
      <c r="E31" s="28">
        <v>26.2</v>
      </c>
      <c r="F31" s="88">
        <v>3400</v>
      </c>
      <c r="G31" s="88">
        <f t="shared" si="23"/>
        <v>89080</v>
      </c>
      <c r="H31" s="30">
        <v>2</v>
      </c>
      <c r="I31" s="95">
        <v>20</v>
      </c>
      <c r="J31" s="13">
        <v>2400</v>
      </c>
      <c r="K31" s="12">
        <f t="shared" si="1"/>
        <v>120</v>
      </c>
      <c r="L31" s="95">
        <v>20</v>
      </c>
      <c r="M31" s="13">
        <f t="shared" si="24"/>
        <v>2292.1348314606744</v>
      </c>
      <c r="N31" s="12">
        <f t="shared" si="3"/>
        <v>114.60674157303372</v>
      </c>
      <c r="O31" s="14">
        <f t="shared" si="4"/>
        <v>0</v>
      </c>
      <c r="P31" s="15">
        <f t="shared" si="5"/>
        <v>-5.393258426966284</v>
      </c>
      <c r="Q31" s="91">
        <f t="shared" si="6"/>
        <v>0.95505617977528101</v>
      </c>
      <c r="R31" s="177"/>
      <c r="S31" s="21">
        <v>0.43263888888888885</v>
      </c>
      <c r="T31" s="21">
        <v>0.49444444444444441</v>
      </c>
      <c r="U31" s="88">
        <f t="shared" si="26"/>
        <v>4.9999999999999822</v>
      </c>
      <c r="V31" s="30">
        <f t="shared" si="25"/>
        <v>89</v>
      </c>
      <c r="W31" s="16">
        <f>T31</f>
        <v>0.49444444444444441</v>
      </c>
      <c r="X31" s="16">
        <f>S32</f>
        <v>0.53402777777777766</v>
      </c>
      <c r="Y31" s="16"/>
      <c r="Z31" s="16"/>
      <c r="AA31" s="168"/>
      <c r="AB31" s="168"/>
      <c r="AC31" s="18"/>
      <c r="AD31" s="18"/>
      <c r="AE31" s="14">
        <f t="shared" si="8"/>
        <v>-107.86516853932562</v>
      </c>
      <c r="AF31" s="91">
        <f t="shared" si="9"/>
        <v>0.95505617977528101</v>
      </c>
      <c r="AG31" s="177"/>
    </row>
    <row r="32" spans="1:33" ht="15.75" customHeight="1">
      <c r="A32" s="194" t="s">
        <v>1991</v>
      </c>
      <c r="B32" s="28" t="s">
        <v>22</v>
      </c>
      <c r="C32" s="193" t="s">
        <v>25</v>
      </c>
      <c r="D32" s="193"/>
      <c r="E32" s="28">
        <v>26.2</v>
      </c>
      <c r="F32" s="88">
        <v>2580</v>
      </c>
      <c r="G32" s="88">
        <f t="shared" si="23"/>
        <v>67596</v>
      </c>
      <c r="H32" s="30" t="s">
        <v>53</v>
      </c>
      <c r="I32" s="95">
        <v>20</v>
      </c>
      <c r="J32" s="13">
        <v>2400</v>
      </c>
      <c r="K32" s="12">
        <f t="shared" si="1"/>
        <v>120</v>
      </c>
      <c r="L32" s="95">
        <v>20</v>
      </c>
      <c r="M32" s="13">
        <f t="shared" si="24"/>
        <v>2310.447761194027</v>
      </c>
      <c r="N32" s="12">
        <f t="shared" si="3"/>
        <v>115.52238805970134</v>
      </c>
      <c r="O32" s="14">
        <f t="shared" si="4"/>
        <v>0</v>
      </c>
      <c r="P32" s="15">
        <f t="shared" si="5"/>
        <v>-4.4776119402986581</v>
      </c>
      <c r="Q32" s="91">
        <f t="shared" si="6"/>
        <v>0.96268656716417789</v>
      </c>
      <c r="R32" s="177"/>
      <c r="S32" s="21">
        <v>0.53402777777777766</v>
      </c>
      <c r="T32" s="21">
        <v>0.58055555555555549</v>
      </c>
      <c r="U32" s="88">
        <f t="shared" si="26"/>
        <v>56.999999999999879</v>
      </c>
      <c r="V32" s="30">
        <f t="shared" si="25"/>
        <v>67.000000000000085</v>
      </c>
      <c r="W32" s="16"/>
      <c r="X32" s="16"/>
      <c r="Y32" s="16"/>
      <c r="Z32" s="16"/>
      <c r="AA32" s="168"/>
      <c r="AB32" s="168"/>
      <c r="AC32" s="18"/>
      <c r="AD32" s="18"/>
      <c r="AE32" s="14">
        <f t="shared" si="8"/>
        <v>-89.552238805973047</v>
      </c>
      <c r="AF32" s="91">
        <f t="shared" si="9"/>
        <v>0.96268656716417789</v>
      </c>
      <c r="AG32" s="177"/>
    </row>
    <row r="33" spans="1:33" ht="15.75" customHeight="1">
      <c r="A33" s="194" t="s">
        <v>171</v>
      </c>
      <c r="B33" s="28" t="s">
        <v>22</v>
      </c>
      <c r="C33" s="193" t="s">
        <v>23</v>
      </c>
      <c r="D33" s="193"/>
      <c r="E33" s="28">
        <v>31.29</v>
      </c>
      <c r="F33" s="88">
        <v>2743</v>
      </c>
      <c r="G33" s="88">
        <f t="shared" si="23"/>
        <v>85828.47</v>
      </c>
      <c r="H33" s="30" t="s">
        <v>53</v>
      </c>
      <c r="I33" s="95">
        <v>18</v>
      </c>
      <c r="J33" s="13">
        <v>2400</v>
      </c>
      <c r="K33" s="12">
        <f t="shared" si="1"/>
        <v>133.33333333333334</v>
      </c>
      <c r="L33" s="95">
        <v>18</v>
      </c>
      <c r="M33" s="13">
        <f t="shared" si="24"/>
        <v>2285.8333333333317</v>
      </c>
      <c r="N33" s="12">
        <f t="shared" si="3"/>
        <v>126.99074074074065</v>
      </c>
      <c r="O33" s="14">
        <f t="shared" si="4"/>
        <v>0</v>
      </c>
      <c r="P33" s="15">
        <f t="shared" si="5"/>
        <v>-6.3425925925926947</v>
      </c>
      <c r="Q33" s="91">
        <f t="shared" si="6"/>
        <v>0.95243055555555478</v>
      </c>
      <c r="R33" s="177"/>
      <c r="S33" s="21">
        <v>0.58611111111111103</v>
      </c>
      <c r="T33" s="21">
        <v>0.63611111111111107</v>
      </c>
      <c r="U33" s="88">
        <f t="shared" si="26"/>
        <v>7.9999999999999716</v>
      </c>
      <c r="V33" s="30">
        <f t="shared" si="25"/>
        <v>72.000000000000057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-114.16666666666833</v>
      </c>
      <c r="AF33" s="91">
        <f t="shared" si="9"/>
        <v>0.95243055555555489</v>
      </c>
      <c r="AG33" s="177"/>
    </row>
    <row r="34" spans="1:33" ht="15.75" customHeight="1">
      <c r="A34" s="194" t="s">
        <v>1992</v>
      </c>
      <c r="B34" s="28" t="s">
        <v>22</v>
      </c>
      <c r="C34" s="100" t="s">
        <v>26</v>
      </c>
      <c r="D34" s="101"/>
      <c r="E34" s="28">
        <v>25.99</v>
      </c>
      <c r="F34" s="88">
        <v>1158</v>
      </c>
      <c r="G34" s="88">
        <f t="shared" si="23"/>
        <v>30096.42</v>
      </c>
      <c r="H34" s="30" t="s">
        <v>53</v>
      </c>
      <c r="I34" s="95">
        <v>14</v>
      </c>
      <c r="J34" s="13">
        <v>2400</v>
      </c>
      <c r="K34" s="12">
        <f t="shared" si="1"/>
        <v>171.42857142857142</v>
      </c>
      <c r="L34" s="95">
        <v>14</v>
      </c>
      <c r="M34" s="13">
        <f t="shared" si="24"/>
        <v>2315.9999999999959</v>
      </c>
      <c r="N34" s="12">
        <f t="shared" si="3"/>
        <v>165.42857142857113</v>
      </c>
      <c r="O34" s="14">
        <f t="shared" si="4"/>
        <v>0</v>
      </c>
      <c r="P34" s="15">
        <f t="shared" si="5"/>
        <v>-6.0000000000002842</v>
      </c>
      <c r="Q34" s="91">
        <f t="shared" si="6"/>
        <v>0.9649999999999983</v>
      </c>
      <c r="R34" s="177"/>
      <c r="S34" s="21">
        <v>0.64027777777777772</v>
      </c>
      <c r="T34" s="21">
        <v>0.66111111111111109</v>
      </c>
      <c r="U34" s="88">
        <f t="shared" si="26"/>
        <v>5.9999999999999787</v>
      </c>
      <c r="V34" s="30">
        <f t="shared" si="25"/>
        <v>30.000000000000053</v>
      </c>
      <c r="W34" s="16"/>
      <c r="X34" s="16"/>
      <c r="Y34" s="16"/>
      <c r="Z34" s="16"/>
      <c r="AA34" s="98"/>
      <c r="AB34" s="99"/>
      <c r="AC34" s="18"/>
      <c r="AD34" s="18"/>
      <c r="AE34" s="14">
        <f t="shared" si="8"/>
        <v>-84.000000000004093</v>
      </c>
      <c r="AF34" s="91">
        <f t="shared" si="9"/>
        <v>0.9649999999999983</v>
      </c>
      <c r="AG34" s="177"/>
    </row>
    <row r="35" spans="1:33" ht="15.75" customHeight="1">
      <c r="A35" s="194" t="s">
        <v>171</v>
      </c>
      <c r="B35" s="28" t="s">
        <v>1984</v>
      </c>
      <c r="C35" s="178"/>
      <c r="D35" s="178"/>
      <c r="E35" s="92"/>
      <c r="F35" s="88"/>
      <c r="G35" s="88"/>
      <c r="H35" s="88"/>
      <c r="I35" s="23">
        <v>18</v>
      </c>
      <c r="J35" s="13">
        <v>2400</v>
      </c>
      <c r="K35" s="12">
        <f t="shared" si="1"/>
        <v>133.33333333333334</v>
      </c>
      <c r="L35" s="23">
        <v>18</v>
      </c>
      <c r="M35" s="13">
        <f>AVERAGE(M27:M34)</f>
        <v>2300.4428590487041</v>
      </c>
      <c r="N35" s="12">
        <f t="shared" si="3"/>
        <v>127.80238105826135</v>
      </c>
      <c r="O35" s="14">
        <f t="shared" si="4"/>
        <v>0</v>
      </c>
      <c r="P35" s="15">
        <f t="shared" si="5"/>
        <v>-5.5309522750719964</v>
      </c>
      <c r="Q35" s="91">
        <f t="shared" si="6"/>
        <v>0.95851785793695998</v>
      </c>
      <c r="R35" s="177"/>
      <c r="S35" s="21"/>
      <c r="T35" s="21"/>
      <c r="U35" s="88"/>
      <c r="V35" s="30"/>
      <c r="W35" s="88"/>
      <c r="X35" s="88"/>
      <c r="Y35" s="24">
        <f>SUM(Y27:Y34)</f>
        <v>0</v>
      </c>
      <c r="Z35" s="24">
        <f>SUM(Z27:Z34)</f>
        <v>0</v>
      </c>
      <c r="AA35" s="167"/>
      <c r="AB35" s="167"/>
      <c r="AC35" s="24">
        <v>8</v>
      </c>
      <c r="AD35" s="24">
        <f>SUM(AD27:AD34)</f>
        <v>0</v>
      </c>
      <c r="AE35" s="14">
        <f t="shared" si="8"/>
        <v>-99.557140951295878</v>
      </c>
      <c r="AF35" s="91">
        <f t="shared" si="9"/>
        <v>0.95851785793696009</v>
      </c>
      <c r="AG35" s="177"/>
    </row>
    <row r="36" spans="1:33" ht="15.75" customHeight="1">
      <c r="A36" s="191" t="s">
        <v>172</v>
      </c>
      <c r="B36" s="28" t="s">
        <v>22</v>
      </c>
      <c r="C36" s="169" t="s">
        <v>28</v>
      </c>
      <c r="D36" s="169"/>
      <c r="E36" s="28">
        <v>26.2</v>
      </c>
      <c r="F36" s="88">
        <v>6100</v>
      </c>
      <c r="G36" s="88">
        <f t="shared" ref="G36:G43" si="27">E36*F36</f>
        <v>159820</v>
      </c>
      <c r="H36" s="30">
        <v>2</v>
      </c>
      <c r="I36" s="95">
        <v>18</v>
      </c>
      <c r="J36" s="13">
        <v>2400</v>
      </c>
      <c r="K36" s="12">
        <f t="shared" si="1"/>
        <v>133.33333333333334</v>
      </c>
      <c r="L36" s="95">
        <v>18</v>
      </c>
      <c r="M36" s="13">
        <f t="shared" ref="M36:M43" si="28">F36/V36*60</f>
        <v>2287.5000000000005</v>
      </c>
      <c r="N36" s="12">
        <f t="shared" si="3"/>
        <v>127.08333333333336</v>
      </c>
      <c r="O36" s="14">
        <f t="shared" si="4"/>
        <v>0</v>
      </c>
      <c r="P36" s="15">
        <f t="shared" si="5"/>
        <v>-6.2499999999999858</v>
      </c>
      <c r="Q36" s="91">
        <f t="shared" si="6"/>
        <v>0.95312500000000011</v>
      </c>
      <c r="R36" s="177">
        <f>Q44</f>
        <v>0.95870937406540591</v>
      </c>
      <c r="S36" s="21">
        <v>8.3333333333333329E-2</v>
      </c>
      <c r="T36" s="21">
        <v>0.19444444444444442</v>
      </c>
      <c r="U36" s="88"/>
      <c r="V36" s="30">
        <f t="shared" ref="V36:V43" si="29">(T36-S36)*24*60</f>
        <v>159.99999999999997</v>
      </c>
      <c r="W36" s="21">
        <f>T36</f>
        <v>0.19444444444444442</v>
      </c>
      <c r="X36" s="21">
        <f>S37</f>
        <v>0.21319444444444441</v>
      </c>
      <c r="Y36" s="21"/>
      <c r="Z36" s="21"/>
      <c r="AA36" s="168"/>
      <c r="AB36" s="168"/>
      <c r="AC36" s="18">
        <v>8</v>
      </c>
      <c r="AD36" s="18"/>
      <c r="AE36" s="14">
        <f t="shared" si="8"/>
        <v>-112.49999999999955</v>
      </c>
      <c r="AF36" s="91">
        <f t="shared" si="9"/>
        <v>0.95312500000000022</v>
      </c>
      <c r="AG36" s="177">
        <f>AF44</f>
        <v>0.95870937406540591</v>
      </c>
    </row>
    <row r="37" spans="1:33" ht="15.75" customHeight="1">
      <c r="A37" s="191" t="s">
        <v>172</v>
      </c>
      <c r="B37" s="28" t="s">
        <v>22</v>
      </c>
      <c r="C37" s="169" t="s">
        <v>49</v>
      </c>
      <c r="D37" s="169"/>
      <c r="E37" s="28">
        <v>20.2</v>
      </c>
      <c r="F37" s="88">
        <v>2374</v>
      </c>
      <c r="G37" s="88">
        <f t="shared" si="27"/>
        <v>47954.799999999996</v>
      </c>
      <c r="H37" s="30" t="s">
        <v>53</v>
      </c>
      <c r="I37" s="95">
        <v>15</v>
      </c>
      <c r="J37" s="13">
        <v>2400</v>
      </c>
      <c r="K37" s="12">
        <f t="shared" si="1"/>
        <v>160</v>
      </c>
      <c r="L37" s="95">
        <v>15</v>
      </c>
      <c r="M37" s="13">
        <f t="shared" si="28"/>
        <v>2297.4193548387088</v>
      </c>
      <c r="N37" s="12">
        <f t="shared" si="3"/>
        <v>153.16129032258058</v>
      </c>
      <c r="O37" s="14">
        <f t="shared" si="4"/>
        <v>0</v>
      </c>
      <c r="P37" s="15">
        <f t="shared" si="5"/>
        <v>-6.8387096774194163</v>
      </c>
      <c r="Q37" s="91">
        <f t="shared" si="6"/>
        <v>0.9572580645161286</v>
      </c>
      <c r="R37" s="177"/>
      <c r="S37" s="21">
        <v>0.21319444444444441</v>
      </c>
      <c r="T37" s="21">
        <v>0.25624999999999998</v>
      </c>
      <c r="U37" s="88">
        <f t="shared" ref="U37:U43" si="30">(S37-T36)*24*60</f>
        <v>26.999999999999986</v>
      </c>
      <c r="V37" s="30">
        <f t="shared" si="29"/>
        <v>62.000000000000021</v>
      </c>
      <c r="W37" s="88"/>
      <c r="X37" s="88"/>
      <c r="Y37" s="88"/>
      <c r="Z37" s="88"/>
      <c r="AA37" s="168"/>
      <c r="AB37" s="168"/>
      <c r="AC37" s="18"/>
      <c r="AD37" s="18"/>
      <c r="AE37" s="14">
        <f t="shared" si="8"/>
        <v>-102.58064516129116</v>
      </c>
      <c r="AF37" s="91">
        <f t="shared" si="9"/>
        <v>0.95725806451612871</v>
      </c>
      <c r="AG37" s="177"/>
    </row>
    <row r="38" spans="1:33">
      <c r="A38" s="192" t="s">
        <v>172</v>
      </c>
      <c r="B38" s="28" t="s">
        <v>22</v>
      </c>
      <c r="C38" s="169" t="s">
        <v>32</v>
      </c>
      <c r="D38" s="169"/>
      <c r="E38" s="28">
        <v>20.52</v>
      </c>
      <c r="F38" s="88">
        <v>3187</v>
      </c>
      <c r="G38" s="88">
        <f t="shared" si="27"/>
        <v>65397.24</v>
      </c>
      <c r="H38" s="30" t="s">
        <v>53</v>
      </c>
      <c r="I38" s="95">
        <v>18</v>
      </c>
      <c r="J38" s="13">
        <v>2400</v>
      </c>
      <c r="K38" s="12">
        <f t="shared" si="1"/>
        <v>133.33333333333334</v>
      </c>
      <c r="L38" s="95">
        <v>18</v>
      </c>
      <c r="M38" s="13">
        <f t="shared" si="28"/>
        <v>2303.8554216867465</v>
      </c>
      <c r="N38" s="12">
        <f t="shared" si="3"/>
        <v>127.99196787148591</v>
      </c>
      <c r="O38" s="14">
        <f t="shared" si="4"/>
        <v>0</v>
      </c>
      <c r="P38" s="15">
        <f t="shared" si="5"/>
        <v>-5.3413654618474311</v>
      </c>
      <c r="Q38" s="91">
        <f t="shared" si="6"/>
        <v>0.95993975903614426</v>
      </c>
      <c r="R38" s="177"/>
      <c r="S38" s="21">
        <v>0.26180555555555551</v>
      </c>
      <c r="T38" s="21">
        <v>0.31944444444444442</v>
      </c>
      <c r="U38" s="88">
        <f t="shared" si="30"/>
        <v>7.9999999999999716</v>
      </c>
      <c r="V38" s="30">
        <f t="shared" si="29"/>
        <v>83.000000000000028</v>
      </c>
      <c r="W38" s="88"/>
      <c r="X38" s="88"/>
      <c r="Y38" s="88"/>
      <c r="Z38" s="88"/>
      <c r="AA38" s="168"/>
      <c r="AB38" s="168"/>
      <c r="AC38" s="18"/>
      <c r="AD38" s="18"/>
      <c r="AE38" s="14">
        <f t="shared" si="8"/>
        <v>-96.144578313253533</v>
      </c>
      <c r="AF38" s="91">
        <f t="shared" si="9"/>
        <v>0.95993975903614437</v>
      </c>
      <c r="AG38" s="177"/>
    </row>
    <row r="39" spans="1:33">
      <c r="A39" s="192" t="s">
        <v>1993</v>
      </c>
      <c r="B39" s="28" t="s">
        <v>22</v>
      </c>
      <c r="C39" s="169" t="s">
        <v>30</v>
      </c>
      <c r="D39" s="169"/>
      <c r="E39" s="28">
        <v>26.39</v>
      </c>
      <c r="F39" s="88">
        <v>5100</v>
      </c>
      <c r="G39" s="88">
        <f t="shared" si="27"/>
        <v>134589</v>
      </c>
      <c r="H39" s="30">
        <v>2</v>
      </c>
      <c r="I39" s="95">
        <v>19</v>
      </c>
      <c r="J39" s="13">
        <v>2400</v>
      </c>
      <c r="K39" s="12">
        <f t="shared" si="1"/>
        <v>126.31578947368421</v>
      </c>
      <c r="L39" s="95">
        <v>19</v>
      </c>
      <c r="M39" s="13">
        <f t="shared" si="28"/>
        <v>2283.5820895522388</v>
      </c>
      <c r="N39" s="12">
        <f t="shared" si="3"/>
        <v>120.1885310290652</v>
      </c>
      <c r="O39" s="14">
        <f t="shared" si="4"/>
        <v>0</v>
      </c>
      <c r="P39" s="15">
        <f t="shared" si="5"/>
        <v>-6.1272584446190024</v>
      </c>
      <c r="Q39" s="91">
        <f t="shared" si="6"/>
        <v>0.95149253731343286</v>
      </c>
      <c r="R39" s="177"/>
      <c r="S39" s="21">
        <v>0.32430555555555551</v>
      </c>
      <c r="T39" s="21">
        <v>0.41736111111111107</v>
      </c>
      <c r="U39" s="88">
        <f t="shared" si="30"/>
        <v>6.9999999999999751</v>
      </c>
      <c r="V39" s="30">
        <f t="shared" si="29"/>
        <v>134</v>
      </c>
      <c r="W39" s="16"/>
      <c r="X39" s="16"/>
      <c r="Y39" s="16"/>
      <c r="Z39" s="16"/>
      <c r="AA39" s="168"/>
      <c r="AB39" s="168"/>
      <c r="AC39" s="18"/>
      <c r="AD39" s="18"/>
      <c r="AE39" s="14">
        <f t="shared" si="8"/>
        <v>-116.41791044776119</v>
      </c>
      <c r="AF39" s="91">
        <f t="shared" si="9"/>
        <v>0.95149253731343286</v>
      </c>
      <c r="AG39" s="177"/>
    </row>
    <row r="40" spans="1:33">
      <c r="A40" s="192" t="s">
        <v>172</v>
      </c>
      <c r="B40" s="28" t="s">
        <v>22</v>
      </c>
      <c r="C40" s="169" t="s">
        <v>51</v>
      </c>
      <c r="D40" s="169"/>
      <c r="E40" s="28">
        <v>24.43</v>
      </c>
      <c r="F40" s="88">
        <v>4300</v>
      </c>
      <c r="G40" s="88">
        <f t="shared" si="27"/>
        <v>105049</v>
      </c>
      <c r="H40" s="30">
        <v>2</v>
      </c>
      <c r="I40" s="95">
        <v>14</v>
      </c>
      <c r="J40" s="13">
        <v>2400</v>
      </c>
      <c r="K40" s="12">
        <f t="shared" si="1"/>
        <v>171.42857142857142</v>
      </c>
      <c r="L40" s="95">
        <v>14</v>
      </c>
      <c r="M40" s="13">
        <f t="shared" si="28"/>
        <v>2303.5714285714289</v>
      </c>
      <c r="N40" s="12">
        <f t="shared" si="3"/>
        <v>164.54081632653063</v>
      </c>
      <c r="O40" s="14">
        <f t="shared" si="4"/>
        <v>0</v>
      </c>
      <c r="P40" s="15">
        <f t="shared" si="5"/>
        <v>-6.887755102040785</v>
      </c>
      <c r="Q40" s="91">
        <f t="shared" si="6"/>
        <v>0.95982142857142871</v>
      </c>
      <c r="R40" s="177"/>
      <c r="S40" s="21">
        <v>0.42222222222222217</v>
      </c>
      <c r="T40" s="21">
        <v>0.49999999999999994</v>
      </c>
      <c r="U40" s="88">
        <f t="shared" si="30"/>
        <v>6.9999999999999751</v>
      </c>
      <c r="V40" s="30">
        <f t="shared" si="29"/>
        <v>112</v>
      </c>
      <c r="W40" s="16">
        <f>T40</f>
        <v>0.49999999999999994</v>
      </c>
      <c r="X40" s="16">
        <f>S41</f>
        <v>0.54166666666666663</v>
      </c>
      <c r="Y40" s="16"/>
      <c r="Z40" s="16"/>
      <c r="AA40" s="168"/>
      <c r="AB40" s="168"/>
      <c r="AC40" s="18"/>
      <c r="AD40" s="18"/>
      <c r="AE40" s="14">
        <f t="shared" si="8"/>
        <v>-96.428571428571104</v>
      </c>
      <c r="AF40" s="91">
        <f t="shared" si="9"/>
        <v>0.95982142857142871</v>
      </c>
      <c r="AG40" s="177"/>
    </row>
    <row r="41" spans="1:33">
      <c r="A41" s="192" t="s">
        <v>1994</v>
      </c>
      <c r="B41" s="28" t="s">
        <v>22</v>
      </c>
      <c r="C41" s="169" t="s">
        <v>51</v>
      </c>
      <c r="D41" s="169"/>
      <c r="E41" s="28">
        <v>24.43</v>
      </c>
      <c r="F41" s="88">
        <v>3219</v>
      </c>
      <c r="G41" s="88">
        <f t="shared" si="27"/>
        <v>78640.17</v>
      </c>
      <c r="H41" s="30" t="s">
        <v>53</v>
      </c>
      <c r="I41" s="95">
        <v>14</v>
      </c>
      <c r="J41" s="13">
        <v>2400</v>
      </c>
      <c r="K41" s="12">
        <f t="shared" si="1"/>
        <v>171.42857142857142</v>
      </c>
      <c r="L41" s="95">
        <v>14</v>
      </c>
      <c r="M41" s="13">
        <f t="shared" si="28"/>
        <v>2299.2857142857133</v>
      </c>
      <c r="N41" s="12">
        <f t="shared" si="3"/>
        <v>164.23469387755094</v>
      </c>
      <c r="O41" s="14">
        <f t="shared" si="4"/>
        <v>0</v>
      </c>
      <c r="P41" s="15">
        <f t="shared" si="5"/>
        <v>-7.1938775510204778</v>
      </c>
      <c r="Q41" s="91">
        <f t="shared" si="6"/>
        <v>0.95803571428571388</v>
      </c>
      <c r="R41" s="177"/>
      <c r="S41" s="21">
        <v>0.54166666666666663</v>
      </c>
      <c r="T41" s="21">
        <v>0.6</v>
      </c>
      <c r="U41" s="88">
        <f t="shared" si="30"/>
        <v>60.000000000000028</v>
      </c>
      <c r="V41" s="30">
        <f t="shared" si="29"/>
        <v>84.000000000000028</v>
      </c>
      <c r="W41" s="16"/>
      <c r="X41" s="16"/>
      <c r="Y41" s="16"/>
      <c r="Z41" s="16"/>
      <c r="AA41" s="168"/>
      <c r="AB41" s="168"/>
      <c r="AC41" s="18"/>
      <c r="AD41" s="18"/>
      <c r="AE41" s="14">
        <f t="shared" si="8"/>
        <v>-100.71428571428669</v>
      </c>
      <c r="AF41" s="91">
        <f t="shared" si="9"/>
        <v>0.95803571428571388</v>
      </c>
      <c r="AG41" s="177"/>
    </row>
    <row r="42" spans="1:33">
      <c r="A42" s="192" t="s">
        <v>172</v>
      </c>
      <c r="B42" s="28" t="s">
        <v>22</v>
      </c>
      <c r="C42" s="169" t="s">
        <v>30</v>
      </c>
      <c r="D42" s="169"/>
      <c r="E42" s="28">
        <v>26.39</v>
      </c>
      <c r="F42" s="88">
        <v>1598</v>
      </c>
      <c r="G42" s="88">
        <f t="shared" si="27"/>
        <v>42171.22</v>
      </c>
      <c r="H42" s="30" t="s">
        <v>53</v>
      </c>
      <c r="I42" s="95">
        <v>19</v>
      </c>
      <c r="J42" s="13">
        <v>2400</v>
      </c>
      <c r="K42" s="12">
        <f t="shared" si="1"/>
        <v>126.31578947368421</v>
      </c>
      <c r="L42" s="95">
        <v>19</v>
      </c>
      <c r="M42" s="13">
        <f t="shared" si="28"/>
        <v>2338.5365853658527</v>
      </c>
      <c r="N42" s="12">
        <f t="shared" si="3"/>
        <v>123.08087291399225</v>
      </c>
      <c r="O42" s="14">
        <f t="shared" si="4"/>
        <v>0</v>
      </c>
      <c r="P42" s="15">
        <f t="shared" si="5"/>
        <v>-3.2349165596919534</v>
      </c>
      <c r="Q42" s="91">
        <f t="shared" si="6"/>
        <v>0.97439024390243867</v>
      </c>
      <c r="R42" s="177"/>
      <c r="S42" s="21">
        <v>0.60347222222222219</v>
      </c>
      <c r="T42" s="21">
        <v>0.63194444444444442</v>
      </c>
      <c r="U42" s="88">
        <f t="shared" si="30"/>
        <v>4.9999999999999822</v>
      </c>
      <c r="V42" s="30">
        <f t="shared" si="29"/>
        <v>41.000000000000014</v>
      </c>
      <c r="W42" s="16"/>
      <c r="X42" s="16"/>
      <c r="Y42" s="19"/>
      <c r="Z42" s="19"/>
      <c r="AA42" s="172"/>
      <c r="AB42" s="173"/>
      <c r="AC42" s="18"/>
      <c r="AD42" s="18"/>
      <c r="AE42" s="14">
        <f t="shared" si="8"/>
        <v>-61.463414634147284</v>
      </c>
      <c r="AF42" s="91">
        <f t="shared" si="9"/>
        <v>0.97439024390243867</v>
      </c>
      <c r="AG42" s="177"/>
    </row>
    <row r="43" spans="1:33">
      <c r="A43" s="192" t="s">
        <v>172</v>
      </c>
      <c r="B43" s="28" t="s">
        <v>22</v>
      </c>
      <c r="C43" s="169" t="s">
        <v>28</v>
      </c>
      <c r="D43" s="169"/>
      <c r="E43" s="28">
        <v>26.2</v>
      </c>
      <c r="F43" s="88">
        <v>1873</v>
      </c>
      <c r="G43" s="88">
        <f t="shared" si="27"/>
        <v>49072.6</v>
      </c>
      <c r="H43" s="30" t="s">
        <v>53</v>
      </c>
      <c r="I43" s="95">
        <v>18</v>
      </c>
      <c r="J43" s="13">
        <v>2400</v>
      </c>
      <c r="K43" s="12">
        <f t="shared" si="1"/>
        <v>133.33333333333334</v>
      </c>
      <c r="L43" s="95">
        <v>18</v>
      </c>
      <c r="M43" s="13">
        <f t="shared" si="28"/>
        <v>2293.4693877551026</v>
      </c>
      <c r="N43" s="12">
        <f t="shared" si="3"/>
        <v>127.41496598639459</v>
      </c>
      <c r="O43" s="14">
        <f t="shared" si="4"/>
        <v>0</v>
      </c>
      <c r="P43" s="15">
        <f t="shared" si="5"/>
        <v>-5.9183673469387514</v>
      </c>
      <c r="Q43" s="91">
        <f t="shared" si="6"/>
        <v>0.95561224489795937</v>
      </c>
      <c r="R43" s="177"/>
      <c r="S43" s="21">
        <v>0.63611111111111107</v>
      </c>
      <c r="T43" s="21">
        <v>0.67013888888888884</v>
      </c>
      <c r="U43" s="88">
        <f t="shared" si="30"/>
        <v>5.9999999999999787</v>
      </c>
      <c r="V43" s="30">
        <f t="shared" si="29"/>
        <v>48.999999999999986</v>
      </c>
      <c r="W43" s="16"/>
      <c r="X43" s="16"/>
      <c r="Y43" s="19"/>
      <c r="Z43" s="19"/>
      <c r="AA43" s="172"/>
      <c r="AB43" s="173"/>
      <c r="AC43" s="18"/>
      <c r="AD43" s="18"/>
      <c r="AE43" s="14">
        <f t="shared" si="8"/>
        <v>-106.53061224489738</v>
      </c>
      <c r="AF43" s="91">
        <f t="shared" si="9"/>
        <v>0.95561224489795937</v>
      </c>
      <c r="AG43" s="177"/>
    </row>
    <row r="44" spans="1:33">
      <c r="A44" s="192" t="s">
        <v>1995</v>
      </c>
      <c r="B44" s="12" t="s">
        <v>168</v>
      </c>
      <c r="C44" s="178"/>
      <c r="D44" s="178"/>
      <c r="E44" s="92"/>
      <c r="F44" s="12"/>
      <c r="G44" s="12"/>
      <c r="H44" s="88"/>
      <c r="I44" s="23">
        <v>16.875</v>
      </c>
      <c r="J44" s="13">
        <v>2400</v>
      </c>
      <c r="K44" s="12">
        <f t="shared" si="1"/>
        <v>142.22222222222223</v>
      </c>
      <c r="L44" s="23">
        <v>16.875</v>
      </c>
      <c r="M44" s="13">
        <f>AVERAGE(M36:M43)</f>
        <v>2300.9024977569743</v>
      </c>
      <c r="N44" s="12">
        <f t="shared" si="3"/>
        <v>136.34977764485774</v>
      </c>
      <c r="O44" s="14">
        <f t="shared" si="4"/>
        <v>0</v>
      </c>
      <c r="P44" s="15">
        <f t="shared" si="5"/>
        <v>-5.8724445773644902</v>
      </c>
      <c r="Q44" s="91">
        <f t="shared" si="6"/>
        <v>0.95870937406540591</v>
      </c>
      <c r="R44" s="177"/>
      <c r="S44" s="21"/>
      <c r="T44" s="21"/>
      <c r="U44" s="12"/>
      <c r="V44" s="30"/>
      <c r="W44" s="12"/>
      <c r="X44" s="12"/>
      <c r="Y44" s="24">
        <f>SUM(Y36:Y43)</f>
        <v>0</v>
      </c>
      <c r="Z44" s="24">
        <f>SUM(Z36:Z43)</f>
        <v>0</v>
      </c>
      <c r="AA44" s="167"/>
      <c r="AB44" s="167"/>
      <c r="AC44" s="24">
        <v>8</v>
      </c>
      <c r="AD44" s="24">
        <f>SUM(AD36:AD43)</f>
        <v>0</v>
      </c>
      <c r="AE44" s="14">
        <f t="shared" si="8"/>
        <v>-99.097502243025701</v>
      </c>
      <c r="AF44" s="91">
        <f t="shared" si="9"/>
        <v>0.95870937406540591</v>
      </c>
      <c r="AG44" s="177"/>
    </row>
    <row r="45" spans="1:33" ht="15.75" customHeight="1">
      <c r="A45" s="188" t="s">
        <v>1996</v>
      </c>
      <c r="B45" s="28" t="s">
        <v>33</v>
      </c>
      <c r="C45" s="170" t="s">
        <v>72</v>
      </c>
      <c r="D45" s="171"/>
      <c r="E45" s="28">
        <v>34.35</v>
      </c>
      <c r="F45" s="88">
        <v>2813</v>
      </c>
      <c r="G45" s="88">
        <f t="shared" ref="G45:G48" si="31">E45*F45</f>
        <v>96626.55</v>
      </c>
      <c r="H45" s="30" t="s">
        <v>53</v>
      </c>
      <c r="I45" s="95">
        <v>8</v>
      </c>
      <c r="J45" s="13">
        <v>3000</v>
      </c>
      <c r="K45" s="12">
        <f t="shared" si="1"/>
        <v>375</v>
      </c>
      <c r="L45" s="95">
        <v>8</v>
      </c>
      <c r="M45" s="13">
        <f t="shared" ref="M45:M48" si="32">F45/V45*60</f>
        <v>2860.6779661016944</v>
      </c>
      <c r="N45" s="13">
        <f t="shared" si="3"/>
        <v>357.5847457627118</v>
      </c>
      <c r="O45" s="14">
        <f t="shared" si="4"/>
        <v>0</v>
      </c>
      <c r="P45" s="15">
        <f t="shared" si="5"/>
        <v>-17.415254237288195</v>
      </c>
      <c r="Q45" s="91">
        <f t="shared" si="6"/>
        <v>0.95355932203389815</v>
      </c>
      <c r="R45" s="183">
        <f>Q49</f>
        <v>0.95360253666410755</v>
      </c>
      <c r="S45" s="21">
        <v>8.3333333333333329E-2</v>
      </c>
      <c r="T45" s="21">
        <v>0.12430555555555556</v>
      </c>
      <c r="U45" s="21"/>
      <c r="V45" s="30">
        <f t="shared" ref="V45:V48" si="33">(T45-S45)*24*60</f>
        <v>59.000000000000007</v>
      </c>
      <c r="W45" s="16">
        <f>T45</f>
        <v>0.12430555555555556</v>
      </c>
      <c r="X45" s="16">
        <f>S46</f>
        <v>0.14305555555555555</v>
      </c>
      <c r="Y45" s="19"/>
      <c r="Z45" s="19"/>
      <c r="AA45" s="172"/>
      <c r="AB45" s="173"/>
      <c r="AC45" s="18">
        <v>4</v>
      </c>
      <c r="AD45" s="18"/>
      <c r="AE45" s="14">
        <f t="shared" si="8"/>
        <v>-139.32203389830556</v>
      </c>
      <c r="AF45" s="91">
        <f t="shared" si="9"/>
        <v>0.95355932203389815</v>
      </c>
      <c r="AG45" s="183">
        <f>AF49</f>
        <v>0.95360253666410755</v>
      </c>
    </row>
    <row r="46" spans="1:33" ht="15.75" customHeight="1">
      <c r="A46" s="189" t="s">
        <v>173</v>
      </c>
      <c r="B46" s="28" t="s">
        <v>33</v>
      </c>
      <c r="C46" s="170" t="s">
        <v>48</v>
      </c>
      <c r="D46" s="171"/>
      <c r="E46" s="28">
        <v>35.119999999999997</v>
      </c>
      <c r="F46" s="88">
        <v>5988</v>
      </c>
      <c r="G46" s="88">
        <f t="shared" si="31"/>
        <v>210298.56</v>
      </c>
      <c r="H46" s="30" t="s">
        <v>53</v>
      </c>
      <c r="I46" s="95">
        <v>10</v>
      </c>
      <c r="J46" s="13">
        <v>3000</v>
      </c>
      <c r="K46" s="12">
        <f t="shared" si="1"/>
        <v>300</v>
      </c>
      <c r="L46" s="95">
        <v>10</v>
      </c>
      <c r="M46" s="13">
        <f t="shared" si="32"/>
        <v>2851.4285714285706</v>
      </c>
      <c r="N46" s="13">
        <f t="shared" si="3"/>
        <v>285.14285714285705</v>
      </c>
      <c r="O46" s="14">
        <f t="shared" si="4"/>
        <v>0</v>
      </c>
      <c r="P46" s="15">
        <f t="shared" si="5"/>
        <v>-14.857142857142946</v>
      </c>
      <c r="Q46" s="91">
        <f t="shared" si="6"/>
        <v>0.95047619047619014</v>
      </c>
      <c r="R46" s="184"/>
      <c r="S46" s="21">
        <v>0.14305555555555555</v>
      </c>
      <c r="T46" s="21">
        <v>0.23055555555555557</v>
      </c>
      <c r="U46" s="88">
        <f t="shared" ref="U46:U48" si="34">(S46-T45)*24*60</f>
        <v>26.999999999999986</v>
      </c>
      <c r="V46" s="30">
        <f t="shared" si="33"/>
        <v>126.00000000000003</v>
      </c>
      <c r="W46" s="16"/>
      <c r="X46" s="16"/>
      <c r="Y46" s="19"/>
      <c r="Z46" s="19"/>
      <c r="AA46" s="172"/>
      <c r="AB46" s="173"/>
      <c r="AC46" s="18"/>
      <c r="AD46" s="18"/>
      <c r="AE46" s="14">
        <f t="shared" si="8"/>
        <v>-148.57142857142935</v>
      </c>
      <c r="AF46" s="91">
        <f t="shared" si="9"/>
        <v>0.95047619047619025</v>
      </c>
      <c r="AG46" s="184"/>
    </row>
    <row r="47" spans="1:33" ht="15.75" customHeight="1">
      <c r="A47" s="189" t="s">
        <v>173</v>
      </c>
      <c r="B47" s="28" t="s">
        <v>33</v>
      </c>
      <c r="C47" s="170" t="s">
        <v>36</v>
      </c>
      <c r="D47" s="171"/>
      <c r="E47" s="28">
        <v>21.13</v>
      </c>
      <c r="F47" s="88">
        <v>5981</v>
      </c>
      <c r="G47" s="88">
        <f t="shared" si="31"/>
        <v>126378.53</v>
      </c>
      <c r="H47" s="30" t="s">
        <v>53</v>
      </c>
      <c r="I47" s="95">
        <v>10</v>
      </c>
      <c r="J47" s="13">
        <v>3000</v>
      </c>
      <c r="K47" s="12">
        <f t="shared" si="1"/>
        <v>300</v>
      </c>
      <c r="L47" s="95">
        <v>10</v>
      </c>
      <c r="M47" s="13">
        <f t="shared" si="32"/>
        <v>2870.8800000000006</v>
      </c>
      <c r="N47" s="13">
        <f t="shared" si="3"/>
        <v>287.08800000000008</v>
      </c>
      <c r="O47" s="14">
        <f t="shared" si="4"/>
        <v>0</v>
      </c>
      <c r="P47" s="15">
        <f t="shared" si="5"/>
        <v>-12.911999999999921</v>
      </c>
      <c r="Q47" s="91">
        <f t="shared" si="6"/>
        <v>0.95696000000000025</v>
      </c>
      <c r="R47" s="184"/>
      <c r="S47" s="21">
        <v>0.23472222222222225</v>
      </c>
      <c r="T47" s="21">
        <v>0.3215277777777778</v>
      </c>
      <c r="U47" s="88">
        <f t="shared" si="34"/>
        <v>6.0000000000000187</v>
      </c>
      <c r="V47" s="30">
        <f t="shared" si="33"/>
        <v>124.99999999999999</v>
      </c>
      <c r="W47" s="16"/>
      <c r="X47" s="16"/>
      <c r="Y47" s="19"/>
      <c r="Z47" s="19"/>
      <c r="AA47" s="172"/>
      <c r="AB47" s="173"/>
      <c r="AC47" s="18"/>
      <c r="AD47" s="18"/>
      <c r="AE47" s="14">
        <f t="shared" si="8"/>
        <v>-129.11999999999944</v>
      </c>
      <c r="AF47" s="91">
        <f t="shared" si="9"/>
        <v>0.95696000000000014</v>
      </c>
      <c r="AG47" s="184"/>
    </row>
    <row r="48" spans="1:33" ht="15.75" customHeight="1">
      <c r="A48" s="189" t="s">
        <v>173</v>
      </c>
      <c r="B48" s="28" t="s">
        <v>33</v>
      </c>
      <c r="C48" s="170" t="s">
        <v>37</v>
      </c>
      <c r="D48" s="171"/>
      <c r="E48" s="28">
        <v>27.17</v>
      </c>
      <c r="F48" s="88">
        <v>7818</v>
      </c>
      <c r="G48" s="88">
        <f t="shared" si="31"/>
        <v>212415.06000000003</v>
      </c>
      <c r="H48" s="30" t="s">
        <v>53</v>
      </c>
      <c r="I48" s="95">
        <v>10</v>
      </c>
      <c r="J48" s="13">
        <v>3000</v>
      </c>
      <c r="K48" s="12">
        <f t="shared" si="1"/>
        <v>300</v>
      </c>
      <c r="L48" s="95">
        <v>10</v>
      </c>
      <c r="M48" s="13">
        <f t="shared" si="32"/>
        <v>2860.2439024390251</v>
      </c>
      <c r="N48" s="13">
        <f t="shared" si="3"/>
        <v>286.02439024390253</v>
      </c>
      <c r="O48" s="14">
        <f t="shared" si="4"/>
        <v>0</v>
      </c>
      <c r="P48" s="15">
        <f t="shared" si="5"/>
        <v>-13.975609756097469</v>
      </c>
      <c r="Q48" s="91">
        <f t="shared" si="6"/>
        <v>0.95341463414634176</v>
      </c>
      <c r="R48" s="184"/>
      <c r="S48" s="21">
        <v>0.3263888888888889</v>
      </c>
      <c r="T48" s="21">
        <v>0.44027777777777777</v>
      </c>
      <c r="U48" s="88">
        <f t="shared" si="34"/>
        <v>6.9999999999999751</v>
      </c>
      <c r="V48" s="30">
        <f t="shared" si="33"/>
        <v>163.99999999999997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-139.75609756097492</v>
      </c>
      <c r="AF48" s="91">
        <f t="shared" si="9"/>
        <v>0.95341463414634164</v>
      </c>
      <c r="AG48" s="184"/>
    </row>
    <row r="49" spans="1:33" ht="15.75" customHeight="1">
      <c r="A49" s="190" t="s">
        <v>173</v>
      </c>
      <c r="B49" s="28" t="s">
        <v>168</v>
      </c>
      <c r="C49" s="165"/>
      <c r="D49" s="166"/>
      <c r="E49" s="89"/>
      <c r="F49" s="88"/>
      <c r="G49" s="88"/>
      <c r="H49" s="88"/>
      <c r="I49" s="23">
        <v>9.5</v>
      </c>
      <c r="J49" s="13">
        <v>3000</v>
      </c>
      <c r="K49" s="12">
        <f t="shared" si="1"/>
        <v>315.78947368421052</v>
      </c>
      <c r="L49" s="23">
        <v>9.5</v>
      </c>
      <c r="M49" s="13">
        <f>AVERAGE(M45:M48)</f>
        <v>2860.8076099923228</v>
      </c>
      <c r="N49" s="12">
        <f t="shared" si="3"/>
        <v>301.13764315708659</v>
      </c>
      <c r="O49" s="14">
        <f t="shared" si="4"/>
        <v>0</v>
      </c>
      <c r="P49" s="15">
        <f t="shared" si="5"/>
        <v>-14.651830527123934</v>
      </c>
      <c r="Q49" s="91">
        <f t="shared" si="6"/>
        <v>0.95360253666410755</v>
      </c>
      <c r="R49" s="185"/>
      <c r="S49" s="21"/>
      <c r="T49" s="21"/>
      <c r="U49" s="88"/>
      <c r="V49" s="30"/>
      <c r="W49" s="16"/>
      <c r="X49" s="16"/>
      <c r="Y49" s="24">
        <f>SUM(Y45:Y48)</f>
        <v>0</v>
      </c>
      <c r="Z49" s="24">
        <f>SUM(Z45:Z48)</f>
        <v>0</v>
      </c>
      <c r="AA49" s="186"/>
      <c r="AB49" s="187"/>
      <c r="AC49" s="24">
        <v>4</v>
      </c>
      <c r="AD49" s="24">
        <f>SUM(AD45:AD48)</f>
        <v>0</v>
      </c>
      <c r="AE49" s="14">
        <f t="shared" si="8"/>
        <v>-139.1923900076772</v>
      </c>
      <c r="AF49" s="91">
        <f t="shared" si="9"/>
        <v>0.95360253666410755</v>
      </c>
      <c r="AG49" s="185"/>
    </row>
    <row r="50" spans="1:33" ht="15.75" customHeight="1">
      <c r="A50" s="181" t="s">
        <v>174</v>
      </c>
      <c r="B50" s="28" t="s">
        <v>5</v>
      </c>
      <c r="C50" s="169" t="s">
        <v>41</v>
      </c>
      <c r="D50" s="169"/>
      <c r="E50" s="28">
        <v>51.75</v>
      </c>
      <c r="F50" s="29">
        <v>1017</v>
      </c>
      <c r="G50" s="88">
        <f t="shared" ref="G50:G55" si="35">E50*F50</f>
        <v>52629.75</v>
      </c>
      <c r="H50" s="30" t="s">
        <v>53</v>
      </c>
      <c r="I50" s="95">
        <v>25</v>
      </c>
      <c r="J50" s="13">
        <v>2000</v>
      </c>
      <c r="K50" s="12">
        <f t="shared" si="1"/>
        <v>80</v>
      </c>
      <c r="L50" s="95">
        <v>25</v>
      </c>
      <c r="M50" s="13">
        <f t="shared" ref="M50" si="36">F50/V50*60</f>
        <v>1906.875000000002</v>
      </c>
      <c r="N50" s="13">
        <f t="shared" si="3"/>
        <v>76.275000000000077</v>
      </c>
      <c r="O50" s="14">
        <f t="shared" si="4"/>
        <v>0</v>
      </c>
      <c r="P50" s="15">
        <f t="shared" si="5"/>
        <v>-3.7249999999999233</v>
      </c>
      <c r="Q50" s="91">
        <f t="shared" si="6"/>
        <v>0.95343750000000094</v>
      </c>
      <c r="R50" s="177">
        <f>Q56</f>
        <v>0.95806522526446958</v>
      </c>
      <c r="S50" s="21">
        <v>0.33333333333333331</v>
      </c>
      <c r="T50" s="21">
        <v>0.35555555555555551</v>
      </c>
      <c r="U50" s="21"/>
      <c r="V50" s="30">
        <f t="shared" ref="V50:V55" si="37">(T50-S50)*24*60</f>
        <v>31.999999999999964</v>
      </c>
      <c r="W50" s="21"/>
      <c r="X50" s="21"/>
      <c r="Y50" s="21"/>
      <c r="Z50" s="21"/>
      <c r="AA50" s="168"/>
      <c r="AB50" s="168"/>
      <c r="AC50" s="18">
        <v>6</v>
      </c>
      <c r="AD50" s="18"/>
      <c r="AE50" s="14">
        <f t="shared" si="8"/>
        <v>-93.124999999997954</v>
      </c>
      <c r="AF50" s="91">
        <f t="shared" si="9"/>
        <v>0.95343750000000105</v>
      </c>
      <c r="AG50" s="177">
        <f>AF56</f>
        <v>0.95806522526446947</v>
      </c>
    </row>
    <row r="51" spans="1:33" ht="15.75" customHeight="1">
      <c r="A51" s="181" t="s">
        <v>174</v>
      </c>
      <c r="B51" s="28" t="s">
        <v>5</v>
      </c>
      <c r="C51" s="169" t="s">
        <v>40</v>
      </c>
      <c r="D51" s="169"/>
      <c r="E51" s="28">
        <v>56.43</v>
      </c>
      <c r="F51" s="29">
        <v>1699</v>
      </c>
      <c r="G51" s="88">
        <f t="shared" si="35"/>
        <v>95874.569999999992</v>
      </c>
      <c r="H51" s="30" t="s">
        <v>53</v>
      </c>
      <c r="I51" s="95">
        <v>22</v>
      </c>
      <c r="J51" s="13">
        <v>2000</v>
      </c>
      <c r="K51" s="12">
        <f t="shared" si="1"/>
        <v>90.909090909090907</v>
      </c>
      <c r="L51" s="95">
        <v>22</v>
      </c>
      <c r="M51" s="13">
        <f>F51/V51*60</f>
        <v>1923.3962264150955</v>
      </c>
      <c r="N51" s="13">
        <f t="shared" si="3"/>
        <v>87.427101200686153</v>
      </c>
      <c r="O51" s="14">
        <f t="shared" si="4"/>
        <v>0</v>
      </c>
      <c r="P51" s="15">
        <f t="shared" si="5"/>
        <v>-3.481989708404754</v>
      </c>
      <c r="Q51" s="91">
        <f t="shared" si="6"/>
        <v>0.96169811320754772</v>
      </c>
      <c r="R51" s="177"/>
      <c r="S51" s="21">
        <v>0.35972222222222217</v>
      </c>
      <c r="T51" s="21">
        <v>0.3965277777777777</v>
      </c>
      <c r="U51" s="88">
        <f t="shared" ref="U51:U55" si="38">IF(S51=TIME(17,0,0),"",(S51-T50)*24*60)</f>
        <v>5.9999999999999787</v>
      </c>
      <c r="V51" s="30">
        <f t="shared" si="37"/>
        <v>52.999999999999972</v>
      </c>
      <c r="W51" s="16"/>
      <c r="X51" s="16"/>
      <c r="Y51" s="16"/>
      <c r="Z51" s="16"/>
      <c r="AA51" s="168"/>
      <c r="AB51" s="168"/>
      <c r="AC51" s="18"/>
      <c r="AD51" s="18"/>
      <c r="AE51" s="14">
        <f t="shared" si="8"/>
        <v>-76.603773584904502</v>
      </c>
      <c r="AF51" s="91">
        <f t="shared" si="9"/>
        <v>0.96169811320754772</v>
      </c>
      <c r="AG51" s="177"/>
    </row>
    <row r="52" spans="1:33" ht="15.75" customHeight="1">
      <c r="A52" s="181" t="s">
        <v>174</v>
      </c>
      <c r="B52" s="28" t="s">
        <v>9</v>
      </c>
      <c r="C52" s="170" t="s">
        <v>39</v>
      </c>
      <c r="D52" s="171"/>
      <c r="E52" s="28">
        <v>46</v>
      </c>
      <c r="F52" s="29">
        <v>2814</v>
      </c>
      <c r="G52" s="88">
        <f t="shared" si="35"/>
        <v>129444</v>
      </c>
      <c r="H52" s="30" t="s">
        <v>53</v>
      </c>
      <c r="I52" s="95">
        <v>17</v>
      </c>
      <c r="J52" s="13">
        <v>2000</v>
      </c>
      <c r="K52" s="12">
        <f t="shared" si="1"/>
        <v>117.64705882352941</v>
      </c>
      <c r="L52" s="95">
        <v>17</v>
      </c>
      <c r="M52" s="13">
        <f t="shared" ref="M52:M55" si="39">F52/V52*60</f>
        <v>1918.6363636363635</v>
      </c>
      <c r="N52" s="13">
        <f t="shared" si="3"/>
        <v>112.86096256684492</v>
      </c>
      <c r="O52" s="14">
        <f t="shared" si="4"/>
        <v>0</v>
      </c>
      <c r="P52" s="15">
        <f t="shared" si="5"/>
        <v>-4.7860962566844876</v>
      </c>
      <c r="Q52" s="91">
        <f t="shared" si="6"/>
        <v>0.95931818181818185</v>
      </c>
      <c r="R52" s="177"/>
      <c r="S52" s="21">
        <v>0.39999999999999991</v>
      </c>
      <c r="T52" s="21">
        <v>0.46111111111111103</v>
      </c>
      <c r="U52" s="88">
        <f t="shared" si="38"/>
        <v>4.9999999999999822</v>
      </c>
      <c r="V52" s="30">
        <f t="shared" si="37"/>
        <v>88</v>
      </c>
      <c r="W52" s="16"/>
      <c r="X52" s="16"/>
      <c r="Y52" s="19"/>
      <c r="Z52" s="19"/>
      <c r="AA52" s="168"/>
      <c r="AB52" s="168"/>
      <c r="AC52" s="18"/>
      <c r="AD52" s="18"/>
      <c r="AE52" s="14">
        <f t="shared" si="8"/>
        <v>-81.363636363636488</v>
      </c>
      <c r="AF52" s="91">
        <f t="shared" si="9"/>
        <v>0.95931818181818174</v>
      </c>
      <c r="AG52" s="177"/>
    </row>
    <row r="53" spans="1:33" ht="15.75" customHeight="1">
      <c r="A53" s="181" t="s">
        <v>174</v>
      </c>
      <c r="B53" s="28" t="s">
        <v>5</v>
      </c>
      <c r="C53" s="93" t="s">
        <v>45</v>
      </c>
      <c r="D53" s="94"/>
      <c r="E53" s="28">
        <v>55.32</v>
      </c>
      <c r="F53" s="29">
        <v>1602</v>
      </c>
      <c r="G53" s="88">
        <f t="shared" si="35"/>
        <v>88622.64</v>
      </c>
      <c r="H53" s="30" t="s">
        <v>53</v>
      </c>
      <c r="I53" s="95">
        <v>15</v>
      </c>
      <c r="J53" s="13">
        <v>2000</v>
      </c>
      <c r="K53" s="12">
        <f t="shared" si="1"/>
        <v>133.33333333333334</v>
      </c>
      <c r="L53" s="95">
        <v>15</v>
      </c>
      <c r="M53" s="13">
        <f t="shared" si="39"/>
        <v>1922.4000000000003</v>
      </c>
      <c r="N53" s="13">
        <f t="shared" si="3"/>
        <v>128.16000000000003</v>
      </c>
      <c r="O53" s="14">
        <f t="shared" si="4"/>
        <v>0</v>
      </c>
      <c r="P53" s="15">
        <f t="shared" si="5"/>
        <v>-5.1733333333333178</v>
      </c>
      <c r="Q53" s="91">
        <f t="shared" si="6"/>
        <v>0.96120000000000017</v>
      </c>
      <c r="R53" s="177"/>
      <c r="S53" s="21">
        <v>0.70833333333333337</v>
      </c>
      <c r="T53" s="21">
        <v>0.74305555555555558</v>
      </c>
      <c r="U53" s="88" t="str">
        <f t="shared" si="38"/>
        <v/>
      </c>
      <c r="V53" s="30">
        <f t="shared" si="37"/>
        <v>49.999999999999986</v>
      </c>
      <c r="W53" s="16"/>
      <c r="X53" s="16"/>
      <c r="Y53" s="19"/>
      <c r="Z53" s="19"/>
      <c r="AA53" s="168"/>
      <c r="AB53" s="168"/>
      <c r="AC53" s="18"/>
      <c r="AD53" s="18"/>
      <c r="AE53" s="14">
        <f t="shared" si="8"/>
        <v>-77.599999999999682</v>
      </c>
      <c r="AF53" s="91">
        <f t="shared" si="9"/>
        <v>0.96120000000000017</v>
      </c>
      <c r="AG53" s="177"/>
    </row>
    <row r="54" spans="1:33" ht="15.75" customHeight="1">
      <c r="A54" s="181" t="s">
        <v>174</v>
      </c>
      <c r="B54" s="28" t="s">
        <v>5</v>
      </c>
      <c r="C54" s="93" t="s">
        <v>44</v>
      </c>
      <c r="D54" s="94"/>
      <c r="E54" s="28">
        <v>55.56</v>
      </c>
      <c r="F54" s="29">
        <v>2070</v>
      </c>
      <c r="G54" s="88">
        <f t="shared" si="35"/>
        <v>115009.20000000001</v>
      </c>
      <c r="H54" s="30" t="s">
        <v>53</v>
      </c>
      <c r="I54" s="95">
        <v>17</v>
      </c>
      <c r="J54" s="13">
        <v>2000</v>
      </c>
      <c r="K54" s="12">
        <f t="shared" si="1"/>
        <v>117.64705882352941</v>
      </c>
      <c r="L54" s="95">
        <v>17</v>
      </c>
      <c r="M54" s="13">
        <f t="shared" si="39"/>
        <v>1910.769230769233</v>
      </c>
      <c r="N54" s="13">
        <f t="shared" si="3"/>
        <v>112.398190045249</v>
      </c>
      <c r="O54" s="14">
        <f t="shared" si="4"/>
        <v>0</v>
      </c>
      <c r="P54" s="15">
        <f t="shared" si="5"/>
        <v>-5.2488687782804107</v>
      </c>
      <c r="Q54" s="91">
        <f t="shared" si="6"/>
        <v>0.9553846153846165</v>
      </c>
      <c r="R54" s="177"/>
      <c r="S54" s="21">
        <v>0.74722222222222223</v>
      </c>
      <c r="T54" s="21">
        <v>0.79236111111111107</v>
      </c>
      <c r="U54" s="88">
        <f t="shared" si="38"/>
        <v>5.9999999999999787</v>
      </c>
      <c r="V54" s="30">
        <f t="shared" si="37"/>
        <v>64.999999999999929</v>
      </c>
      <c r="W54" s="16"/>
      <c r="X54" s="16"/>
      <c r="Y54" s="19"/>
      <c r="Z54" s="19"/>
      <c r="AA54" s="168"/>
      <c r="AB54" s="168"/>
      <c r="AC54" s="18"/>
      <c r="AD54" s="18"/>
      <c r="AE54" s="14">
        <f t="shared" si="8"/>
        <v>-89.23076923076701</v>
      </c>
      <c r="AF54" s="91">
        <f t="shared" si="9"/>
        <v>0.9553846153846165</v>
      </c>
      <c r="AG54" s="177"/>
    </row>
    <row r="55" spans="1:33" ht="15.75" customHeight="1">
      <c r="A55" s="181" t="s">
        <v>174</v>
      </c>
      <c r="B55" s="28" t="s">
        <v>5</v>
      </c>
      <c r="C55" s="170" t="s">
        <v>43</v>
      </c>
      <c r="D55" s="171"/>
      <c r="E55" s="28">
        <v>54.29</v>
      </c>
      <c r="F55" s="29">
        <v>1085</v>
      </c>
      <c r="G55" s="88">
        <f t="shared" si="35"/>
        <v>58904.65</v>
      </c>
      <c r="H55" s="30" t="s">
        <v>53</v>
      </c>
      <c r="I55" s="95">
        <v>20</v>
      </c>
      <c r="J55" s="13">
        <v>2000</v>
      </c>
      <c r="K55" s="12">
        <f t="shared" si="1"/>
        <v>100</v>
      </c>
      <c r="L55" s="95">
        <v>20</v>
      </c>
      <c r="M55" s="13">
        <f t="shared" si="39"/>
        <v>1914.7058823529387</v>
      </c>
      <c r="N55" s="13">
        <f t="shared" si="3"/>
        <v>95.73529411764693</v>
      </c>
      <c r="O55" s="14">
        <f t="shared" si="4"/>
        <v>0</v>
      </c>
      <c r="P55" s="15">
        <f t="shared" si="5"/>
        <v>-4.2647058823530699</v>
      </c>
      <c r="Q55" s="91">
        <f t="shared" si="6"/>
        <v>0.9573529411764693</v>
      </c>
      <c r="R55" s="177"/>
      <c r="S55" s="21">
        <v>0.79652777777777772</v>
      </c>
      <c r="T55" s="21">
        <v>0.82013888888888886</v>
      </c>
      <c r="U55" s="88">
        <f t="shared" si="38"/>
        <v>5.9999999999999787</v>
      </c>
      <c r="V55" s="30">
        <f t="shared" si="37"/>
        <v>34.000000000000043</v>
      </c>
      <c r="W55" s="16"/>
      <c r="X55" s="16"/>
      <c r="Y55" s="19"/>
      <c r="Z55" s="19"/>
      <c r="AA55" s="172"/>
      <c r="AB55" s="173"/>
      <c r="AC55" s="18"/>
      <c r="AD55" s="18"/>
      <c r="AE55" s="14">
        <f t="shared" si="8"/>
        <v>-85.294117647061285</v>
      </c>
      <c r="AF55" s="91">
        <f t="shared" si="9"/>
        <v>0.95735294117646941</v>
      </c>
      <c r="AG55" s="177"/>
    </row>
    <row r="56" spans="1:33">
      <c r="A56" s="182" t="s">
        <v>174</v>
      </c>
      <c r="B56" s="28" t="s">
        <v>168</v>
      </c>
      <c r="C56" s="178"/>
      <c r="D56" s="178"/>
      <c r="E56" s="92"/>
      <c r="F56" s="12"/>
      <c r="G56" s="12"/>
      <c r="H56" s="88"/>
      <c r="I56" s="23">
        <v>19.333333333333332</v>
      </c>
      <c r="J56" s="13">
        <v>2000</v>
      </c>
      <c r="K56" s="12">
        <f t="shared" si="1"/>
        <v>103.44827586206897</v>
      </c>
      <c r="L56" s="23">
        <v>19.333333333333332</v>
      </c>
      <c r="M56" s="13">
        <f>AVERAGE(M50:M55)</f>
        <v>1916.130450528939</v>
      </c>
      <c r="N56" s="12">
        <f t="shared" si="3"/>
        <v>99.110195717014093</v>
      </c>
      <c r="O56" s="14">
        <f t="shared" si="4"/>
        <v>0</v>
      </c>
      <c r="P56" s="15">
        <f t="shared" si="5"/>
        <v>-4.3380801450548745</v>
      </c>
      <c r="Q56" s="91">
        <f t="shared" si="6"/>
        <v>0.95806522526446958</v>
      </c>
      <c r="R56" s="177"/>
      <c r="S56" s="21"/>
      <c r="T56" s="21"/>
      <c r="U56" s="88"/>
      <c r="V56" s="30"/>
      <c r="W56" s="12"/>
      <c r="X56" s="12"/>
      <c r="Y56" s="24">
        <f>SUM(Y50:Y55)</f>
        <v>0</v>
      </c>
      <c r="Z56" s="24">
        <f>SUM(Z50:Z55)</f>
        <v>0</v>
      </c>
      <c r="AA56" s="167"/>
      <c r="AB56" s="167"/>
      <c r="AC56" s="24">
        <v>6</v>
      </c>
      <c r="AD56" s="24">
        <f>SUM(AD50:AD55)</f>
        <v>0</v>
      </c>
      <c r="AE56" s="14">
        <f>M56-J56</f>
        <v>-83.869549471060964</v>
      </c>
      <c r="AF56" s="91">
        <f t="shared" si="9"/>
        <v>0.95806522526446947</v>
      </c>
      <c r="AG56" s="177"/>
    </row>
    <row r="57" spans="1:33" ht="15.75" customHeight="1">
      <c r="A57" s="179" t="s">
        <v>175</v>
      </c>
      <c r="B57" s="88" t="s">
        <v>33</v>
      </c>
      <c r="C57" s="169" t="s">
        <v>46</v>
      </c>
      <c r="D57" s="169"/>
      <c r="E57" s="28">
        <v>37.85</v>
      </c>
      <c r="F57" s="29">
        <v>1339</v>
      </c>
      <c r="G57" s="88">
        <f t="shared" ref="G57:G63" si="40">E57*F57</f>
        <v>50681.15</v>
      </c>
      <c r="H57" s="30" t="s">
        <v>53</v>
      </c>
      <c r="I57" s="95">
        <v>12</v>
      </c>
      <c r="J57" s="13">
        <v>2000</v>
      </c>
      <c r="K57" s="12">
        <f t="shared" si="1"/>
        <v>166.66666666666666</v>
      </c>
      <c r="L57" s="95">
        <v>12</v>
      </c>
      <c r="M57" s="13">
        <f t="shared" ref="M57:M63" si="41">F57/V57*60</f>
        <v>1912.8571428571422</v>
      </c>
      <c r="N57" s="12">
        <f t="shared" si="3"/>
        <v>159.40476190476184</v>
      </c>
      <c r="O57" s="14">
        <f t="shared" si="4"/>
        <v>0</v>
      </c>
      <c r="P57" s="15">
        <f t="shared" si="5"/>
        <v>-7.261904761904816</v>
      </c>
      <c r="Q57" s="91">
        <f t="shared" si="6"/>
        <v>0.95642857142857107</v>
      </c>
      <c r="R57" s="177">
        <f>Q64</f>
        <v>0.95685850633177039</v>
      </c>
      <c r="S57" s="21">
        <v>0.20833333333333334</v>
      </c>
      <c r="T57" s="21">
        <v>0.23750000000000002</v>
      </c>
      <c r="U57" s="88"/>
      <c r="V57" s="30">
        <f t="shared" ref="V57:V63" si="42">(T57-S57)*24*60</f>
        <v>42.000000000000014</v>
      </c>
      <c r="W57" s="21"/>
      <c r="X57" s="21"/>
      <c r="Y57" s="21"/>
      <c r="Z57" s="21"/>
      <c r="AA57" s="168"/>
      <c r="AB57" s="168"/>
      <c r="AC57" s="18">
        <v>7</v>
      </c>
      <c r="AD57" s="18"/>
      <c r="AE57" s="14">
        <f t="shared" ref="AE57:AE71" si="43">M57-J57</f>
        <v>-87.142857142857792</v>
      </c>
      <c r="AF57" s="91">
        <f t="shared" si="9"/>
        <v>0.95642857142857107</v>
      </c>
      <c r="AG57" s="177">
        <f>AF64</f>
        <v>0.9568585063317705</v>
      </c>
    </row>
    <row r="58" spans="1:33" ht="15.75" customHeight="1">
      <c r="A58" s="179" t="s">
        <v>175</v>
      </c>
      <c r="B58" s="88" t="s">
        <v>33</v>
      </c>
      <c r="C58" s="169" t="s">
        <v>47</v>
      </c>
      <c r="D58" s="169"/>
      <c r="E58" s="28">
        <v>34.36</v>
      </c>
      <c r="F58" s="29">
        <v>2605</v>
      </c>
      <c r="G58" s="88">
        <f t="shared" si="40"/>
        <v>89507.8</v>
      </c>
      <c r="H58" s="30" t="s">
        <v>53</v>
      </c>
      <c r="I58" s="95">
        <v>10</v>
      </c>
      <c r="J58" s="13">
        <v>3000</v>
      </c>
      <c r="K58" s="12">
        <f t="shared" si="1"/>
        <v>300</v>
      </c>
      <c r="L58" s="95">
        <v>10</v>
      </c>
      <c r="M58" s="13">
        <f t="shared" si="41"/>
        <v>2894.4444444444462</v>
      </c>
      <c r="N58" s="12">
        <f t="shared" si="3"/>
        <v>289.44444444444463</v>
      </c>
      <c r="O58" s="14">
        <f t="shared" si="4"/>
        <v>0</v>
      </c>
      <c r="P58" s="15">
        <f t="shared" si="5"/>
        <v>-10.555555555555372</v>
      </c>
      <c r="Q58" s="91">
        <f t="shared" si="6"/>
        <v>0.96481481481481546</v>
      </c>
      <c r="R58" s="177"/>
      <c r="S58" s="21">
        <v>0.24305555555555558</v>
      </c>
      <c r="T58" s="21">
        <v>0.28055555555555556</v>
      </c>
      <c r="U58" s="88">
        <f t="shared" ref="U58:U63" si="44">(S58-T57)*24*60</f>
        <v>8.0000000000000107</v>
      </c>
      <c r="V58" s="30">
        <f t="shared" si="42"/>
        <v>53.999999999999972</v>
      </c>
      <c r="W58" s="88"/>
      <c r="X58" s="88"/>
      <c r="Y58" s="88"/>
      <c r="Z58" s="88"/>
      <c r="AA58" s="168"/>
      <c r="AB58" s="168"/>
      <c r="AC58" s="18"/>
      <c r="AD58" s="18"/>
      <c r="AE58" s="14">
        <f t="shared" si="43"/>
        <v>-105.55555555555384</v>
      </c>
      <c r="AF58" s="91">
        <f t="shared" si="9"/>
        <v>0.96481481481481535</v>
      </c>
      <c r="AG58" s="177"/>
    </row>
    <row r="59" spans="1:33" ht="15.75" customHeight="1">
      <c r="A59" s="179" t="s">
        <v>175</v>
      </c>
      <c r="B59" s="88" t="s">
        <v>33</v>
      </c>
      <c r="C59" s="169" t="s">
        <v>34</v>
      </c>
      <c r="D59" s="169"/>
      <c r="E59" s="28">
        <v>34.36</v>
      </c>
      <c r="F59" s="29">
        <v>1669</v>
      </c>
      <c r="G59" s="88">
        <f t="shared" si="40"/>
        <v>57346.84</v>
      </c>
      <c r="H59" s="30" t="s">
        <v>53</v>
      </c>
      <c r="I59" s="95">
        <v>10</v>
      </c>
      <c r="J59" s="13">
        <v>3000</v>
      </c>
      <c r="K59" s="12">
        <f t="shared" si="1"/>
        <v>300</v>
      </c>
      <c r="L59" s="95">
        <v>10</v>
      </c>
      <c r="M59" s="13">
        <f t="shared" si="41"/>
        <v>2861.1428571428546</v>
      </c>
      <c r="N59" s="12">
        <f t="shared" si="3"/>
        <v>286.11428571428547</v>
      </c>
      <c r="O59" s="14">
        <f t="shared" si="4"/>
        <v>0</v>
      </c>
      <c r="P59" s="15">
        <f t="shared" si="5"/>
        <v>-13.885714285714528</v>
      </c>
      <c r="Q59" s="91">
        <f t="shared" si="6"/>
        <v>0.95371428571428496</v>
      </c>
      <c r="R59" s="177"/>
      <c r="S59" s="21">
        <v>0.28611111111111109</v>
      </c>
      <c r="T59" s="21">
        <v>0.31041666666666667</v>
      </c>
      <c r="U59" s="88">
        <f t="shared" si="44"/>
        <v>7.9999999999999716</v>
      </c>
      <c r="V59" s="30">
        <f t="shared" si="42"/>
        <v>35.000000000000036</v>
      </c>
      <c r="W59" s="88"/>
      <c r="X59" s="88"/>
      <c r="Y59" s="88"/>
      <c r="Z59" s="88"/>
      <c r="AA59" s="168"/>
      <c r="AB59" s="168"/>
      <c r="AC59" s="18"/>
      <c r="AD59" s="18"/>
      <c r="AE59" s="14">
        <f t="shared" si="43"/>
        <v>-138.85714285714539</v>
      </c>
      <c r="AF59" s="91">
        <f t="shared" si="9"/>
        <v>0.95371428571428485</v>
      </c>
      <c r="AG59" s="177"/>
    </row>
    <row r="60" spans="1:33" ht="15.75" customHeight="1">
      <c r="A60" s="179" t="s">
        <v>175</v>
      </c>
      <c r="B60" s="88" t="s">
        <v>33</v>
      </c>
      <c r="C60" s="169" t="s">
        <v>35</v>
      </c>
      <c r="D60" s="169"/>
      <c r="E60" s="28">
        <v>26.78</v>
      </c>
      <c r="F60" s="29">
        <v>2619</v>
      </c>
      <c r="G60" s="88">
        <f t="shared" si="40"/>
        <v>70136.820000000007</v>
      </c>
      <c r="H60" s="30" t="s">
        <v>53</v>
      </c>
      <c r="I60" s="95">
        <v>10</v>
      </c>
      <c r="J60" s="13">
        <v>3000</v>
      </c>
      <c r="K60" s="12">
        <f t="shared" si="1"/>
        <v>300</v>
      </c>
      <c r="L60" s="95">
        <v>10</v>
      </c>
      <c r="M60" s="13">
        <f t="shared" si="41"/>
        <v>2857.0909090909108</v>
      </c>
      <c r="N60" s="12">
        <f t="shared" si="3"/>
        <v>285.70909090909106</v>
      </c>
      <c r="O60" s="14">
        <f t="shared" si="4"/>
        <v>0</v>
      </c>
      <c r="P60" s="15">
        <f t="shared" si="5"/>
        <v>-14.29090909090894</v>
      </c>
      <c r="Q60" s="91">
        <f t="shared" si="6"/>
        <v>0.95236363636363686</v>
      </c>
      <c r="R60" s="177"/>
      <c r="S60" s="21">
        <v>0.31527777777777777</v>
      </c>
      <c r="T60" s="21">
        <v>0.35347222222222219</v>
      </c>
      <c r="U60" s="88">
        <f t="shared" si="44"/>
        <v>6.9999999999999751</v>
      </c>
      <c r="V60" s="30">
        <f t="shared" si="42"/>
        <v>54.999999999999964</v>
      </c>
      <c r="W60" s="88"/>
      <c r="X60" s="88"/>
      <c r="Y60" s="88"/>
      <c r="Z60" s="88"/>
      <c r="AA60" s="168"/>
      <c r="AB60" s="168"/>
      <c r="AC60" s="18"/>
      <c r="AD60" s="18"/>
      <c r="AE60" s="14">
        <f t="shared" si="43"/>
        <v>-142.90909090908917</v>
      </c>
      <c r="AF60" s="91">
        <f t="shared" si="9"/>
        <v>0.95236363636363697</v>
      </c>
      <c r="AG60" s="177"/>
    </row>
    <row r="61" spans="1:33">
      <c r="A61" s="180" t="s">
        <v>175</v>
      </c>
      <c r="B61" s="88" t="s">
        <v>33</v>
      </c>
      <c r="C61" s="169" t="s">
        <v>71</v>
      </c>
      <c r="D61" s="169"/>
      <c r="E61" s="28">
        <v>28.3</v>
      </c>
      <c r="F61" s="29">
        <v>1480</v>
      </c>
      <c r="G61" s="88">
        <f t="shared" si="40"/>
        <v>41884</v>
      </c>
      <c r="H61" s="30" t="s">
        <v>53</v>
      </c>
      <c r="I61" s="95">
        <v>8</v>
      </c>
      <c r="J61" s="13">
        <v>3000</v>
      </c>
      <c r="K61" s="12">
        <f t="shared" si="1"/>
        <v>375</v>
      </c>
      <c r="L61" s="95">
        <v>8</v>
      </c>
      <c r="M61" s="13">
        <f t="shared" si="41"/>
        <v>2864.5161290322608</v>
      </c>
      <c r="N61" s="12">
        <f t="shared" si="3"/>
        <v>358.0645161290326</v>
      </c>
      <c r="O61" s="14">
        <f t="shared" si="4"/>
        <v>0</v>
      </c>
      <c r="P61" s="15">
        <f t="shared" si="5"/>
        <v>-16.935483870967403</v>
      </c>
      <c r="Q61" s="91">
        <f t="shared" si="6"/>
        <v>0.95483870967742024</v>
      </c>
      <c r="R61" s="177"/>
      <c r="S61" s="21">
        <v>0.35833333333333328</v>
      </c>
      <c r="T61" s="21">
        <v>0.37986111111111104</v>
      </c>
      <c r="U61" s="88">
        <f t="shared" si="44"/>
        <v>6.9999999999999751</v>
      </c>
      <c r="V61" s="30">
        <f t="shared" si="42"/>
        <v>30.999999999999972</v>
      </c>
      <c r="W61" s="16"/>
      <c r="X61" s="16"/>
      <c r="Y61" s="16"/>
      <c r="Z61" s="16"/>
      <c r="AA61" s="168"/>
      <c r="AB61" s="168"/>
      <c r="AC61" s="18"/>
      <c r="AD61" s="18"/>
      <c r="AE61" s="14">
        <f t="shared" si="43"/>
        <v>-135.48387096773922</v>
      </c>
      <c r="AF61" s="91">
        <f t="shared" si="9"/>
        <v>0.95483870967742024</v>
      </c>
      <c r="AG61" s="177"/>
    </row>
    <row r="62" spans="1:33" ht="15" customHeight="1">
      <c r="A62" s="180" t="s">
        <v>175</v>
      </c>
      <c r="B62" s="88" t="s">
        <v>33</v>
      </c>
      <c r="C62" s="170" t="s">
        <v>756</v>
      </c>
      <c r="D62" s="171"/>
      <c r="E62" s="28">
        <v>37.880000000000003</v>
      </c>
      <c r="F62" s="29">
        <v>2839</v>
      </c>
      <c r="G62" s="88">
        <f t="shared" si="40"/>
        <v>107541.32</v>
      </c>
      <c r="H62" s="30" t="s">
        <v>53</v>
      </c>
      <c r="I62" s="95">
        <v>10</v>
      </c>
      <c r="J62" s="13">
        <v>3000</v>
      </c>
      <c r="K62" s="12">
        <f t="shared" si="1"/>
        <v>300</v>
      </c>
      <c r="L62" s="95">
        <v>10</v>
      </c>
      <c r="M62" s="13">
        <f t="shared" si="41"/>
        <v>2887.1186440677952</v>
      </c>
      <c r="N62" s="12">
        <f t="shared" si="3"/>
        <v>288.71186440677951</v>
      </c>
      <c r="O62" s="14">
        <f t="shared" si="4"/>
        <v>0</v>
      </c>
      <c r="P62" s="15">
        <f t="shared" si="5"/>
        <v>-11.288135593220488</v>
      </c>
      <c r="Q62" s="91">
        <f t="shared" si="6"/>
        <v>0.96237288135593169</v>
      </c>
      <c r="R62" s="177"/>
      <c r="S62" s="21">
        <v>0.38541666666666657</v>
      </c>
      <c r="T62" s="21">
        <v>0.42638888888888882</v>
      </c>
      <c r="U62" s="88">
        <f t="shared" si="44"/>
        <v>7.9999999999999716</v>
      </c>
      <c r="V62" s="30">
        <f t="shared" si="42"/>
        <v>59.000000000000028</v>
      </c>
      <c r="W62" s="88"/>
      <c r="X62" s="88"/>
      <c r="Y62" s="98"/>
      <c r="Z62" s="98"/>
      <c r="AA62" s="172"/>
      <c r="AB62" s="173"/>
      <c r="AC62" s="18"/>
      <c r="AD62" s="18"/>
      <c r="AE62" s="14">
        <f t="shared" si="43"/>
        <v>-112.88135593220477</v>
      </c>
      <c r="AF62" s="91">
        <f t="shared" si="9"/>
        <v>0.9623728813559318</v>
      </c>
      <c r="AG62" s="177"/>
    </row>
    <row r="63" spans="1:33">
      <c r="A63" s="180" t="s">
        <v>175</v>
      </c>
      <c r="B63" s="88" t="s">
        <v>33</v>
      </c>
      <c r="C63" s="93" t="s">
        <v>38</v>
      </c>
      <c r="D63" s="94"/>
      <c r="E63" s="28">
        <v>35.869999999999997</v>
      </c>
      <c r="F63" s="29">
        <v>4147</v>
      </c>
      <c r="G63" s="88">
        <f t="shared" si="40"/>
        <v>148752.88999999998</v>
      </c>
      <c r="H63" s="30" t="s">
        <v>53</v>
      </c>
      <c r="I63" s="95">
        <v>9</v>
      </c>
      <c r="J63" s="13">
        <v>3000</v>
      </c>
      <c r="K63" s="12">
        <f t="shared" si="1"/>
        <v>333.33333333333331</v>
      </c>
      <c r="L63" s="95">
        <v>9</v>
      </c>
      <c r="M63" s="13">
        <f t="shared" si="41"/>
        <v>2859.9999999999995</v>
      </c>
      <c r="N63" s="12">
        <f t="shared" si="3"/>
        <v>317.77777777777771</v>
      </c>
      <c r="O63" s="14">
        <f t="shared" si="4"/>
        <v>0</v>
      </c>
      <c r="P63" s="15">
        <f t="shared" si="5"/>
        <v>-15.5555555555556</v>
      </c>
      <c r="Q63" s="91">
        <f t="shared" si="6"/>
        <v>0.95333333333333314</v>
      </c>
      <c r="R63" s="177"/>
      <c r="S63" s="21">
        <v>0.43124999999999991</v>
      </c>
      <c r="T63" s="21">
        <v>0.49166666666666659</v>
      </c>
      <c r="U63" s="88">
        <f t="shared" si="44"/>
        <v>6.9999999999999751</v>
      </c>
      <c r="V63" s="30">
        <f t="shared" si="42"/>
        <v>87.000000000000014</v>
      </c>
      <c r="W63" s="16"/>
      <c r="X63" s="16"/>
      <c r="Y63" s="19"/>
      <c r="Z63" s="19"/>
      <c r="AA63" s="172"/>
      <c r="AB63" s="173"/>
      <c r="AC63" s="18"/>
      <c r="AD63" s="18"/>
      <c r="AE63" s="14">
        <f t="shared" si="43"/>
        <v>-140.00000000000045</v>
      </c>
      <c r="AF63" s="91">
        <f t="shared" si="9"/>
        <v>0.95333333333333314</v>
      </c>
      <c r="AG63" s="177"/>
    </row>
    <row r="64" spans="1:33">
      <c r="A64" s="180" t="s">
        <v>175</v>
      </c>
      <c r="B64" s="28" t="s">
        <v>168</v>
      </c>
      <c r="C64" s="178"/>
      <c r="D64" s="178"/>
      <c r="E64" s="92"/>
      <c r="F64" s="12"/>
      <c r="G64" s="12"/>
      <c r="H64" s="88"/>
      <c r="I64" s="23">
        <v>9.8571428571428577</v>
      </c>
      <c r="J64" s="13">
        <v>2857.1428571428573</v>
      </c>
      <c r="K64" s="12">
        <f t="shared" si="1"/>
        <v>289.85507246376812</v>
      </c>
      <c r="L64" s="23">
        <v>9.8571428571428577</v>
      </c>
      <c r="M64" s="13">
        <f>AVERAGE(M57:M63)</f>
        <v>2733.8814466622016</v>
      </c>
      <c r="N64" s="12">
        <f t="shared" si="3"/>
        <v>277.35029169036824</v>
      </c>
      <c r="O64" s="14">
        <f t="shared" si="4"/>
        <v>0</v>
      </c>
      <c r="P64" s="15">
        <f t="shared" si="5"/>
        <v>-12.504780773399887</v>
      </c>
      <c r="Q64" s="91">
        <f t="shared" si="6"/>
        <v>0.95685850633177039</v>
      </c>
      <c r="R64" s="177"/>
      <c r="S64" s="21"/>
      <c r="T64" s="21"/>
      <c r="U64" s="12"/>
      <c r="V64" s="30"/>
      <c r="W64" s="12"/>
      <c r="X64" s="12"/>
      <c r="Y64" s="24">
        <f>SUM(Y57:Y63)</f>
        <v>0</v>
      </c>
      <c r="Z64" s="24">
        <f>SUM(Z57:Z63)</f>
        <v>0</v>
      </c>
      <c r="AA64" s="167"/>
      <c r="AB64" s="167"/>
      <c r="AC64" s="24">
        <v>7</v>
      </c>
      <c r="AD64" s="24">
        <f>SUM(AD57:AD63)</f>
        <v>0</v>
      </c>
      <c r="AE64" s="14">
        <f t="shared" si="43"/>
        <v>-123.26141048065574</v>
      </c>
      <c r="AF64" s="91">
        <f t="shared" si="9"/>
        <v>0.9568585063317705</v>
      </c>
      <c r="AG64" s="177"/>
    </row>
    <row r="65" spans="1:33" ht="15.75" customHeight="1">
      <c r="A65" s="174" t="s">
        <v>176</v>
      </c>
      <c r="B65" s="88" t="s">
        <v>22</v>
      </c>
      <c r="C65" s="169" t="s">
        <v>29</v>
      </c>
      <c r="D65" s="169"/>
      <c r="E65" s="28">
        <v>20.52</v>
      </c>
      <c r="F65" s="88">
        <v>4362</v>
      </c>
      <c r="G65" s="88">
        <f t="shared" ref="G65:G70" si="45">E65*F65</f>
        <v>89508.24</v>
      </c>
      <c r="H65" s="30" t="s">
        <v>53</v>
      </c>
      <c r="I65" s="95">
        <v>18</v>
      </c>
      <c r="J65" s="13">
        <v>2400</v>
      </c>
      <c r="K65" s="12">
        <f t="shared" si="1"/>
        <v>133.33333333333334</v>
      </c>
      <c r="L65" s="95">
        <v>18</v>
      </c>
      <c r="M65" s="13">
        <f t="shared" ref="M65:M70" si="46">F65/V65*60</f>
        <v>2295.7894736842109</v>
      </c>
      <c r="N65" s="12">
        <f t="shared" si="3"/>
        <v>127.54385964912282</v>
      </c>
      <c r="O65" s="14">
        <f t="shared" si="4"/>
        <v>0</v>
      </c>
      <c r="P65" s="15">
        <f t="shared" si="5"/>
        <v>-5.7894736842105203</v>
      </c>
      <c r="Q65" s="91">
        <f t="shared" si="6"/>
        <v>0.95657894736842108</v>
      </c>
      <c r="R65" s="177">
        <f>Q71</f>
        <v>0.95625515708188891</v>
      </c>
      <c r="S65" s="21">
        <v>8.3333333333333329E-2</v>
      </c>
      <c r="T65" s="21">
        <v>0.16249999999999998</v>
      </c>
      <c r="U65" s="21"/>
      <c r="V65" s="30">
        <f t="shared" ref="V65:V70" si="47">(T65-S65)*24*60</f>
        <v>113.99999999999997</v>
      </c>
      <c r="W65" s="16">
        <f>T65</f>
        <v>0.16249999999999998</v>
      </c>
      <c r="X65" s="16">
        <f>S66</f>
        <v>0.18194444444444441</v>
      </c>
      <c r="Y65" s="16"/>
      <c r="Z65" s="16"/>
      <c r="AA65" s="168"/>
      <c r="AB65" s="168"/>
      <c r="AC65" s="18">
        <v>6</v>
      </c>
      <c r="AD65" s="18"/>
      <c r="AE65" s="14">
        <f t="shared" si="43"/>
        <v>-104.21052631578914</v>
      </c>
      <c r="AF65" s="91">
        <f t="shared" si="9"/>
        <v>0.9565789473684212</v>
      </c>
      <c r="AG65" s="177">
        <f>AF71</f>
        <v>0.95625515708188891</v>
      </c>
    </row>
    <row r="66" spans="1:33" ht="15.75" customHeight="1">
      <c r="A66" s="175" t="s">
        <v>176</v>
      </c>
      <c r="B66" s="88" t="s">
        <v>22</v>
      </c>
      <c r="C66" s="169" t="s">
        <v>50</v>
      </c>
      <c r="D66" s="169"/>
      <c r="E66" s="28">
        <v>24.45</v>
      </c>
      <c r="F66" s="88">
        <v>2802</v>
      </c>
      <c r="G66" s="88">
        <f t="shared" si="45"/>
        <v>68508.899999999994</v>
      </c>
      <c r="H66" s="30" t="s">
        <v>53</v>
      </c>
      <c r="I66" s="95">
        <v>19</v>
      </c>
      <c r="J66" s="13">
        <v>2400</v>
      </c>
      <c r="K66" s="12">
        <f t="shared" si="1"/>
        <v>126.31578947368421</v>
      </c>
      <c r="L66" s="95">
        <v>19</v>
      </c>
      <c r="M66" s="13">
        <f t="shared" si="46"/>
        <v>2303.0136986301377</v>
      </c>
      <c r="N66" s="12">
        <f t="shared" si="3"/>
        <v>121.21124729632304</v>
      </c>
      <c r="O66" s="14">
        <f t="shared" si="4"/>
        <v>0</v>
      </c>
      <c r="P66" s="15">
        <f t="shared" si="5"/>
        <v>-5.1045421773611679</v>
      </c>
      <c r="Q66" s="91">
        <f t="shared" si="6"/>
        <v>0.95958904109589072</v>
      </c>
      <c r="R66" s="177"/>
      <c r="S66" s="21">
        <v>0.18194444444444441</v>
      </c>
      <c r="T66" s="21">
        <v>0.23263888888888884</v>
      </c>
      <c r="U66" s="88">
        <f t="shared" ref="U66:U70" si="48">(S66-T65)*24*60</f>
        <v>27.999999999999979</v>
      </c>
      <c r="V66" s="30">
        <f t="shared" si="47"/>
        <v>72.999999999999986</v>
      </c>
      <c r="W66" s="16"/>
      <c r="X66" s="16"/>
      <c r="Y66" s="16"/>
      <c r="Z66" s="16"/>
      <c r="AA66" s="168"/>
      <c r="AB66" s="168"/>
      <c r="AC66" s="18"/>
      <c r="AD66" s="18"/>
      <c r="AE66" s="14">
        <f t="shared" si="43"/>
        <v>-96.986301369862304</v>
      </c>
      <c r="AF66" s="91">
        <f t="shared" si="9"/>
        <v>0.95958904109589072</v>
      </c>
      <c r="AG66" s="177"/>
    </row>
    <row r="67" spans="1:33" ht="15.75" customHeight="1">
      <c r="A67" s="175" t="s">
        <v>176</v>
      </c>
      <c r="B67" s="88" t="s">
        <v>22</v>
      </c>
      <c r="C67" s="169" t="s">
        <v>31</v>
      </c>
      <c r="D67" s="169"/>
      <c r="E67" s="28">
        <v>20.21</v>
      </c>
      <c r="F67" s="88">
        <v>3149</v>
      </c>
      <c r="G67" s="88">
        <f t="shared" si="45"/>
        <v>63641.29</v>
      </c>
      <c r="H67" s="30" t="s">
        <v>53</v>
      </c>
      <c r="I67" s="95">
        <v>15</v>
      </c>
      <c r="J67" s="13">
        <v>2400</v>
      </c>
      <c r="K67" s="12">
        <f t="shared" si="1"/>
        <v>160</v>
      </c>
      <c r="L67" s="95">
        <v>15</v>
      </c>
      <c r="M67" s="13">
        <f t="shared" si="46"/>
        <v>2304.146341463415</v>
      </c>
      <c r="N67" s="12">
        <f t="shared" si="3"/>
        <v>153.60975609756099</v>
      </c>
      <c r="O67" s="14">
        <f t="shared" si="4"/>
        <v>0</v>
      </c>
      <c r="P67" s="15">
        <f t="shared" si="5"/>
        <v>-6.3902439024390105</v>
      </c>
      <c r="Q67" s="91">
        <f t="shared" si="6"/>
        <v>0.96006097560975623</v>
      </c>
      <c r="R67" s="177"/>
      <c r="S67" s="21">
        <v>0.23680555555555552</v>
      </c>
      <c r="T67" s="21">
        <v>0.29374999999999996</v>
      </c>
      <c r="U67" s="88">
        <f t="shared" si="48"/>
        <v>6.0000000000000187</v>
      </c>
      <c r="V67" s="30">
        <f t="shared" si="47"/>
        <v>81.999999999999986</v>
      </c>
      <c r="W67" s="16"/>
      <c r="X67" s="16"/>
      <c r="Y67" s="16"/>
      <c r="Z67" s="16"/>
      <c r="AA67" s="168"/>
      <c r="AB67" s="168"/>
      <c r="AC67" s="18"/>
      <c r="AD67" s="18"/>
      <c r="AE67" s="14">
        <f t="shared" si="43"/>
        <v>-95.853658536585044</v>
      </c>
      <c r="AF67" s="91">
        <f t="shared" si="9"/>
        <v>0.96006097560975623</v>
      </c>
      <c r="AG67" s="177"/>
    </row>
    <row r="68" spans="1:33" ht="15.75" customHeight="1">
      <c r="A68" s="175" t="s">
        <v>176</v>
      </c>
      <c r="B68" s="88" t="s">
        <v>22</v>
      </c>
      <c r="C68" s="169" t="s">
        <v>52</v>
      </c>
      <c r="D68" s="169"/>
      <c r="E68" s="28">
        <v>19.02</v>
      </c>
      <c r="F68" s="88">
        <v>6100</v>
      </c>
      <c r="G68" s="88">
        <f t="shared" si="45"/>
        <v>116022</v>
      </c>
      <c r="H68" s="30">
        <v>2</v>
      </c>
      <c r="I68" s="95">
        <v>14</v>
      </c>
      <c r="J68" s="13">
        <v>2400</v>
      </c>
      <c r="K68" s="12">
        <f t="shared" si="1"/>
        <v>171.42857142857142</v>
      </c>
      <c r="L68" s="95">
        <v>14</v>
      </c>
      <c r="M68" s="13">
        <f t="shared" si="46"/>
        <v>2287.5</v>
      </c>
      <c r="N68" s="12">
        <f t="shared" si="3"/>
        <v>163.39285714285714</v>
      </c>
      <c r="O68" s="14">
        <f t="shared" si="4"/>
        <v>0</v>
      </c>
      <c r="P68" s="15">
        <f t="shared" si="5"/>
        <v>-8.0357142857142776</v>
      </c>
      <c r="Q68" s="91">
        <f t="shared" si="6"/>
        <v>0.953125</v>
      </c>
      <c r="R68" s="177"/>
      <c r="S68" s="21">
        <v>0.29722222222222217</v>
      </c>
      <c r="T68" s="21">
        <v>0.40833333333333327</v>
      </c>
      <c r="U68" s="88">
        <f t="shared" si="48"/>
        <v>4.9999999999999822</v>
      </c>
      <c r="V68" s="30">
        <f t="shared" si="47"/>
        <v>160</v>
      </c>
      <c r="W68" s="16"/>
      <c r="X68" s="16"/>
      <c r="Y68" s="16"/>
      <c r="Z68" s="16"/>
      <c r="AA68" s="168"/>
      <c r="AB68" s="168"/>
      <c r="AC68" s="18"/>
      <c r="AD68" s="18"/>
      <c r="AE68" s="14">
        <f t="shared" si="43"/>
        <v>-112.5</v>
      </c>
      <c r="AF68" s="91">
        <f t="shared" si="9"/>
        <v>0.953125</v>
      </c>
      <c r="AG68" s="177"/>
    </row>
    <row r="69" spans="1:33" ht="15.75" customHeight="1">
      <c r="A69" s="175" t="s">
        <v>176</v>
      </c>
      <c r="B69" s="88" t="s">
        <v>22</v>
      </c>
      <c r="C69" s="169" t="s">
        <v>70</v>
      </c>
      <c r="D69" s="169"/>
      <c r="E69" s="28">
        <v>22.69</v>
      </c>
      <c r="F69" s="88">
        <v>5303</v>
      </c>
      <c r="G69" s="88">
        <f t="shared" si="45"/>
        <v>120325.07</v>
      </c>
      <c r="H69" s="30" t="s">
        <v>53</v>
      </c>
      <c r="I69" s="95">
        <v>15</v>
      </c>
      <c r="J69" s="13">
        <v>2400</v>
      </c>
      <c r="K69" s="12">
        <f t="shared" ref="K69:K71" si="49">J69/I69</f>
        <v>160</v>
      </c>
      <c r="L69" s="95">
        <v>15</v>
      </c>
      <c r="M69" s="13">
        <f t="shared" si="46"/>
        <v>2289.0647482014379</v>
      </c>
      <c r="N69" s="12">
        <f t="shared" ref="N69:N71" si="50">M69/L69</f>
        <v>152.60431654676253</v>
      </c>
      <c r="O69" s="14">
        <f t="shared" ref="O69:O71" si="51">L69-I69</f>
        <v>0</v>
      </c>
      <c r="P69" s="15">
        <f t="shared" ref="P69:P71" si="52">N69-K69</f>
        <v>-7.3956834532374671</v>
      </c>
      <c r="Q69" s="91">
        <f t="shared" ref="Q69:Q71" si="53">N69/K69</f>
        <v>0.95377697841726583</v>
      </c>
      <c r="R69" s="177"/>
      <c r="S69" s="21">
        <v>0.41180555555555548</v>
      </c>
      <c r="T69" s="21">
        <v>0.5083333333333333</v>
      </c>
      <c r="U69" s="88">
        <f t="shared" si="48"/>
        <v>4.9999999999999822</v>
      </c>
      <c r="V69" s="30">
        <f t="shared" si="47"/>
        <v>139.00000000000006</v>
      </c>
      <c r="W69" s="16">
        <f>T69</f>
        <v>0.5083333333333333</v>
      </c>
      <c r="X69" s="16">
        <f>S70</f>
        <v>0.54722222222222217</v>
      </c>
      <c r="Y69" s="16"/>
      <c r="Z69" s="16"/>
      <c r="AA69" s="168"/>
      <c r="AB69" s="168"/>
      <c r="AC69" s="18"/>
      <c r="AD69" s="18"/>
      <c r="AE69" s="14">
        <f t="shared" si="43"/>
        <v>-110.93525179856215</v>
      </c>
      <c r="AF69" s="91">
        <f t="shared" ref="AF69:AF71" si="54">M69/J69</f>
        <v>0.95377697841726572</v>
      </c>
      <c r="AG69" s="177"/>
    </row>
    <row r="70" spans="1:33" ht="15.75" customHeight="1">
      <c r="A70" s="175" t="s">
        <v>176</v>
      </c>
      <c r="B70" s="88" t="s">
        <v>22</v>
      </c>
      <c r="C70" s="169" t="s">
        <v>52</v>
      </c>
      <c r="D70" s="169"/>
      <c r="E70" s="28">
        <v>19.02</v>
      </c>
      <c r="F70" s="88">
        <v>4772</v>
      </c>
      <c r="G70" s="88">
        <f t="shared" si="45"/>
        <v>90763.44</v>
      </c>
      <c r="H70" s="30" t="s">
        <v>53</v>
      </c>
      <c r="I70" s="95">
        <v>14</v>
      </c>
      <c r="J70" s="13">
        <v>2400</v>
      </c>
      <c r="K70" s="12">
        <f t="shared" si="49"/>
        <v>171.42857142857142</v>
      </c>
      <c r="L70" s="95">
        <v>14</v>
      </c>
      <c r="M70" s="13">
        <f t="shared" si="46"/>
        <v>2290.5599999999995</v>
      </c>
      <c r="N70" s="12">
        <f t="shared" si="50"/>
        <v>163.61142857142855</v>
      </c>
      <c r="O70" s="14">
        <f t="shared" si="51"/>
        <v>0</v>
      </c>
      <c r="P70" s="15">
        <f t="shared" si="52"/>
        <v>-7.8171428571428692</v>
      </c>
      <c r="Q70" s="91">
        <f t="shared" si="53"/>
        <v>0.95439999999999992</v>
      </c>
      <c r="R70" s="177"/>
      <c r="S70" s="21">
        <v>0.54722222222222217</v>
      </c>
      <c r="T70" s="21">
        <v>0.63402777777777775</v>
      </c>
      <c r="U70" s="88">
        <f t="shared" si="48"/>
        <v>55.999999999999957</v>
      </c>
      <c r="V70" s="30">
        <f t="shared" si="47"/>
        <v>125.00000000000003</v>
      </c>
      <c r="W70" s="16"/>
      <c r="X70" s="16"/>
      <c r="Y70" s="16"/>
      <c r="Z70" s="16"/>
      <c r="AA70" s="168"/>
      <c r="AB70" s="168"/>
      <c r="AC70" s="18"/>
      <c r="AD70" s="18"/>
      <c r="AE70" s="14">
        <f t="shared" si="43"/>
        <v>-109.44000000000051</v>
      </c>
      <c r="AF70" s="91">
        <f t="shared" si="54"/>
        <v>0.9543999999999998</v>
      </c>
      <c r="AG70" s="177"/>
    </row>
    <row r="71" spans="1:33" ht="16.5" customHeight="1">
      <c r="A71" s="176" t="s">
        <v>176</v>
      </c>
      <c r="B71" s="28" t="s">
        <v>168</v>
      </c>
      <c r="C71" s="165"/>
      <c r="D71" s="166"/>
      <c r="E71" s="92"/>
      <c r="F71" s="12"/>
      <c r="G71" s="12"/>
      <c r="H71" s="88"/>
      <c r="I71" s="23">
        <v>15.833333333333334</v>
      </c>
      <c r="J71" s="13">
        <v>2400</v>
      </c>
      <c r="K71" s="12">
        <f t="shared" si="49"/>
        <v>151.57894736842104</v>
      </c>
      <c r="L71" s="23">
        <v>15.833333333333334</v>
      </c>
      <c r="M71" s="13">
        <f>AVERAGE(M65:M70)</f>
        <v>2295.0123769965335</v>
      </c>
      <c r="N71" s="12">
        <f t="shared" si="50"/>
        <v>144.94815012609683</v>
      </c>
      <c r="O71" s="14">
        <f t="shared" si="51"/>
        <v>0</v>
      </c>
      <c r="P71" s="15">
        <f t="shared" si="52"/>
        <v>-6.6307972423242063</v>
      </c>
      <c r="Q71" s="91">
        <f t="shared" si="53"/>
        <v>0.95625515708188891</v>
      </c>
      <c r="R71" s="177"/>
      <c r="S71" s="21"/>
      <c r="T71" s="21"/>
      <c r="U71" s="12"/>
      <c r="V71" s="30"/>
      <c r="W71" s="12"/>
      <c r="X71" s="12"/>
      <c r="Y71" s="24">
        <f>SUM(Y65:Y70)</f>
        <v>0</v>
      </c>
      <c r="Z71" s="24">
        <f>SUM(Z65:Z70)</f>
        <v>0</v>
      </c>
      <c r="AA71" s="167"/>
      <c r="AB71" s="167"/>
      <c r="AC71" s="24">
        <v>6</v>
      </c>
      <c r="AD71" s="24">
        <f>SUM(AD65:AD70)</f>
        <v>0</v>
      </c>
      <c r="AE71" s="14">
        <f t="shared" si="43"/>
        <v>-104.98762300346652</v>
      </c>
      <c r="AF71" s="91">
        <f t="shared" si="54"/>
        <v>0.95625515708188891</v>
      </c>
      <c r="AG71" s="177"/>
    </row>
    <row r="72" spans="1:33">
      <c r="D72" s="87"/>
      <c r="E72" s="87"/>
    </row>
  </sheetData>
  <mergeCells count="192">
    <mergeCell ref="A65:A71"/>
    <mergeCell ref="C65:D65"/>
    <mergeCell ref="R65:R71"/>
    <mergeCell ref="AA65:AB65"/>
    <mergeCell ref="AA70:AB70"/>
    <mergeCell ref="C71:D71"/>
    <mergeCell ref="AA71:AB71"/>
    <mergeCell ref="AG65:AG71"/>
    <mergeCell ref="C66:D66"/>
    <mergeCell ref="AA66:AB66"/>
    <mergeCell ref="C67:D67"/>
    <mergeCell ref="AA67:AB67"/>
    <mergeCell ref="C68:D68"/>
    <mergeCell ref="AA68:AB68"/>
    <mergeCell ref="C69:D69"/>
    <mergeCell ref="AA69:AB69"/>
    <mergeCell ref="C70:D70"/>
    <mergeCell ref="AG57:AG64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62:D62"/>
    <mergeCell ref="AA63:AB63"/>
    <mergeCell ref="C64:D64"/>
    <mergeCell ref="AA64:AB64"/>
    <mergeCell ref="A57:A64"/>
    <mergeCell ref="C57:D57"/>
    <mergeCell ref="R57:R64"/>
    <mergeCell ref="AA57:AB57"/>
    <mergeCell ref="AA62:AB62"/>
    <mergeCell ref="A50:A56"/>
    <mergeCell ref="C50:D50"/>
    <mergeCell ref="R50:R56"/>
    <mergeCell ref="AA50:AB50"/>
    <mergeCell ref="AG50:AG56"/>
    <mergeCell ref="C51:D51"/>
    <mergeCell ref="AA51:AB51"/>
    <mergeCell ref="C52:D52"/>
    <mergeCell ref="AA52:AB52"/>
    <mergeCell ref="AA53:AB53"/>
    <mergeCell ref="AG45:AG49"/>
    <mergeCell ref="C46:D46"/>
    <mergeCell ref="AA46:AB46"/>
    <mergeCell ref="C47:D47"/>
    <mergeCell ref="AA47:AB47"/>
    <mergeCell ref="C48:D48"/>
    <mergeCell ref="AA48:AB48"/>
    <mergeCell ref="C49:D49"/>
    <mergeCell ref="AA49:AB49"/>
    <mergeCell ref="AA54:AB54"/>
    <mergeCell ref="C55:D55"/>
    <mergeCell ref="AA55:AB55"/>
    <mergeCell ref="C56:D56"/>
    <mergeCell ref="AA56:AB56"/>
    <mergeCell ref="A45:A49"/>
    <mergeCell ref="C45:D45"/>
    <mergeCell ref="R45:R49"/>
    <mergeCell ref="AA45:AB45"/>
    <mergeCell ref="AG36:AG44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27:A35"/>
    <mergeCell ref="C27:D27"/>
    <mergeCell ref="R27:R35"/>
    <mergeCell ref="AA27:AB27"/>
    <mergeCell ref="C35:D35"/>
    <mergeCell ref="AA35:AB35"/>
    <mergeCell ref="A36:A44"/>
    <mergeCell ref="C36:D36"/>
    <mergeCell ref="R36:R44"/>
    <mergeCell ref="AA36:AB36"/>
    <mergeCell ref="AA41:AB41"/>
    <mergeCell ref="C42:D42"/>
    <mergeCell ref="AA42:AB42"/>
    <mergeCell ref="C43:D43"/>
    <mergeCell ref="AA43:AB43"/>
    <mergeCell ref="C44:D44"/>
    <mergeCell ref="AA44:AB44"/>
    <mergeCell ref="AG27:AG35"/>
    <mergeCell ref="C28:D28"/>
    <mergeCell ref="AA28:AB28"/>
    <mergeCell ref="C29:D29"/>
    <mergeCell ref="AA29:AB29"/>
    <mergeCell ref="C30:D30"/>
    <mergeCell ref="AA23:AB23"/>
    <mergeCell ref="C24:D24"/>
    <mergeCell ref="AA24:AB24"/>
    <mergeCell ref="C25:D25"/>
    <mergeCell ref="AA25:AB25"/>
    <mergeCell ref="C26:D26"/>
    <mergeCell ref="AA26:AB26"/>
    <mergeCell ref="AA30:AB30"/>
    <mergeCell ref="C31:D31"/>
    <mergeCell ref="AA31:AB31"/>
    <mergeCell ref="C32:D32"/>
    <mergeCell ref="AA32:AB32"/>
    <mergeCell ref="C33:D33"/>
    <mergeCell ref="AA33:AB33"/>
    <mergeCell ref="A20:A26"/>
    <mergeCell ref="C20:D20"/>
    <mergeCell ref="R20:R26"/>
    <mergeCell ref="AA20:AB20"/>
    <mergeCell ref="AG20:AG26"/>
    <mergeCell ref="C21:D21"/>
    <mergeCell ref="AA21:AB21"/>
    <mergeCell ref="C22:D22"/>
    <mergeCell ref="AA22:AB22"/>
    <mergeCell ref="C23:D23"/>
    <mergeCell ref="A15:A19"/>
    <mergeCell ref="C15:D15"/>
    <mergeCell ref="R15:R19"/>
    <mergeCell ref="AA15:AB15"/>
    <mergeCell ref="A10:A14"/>
    <mergeCell ref="C10:D10"/>
    <mergeCell ref="R10:R14"/>
    <mergeCell ref="AA10:AB10"/>
    <mergeCell ref="AG15:AG19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1">
    <cfRule type="cellIs" dxfId="162" priority="9" operator="greaterThan">
      <formula>0</formula>
    </cfRule>
  </conditionalFormatting>
  <conditionalFormatting sqref="P5:P71">
    <cfRule type="cellIs" dxfId="161" priority="1" operator="lessThan">
      <formula>0</formula>
    </cfRule>
  </conditionalFormatting>
  <conditionalFormatting sqref="Q5:Q71 AF5:AF71">
    <cfRule type="cellIs" dxfId="160" priority="10" operator="greaterThan">
      <formula>1</formula>
    </cfRule>
    <cfRule type="cellIs" dxfId="159" priority="11" operator="lessThan">
      <formula>0.8</formula>
    </cfRule>
  </conditionalFormatting>
  <conditionalFormatting sqref="R5:R10 AG5:AG10">
    <cfRule type="cellIs" dxfId="158" priority="37" operator="lessThan">
      <formula>0.8</formula>
    </cfRule>
  </conditionalFormatting>
  <conditionalFormatting sqref="AE5:AE71">
    <cfRule type="cellIs" dxfId="157" priority="12" operator="lessThan">
      <formula>0</formula>
    </cfRule>
  </conditionalFormatting>
  <conditionalFormatting sqref="AG15:AG60 R15:R71">
    <cfRule type="cellIs" dxfId="156" priority="13" operator="lessThan">
      <formula>0.8</formula>
    </cfRule>
  </conditionalFormatting>
  <dataValidations count="1">
    <dataValidation type="list" allowBlank="1" showInputMessage="1" showErrorMessage="1" sqref="AB9 AA5:AB8 AB61:AB63 AB11:AB57 AA9:AA63 AA64:AB71" xr:uid="{00000000-0002-0000-15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32"/>
  <sheetViews>
    <sheetView zoomScale="85" zoomScaleNormal="85" workbookViewId="0">
      <selection activeCell="G6" sqref="G6:H6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1798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1799</v>
      </c>
      <c r="C3" s="154" t="str">
        <f>TEXT('0419 4度C'!A2,"yyyy.mm.ddaaaa")</f>
        <v>2026.04.19星期日</v>
      </c>
      <c r="D3" s="155"/>
      <c r="E3" s="33" t="s">
        <v>1800</v>
      </c>
      <c r="F3" s="156">
        <f>'0419 4度C'!D1</f>
        <v>185061</v>
      </c>
      <c r="G3" s="157"/>
      <c r="H3" s="33" t="s">
        <v>1801</v>
      </c>
      <c r="I3" s="158">
        <f>'0419 4度C'!F1</f>
        <v>6102488.6499999985</v>
      </c>
      <c r="J3" s="159"/>
      <c r="K3" s="34"/>
      <c r="L3" s="35"/>
      <c r="M3" s="35"/>
      <c r="N3" s="35"/>
    </row>
    <row r="4" spans="2:17" ht="28.5" customHeight="1">
      <c r="B4" s="160" t="s">
        <v>1802</v>
      </c>
      <c r="C4" s="146" t="s">
        <v>1803</v>
      </c>
      <c r="D4" s="147"/>
      <c r="E4" s="163" t="s">
        <v>1804</v>
      </c>
      <c r="F4" s="164"/>
      <c r="G4" s="163" t="s">
        <v>290</v>
      </c>
      <c r="H4" s="164"/>
      <c r="I4" s="163" t="s">
        <v>1805</v>
      </c>
      <c r="J4" s="164"/>
      <c r="K4" s="144" t="s">
        <v>1806</v>
      </c>
      <c r="L4" s="145"/>
      <c r="M4" s="145" t="s">
        <v>1807</v>
      </c>
      <c r="N4" s="145"/>
    </row>
    <row r="5" spans="2:17" ht="28.5" customHeight="1">
      <c r="B5" s="161"/>
      <c r="C5" s="146" t="s">
        <v>1808</v>
      </c>
      <c r="D5" s="147"/>
      <c r="E5" s="146" t="s">
        <v>1809</v>
      </c>
      <c r="F5" s="147"/>
      <c r="G5" s="148" t="s">
        <v>1810</v>
      </c>
      <c r="H5" s="149"/>
      <c r="I5" s="150" t="s">
        <v>1811</v>
      </c>
      <c r="J5" s="151"/>
      <c r="K5" s="36" t="s">
        <v>1812</v>
      </c>
      <c r="L5" s="37" t="s">
        <v>1813</v>
      </c>
      <c r="M5" s="36" t="s">
        <v>1814</v>
      </c>
      <c r="N5" s="37" t="s">
        <v>1815</v>
      </c>
    </row>
    <row r="6" spans="2:17" ht="28.5" customHeight="1">
      <c r="B6" s="161"/>
      <c r="C6" s="146" t="s">
        <v>54</v>
      </c>
      <c r="D6" s="147"/>
      <c r="E6" s="138">
        <f>AVERAGE(D13:M13)</f>
        <v>156.50006286703191</v>
      </c>
      <c r="F6" s="139">
        <f>AVERAGE(D31:O31,D13:J13)</f>
        <v>162.38825719821301</v>
      </c>
      <c r="G6" s="140">
        <f>AVERAGE(D13:J13)</f>
        <v>162.38825719821301</v>
      </c>
      <c r="H6" s="141"/>
      <c r="I6" s="140">
        <f>AVERAGE(K13:M13)</f>
        <v>142.76094276094275</v>
      </c>
      <c r="J6" s="141"/>
      <c r="K6" s="142">
        <f>'0419 4度C'!Y2</f>
        <v>0</v>
      </c>
      <c r="L6" s="127">
        <f>'0419 4度C'!Z2</f>
        <v>0</v>
      </c>
      <c r="M6" s="143">
        <f>'0419 4度C'!AC2</f>
        <v>59</v>
      </c>
      <c r="N6" s="127">
        <f>'0419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150.02029696185176</v>
      </c>
      <c r="F7" s="131">
        <f>AVERAGE(D32:O32,D14:J14)</f>
        <v>155.87567868828137</v>
      </c>
      <c r="G7" s="132">
        <f>AVERAGE(D14:J14)</f>
        <v>155.87567868828137</v>
      </c>
      <c r="H7" s="133"/>
      <c r="I7" s="132">
        <f>AVERAGE(K14:M14)</f>
        <v>136.35773960018267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0.95846683940985888</v>
      </c>
      <c r="F8" s="135">
        <f>AVERAGE(D15:J15,D33:O33)</f>
        <v>0.95987053180327742</v>
      </c>
      <c r="G8" s="136">
        <f>AVERAGE(D15:J15)</f>
        <v>0.95987053180327742</v>
      </c>
      <c r="H8" s="137"/>
      <c r="I8" s="136">
        <f>AVERAGE(K15:M15)</f>
        <v>0.95519155715854864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1816</v>
      </c>
      <c r="N9" s="35"/>
      <c r="O9" s="35"/>
      <c r="P9" s="35"/>
      <c r="Q9" s="35"/>
    </row>
    <row r="10" spans="2:17" ht="30" customHeight="1">
      <c r="B10" s="110" t="s">
        <v>1817</v>
      </c>
      <c r="C10" s="111"/>
      <c r="D10" s="112" t="s">
        <v>1818</v>
      </c>
      <c r="E10" s="113"/>
      <c r="F10" s="113"/>
      <c r="G10" s="113"/>
      <c r="H10" s="113"/>
      <c r="I10" s="113"/>
      <c r="J10" s="114"/>
      <c r="K10" s="115" t="s">
        <v>1819</v>
      </c>
      <c r="L10" s="116"/>
      <c r="M10" s="117"/>
      <c r="P10" s="41"/>
      <c r="Q10" s="41"/>
    </row>
    <row r="11" spans="2:17" ht="17.25" customHeight="1">
      <c r="B11" s="118" t="s">
        <v>199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1820</v>
      </c>
      <c r="C13" s="48" t="s">
        <v>1821</v>
      </c>
      <c r="D13" s="49">
        <f>SUMIFS('0419 4度C'!$K:$K,'0419 4度C'!$A:$A,"新豐6線",'0419 4度C'!$B:$B,"平均")</f>
        <v>121.95121951219514</v>
      </c>
      <c r="E13" s="50">
        <f>SUMIFS('0419 4度C'!$K:$K,'0419 4度C'!$A:$A,"新豐2線",'0419 4度C'!$B:$B,"平均")</f>
        <v>83.333333333333329</v>
      </c>
      <c r="F13" s="51">
        <f>SUMIFS('0419 4度C'!$K:$K,'0419 4度C'!$A:$A,"新豐5線",'0419 4度C'!$B:$B,"平均")</f>
        <v>100</v>
      </c>
      <c r="G13" s="51">
        <f>SUMIFS('0419 4度C'!$K:$K,'0419 4度C'!$A:$A,"新豐7線",'0419 4度C'!$B:$B,"平均")</f>
        <v>122.3404255319149</v>
      </c>
      <c r="H13" s="51">
        <f>SUMIFS('0419 4度C'!$K:$K,'0419 4度C'!$A:$A,"新豐3線",'0419 4度C'!$B:$B,"平均")</f>
        <v>315.78947368421052</v>
      </c>
      <c r="I13" s="51">
        <f>SUMIFS('0419 4度C'!$K:$K,'0419 4度C'!$A:$A,"新豐1線",'0419 4度C'!$B:$B,"平均")</f>
        <v>103.44827586206897</v>
      </c>
      <c r="J13" s="52">
        <f>SUMIFS('0419 4度C'!$K:$K,'0419 4度C'!$A:$A,"新豐10線",'0419 4度C'!$B:$B,"平均")</f>
        <v>289.85507246376812</v>
      </c>
      <c r="K13" s="53">
        <f>SUMIFS('0419 4度C'!$K:$K,'0419 4度C'!$A:$A,"新豐8線",'0419 4度C'!$B:$B,"平均")</f>
        <v>133.33333333333334</v>
      </c>
      <c r="L13" s="54">
        <f>SUMIFS('0419 4度C'!$K:$K,'0419 4度C'!$A:$A,"新豐9線",'0419 4度C'!$B:$B,"平均")</f>
        <v>142.22222222222223</v>
      </c>
      <c r="M13" s="52">
        <f>SUMIFS('0419 4度C'!$K:$K,'0419 4度C'!$A:$A,"新豐4線",'0419 4度C'!$B:$B,"平均")</f>
        <v>152.72727272727275</v>
      </c>
    </row>
    <row r="14" spans="2:17" ht="39.6" customHeight="1">
      <c r="B14" s="123"/>
      <c r="C14" s="55" t="s">
        <v>1822</v>
      </c>
      <c r="D14" s="56">
        <f>SUMIFS('0419 4度C'!$N:$N,'0419 4度C'!$A:$A,"新豐6線",'0419 4度C'!$B:$B,"平均")</f>
        <v>117.94178458531414</v>
      </c>
      <c r="E14" s="57">
        <f>SUMIFS('0419 4度C'!$N:$N,'0419 4度C'!$A:$A,"新豐2線",'0419 4度C'!$B:$B,"平均")</f>
        <v>79.723827914527746</v>
      </c>
      <c r="F14" s="57">
        <f>SUMIFS('0419 4度C'!$N:$N,'0419 4度C'!$A:$A,"新豐5線",'0419 4度C'!$B:$B,"平均")</f>
        <v>95.820459956206022</v>
      </c>
      <c r="G14" s="57">
        <f>SUMIFS('0419 4度C'!$N:$N,'0419 4度C'!$A:$A,"新豐7線",'0419 4度C'!$B:$B,"平均")</f>
        <v>117.14470127989794</v>
      </c>
      <c r="H14" s="57">
        <f>SUMIFS('0419 4度C'!$N:$N,'0419 4度C'!$A:$A,"新豐3線",'0419 4度C'!$B:$B,"平均")</f>
        <v>302.22212136831541</v>
      </c>
      <c r="I14" s="57">
        <f>SUMIFS('0419 4度C'!$N:$N,'0419 4度C'!$A:$A,"新豐1線",'0419 4度C'!$B:$B,"平均")</f>
        <v>99.32301600679223</v>
      </c>
      <c r="J14" s="58">
        <f>SUMIFS('0419 4度C'!$N:$N,'0419 4度C'!$A:$A,"新豐10線",'0419 4度C'!$B:$B,"平均")</f>
        <v>278.95383970691609</v>
      </c>
      <c r="K14" s="59">
        <f>SUMIFS('0419 4度C'!$N:$N,'0419 4度C'!$A:$A,"新豐8線",'0419 4度C'!$B:$B,"平均")</f>
        <v>127.62204369064131</v>
      </c>
      <c r="L14" s="60">
        <f>SUMIFS('0419 4度C'!$N:$N,'0419 4度C'!$A:$A,"新豐9線",'0419 4度C'!$B:$B,"平均")</f>
        <v>135.58741091449997</v>
      </c>
      <c r="M14" s="58">
        <f>SUMIFS('0419 4度C'!$N:$N,'0419 4度C'!$A:$A,"新豐4線",'0419 4度C'!$B:$B,"平均")</f>
        <v>145.8637641954067</v>
      </c>
    </row>
    <row r="15" spans="2:17" ht="40.15" customHeight="1">
      <c r="B15" s="124"/>
      <c r="C15" s="61" t="s">
        <v>1823</v>
      </c>
      <c r="D15" s="62">
        <f t="shared" ref="D15:M15" si="0">D14/D13</f>
        <v>0.96712263359957584</v>
      </c>
      <c r="E15" s="63">
        <f t="shared" si="0"/>
        <v>0.95668593497433296</v>
      </c>
      <c r="F15" s="63">
        <f t="shared" si="0"/>
        <v>0.95820459956206028</v>
      </c>
      <c r="G15" s="63">
        <f t="shared" si="0"/>
        <v>0.95753060176612226</v>
      </c>
      <c r="H15" s="63">
        <f t="shared" si="0"/>
        <v>0.95703671766633214</v>
      </c>
      <c r="I15" s="63">
        <f t="shared" si="0"/>
        <v>0.96012248806565825</v>
      </c>
      <c r="J15" s="64">
        <f t="shared" si="0"/>
        <v>0.96239074698886051</v>
      </c>
      <c r="K15" s="62">
        <f t="shared" si="0"/>
        <v>0.95716532767980977</v>
      </c>
      <c r="L15" s="63">
        <f t="shared" si="0"/>
        <v>0.95334898299257786</v>
      </c>
      <c r="M15" s="64">
        <f t="shared" si="0"/>
        <v>0.95506036080325807</v>
      </c>
    </row>
    <row r="16" spans="2:17" ht="17.25" customHeight="1">
      <c r="B16" s="125" t="s">
        <v>1824</v>
      </c>
      <c r="C16" s="65" t="s">
        <v>1825</v>
      </c>
      <c r="D16" s="66">
        <f>VLOOKUP("新豐6線",'0419 4度C'!$A:$T,19,0)</f>
        <v>0.70833333333333337</v>
      </c>
      <c r="E16" s="67">
        <f>VLOOKUP("新豐2線",'0419 4度C'!$A:$T,19,0)</f>
        <v>0.20833333333333334</v>
      </c>
      <c r="F16" s="67">
        <f>VLOOKUP("新豐5線",'0419 4度C'!$A:$T,19,0)</f>
        <v>0.20833333333333334</v>
      </c>
      <c r="G16" s="67">
        <f>VLOOKUP("新豐7線",'0419 4度C'!$A:$T,19,0)</f>
        <v>0.29166666666666669</v>
      </c>
      <c r="H16" s="67">
        <f>VLOOKUP("新豐3線",'0419 4度C'!$A:$T,19,0)</f>
        <v>8.3333333333333329E-2</v>
      </c>
      <c r="I16" s="67">
        <f>VLOOKUP("新豐1線",'0419 4度C'!$A:$T,19,0)</f>
        <v>0.33333333333333331</v>
      </c>
      <c r="J16" s="68">
        <f>VLOOKUP("新豐10線",'0419 4度C'!$A:$T,19,0)</f>
        <v>0.20833333333333334</v>
      </c>
      <c r="K16" s="69">
        <f>VLOOKUP("新豐8線",'0419 4度C'!$A:$T,19,0)</f>
        <v>8.3333333333333329E-2</v>
      </c>
      <c r="L16" s="70">
        <f>VLOOKUP("新豐9線",'0419 4度C'!$A:$T,19,0)</f>
        <v>8.3333333333333329E-2</v>
      </c>
      <c r="M16" s="71">
        <f>VLOOKUP("新豐4線",'0419 4度C'!$A:$T,19,0)</f>
        <v>8.3333333333333329E-2</v>
      </c>
    </row>
    <row r="17" spans="2:13" ht="17.25" customHeight="1">
      <c r="B17" s="126"/>
      <c r="C17" s="65" t="s">
        <v>1826</v>
      </c>
      <c r="D17" s="69">
        <f>LOOKUP(2,1/(('0419 4度C'!$A:$A="新豐6線")*('0419 4度C'!$T:$T&lt;&gt;"")),'0419 4度C'!$T:$T)</f>
        <v>0.90972222222222221</v>
      </c>
      <c r="E17" s="67">
        <f>LOOKUP(2,1/(('0419 4度C'!$A:$A="新豐2線")*('0419 4度C'!$T:$T&lt;&gt;"")),'0419 4度C'!$T:$T)</f>
        <v>0.69722222222222219</v>
      </c>
      <c r="F17" s="67">
        <f>LOOKUP(2,1/(('0419 4度C'!$A:$A="新豐5線")*('0419 4度C'!$T:$T&lt;&gt;"")),'0419 4度C'!$T:$T)</f>
        <v>0.85347222222222219</v>
      </c>
      <c r="G17" s="67">
        <f>LOOKUP(2,1/(('0419 4度C'!$A:$A="新豐7線")*('0419 4度C'!$T:$T&lt;&gt;"")),'0419 4度C'!$T:$T)</f>
        <v>0.8520833333333333</v>
      </c>
      <c r="H17" s="67">
        <f>LOOKUP(2,1/(('0419 4度C'!$A:$A="新豐3線")*('0419 4度C'!$T:$T&lt;&gt;"")),'0419 4度C'!$T:$T)</f>
        <v>0.46597222222222223</v>
      </c>
      <c r="I17" s="67">
        <f>LOOKUP(2,1/(('0419 4度C'!$A:$A="新豐1線")*('0419 4度C'!$T:$T&lt;&gt;"")),'0419 4度C'!$T:$T)</f>
        <v>0.82986111111111116</v>
      </c>
      <c r="J17" s="68">
        <f>LOOKUP(2,1/(('0419 4度C'!$A:$A="新豐10線")*('0419 4度C'!$T:$T&lt;&gt;"")),'0419 4度C'!$T:$T)</f>
        <v>0.48333333333333323</v>
      </c>
      <c r="K17" s="66">
        <f>LOOKUP(2,1/(('0419 4度C'!$A:$A="新豐8線")*('0419 4度C'!$T:$T&lt;&gt;"")),'0419 4度C'!$T:$T)</f>
        <v>0.71249999999999991</v>
      </c>
      <c r="L17" s="67">
        <f>LOOKUP(2,1/(('0419 4度C'!$A:$A="新豐9線")*('0419 4度C'!$T:$T&lt;&gt;"")),'0419 4度C'!$T:$T)</f>
        <v>0.72291666666666654</v>
      </c>
      <c r="M17" s="68">
        <f>LOOKUP(2,1/(('0419 4度C'!$A:$A="新豐4線")*('0419 4度C'!$T:$T&lt;&gt;"")),'0419 4度C'!$T:$T)</f>
        <v>0.68749999999999989</v>
      </c>
    </row>
    <row r="18" spans="2:13" ht="17.25" customHeight="1">
      <c r="B18" s="104" t="s">
        <v>1827</v>
      </c>
      <c r="C18" s="72" t="s">
        <v>1828</v>
      </c>
      <c r="D18" s="73">
        <f>SUMIFS('0419 4度C'!$Y:$Y,'0419 4度C'!$A:$A,"新豐6線",'0419 4度C'!$B:$B,"平均")</f>
        <v>0</v>
      </c>
      <c r="E18" s="74">
        <f>SUMIFS('0419 4度C'!$Y:$Y,'0419 4度C'!$A:$A,"新豐2線",'0419 4度C'!$B:$B,"平均")</f>
        <v>0</v>
      </c>
      <c r="F18" s="74">
        <f>SUMIFS('0419 4度C'!$Y:$Y,'0419 4度C'!$A:$A,"新豐5線",'0419 4度C'!$B:$B,"平均")</f>
        <v>0</v>
      </c>
      <c r="G18" s="74">
        <f>SUMIFS('0419 4度C'!$Y:$Y,'0419 4度C'!$A:$A,"新豐7線",'0419 4度C'!$B:$B,"平均")</f>
        <v>0</v>
      </c>
      <c r="H18" s="74">
        <f>SUMIFS('0419 4度C'!$Y:$Y,'0419 4度C'!$A:$A,"新豐3線",'0419 4度C'!$B:$B,"平均")</f>
        <v>0</v>
      </c>
      <c r="I18" s="74">
        <f>SUMIFS('0419 4度C'!$Y:$Y,'0419 4度C'!$A:$A,"新豐1線",'0419 4度C'!$B:$B,"平均")</f>
        <v>0</v>
      </c>
      <c r="J18" s="75">
        <f>SUMIFS('0419 4度C'!$Y:$Y,'0419 4度C'!$A:$A,"新豐10線",'0419 4度C'!$B:$B,"平均")</f>
        <v>0</v>
      </c>
      <c r="K18" s="76">
        <f>SUMIFS('0419 4度C'!$Y:$Y,'0419 4度C'!$A:$A,"新豐8線",'0419 4度C'!$B:$B,"平均")</f>
        <v>0</v>
      </c>
      <c r="L18" s="74">
        <f>SUMIFS('0419 4度C'!$Y:$Y,'0419 4度C'!$A:$A,"新豐9線",'0419 4度C'!$B:$B,"平均")</f>
        <v>0</v>
      </c>
      <c r="M18" s="75">
        <f>SUMIFS('0419 4度C'!$Y:$Y,'0419 4度C'!$A:$A,"新豐4線",'0419 4度C'!$B:$B,"平均")</f>
        <v>0</v>
      </c>
    </row>
    <row r="19" spans="2:13" ht="17.25" customHeight="1">
      <c r="B19" s="105"/>
      <c r="C19" s="72" t="s">
        <v>1829</v>
      </c>
      <c r="D19" s="73">
        <f>SUMIFS('0419 4度C'!$Z:$Z,'0419 4度C'!$A:$A,"新豐6線",'0419 4度C'!$B:$B,"平均")</f>
        <v>0</v>
      </c>
      <c r="E19" s="74">
        <f>SUMIFS('0419 4度C'!$Z:$Z,'0419 4度C'!$A:$A,"新豐2線",'0419 4度C'!$B:$B,"平均")</f>
        <v>0</v>
      </c>
      <c r="F19" s="74">
        <f>SUMIFS('0419 4度C'!$Z:$Z,'0419 4度C'!$A:$A,"新豐5線",'0419 4度C'!$B:$B,"平均")</f>
        <v>0</v>
      </c>
      <c r="G19" s="74">
        <f>SUMIFS('0419 4度C'!$Z:$Z,'0419 4度C'!$A:$A,"新豐7線",'0419 4度C'!$B:$B,"平均")</f>
        <v>0</v>
      </c>
      <c r="H19" s="74">
        <f>SUMIFS('0419 4度C'!$Z:$Z,'0419 4度C'!$A:$A,"新豐3線",'0419 4度C'!$B:$B,"平均")</f>
        <v>0</v>
      </c>
      <c r="I19" s="74">
        <f>SUMIFS('0419 4度C'!$Z:$Z,'0419 4度C'!$A:$A,"新豐1線",'0419 4度C'!$B:$B,"平均")</f>
        <v>0</v>
      </c>
      <c r="J19" s="75">
        <f>SUMIFS('0419 4度C'!$Z:$Z,'0419 4度C'!$A:$A,"新豐10線",'0419 4度C'!$B:$B,"平均")</f>
        <v>0</v>
      </c>
      <c r="K19" s="76">
        <f>SUMIFS('0419 4度C'!$Z:$Z,'0419 4度C'!$A:$A,"新豐8線",'0419 4度C'!$B:$B,"平均")</f>
        <v>0</v>
      </c>
      <c r="L19" s="74">
        <f>SUMIFS('0419 4度C'!$Z:$Z,'0419 4度C'!$A:$A,"新豐9線",'0419 4度C'!$B:$B,"平均")</f>
        <v>0</v>
      </c>
      <c r="M19" s="75">
        <f>SUMIFS('0419 4度C'!$Z:$Z,'0419 4度C'!$A:$A,"新豐4線",'0419 4度C'!$B:$B,"平均")</f>
        <v>0</v>
      </c>
    </row>
    <row r="20" spans="2:13" ht="17.25" customHeight="1">
      <c r="B20" s="104" t="s">
        <v>1830</v>
      </c>
      <c r="C20" s="72" t="s">
        <v>105</v>
      </c>
      <c r="D20" s="73">
        <f>SUMIFS('0419 4度C'!$AC:$AC,'0419 4度C'!$A:$A,"新豐6線",'0419 4度C'!$B:$B,"平均")</f>
        <v>5</v>
      </c>
      <c r="E20" s="74">
        <f>SUMIFS('0419 4度C'!$AC:$AC,'0419 4度C'!$A:$A,"新豐2線",'0419 4度C'!$B:$B,"平均")</f>
        <v>4</v>
      </c>
      <c r="F20" s="74">
        <f>SUMIFS('0419 4度C'!$AC:$AC,'0419 4度C'!$A:$A,"新豐5線",'0419 4度C'!$B:$B,"平均")</f>
        <v>4</v>
      </c>
      <c r="G20" s="74">
        <f>SUMIFS('0419 4度C'!$AC:$AC,'0419 4度C'!$A:$A,"新豐7線",'0419 4度C'!$B:$B,"平均")</f>
        <v>6</v>
      </c>
      <c r="H20" s="74">
        <f>SUMIFS('0419 4度C'!$AC:$AC,'0419 4度C'!$A:$A,"新豐3線",'0419 4度C'!$B:$B,"平均")</f>
        <v>4</v>
      </c>
      <c r="I20" s="74">
        <f>SUMIFS('0419 4度C'!$AC:$AC,'0419 4度C'!$A:$A,"新豐1線",'0419 4度C'!$B:$B,"平均")</f>
        <v>6</v>
      </c>
      <c r="J20" s="75">
        <f>SUMIFS('0419 4度C'!$AC:$AC,'0419 4度C'!$A:$A,"新豐10線",'0419 4度C'!$B:$B,"平均")</f>
        <v>7</v>
      </c>
      <c r="K20" s="76">
        <f>SUMIFS('0419 4度C'!$AC:$AC,'0419 4度C'!$A:$A,"新豐8線",'0419 4度C'!$B:$B,"平均")</f>
        <v>8</v>
      </c>
      <c r="L20" s="74">
        <f>SUMIFS('0419 4度C'!$AC:$AC,'0419 4度C'!$A:$A,"新豐9線",'0419 4度C'!$B:$B,"平均")</f>
        <v>8</v>
      </c>
      <c r="M20" s="75">
        <f>SUMIFS('0419 4度C'!$AC:$AC,'0419 4度C'!$A:$A,"新豐4線",'0419 4度C'!$B:$B,"平均")</f>
        <v>7</v>
      </c>
    </row>
    <row r="21" spans="2:13" ht="17.25" customHeight="1">
      <c r="B21" s="105"/>
      <c r="C21" s="72" t="s">
        <v>1831</v>
      </c>
      <c r="D21" s="73">
        <f>SUMIFS('0419 4度C'!$AD:$AD,'0419 4度C'!$A:$A,"新豐6線",'0419 4度C'!$B:$B,"平均")</f>
        <v>0</v>
      </c>
      <c r="E21" s="74">
        <f>SUMIFS('0419 4度C'!$AD:$AD,'0419 4度C'!$A:$A,"新豐2線",'0419 4度C'!$B:$B,"平均")</f>
        <v>0</v>
      </c>
      <c r="F21" s="74">
        <f>SUMIFS('0419 4度C'!$AD:$AD,'0419 4度C'!$A:$A,"新豐5線",'0419 4度C'!$B:$B,"平均")</f>
        <v>0</v>
      </c>
      <c r="G21" s="74">
        <f>SUMIFS('0419 4度C'!$AD:$AD,'0419 4度C'!$A:$A,"新豐7線",'0419 4度C'!$B:$B,"平均")</f>
        <v>0</v>
      </c>
      <c r="H21" s="74">
        <f>SUMIFS('0419 4度C'!$AD:$AD,'0419 4度C'!$A:$A,"新豐3線",'0419 4度C'!$B:$B,"平均")</f>
        <v>0</v>
      </c>
      <c r="I21" s="74">
        <f>SUMIFS('0419 4度C'!$AD:$AD,'0419 4度C'!$A:$A,"新豐1線",'0419 4度C'!$B:$B,"平均")</f>
        <v>0</v>
      </c>
      <c r="J21" s="75">
        <f>SUMIFS('0419 4度C'!$AD:$AD,'0419 4度C'!$A:$A,"新豐10線",'0419 4度C'!$B:$B,"平均")</f>
        <v>0</v>
      </c>
      <c r="K21" s="76">
        <f>SUMIFS('0419 4度C'!$AD:$AD,'0419 4度C'!$A:$A,"新豐8線",'0419 4度C'!$B:$B,"平均")</f>
        <v>0</v>
      </c>
      <c r="L21" s="74">
        <f>SUMIFS('0419 4度C'!$AD:$AD,'0419 4度C'!$A:$A,"新豐9線",'0419 4度C'!$B:$B,"平均")</f>
        <v>0</v>
      </c>
      <c r="M21" s="75">
        <f>SUMIFS('0419 4度C'!$AD:$AD,'0419 4度C'!$A:$A,"新豐4線",'0419 4度C'!$B:$B,"平均")</f>
        <v>0</v>
      </c>
    </row>
    <row r="22" spans="2:13" ht="17.25" customHeight="1">
      <c r="B22" s="106" t="s">
        <v>1832</v>
      </c>
      <c r="C22" s="107"/>
      <c r="D22" s="77">
        <f>SUMIFS('0419 4度C'!$I:$I,'0419 4度C'!$A:$A,"新豐6線",'0419 4度C'!$B:$B,"平均")</f>
        <v>16.399999999999999</v>
      </c>
      <c r="E22" s="78">
        <f>SUMIFS('0419 4度C'!$I:$I,'0419 4度C'!$A:$A,"新豐2線",'0419 4度C'!$B:$B,"平均")</f>
        <v>18</v>
      </c>
      <c r="F22" s="78">
        <f>SUMIFS('0419 4度C'!$I:$I,'0419 4度C'!$A:$A,"新豐5線",'0419 4度C'!$B:$B,"平均")</f>
        <v>17.5</v>
      </c>
      <c r="G22" s="78">
        <f>SUMIFS('0419 4度C'!$I:$I,'0419 4度C'!$A:$A,"新豐7線",'0419 4度C'!$B:$B,"平均")</f>
        <v>15.666666666666666</v>
      </c>
      <c r="H22" s="78">
        <f>SUMIFS('0419 4度C'!$I:$I,'0419 4度C'!$A:$A,"新豐3線",'0419 4度C'!$B:$B,"平均")</f>
        <v>9.5</v>
      </c>
      <c r="I22" s="78">
        <f>SUMIFS('0419 4度C'!$I:$I,'0419 4度C'!$A:$A,"新豐1線",'0419 4度C'!$B:$B,"平均")</f>
        <v>19.333333333333332</v>
      </c>
      <c r="J22" s="79">
        <f>SUMIFS('0419 4度C'!$I:$I,'0419 4度C'!$A:$A,"新豐10線",'0419 4度C'!$B:$B,"平均")</f>
        <v>9.8571428571428577</v>
      </c>
      <c r="K22" s="77">
        <f>SUMIFS('0419 4度C'!$I:$I,'0419 4度C'!$A:$A,"新豐8線",'0419 4度C'!$B:$B,"平均")</f>
        <v>18</v>
      </c>
      <c r="L22" s="78">
        <f>SUMIFS('0419 4度C'!$I:$I,'0419 4度C'!$A:$A,"新豐9線",'0419 4度C'!$B:$B,"平均")</f>
        <v>16.875</v>
      </c>
      <c r="M22" s="79">
        <f>SUMIFS('0419 4度C'!$I:$I,'0419 4度C'!$A:$A,"新豐4線",'0419 4度C'!$B:$B,"平均")</f>
        <v>15.714285714285714</v>
      </c>
    </row>
    <row r="23" spans="2:13" ht="17.25" customHeight="1">
      <c r="B23" s="106" t="s">
        <v>1833</v>
      </c>
      <c r="C23" s="107"/>
      <c r="D23" s="80" t="s">
        <v>67</v>
      </c>
      <c r="E23" s="81" t="s">
        <v>68</v>
      </c>
      <c r="F23" s="81" t="s">
        <v>1834</v>
      </c>
      <c r="G23" s="81" t="s">
        <v>1834</v>
      </c>
      <c r="H23" s="81" t="s">
        <v>69</v>
      </c>
      <c r="I23" s="81" t="s">
        <v>67</v>
      </c>
      <c r="J23" s="82" t="s">
        <v>69</v>
      </c>
      <c r="K23" s="80" t="s">
        <v>215</v>
      </c>
      <c r="L23" s="81" t="s">
        <v>1835</v>
      </c>
      <c r="M23" s="82" t="s">
        <v>1835</v>
      </c>
    </row>
    <row r="24" spans="2:13" ht="17.25" customHeight="1">
      <c r="B24" s="106" t="s">
        <v>1836</v>
      </c>
      <c r="C24" s="107"/>
      <c r="D24" s="80"/>
      <c r="E24" s="81"/>
      <c r="F24" s="81" t="s">
        <v>1837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1838</v>
      </c>
      <c r="C25" s="109"/>
      <c r="D25" s="83"/>
      <c r="E25" s="84" t="s">
        <v>1839</v>
      </c>
      <c r="F25" s="102" t="s">
        <v>1840</v>
      </c>
      <c r="G25" s="103"/>
      <c r="H25" s="84" t="s">
        <v>1841</v>
      </c>
      <c r="I25" s="84" t="s">
        <v>1842</v>
      </c>
      <c r="J25" s="85" t="s">
        <v>1841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5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13">
    <pageSetUpPr fitToPage="1"/>
  </sheetPr>
  <dimension ref="A1:AG74"/>
  <sheetViews>
    <sheetView zoomScale="80" zoomScaleNormal="80" workbookViewId="0">
      <pane ySplit="4" topLeftCell="A5" activePane="bottomLeft" state="frozen"/>
      <selection activeCell="G6" sqref="G6:H6"/>
      <selection pane="bottomLeft" activeCell="X72" sqref="X72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1843</v>
      </c>
      <c r="B1" s="1"/>
      <c r="C1" s="2" t="s">
        <v>1844</v>
      </c>
      <c r="D1" s="3">
        <f>SUM(F5:F73)</f>
        <v>185061</v>
      </c>
      <c r="E1" s="88" t="s">
        <v>1845</v>
      </c>
      <c r="F1" s="1">
        <f>SUM(G5:G73)</f>
        <v>6102488.6499999985</v>
      </c>
      <c r="G1" s="1" t="s">
        <v>1846</v>
      </c>
      <c r="H1" s="4">
        <f>L10+L15+L50+L57+L20+L65+L36+L45+L27+L73</f>
        <v>156.84642857142859</v>
      </c>
      <c r="I1" s="215" t="s">
        <v>1847</v>
      </c>
      <c r="J1" s="215"/>
      <c r="K1" s="215"/>
      <c r="L1" s="215" t="s">
        <v>1848</v>
      </c>
      <c r="M1" s="215"/>
      <c r="N1" s="215"/>
      <c r="O1" s="215" t="s">
        <v>1849</v>
      </c>
      <c r="P1" s="215"/>
      <c r="Q1" s="215"/>
      <c r="R1" s="215"/>
      <c r="S1" s="215" t="s">
        <v>1850</v>
      </c>
      <c r="T1" s="215"/>
      <c r="U1" s="215"/>
      <c r="V1" s="215"/>
      <c r="W1" s="215"/>
      <c r="X1" s="215"/>
      <c r="Y1" s="5" t="s">
        <v>1851</v>
      </c>
      <c r="Z1" s="6" t="s">
        <v>1852</v>
      </c>
      <c r="AA1" s="216" t="s">
        <v>1853</v>
      </c>
      <c r="AB1" s="216"/>
      <c r="AC1" s="97" t="s">
        <v>1854</v>
      </c>
      <c r="AD1" s="6" t="s">
        <v>1855</v>
      </c>
      <c r="AE1" s="215" t="s">
        <v>1856</v>
      </c>
      <c r="AF1" s="217"/>
      <c r="AG1" s="217"/>
    </row>
    <row r="2" spans="1:33" ht="26.25" customHeight="1">
      <c r="A2" s="26">
        <v>46131</v>
      </c>
      <c r="B2" s="27" t="s">
        <v>547</v>
      </c>
      <c r="C2" s="2" t="s">
        <v>1857</v>
      </c>
      <c r="D2" s="8">
        <f>AVERAGE(N10,N15,N50,N57,N20,N65,N27,N36,N45,N73)</f>
        <v>150.02029696185176</v>
      </c>
      <c r="E2" s="9" t="s">
        <v>0</v>
      </c>
      <c r="F2" s="10">
        <f>F1/D1</f>
        <v>32.975552115248476</v>
      </c>
      <c r="G2" s="1" t="s">
        <v>1858</v>
      </c>
      <c r="H2" s="96">
        <f>COUNT(H5:H73)</f>
        <v>11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SUM(Y10+Y15+Y20+Y27+Y36+Y45+Y50+Y57+Y65+Y73)</f>
        <v>0</v>
      </c>
      <c r="Z2" s="11">
        <f>SUM(Z10+Z15+Z20+Z27+Z36+Z45+Z50+Z57+Z65+Z73)</f>
        <v>0</v>
      </c>
      <c r="AA2" s="216"/>
      <c r="AB2" s="216"/>
      <c r="AC2" s="11">
        <v>59</v>
      </c>
      <c r="AD2" s="11">
        <f>SUM(AD10+AD15+AD20+AD27+AD36+AD45+AD50+AD57+AD65+AD73)</f>
        <v>0</v>
      </c>
      <c r="AE2" s="217"/>
      <c r="AF2" s="217"/>
      <c r="AG2" s="217"/>
    </row>
    <row r="3" spans="1:33" ht="40.5" customHeight="1">
      <c r="A3" s="168" t="s">
        <v>331</v>
      </c>
      <c r="B3" s="168" t="s">
        <v>1859</v>
      </c>
      <c r="C3" s="168" t="s">
        <v>1860</v>
      </c>
      <c r="D3" s="168"/>
      <c r="E3" s="213" t="s">
        <v>1861</v>
      </c>
      <c r="F3" s="168" t="s">
        <v>1862</v>
      </c>
      <c r="G3" s="213" t="s">
        <v>1863</v>
      </c>
      <c r="H3" s="207" t="s">
        <v>1864</v>
      </c>
      <c r="I3" s="205" t="s">
        <v>1865</v>
      </c>
      <c r="J3" s="202" t="s">
        <v>1866</v>
      </c>
      <c r="K3" s="212" t="s">
        <v>1857</v>
      </c>
      <c r="L3" s="205" t="s">
        <v>1867</v>
      </c>
      <c r="M3" s="202" t="s">
        <v>1868</v>
      </c>
      <c r="N3" s="212" t="s">
        <v>1869</v>
      </c>
      <c r="O3" s="205" t="s">
        <v>1865</v>
      </c>
      <c r="P3" s="212" t="s">
        <v>1869</v>
      </c>
      <c r="Q3" s="203" t="s">
        <v>1870</v>
      </c>
      <c r="R3" s="181" t="s">
        <v>1871</v>
      </c>
      <c r="S3" s="168" t="s">
        <v>1</v>
      </c>
      <c r="T3" s="168"/>
      <c r="U3" s="207" t="s">
        <v>2</v>
      </c>
      <c r="V3" s="207" t="s">
        <v>1872</v>
      </c>
      <c r="W3" s="168" t="s">
        <v>1873</v>
      </c>
      <c r="X3" s="168"/>
      <c r="Y3" s="208" t="s">
        <v>1874</v>
      </c>
      <c r="Z3" s="167"/>
      <c r="AA3" s="209" t="s">
        <v>1875</v>
      </c>
      <c r="AB3" s="210"/>
      <c r="AC3" s="208" t="s">
        <v>1876</v>
      </c>
      <c r="AD3" s="167"/>
      <c r="AE3" s="202" t="s">
        <v>1877</v>
      </c>
      <c r="AF3" s="203" t="s">
        <v>1878</v>
      </c>
      <c r="AG3" s="181" t="s">
        <v>1879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1880</v>
      </c>
      <c r="X4" s="88" t="s">
        <v>1881</v>
      </c>
      <c r="Y4" s="90" t="s">
        <v>1882</v>
      </c>
      <c r="Z4" s="90" t="s">
        <v>1883</v>
      </c>
      <c r="AA4" s="211"/>
      <c r="AB4" s="210"/>
      <c r="AC4" s="90" t="s">
        <v>1884</v>
      </c>
      <c r="AD4" s="90" t="s">
        <v>1885</v>
      </c>
      <c r="AE4" s="202"/>
      <c r="AF4" s="203"/>
      <c r="AG4" s="181"/>
    </row>
    <row r="5" spans="1:33">
      <c r="A5" s="204" t="s">
        <v>1886</v>
      </c>
      <c r="B5" s="28" t="s">
        <v>5</v>
      </c>
      <c r="C5" s="206" t="s">
        <v>6</v>
      </c>
      <c r="D5" s="206"/>
      <c r="E5" s="28">
        <v>50.67</v>
      </c>
      <c r="F5" s="88">
        <v>1635</v>
      </c>
      <c r="G5" s="88">
        <f t="shared" ref="G5:G9" si="0">E5*F5</f>
        <v>82845.45</v>
      </c>
      <c r="H5" s="30" t="s">
        <v>53</v>
      </c>
      <c r="I5" s="95">
        <v>17</v>
      </c>
      <c r="J5" s="13">
        <v>2000</v>
      </c>
      <c r="K5" s="12">
        <f t="shared" ref="K5:K68" si="1">J5/I5</f>
        <v>117.64705882352941</v>
      </c>
      <c r="L5" s="95">
        <v>17</v>
      </c>
      <c r="M5" s="13">
        <f t="shared" ref="M5:M9" si="2">F5/V5*60</f>
        <v>1923.5294117647065</v>
      </c>
      <c r="N5" s="12">
        <f t="shared" ref="N5:N68" si="3">M5/L5</f>
        <v>113.14878892733567</v>
      </c>
      <c r="O5" s="14">
        <f t="shared" ref="O5:O68" si="4">L5-I5</f>
        <v>0</v>
      </c>
      <c r="P5" s="15">
        <f t="shared" ref="P5:P68" si="5">N5-K5</f>
        <v>-4.4982698961937331</v>
      </c>
      <c r="Q5" s="91">
        <f t="shared" ref="Q5:Q68" si="6">N5/K5</f>
        <v>0.9617647058823533</v>
      </c>
      <c r="R5" s="177">
        <f>Q10</f>
        <v>0.96712263359957584</v>
      </c>
      <c r="S5" s="21">
        <v>0.70833333333333337</v>
      </c>
      <c r="T5" s="21">
        <v>0.74375000000000002</v>
      </c>
      <c r="U5" s="88"/>
      <c r="V5" s="30">
        <f t="shared" ref="V5:V9" si="7">(T5-S5)*24*60</f>
        <v>50.999999999999979</v>
      </c>
      <c r="W5" s="16"/>
      <c r="X5" s="17"/>
      <c r="Y5" s="17"/>
      <c r="Z5" s="17"/>
      <c r="AA5" s="168"/>
      <c r="AB5" s="168"/>
      <c r="AC5" s="18">
        <v>5</v>
      </c>
      <c r="AD5" s="18"/>
      <c r="AE5" s="14">
        <f t="shared" ref="AE5:AE56" si="8">M5-J5</f>
        <v>-76.470588235293462</v>
      </c>
      <c r="AF5" s="91">
        <f t="shared" ref="AF5:AF68" si="9">M5/J5</f>
        <v>0.9617647058823533</v>
      </c>
      <c r="AG5" s="177">
        <f>AF10</f>
        <v>0.96712263359957584</v>
      </c>
    </row>
    <row r="6" spans="1:33">
      <c r="A6" s="205" t="s">
        <v>1887</v>
      </c>
      <c r="B6" s="28" t="s">
        <v>5</v>
      </c>
      <c r="C6" s="206" t="s">
        <v>7</v>
      </c>
      <c r="D6" s="206"/>
      <c r="E6" s="28">
        <v>54.09</v>
      </c>
      <c r="F6" s="88">
        <v>1394</v>
      </c>
      <c r="G6" s="88">
        <f t="shared" si="0"/>
        <v>75401.460000000006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1945.1162790697672</v>
      </c>
      <c r="N6" s="12">
        <f t="shared" si="3"/>
        <v>102.37454100367195</v>
      </c>
      <c r="O6" s="14">
        <f t="shared" si="4"/>
        <v>0</v>
      </c>
      <c r="P6" s="15">
        <f t="shared" si="5"/>
        <v>-2.8886168910648848</v>
      </c>
      <c r="Q6" s="91">
        <f t="shared" si="6"/>
        <v>0.97255813953488357</v>
      </c>
      <c r="R6" s="177"/>
      <c r="S6" s="21">
        <v>0.74722222222222223</v>
      </c>
      <c r="T6" s="21">
        <v>0.77708333333333335</v>
      </c>
      <c r="U6" s="88">
        <f t="shared" ref="U6:U9" si="10">IF(S6=TIME(17,0,0),"",(S6-T5)*24*60)</f>
        <v>4.9999999999999822</v>
      </c>
      <c r="V6" s="30">
        <f t="shared" si="7"/>
        <v>43.000000000000007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-54.883720930232812</v>
      </c>
      <c r="AF6" s="91">
        <f t="shared" si="9"/>
        <v>0.97255813953488357</v>
      </c>
      <c r="AG6" s="177"/>
    </row>
    <row r="7" spans="1:33">
      <c r="A7" s="205" t="s">
        <v>1888</v>
      </c>
      <c r="B7" s="28" t="s">
        <v>5</v>
      </c>
      <c r="C7" s="200" t="s">
        <v>16</v>
      </c>
      <c r="D7" s="201"/>
      <c r="E7" s="28">
        <v>50.67</v>
      </c>
      <c r="F7" s="88">
        <v>800</v>
      </c>
      <c r="G7" s="88">
        <f t="shared" si="0"/>
        <v>40536</v>
      </c>
      <c r="H7" s="30">
        <v>2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1919.9999999999945</v>
      </c>
      <c r="N7" s="12">
        <f t="shared" si="3"/>
        <v>127.99999999999963</v>
      </c>
      <c r="O7" s="14">
        <f t="shared" si="4"/>
        <v>0</v>
      </c>
      <c r="P7" s="15">
        <f t="shared" si="5"/>
        <v>-5.3333333333337123</v>
      </c>
      <c r="Q7" s="91">
        <f t="shared" si="6"/>
        <v>0.95999999999999719</v>
      </c>
      <c r="R7" s="177"/>
      <c r="S7" s="21">
        <v>0.78263888888888888</v>
      </c>
      <c r="T7" s="21">
        <v>0.8</v>
      </c>
      <c r="U7" s="88">
        <f t="shared" si="10"/>
        <v>7.9999999999999716</v>
      </c>
      <c r="V7" s="30">
        <f t="shared" si="7"/>
        <v>25.000000000000071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-80.000000000005457</v>
      </c>
      <c r="AF7" s="91">
        <f t="shared" si="9"/>
        <v>0.9599999999999973</v>
      </c>
      <c r="AG7" s="177"/>
    </row>
    <row r="8" spans="1:33">
      <c r="A8" s="205" t="s">
        <v>1887</v>
      </c>
      <c r="B8" s="28" t="s">
        <v>5</v>
      </c>
      <c r="C8" s="200" t="s">
        <v>1270</v>
      </c>
      <c r="D8" s="201"/>
      <c r="E8" s="28">
        <v>52.86</v>
      </c>
      <c r="F8" s="88">
        <v>1990</v>
      </c>
      <c r="G8" s="88">
        <f t="shared" si="0"/>
        <v>105191.4</v>
      </c>
      <c r="H8" s="30" t="s">
        <v>53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1925.8064516129052</v>
      </c>
      <c r="N8" s="12">
        <f t="shared" si="3"/>
        <v>120.36290322580658</v>
      </c>
      <c r="O8" s="14">
        <f t="shared" si="4"/>
        <v>0</v>
      </c>
      <c r="P8" s="15">
        <f t="shared" si="5"/>
        <v>-4.6370967741934237</v>
      </c>
      <c r="Q8" s="91">
        <f t="shared" si="6"/>
        <v>0.9629032258064526</v>
      </c>
      <c r="R8" s="177"/>
      <c r="S8" s="21">
        <v>0.80347222222222225</v>
      </c>
      <c r="T8" s="21">
        <v>0.84652777777777777</v>
      </c>
      <c r="U8" s="88">
        <f t="shared" si="10"/>
        <v>4.9999999999999822</v>
      </c>
      <c r="V8" s="30">
        <f t="shared" si="7"/>
        <v>61.999999999999943</v>
      </c>
      <c r="W8" s="16">
        <f>T8</f>
        <v>0.84652777777777777</v>
      </c>
      <c r="X8" s="16">
        <f>S9</f>
        <v>0.8881944444444444</v>
      </c>
      <c r="Y8" s="22"/>
      <c r="Z8" s="22"/>
      <c r="AA8" s="172"/>
      <c r="AB8" s="173"/>
      <c r="AC8" s="18"/>
      <c r="AD8" s="20"/>
      <c r="AE8" s="14">
        <f t="shared" si="8"/>
        <v>-74.193548387094779</v>
      </c>
      <c r="AF8" s="91">
        <f t="shared" si="9"/>
        <v>0.9629032258064526</v>
      </c>
      <c r="AG8" s="177"/>
    </row>
    <row r="9" spans="1:33">
      <c r="A9" s="205" t="s">
        <v>1886</v>
      </c>
      <c r="B9" s="28" t="s">
        <v>5</v>
      </c>
      <c r="C9" s="200" t="s">
        <v>16</v>
      </c>
      <c r="D9" s="201"/>
      <c r="E9" s="28">
        <v>50.67</v>
      </c>
      <c r="F9" s="88">
        <v>1011</v>
      </c>
      <c r="G9" s="88">
        <f t="shared" si="0"/>
        <v>51227.37</v>
      </c>
      <c r="H9" s="30" t="s">
        <v>53</v>
      </c>
      <c r="I9" s="95">
        <v>15</v>
      </c>
      <c r="J9" s="13">
        <v>2000</v>
      </c>
      <c r="K9" s="12">
        <f t="shared" si="1"/>
        <v>133.33333333333334</v>
      </c>
      <c r="L9" s="95">
        <v>15</v>
      </c>
      <c r="M9" s="13">
        <f t="shared" si="2"/>
        <v>1956.7741935483839</v>
      </c>
      <c r="N9" s="12">
        <f t="shared" si="3"/>
        <v>130.45161290322559</v>
      </c>
      <c r="O9" s="14">
        <f t="shared" si="4"/>
        <v>0</v>
      </c>
      <c r="P9" s="15">
        <f t="shared" si="5"/>
        <v>-2.8817204301077481</v>
      </c>
      <c r="Q9" s="91">
        <f t="shared" si="6"/>
        <v>0.97838709677419189</v>
      </c>
      <c r="R9" s="177"/>
      <c r="S9" s="21">
        <v>0.8881944444444444</v>
      </c>
      <c r="T9" s="21">
        <v>0.90972222222222221</v>
      </c>
      <c r="U9" s="88">
        <f t="shared" si="10"/>
        <v>59.999999999999943</v>
      </c>
      <c r="V9" s="30">
        <f t="shared" si="7"/>
        <v>31.00000000000005</v>
      </c>
      <c r="W9" s="16"/>
      <c r="X9" s="16"/>
      <c r="Y9" s="19"/>
      <c r="Z9" s="19"/>
      <c r="AA9" s="172"/>
      <c r="AB9" s="173"/>
      <c r="AC9" s="18"/>
      <c r="AD9" s="20"/>
      <c r="AE9" s="14">
        <f t="shared" si="8"/>
        <v>-43.225806451616108</v>
      </c>
      <c r="AF9" s="91">
        <f t="shared" si="9"/>
        <v>0.978387096774192</v>
      </c>
      <c r="AG9" s="177"/>
    </row>
    <row r="10" spans="1:33">
      <c r="A10" s="205" t="s">
        <v>1886</v>
      </c>
      <c r="B10" s="28" t="s">
        <v>1889</v>
      </c>
      <c r="C10" s="178"/>
      <c r="D10" s="178"/>
      <c r="E10" s="92"/>
      <c r="F10" s="12"/>
      <c r="G10" s="12"/>
      <c r="H10" s="88"/>
      <c r="I10" s="23">
        <v>16.399999999999999</v>
      </c>
      <c r="J10" s="13">
        <v>2000</v>
      </c>
      <c r="K10" s="12">
        <f t="shared" si="1"/>
        <v>121.95121951219514</v>
      </c>
      <c r="L10" s="23">
        <v>16.399999999999999</v>
      </c>
      <c r="M10" s="13">
        <f>AVERAGE(M5:M9)</f>
        <v>1934.2452671991516</v>
      </c>
      <c r="N10" s="12">
        <f t="shared" si="3"/>
        <v>117.94178458531414</v>
      </c>
      <c r="O10" s="14">
        <f t="shared" si="4"/>
        <v>0</v>
      </c>
      <c r="P10" s="15">
        <f t="shared" si="5"/>
        <v>-4.0094349268809992</v>
      </c>
      <c r="Q10" s="91">
        <f t="shared" si="6"/>
        <v>0.96712263359957584</v>
      </c>
      <c r="R10" s="177"/>
      <c r="S10" s="21"/>
      <c r="T10" s="21"/>
      <c r="U10" s="88"/>
      <c r="V10" s="30"/>
      <c r="W10" s="12"/>
      <c r="X10" s="12"/>
      <c r="Y10" s="24">
        <f>SUM(Y5:Y9)</f>
        <v>0</v>
      </c>
      <c r="Z10" s="24">
        <f>SUM(Z5:Z9)</f>
        <v>0</v>
      </c>
      <c r="AA10" s="167"/>
      <c r="AB10" s="167"/>
      <c r="AC10" s="24">
        <v>5</v>
      </c>
      <c r="AD10" s="24">
        <f>SUM(AD5:AD9)</f>
        <v>0</v>
      </c>
      <c r="AE10" s="14">
        <f t="shared" si="8"/>
        <v>-65.754732800848387</v>
      </c>
      <c r="AF10" s="91">
        <f t="shared" si="9"/>
        <v>0.96712263359957584</v>
      </c>
      <c r="AG10" s="177"/>
    </row>
    <row r="11" spans="1:33" ht="15.75" customHeight="1">
      <c r="A11" s="199" t="s">
        <v>166</v>
      </c>
      <c r="B11" s="28" t="s">
        <v>9</v>
      </c>
      <c r="C11" s="200" t="s">
        <v>10</v>
      </c>
      <c r="D11" s="201"/>
      <c r="E11" s="28">
        <v>39.619999999999997</v>
      </c>
      <c r="F11" s="88">
        <v>3400</v>
      </c>
      <c r="G11" s="88">
        <f t="shared" ref="G11:G14" si="11">E11*F11</f>
        <v>134708</v>
      </c>
      <c r="H11" s="30">
        <v>2</v>
      </c>
      <c r="I11" s="95">
        <v>19</v>
      </c>
      <c r="J11" s="13">
        <v>1500</v>
      </c>
      <c r="K11" s="12">
        <f t="shared" si="1"/>
        <v>78.94736842105263</v>
      </c>
      <c r="L11" s="95">
        <v>19</v>
      </c>
      <c r="M11" s="13">
        <f t="shared" ref="M11:M14" si="12">F11/V11*60</f>
        <v>1436.6197183098589</v>
      </c>
      <c r="N11" s="12">
        <f t="shared" si="3"/>
        <v>75.611564121571519</v>
      </c>
      <c r="O11" s="14">
        <f t="shared" si="4"/>
        <v>0</v>
      </c>
      <c r="P11" s="15">
        <f t="shared" si="5"/>
        <v>-3.3358042994811115</v>
      </c>
      <c r="Q11" s="91">
        <f t="shared" si="6"/>
        <v>0.95774647887323927</v>
      </c>
      <c r="R11" s="177">
        <f>Q15</f>
        <v>0.95668593497433296</v>
      </c>
      <c r="S11" s="21">
        <v>0.20833333333333334</v>
      </c>
      <c r="T11" s="21">
        <v>0.30694444444444446</v>
      </c>
      <c r="U11" s="88"/>
      <c r="V11" s="30">
        <f t="shared" ref="V11:V14" si="13">(T11-S11)*24*60</f>
        <v>142.00000000000003</v>
      </c>
      <c r="W11" s="16"/>
      <c r="X11" s="16"/>
      <c r="Y11" s="16"/>
      <c r="Z11" s="16"/>
      <c r="AA11" s="168"/>
      <c r="AB11" s="168"/>
      <c r="AC11" s="18">
        <v>4</v>
      </c>
      <c r="AD11" s="18"/>
      <c r="AE11" s="14">
        <f t="shared" si="8"/>
        <v>-63.380281690141146</v>
      </c>
      <c r="AF11" s="91">
        <f t="shared" si="9"/>
        <v>0.95774647887323927</v>
      </c>
      <c r="AG11" s="177">
        <f>AF15</f>
        <v>0.95668593497433296</v>
      </c>
    </row>
    <row r="12" spans="1:33" ht="15.75" customHeight="1">
      <c r="A12" s="199" t="s">
        <v>1890</v>
      </c>
      <c r="B12" s="28" t="s">
        <v>9</v>
      </c>
      <c r="C12" s="200" t="s">
        <v>11</v>
      </c>
      <c r="D12" s="201"/>
      <c r="E12" s="28">
        <v>39.799999999999997</v>
      </c>
      <c r="F12" s="88">
        <v>5400</v>
      </c>
      <c r="G12" s="88">
        <f t="shared" si="11"/>
        <v>214919.99999999997</v>
      </c>
      <c r="H12" s="30">
        <v>2</v>
      </c>
      <c r="I12" s="95">
        <v>17</v>
      </c>
      <c r="J12" s="13">
        <v>1500</v>
      </c>
      <c r="K12" s="12">
        <f t="shared" si="1"/>
        <v>88.235294117647058</v>
      </c>
      <c r="L12" s="95">
        <v>17</v>
      </c>
      <c r="M12" s="13">
        <f t="shared" si="12"/>
        <v>1433.6283185840709</v>
      </c>
      <c r="N12" s="12">
        <f t="shared" si="3"/>
        <v>84.331077563768872</v>
      </c>
      <c r="O12" s="14">
        <f t="shared" si="4"/>
        <v>0</v>
      </c>
      <c r="P12" s="15">
        <f t="shared" si="5"/>
        <v>-3.9042165538781859</v>
      </c>
      <c r="Q12" s="91">
        <f t="shared" si="6"/>
        <v>0.95575221238938057</v>
      </c>
      <c r="R12" s="177"/>
      <c r="S12" s="21">
        <v>0.31041666666666667</v>
      </c>
      <c r="T12" s="21">
        <v>0.46736111111111112</v>
      </c>
      <c r="U12" s="88">
        <f t="shared" ref="U12:U14" si="14">IF(S12=TIME(17,0,0),"",(S12-T11)*24*60)</f>
        <v>4.9999999999999822</v>
      </c>
      <c r="V12" s="30">
        <f t="shared" si="13"/>
        <v>226</v>
      </c>
      <c r="W12" s="16">
        <f>T12</f>
        <v>0.46736111111111112</v>
      </c>
      <c r="X12" s="16">
        <f>S13</f>
        <v>0.50763888888888886</v>
      </c>
      <c r="Y12" s="16"/>
      <c r="Z12" s="16"/>
      <c r="AA12" s="168"/>
      <c r="AB12" s="168"/>
      <c r="AC12" s="18"/>
      <c r="AD12" s="18"/>
      <c r="AE12" s="14">
        <f t="shared" si="8"/>
        <v>-66.371681415929061</v>
      </c>
      <c r="AF12" s="91">
        <f t="shared" si="9"/>
        <v>0.95575221238938057</v>
      </c>
      <c r="AG12" s="177"/>
    </row>
    <row r="13" spans="1:33" ht="15.75" customHeight="1">
      <c r="A13" s="199" t="s">
        <v>1890</v>
      </c>
      <c r="B13" s="28" t="s">
        <v>9</v>
      </c>
      <c r="C13" s="200" t="s">
        <v>11</v>
      </c>
      <c r="D13" s="201"/>
      <c r="E13" s="28">
        <v>39.799999999999997</v>
      </c>
      <c r="F13" s="88">
        <v>3852</v>
      </c>
      <c r="G13" s="88">
        <f t="shared" si="11"/>
        <v>153309.59999999998</v>
      </c>
      <c r="H13" s="30" t="s">
        <v>53</v>
      </c>
      <c r="I13" s="95">
        <v>17</v>
      </c>
      <c r="J13" s="13">
        <v>1500</v>
      </c>
      <c r="K13" s="12">
        <f t="shared" si="1"/>
        <v>88.235294117647058</v>
      </c>
      <c r="L13" s="95">
        <v>17</v>
      </c>
      <c r="M13" s="13">
        <f t="shared" si="12"/>
        <v>1435.5279503105585</v>
      </c>
      <c r="N13" s="12">
        <f t="shared" si="3"/>
        <v>84.442820606503446</v>
      </c>
      <c r="O13" s="14">
        <f t="shared" si="4"/>
        <v>0</v>
      </c>
      <c r="P13" s="15">
        <f t="shared" si="5"/>
        <v>-3.7924735111436121</v>
      </c>
      <c r="Q13" s="91">
        <f t="shared" si="6"/>
        <v>0.95701863354037242</v>
      </c>
      <c r="R13" s="177"/>
      <c r="S13" s="21">
        <v>0.50763888888888886</v>
      </c>
      <c r="T13" s="21">
        <v>0.61944444444444446</v>
      </c>
      <c r="U13" s="88">
        <f t="shared" si="14"/>
        <v>57.999999999999957</v>
      </c>
      <c r="V13" s="30">
        <f t="shared" si="13"/>
        <v>161.00000000000006</v>
      </c>
      <c r="W13" s="16"/>
      <c r="X13" s="16"/>
      <c r="Y13" s="16"/>
      <c r="Z13" s="16"/>
      <c r="AA13" s="168"/>
      <c r="AB13" s="168"/>
      <c r="AC13" s="18"/>
      <c r="AD13" s="18"/>
      <c r="AE13" s="14">
        <f t="shared" si="8"/>
        <v>-64.472049689441519</v>
      </c>
      <c r="AF13" s="91">
        <f t="shared" si="9"/>
        <v>0.95701863354037231</v>
      </c>
      <c r="AG13" s="177"/>
    </row>
    <row r="14" spans="1:33" ht="15.75" customHeight="1">
      <c r="A14" s="199" t="s">
        <v>166</v>
      </c>
      <c r="B14" s="28" t="s">
        <v>9</v>
      </c>
      <c r="C14" s="200" t="s">
        <v>10</v>
      </c>
      <c r="D14" s="201"/>
      <c r="E14" s="28">
        <v>39.619999999999997</v>
      </c>
      <c r="F14" s="88">
        <v>2534</v>
      </c>
      <c r="G14" s="88">
        <f t="shared" si="11"/>
        <v>100397.07999999999</v>
      </c>
      <c r="H14" s="30" t="s">
        <v>53</v>
      </c>
      <c r="I14" s="95">
        <v>19</v>
      </c>
      <c r="J14" s="13">
        <v>1500</v>
      </c>
      <c r="K14" s="12">
        <f t="shared" si="1"/>
        <v>78.94736842105263</v>
      </c>
      <c r="L14" s="95">
        <v>19</v>
      </c>
      <c r="M14" s="13">
        <f t="shared" si="12"/>
        <v>1434.3396226415102</v>
      </c>
      <c r="N14" s="12">
        <f t="shared" si="3"/>
        <v>75.49155908639527</v>
      </c>
      <c r="O14" s="14">
        <f t="shared" si="4"/>
        <v>0</v>
      </c>
      <c r="P14" s="15">
        <f t="shared" si="5"/>
        <v>-3.45580933465736</v>
      </c>
      <c r="Q14" s="91">
        <f t="shared" si="6"/>
        <v>0.95622641509434014</v>
      </c>
      <c r="R14" s="177"/>
      <c r="S14" s="21">
        <v>0.62361111111111112</v>
      </c>
      <c r="T14" s="21">
        <v>0.69722222222222219</v>
      </c>
      <c r="U14" s="88">
        <f t="shared" si="14"/>
        <v>5.9999999999999787</v>
      </c>
      <c r="V14" s="30">
        <f t="shared" si="13"/>
        <v>105.99999999999994</v>
      </c>
      <c r="W14" s="16"/>
      <c r="X14" s="16"/>
      <c r="Y14" s="16"/>
      <c r="Z14" s="16"/>
      <c r="AA14" s="172"/>
      <c r="AB14" s="173"/>
      <c r="AC14" s="18"/>
      <c r="AD14" s="18"/>
      <c r="AE14" s="14">
        <f t="shared" si="8"/>
        <v>-65.660377358489768</v>
      </c>
      <c r="AF14" s="91">
        <f t="shared" si="9"/>
        <v>0.95622641509434014</v>
      </c>
      <c r="AG14" s="177"/>
    </row>
    <row r="15" spans="1:33" ht="16.5" customHeight="1">
      <c r="A15" s="199" t="s">
        <v>1890</v>
      </c>
      <c r="B15" s="28" t="s">
        <v>168</v>
      </c>
      <c r="C15" s="178"/>
      <c r="D15" s="178"/>
      <c r="E15" s="92"/>
      <c r="F15" s="13"/>
      <c r="G15" s="13"/>
      <c r="H15" s="88"/>
      <c r="I15" s="23">
        <v>18</v>
      </c>
      <c r="J15" s="13">
        <v>1500</v>
      </c>
      <c r="K15" s="12">
        <f t="shared" si="1"/>
        <v>83.333333333333329</v>
      </c>
      <c r="L15" s="23">
        <v>18</v>
      </c>
      <c r="M15" s="13">
        <f>AVERAGE(M11:M14)</f>
        <v>1435.0289024614995</v>
      </c>
      <c r="N15" s="12">
        <f t="shared" si="3"/>
        <v>79.723827914527746</v>
      </c>
      <c r="O15" s="14">
        <f t="shared" si="4"/>
        <v>0</v>
      </c>
      <c r="P15" s="15">
        <f t="shared" si="5"/>
        <v>-3.6095054188055826</v>
      </c>
      <c r="Q15" s="91">
        <f t="shared" si="6"/>
        <v>0.95668593497433296</v>
      </c>
      <c r="R15" s="177"/>
      <c r="S15" s="21"/>
      <c r="T15" s="21"/>
      <c r="U15" s="12"/>
      <c r="V15" s="30"/>
      <c r="W15" s="12"/>
      <c r="X15" s="12"/>
      <c r="Y15" s="24">
        <f>SUM(Y11:Y14)</f>
        <v>0</v>
      </c>
      <c r="Z15" s="24">
        <f>SUM(Z11:Z14)</f>
        <v>0</v>
      </c>
      <c r="AA15" s="167"/>
      <c r="AB15" s="167"/>
      <c r="AC15" s="24">
        <v>4</v>
      </c>
      <c r="AD15" s="24">
        <f>SUM(AD11:AD14)</f>
        <v>0</v>
      </c>
      <c r="AE15" s="14">
        <f t="shared" si="8"/>
        <v>-64.971097538500544</v>
      </c>
      <c r="AF15" s="91">
        <f t="shared" si="9"/>
        <v>0.95668593497433296</v>
      </c>
      <c r="AG15" s="177"/>
    </row>
    <row r="16" spans="1:33" ht="16.5" customHeight="1">
      <c r="A16" s="197" t="s">
        <v>169</v>
      </c>
      <c r="B16" s="88" t="s">
        <v>12</v>
      </c>
      <c r="C16" s="193" t="s">
        <v>13</v>
      </c>
      <c r="D16" s="193"/>
      <c r="E16" s="28">
        <v>41</v>
      </c>
      <c r="F16" s="88">
        <v>2269</v>
      </c>
      <c r="G16" s="88">
        <f t="shared" ref="G16:G19" si="15">E16*F16</f>
        <v>93029</v>
      </c>
      <c r="H16" s="30" t="s">
        <v>53</v>
      </c>
      <c r="I16" s="95">
        <v>26</v>
      </c>
      <c r="J16" s="13">
        <v>1500</v>
      </c>
      <c r="K16" s="12">
        <f t="shared" si="1"/>
        <v>57.692307692307693</v>
      </c>
      <c r="L16" s="95">
        <v>26</v>
      </c>
      <c r="M16" s="13">
        <f t="shared" ref="M16:M19" si="16">F16/V16*60</f>
        <v>1433.0526315789471</v>
      </c>
      <c r="N16" s="12">
        <f t="shared" si="3"/>
        <v>55.117408906882581</v>
      </c>
      <c r="O16" s="14">
        <f t="shared" si="4"/>
        <v>0</v>
      </c>
      <c r="P16" s="15">
        <f t="shared" si="5"/>
        <v>-2.5748987854251126</v>
      </c>
      <c r="Q16" s="91">
        <f t="shared" si="6"/>
        <v>0.95536842105263142</v>
      </c>
      <c r="R16" s="177">
        <f>Q20</f>
        <v>0.95820459956206028</v>
      </c>
      <c r="S16" s="21">
        <v>0.20833333333333334</v>
      </c>
      <c r="T16" s="21">
        <v>0.27430555555555558</v>
      </c>
      <c r="U16" s="88"/>
      <c r="V16" s="30">
        <f t="shared" ref="V16:V19" si="17">(T16-S16)*24*60</f>
        <v>95.000000000000028</v>
      </c>
      <c r="W16" s="21"/>
      <c r="X16" s="21"/>
      <c r="Y16" s="21"/>
      <c r="Z16" s="21"/>
      <c r="AA16" s="168"/>
      <c r="AB16" s="168"/>
      <c r="AC16" s="18">
        <v>4</v>
      </c>
      <c r="AD16" s="18"/>
      <c r="AE16" s="14">
        <f t="shared" si="8"/>
        <v>-66.947368421052943</v>
      </c>
      <c r="AF16" s="91">
        <f t="shared" si="9"/>
        <v>0.95536842105263142</v>
      </c>
      <c r="AG16" s="177">
        <f>AF20</f>
        <v>0.95820459956206028</v>
      </c>
    </row>
    <row r="17" spans="1:33" ht="16.5" customHeight="1">
      <c r="A17" s="198" t="s">
        <v>1891</v>
      </c>
      <c r="B17" s="88" t="s">
        <v>5</v>
      </c>
      <c r="C17" s="193" t="s">
        <v>20</v>
      </c>
      <c r="D17" s="193"/>
      <c r="E17" s="28">
        <v>53.68</v>
      </c>
      <c r="F17" s="88">
        <v>1486</v>
      </c>
      <c r="G17" s="88">
        <f t="shared" si="15"/>
        <v>79768.479999999996</v>
      </c>
      <c r="H17" s="30" t="s">
        <v>53</v>
      </c>
      <c r="I17" s="95">
        <v>16</v>
      </c>
      <c r="J17" s="13">
        <v>1500</v>
      </c>
      <c r="K17" s="12">
        <f t="shared" si="1"/>
        <v>93.75</v>
      </c>
      <c r="L17" s="95">
        <v>16</v>
      </c>
      <c r="M17" s="13">
        <f t="shared" si="16"/>
        <v>1438.0645161290336</v>
      </c>
      <c r="N17" s="12">
        <f t="shared" si="3"/>
        <v>89.879032258064598</v>
      </c>
      <c r="O17" s="14">
        <f t="shared" si="4"/>
        <v>0</v>
      </c>
      <c r="P17" s="15">
        <f t="shared" si="5"/>
        <v>-3.8709677419354023</v>
      </c>
      <c r="Q17" s="91">
        <f t="shared" si="6"/>
        <v>0.95870967741935575</v>
      </c>
      <c r="R17" s="177"/>
      <c r="S17" s="21">
        <v>0.70833333333333337</v>
      </c>
      <c r="T17" s="21">
        <v>0.75138888888888888</v>
      </c>
      <c r="U17" s="88" t="str">
        <f t="shared" ref="U17:U19" si="18">IF(S17=TIME(17,0,0),"",(S17-T16)*24*60)</f>
        <v/>
      </c>
      <c r="V17" s="30">
        <f t="shared" si="17"/>
        <v>61.999999999999943</v>
      </c>
      <c r="W17" s="16"/>
      <c r="X17" s="16"/>
      <c r="Y17" s="16"/>
      <c r="Z17" s="16"/>
      <c r="AA17" s="168"/>
      <c r="AB17" s="168"/>
      <c r="AC17" s="18"/>
      <c r="AD17" s="18"/>
      <c r="AE17" s="14">
        <f t="shared" si="8"/>
        <v>-61.935483870966436</v>
      </c>
      <c r="AF17" s="91">
        <f t="shared" si="9"/>
        <v>0.95870967741935575</v>
      </c>
      <c r="AG17" s="177"/>
    </row>
    <row r="18" spans="1:33" ht="16.5" customHeight="1">
      <c r="A18" s="198" t="s">
        <v>169</v>
      </c>
      <c r="B18" s="88" t="s">
        <v>5</v>
      </c>
      <c r="C18" s="193" t="s">
        <v>15</v>
      </c>
      <c r="D18" s="193"/>
      <c r="E18" s="28">
        <v>50.92</v>
      </c>
      <c r="F18" s="88">
        <v>2529</v>
      </c>
      <c r="G18" s="88">
        <f t="shared" si="15"/>
        <v>128776.68000000001</v>
      </c>
      <c r="H18" s="30" t="s">
        <v>53</v>
      </c>
      <c r="I18" s="95">
        <v>15</v>
      </c>
      <c r="J18" s="13">
        <v>2000</v>
      </c>
      <c r="K18" s="12">
        <f t="shared" si="1"/>
        <v>133.33333333333334</v>
      </c>
      <c r="L18" s="95">
        <v>15</v>
      </c>
      <c r="M18" s="13">
        <f t="shared" si="16"/>
        <v>1920.7594936708851</v>
      </c>
      <c r="N18" s="12">
        <f t="shared" si="3"/>
        <v>128.05063291139234</v>
      </c>
      <c r="O18" s="14">
        <f t="shared" si="4"/>
        <v>0</v>
      </c>
      <c r="P18" s="15">
        <f t="shared" si="5"/>
        <v>-5.2827004219410014</v>
      </c>
      <c r="Q18" s="91">
        <f t="shared" si="6"/>
        <v>0.96037974683544247</v>
      </c>
      <c r="R18" s="177"/>
      <c r="S18" s="21">
        <v>0.75555555555555554</v>
      </c>
      <c r="T18" s="21">
        <v>0.81041666666666667</v>
      </c>
      <c r="U18" s="88">
        <f t="shared" si="18"/>
        <v>5.9999999999999787</v>
      </c>
      <c r="V18" s="30">
        <f t="shared" si="17"/>
        <v>79.000000000000043</v>
      </c>
      <c r="W18" s="16"/>
      <c r="X18" s="16"/>
      <c r="Y18" s="16"/>
      <c r="Z18" s="16"/>
      <c r="AA18" s="168"/>
      <c r="AB18" s="168"/>
      <c r="AC18" s="18"/>
      <c r="AD18" s="18"/>
      <c r="AE18" s="14">
        <f t="shared" si="8"/>
        <v>-79.240506329114851</v>
      </c>
      <c r="AF18" s="91">
        <f t="shared" si="9"/>
        <v>0.96037974683544258</v>
      </c>
      <c r="AG18" s="177"/>
    </row>
    <row r="19" spans="1:33" ht="16.5" customHeight="1">
      <c r="A19" s="198" t="s">
        <v>1891</v>
      </c>
      <c r="B19" s="88" t="s">
        <v>5</v>
      </c>
      <c r="C19" s="193" t="s">
        <v>21</v>
      </c>
      <c r="D19" s="193"/>
      <c r="E19" s="28">
        <v>57.3</v>
      </c>
      <c r="F19" s="88">
        <v>1724</v>
      </c>
      <c r="G19" s="88">
        <f t="shared" si="15"/>
        <v>98785.2</v>
      </c>
      <c r="H19" s="30" t="s">
        <v>53</v>
      </c>
      <c r="I19" s="95">
        <v>13</v>
      </c>
      <c r="J19" s="13">
        <v>2000</v>
      </c>
      <c r="K19" s="12">
        <f t="shared" si="1"/>
        <v>153.84615384615384</v>
      </c>
      <c r="L19" s="95">
        <v>13</v>
      </c>
      <c r="M19" s="13">
        <f t="shared" si="16"/>
        <v>1915.5555555555566</v>
      </c>
      <c r="N19" s="12">
        <f t="shared" si="3"/>
        <v>147.35042735042742</v>
      </c>
      <c r="O19" s="14">
        <f t="shared" si="4"/>
        <v>0</v>
      </c>
      <c r="P19" s="15">
        <f t="shared" si="5"/>
        <v>-6.4957264957264158</v>
      </c>
      <c r="Q19" s="91">
        <f t="shared" si="6"/>
        <v>0.95777777777777828</v>
      </c>
      <c r="R19" s="177"/>
      <c r="S19" s="21">
        <v>0.81597222222222221</v>
      </c>
      <c r="T19" s="21">
        <v>0.85347222222222219</v>
      </c>
      <c r="U19" s="88">
        <f t="shared" si="18"/>
        <v>7.9999999999999716</v>
      </c>
      <c r="V19" s="30">
        <f t="shared" si="17"/>
        <v>53.999999999999972</v>
      </c>
      <c r="W19" s="16"/>
      <c r="X19" s="16"/>
      <c r="Y19" s="16"/>
      <c r="Z19" s="16"/>
      <c r="AA19" s="168"/>
      <c r="AB19" s="168"/>
      <c r="AC19" s="18"/>
      <c r="AD19" s="18"/>
      <c r="AE19" s="14">
        <f t="shared" si="8"/>
        <v>-84.444444444443434</v>
      </c>
      <c r="AF19" s="91">
        <f t="shared" si="9"/>
        <v>0.95777777777777828</v>
      </c>
      <c r="AG19" s="177"/>
    </row>
    <row r="20" spans="1:33" ht="16.5" customHeight="1">
      <c r="A20" s="198" t="s">
        <v>169</v>
      </c>
      <c r="B20" s="28" t="s">
        <v>168</v>
      </c>
      <c r="C20" s="178"/>
      <c r="D20" s="178"/>
      <c r="E20" s="92"/>
      <c r="F20" s="12"/>
      <c r="G20" s="12"/>
      <c r="H20" s="88"/>
      <c r="I20" s="23">
        <v>17.5</v>
      </c>
      <c r="J20" s="13">
        <v>1750</v>
      </c>
      <c r="K20" s="12">
        <f t="shared" si="1"/>
        <v>100</v>
      </c>
      <c r="L20" s="23">
        <v>17.5</v>
      </c>
      <c r="M20" s="13">
        <f>AVERAGE(M16:M19)</f>
        <v>1676.8580492336055</v>
      </c>
      <c r="N20" s="12">
        <f t="shared" si="3"/>
        <v>95.820459956206022</v>
      </c>
      <c r="O20" s="14">
        <f t="shared" si="4"/>
        <v>0</v>
      </c>
      <c r="P20" s="15">
        <f t="shared" si="5"/>
        <v>-4.1795400437939776</v>
      </c>
      <c r="Q20" s="91">
        <f t="shared" si="6"/>
        <v>0.95820459956206028</v>
      </c>
      <c r="R20" s="177"/>
      <c r="S20" s="21"/>
      <c r="T20" s="21"/>
      <c r="U20" s="88"/>
      <c r="V20" s="30"/>
      <c r="W20" s="12"/>
      <c r="X20" s="12"/>
      <c r="Y20" s="24">
        <f>SUM(Y16:Y19)</f>
        <v>0</v>
      </c>
      <c r="Z20" s="24">
        <f>SUM(Z16:Z19)</f>
        <v>0</v>
      </c>
      <c r="AA20" s="167"/>
      <c r="AB20" s="167"/>
      <c r="AC20" s="24">
        <v>4</v>
      </c>
      <c r="AD20" s="24">
        <f>SUM(AD16:AD19)</f>
        <v>0</v>
      </c>
      <c r="AE20" s="14">
        <f t="shared" si="8"/>
        <v>-73.14195076639453</v>
      </c>
      <c r="AF20" s="91">
        <f t="shared" si="9"/>
        <v>0.95820459956206028</v>
      </c>
      <c r="AG20" s="177"/>
    </row>
    <row r="21" spans="1:33" ht="15.75" customHeight="1">
      <c r="A21" s="195" t="s">
        <v>1892</v>
      </c>
      <c r="B21" s="28" t="s">
        <v>5</v>
      </c>
      <c r="C21" s="193" t="s">
        <v>17</v>
      </c>
      <c r="D21" s="193"/>
      <c r="E21" s="28">
        <v>57.73</v>
      </c>
      <c r="F21" s="88">
        <v>2872</v>
      </c>
      <c r="G21" s="88">
        <f t="shared" ref="G21:G26" si="19">E21*F21</f>
        <v>165800.56</v>
      </c>
      <c r="H21" s="30" t="s">
        <v>53</v>
      </c>
      <c r="I21" s="95">
        <v>14</v>
      </c>
      <c r="J21" s="13">
        <v>2000</v>
      </c>
      <c r="K21" s="12">
        <f t="shared" si="1"/>
        <v>142.85714285714286</v>
      </c>
      <c r="L21" s="95">
        <v>14</v>
      </c>
      <c r="M21" s="13">
        <f t="shared" ref="M21:M26" si="20">F21/V21*60</f>
        <v>1914.6666666666667</v>
      </c>
      <c r="N21" s="12">
        <f t="shared" si="3"/>
        <v>136.76190476190476</v>
      </c>
      <c r="O21" s="14">
        <f t="shared" si="4"/>
        <v>0</v>
      </c>
      <c r="P21" s="15">
        <f t="shared" si="5"/>
        <v>-6.095238095238102</v>
      </c>
      <c r="Q21" s="91">
        <f t="shared" si="6"/>
        <v>0.95733333333333326</v>
      </c>
      <c r="R21" s="177">
        <f>Q27</f>
        <v>0.95753060176612226</v>
      </c>
      <c r="S21" s="21">
        <v>0.29166666666666669</v>
      </c>
      <c r="T21" s="21">
        <v>0.35416666666666669</v>
      </c>
      <c r="U21" s="88"/>
      <c r="V21" s="30">
        <f t="shared" ref="V21:V26" si="21">(T21-S21)*24*60</f>
        <v>90</v>
      </c>
      <c r="W21" s="21"/>
      <c r="X21" s="21"/>
      <c r="Y21" s="21"/>
      <c r="Z21" s="21"/>
      <c r="AA21" s="168"/>
      <c r="AB21" s="168"/>
      <c r="AC21" s="18">
        <v>6</v>
      </c>
      <c r="AD21" s="18"/>
      <c r="AE21" s="14">
        <f t="shared" si="8"/>
        <v>-85.333333333333258</v>
      </c>
      <c r="AF21" s="91">
        <f t="shared" si="9"/>
        <v>0.95733333333333337</v>
      </c>
      <c r="AG21" s="177">
        <f>AF27</f>
        <v>0.95753060176612226</v>
      </c>
    </row>
    <row r="22" spans="1:33" ht="15.75" customHeight="1">
      <c r="A22" s="196" t="s">
        <v>1892</v>
      </c>
      <c r="B22" s="28" t="s">
        <v>5</v>
      </c>
      <c r="C22" s="193" t="s">
        <v>18</v>
      </c>
      <c r="D22" s="193"/>
      <c r="E22" s="28">
        <v>53.68</v>
      </c>
      <c r="F22" s="88">
        <v>1482</v>
      </c>
      <c r="G22" s="88">
        <f t="shared" si="19"/>
        <v>79553.759999999995</v>
      </c>
      <c r="H22" s="30" t="s">
        <v>53</v>
      </c>
      <c r="I22" s="95">
        <v>16</v>
      </c>
      <c r="J22" s="13">
        <v>2000</v>
      </c>
      <c r="K22" s="12">
        <f t="shared" si="1"/>
        <v>125</v>
      </c>
      <c r="L22" s="95">
        <v>16</v>
      </c>
      <c r="M22" s="13">
        <f t="shared" si="20"/>
        <v>1933.0434782608697</v>
      </c>
      <c r="N22" s="12">
        <f t="shared" si="3"/>
        <v>120.81521739130436</v>
      </c>
      <c r="O22" s="14">
        <f t="shared" si="4"/>
        <v>0</v>
      </c>
      <c r="P22" s="15">
        <f t="shared" si="5"/>
        <v>-4.1847826086956417</v>
      </c>
      <c r="Q22" s="91">
        <f t="shared" si="6"/>
        <v>0.96652173913043482</v>
      </c>
      <c r="R22" s="177"/>
      <c r="S22" s="21">
        <v>0.35972222222222222</v>
      </c>
      <c r="T22" s="21">
        <v>0.39166666666666666</v>
      </c>
      <c r="U22" s="88">
        <f t="shared" ref="U22:U26" si="22">IF(S22=TIME(17,0,0),"",(S22-T21)*24*60)</f>
        <v>7.9999999999999716</v>
      </c>
      <c r="V22" s="30">
        <f t="shared" si="21"/>
        <v>46</v>
      </c>
      <c r="W22" s="16"/>
      <c r="X22" s="88"/>
      <c r="Y22" s="88"/>
      <c r="Z22" s="88"/>
      <c r="AA22" s="168"/>
      <c r="AB22" s="168"/>
      <c r="AC22" s="18"/>
      <c r="AD22" s="18"/>
      <c r="AE22" s="14">
        <f t="shared" si="8"/>
        <v>-66.956521739130267</v>
      </c>
      <c r="AF22" s="91">
        <f t="shared" si="9"/>
        <v>0.96652173913043482</v>
      </c>
      <c r="AG22" s="177"/>
    </row>
    <row r="23" spans="1:33" ht="15.75" customHeight="1">
      <c r="A23" s="196" t="s">
        <v>170</v>
      </c>
      <c r="B23" s="28" t="s">
        <v>5</v>
      </c>
      <c r="C23" s="193" t="s">
        <v>73</v>
      </c>
      <c r="D23" s="193"/>
      <c r="E23" s="28">
        <v>50.67</v>
      </c>
      <c r="F23" s="88">
        <v>3179</v>
      </c>
      <c r="G23" s="88">
        <f t="shared" si="19"/>
        <v>161079.93</v>
      </c>
      <c r="H23" s="30" t="s">
        <v>53</v>
      </c>
      <c r="I23" s="95">
        <v>17</v>
      </c>
      <c r="J23" s="13">
        <v>2000</v>
      </c>
      <c r="K23" s="12">
        <f t="shared" si="1"/>
        <v>117.64705882352941</v>
      </c>
      <c r="L23" s="95">
        <v>17</v>
      </c>
      <c r="M23" s="13">
        <f t="shared" si="20"/>
        <v>1907.3999999999992</v>
      </c>
      <c r="N23" s="12">
        <f t="shared" si="3"/>
        <v>112.19999999999995</v>
      </c>
      <c r="O23" s="14">
        <f t="shared" si="4"/>
        <v>0</v>
      </c>
      <c r="P23" s="15">
        <f t="shared" si="5"/>
        <v>-5.4470588235294599</v>
      </c>
      <c r="Q23" s="91">
        <f t="shared" si="6"/>
        <v>0.95369999999999955</v>
      </c>
      <c r="R23" s="177"/>
      <c r="S23" s="21">
        <v>0.39583333333333331</v>
      </c>
      <c r="T23" s="21">
        <v>0.46527777777777779</v>
      </c>
      <c r="U23" s="88">
        <f t="shared" si="22"/>
        <v>5.9999999999999787</v>
      </c>
      <c r="V23" s="30">
        <f t="shared" si="21"/>
        <v>100.00000000000004</v>
      </c>
      <c r="W23" s="16"/>
      <c r="X23" s="88"/>
      <c r="Y23" s="88"/>
      <c r="Z23" s="88"/>
      <c r="AA23" s="168"/>
      <c r="AB23" s="168"/>
      <c r="AC23" s="18"/>
      <c r="AD23" s="18"/>
      <c r="AE23" s="14">
        <f t="shared" si="8"/>
        <v>-92.600000000000819</v>
      </c>
      <c r="AF23" s="91">
        <f t="shared" si="9"/>
        <v>0.95369999999999955</v>
      </c>
      <c r="AG23" s="177"/>
    </row>
    <row r="24" spans="1:33" ht="15.75" customHeight="1">
      <c r="A24" s="196" t="s">
        <v>170</v>
      </c>
      <c r="B24" s="28" t="s">
        <v>5</v>
      </c>
      <c r="C24" s="193" t="s">
        <v>19</v>
      </c>
      <c r="D24" s="193"/>
      <c r="E24" s="28">
        <v>50.49</v>
      </c>
      <c r="F24" s="88">
        <v>2159</v>
      </c>
      <c r="G24" s="88">
        <f t="shared" si="19"/>
        <v>109007.91</v>
      </c>
      <c r="H24" s="30" t="s">
        <v>53</v>
      </c>
      <c r="I24" s="95">
        <v>15</v>
      </c>
      <c r="J24" s="13">
        <v>2000</v>
      </c>
      <c r="K24" s="12">
        <f t="shared" si="1"/>
        <v>133.33333333333334</v>
      </c>
      <c r="L24" s="95">
        <v>15</v>
      </c>
      <c r="M24" s="13">
        <f t="shared" si="20"/>
        <v>1905.0000000000023</v>
      </c>
      <c r="N24" s="12">
        <f t="shared" si="3"/>
        <v>127.00000000000016</v>
      </c>
      <c r="O24" s="14">
        <f t="shared" si="4"/>
        <v>0</v>
      </c>
      <c r="P24" s="15">
        <f t="shared" si="5"/>
        <v>-6.3333333333331865</v>
      </c>
      <c r="Q24" s="91">
        <f t="shared" si="6"/>
        <v>0.95250000000000112</v>
      </c>
      <c r="R24" s="177"/>
      <c r="S24" s="21">
        <v>0.70833333333333337</v>
      </c>
      <c r="T24" s="21">
        <v>0.75555555555555554</v>
      </c>
      <c r="U24" s="88" t="str">
        <f t="shared" si="22"/>
        <v/>
      </c>
      <c r="V24" s="30">
        <f t="shared" si="21"/>
        <v>67.999999999999915</v>
      </c>
      <c r="W24" s="16"/>
      <c r="X24" s="88"/>
      <c r="Y24" s="88"/>
      <c r="Z24" s="88"/>
      <c r="AA24" s="168"/>
      <c r="AB24" s="168"/>
      <c r="AC24" s="18"/>
      <c r="AD24" s="18"/>
      <c r="AE24" s="14">
        <f t="shared" si="8"/>
        <v>-94.999999999997726</v>
      </c>
      <c r="AF24" s="91">
        <f t="shared" si="9"/>
        <v>0.95250000000000112</v>
      </c>
      <c r="AG24" s="177"/>
    </row>
    <row r="25" spans="1:33" ht="15.75" customHeight="1">
      <c r="A25" s="196" t="s">
        <v>170</v>
      </c>
      <c r="B25" s="28" t="s">
        <v>5</v>
      </c>
      <c r="C25" s="193" t="s">
        <v>42</v>
      </c>
      <c r="D25" s="193"/>
      <c r="E25" s="28">
        <v>57.73</v>
      </c>
      <c r="F25" s="88">
        <v>1028</v>
      </c>
      <c r="G25" s="88">
        <f t="shared" si="19"/>
        <v>59346.439999999995</v>
      </c>
      <c r="H25" s="30" t="s">
        <v>53</v>
      </c>
      <c r="I25" s="95">
        <v>16</v>
      </c>
      <c r="J25" s="13">
        <v>1500</v>
      </c>
      <c r="K25" s="12">
        <f t="shared" si="1"/>
        <v>93.75</v>
      </c>
      <c r="L25" s="95">
        <v>16</v>
      </c>
      <c r="M25" s="13">
        <f t="shared" si="20"/>
        <v>1434.4186046511625</v>
      </c>
      <c r="N25" s="12">
        <f t="shared" si="3"/>
        <v>89.651162790697654</v>
      </c>
      <c r="O25" s="14">
        <f t="shared" si="4"/>
        <v>0</v>
      </c>
      <c r="P25" s="15">
        <f t="shared" si="5"/>
        <v>-4.0988372093023457</v>
      </c>
      <c r="Q25" s="91">
        <f t="shared" si="6"/>
        <v>0.95627906976744159</v>
      </c>
      <c r="R25" s="177"/>
      <c r="S25" s="21">
        <v>0.76041666666666663</v>
      </c>
      <c r="T25" s="21">
        <v>0.79027777777777775</v>
      </c>
      <c r="U25" s="88">
        <f t="shared" si="22"/>
        <v>6.9999999999999751</v>
      </c>
      <c r="V25" s="30">
        <f t="shared" si="21"/>
        <v>43.000000000000007</v>
      </c>
      <c r="W25" s="16"/>
      <c r="X25" s="16"/>
      <c r="Y25" s="88"/>
      <c r="Z25" s="88"/>
      <c r="AA25" s="168"/>
      <c r="AB25" s="168"/>
      <c r="AC25" s="18"/>
      <c r="AD25" s="18"/>
      <c r="AE25" s="14">
        <f t="shared" si="8"/>
        <v>-65.581395348837532</v>
      </c>
      <c r="AF25" s="91">
        <f t="shared" si="9"/>
        <v>0.95627906976744159</v>
      </c>
      <c r="AG25" s="177"/>
    </row>
    <row r="26" spans="1:33" ht="15.75" customHeight="1">
      <c r="A26" s="196" t="s">
        <v>170</v>
      </c>
      <c r="B26" s="28" t="s">
        <v>5</v>
      </c>
      <c r="C26" s="193" t="s">
        <v>14</v>
      </c>
      <c r="D26" s="193"/>
      <c r="E26" s="28">
        <v>50.98</v>
      </c>
      <c r="F26" s="88">
        <v>2620</v>
      </c>
      <c r="G26" s="88">
        <f t="shared" si="19"/>
        <v>133567.6</v>
      </c>
      <c r="H26" s="30" t="s">
        <v>53</v>
      </c>
      <c r="I26" s="95">
        <v>16</v>
      </c>
      <c r="J26" s="13">
        <v>2000</v>
      </c>
      <c r="K26" s="12">
        <f t="shared" si="1"/>
        <v>125</v>
      </c>
      <c r="L26" s="95">
        <v>16</v>
      </c>
      <c r="M26" s="13">
        <f t="shared" si="20"/>
        <v>1917.0731707317066</v>
      </c>
      <c r="N26" s="12">
        <f t="shared" si="3"/>
        <v>119.81707317073166</v>
      </c>
      <c r="O26" s="14">
        <f t="shared" si="4"/>
        <v>0</v>
      </c>
      <c r="P26" s="15">
        <f t="shared" si="5"/>
        <v>-5.1829268292683395</v>
      </c>
      <c r="Q26" s="91">
        <f t="shared" si="6"/>
        <v>0.95853658536585329</v>
      </c>
      <c r="R26" s="177"/>
      <c r="S26" s="21">
        <v>0.79513888888888884</v>
      </c>
      <c r="T26" s="21">
        <v>0.8520833333333333</v>
      </c>
      <c r="U26" s="88">
        <f t="shared" si="22"/>
        <v>6.9999999999999751</v>
      </c>
      <c r="V26" s="30">
        <f t="shared" si="21"/>
        <v>82.000000000000028</v>
      </c>
      <c r="W26" s="16"/>
      <c r="X26" s="21"/>
      <c r="Y26" s="21"/>
      <c r="Z26" s="21"/>
      <c r="AA26" s="168"/>
      <c r="AB26" s="168"/>
      <c r="AC26" s="18"/>
      <c r="AD26" s="18"/>
      <c r="AE26" s="14">
        <f t="shared" si="8"/>
        <v>-82.926829268293432</v>
      </c>
      <c r="AF26" s="91">
        <f t="shared" si="9"/>
        <v>0.95853658536585329</v>
      </c>
      <c r="AG26" s="177"/>
    </row>
    <row r="27" spans="1:33" ht="15.75" customHeight="1">
      <c r="A27" s="196" t="s">
        <v>1892</v>
      </c>
      <c r="B27" s="28" t="s">
        <v>168</v>
      </c>
      <c r="C27" s="178"/>
      <c r="D27" s="178"/>
      <c r="E27" s="92"/>
      <c r="F27" s="88"/>
      <c r="G27" s="88"/>
      <c r="H27" s="88"/>
      <c r="I27" s="23">
        <v>15.666666666666666</v>
      </c>
      <c r="J27" s="13">
        <v>1916.6666666666667</v>
      </c>
      <c r="K27" s="12">
        <f t="shared" si="1"/>
        <v>122.3404255319149</v>
      </c>
      <c r="L27" s="23">
        <v>15.666666666666666</v>
      </c>
      <c r="M27" s="13">
        <f>AVERAGE(M21:M26)</f>
        <v>1835.2669867184011</v>
      </c>
      <c r="N27" s="12">
        <f t="shared" si="3"/>
        <v>117.14470127989794</v>
      </c>
      <c r="O27" s="14">
        <f t="shared" si="4"/>
        <v>0</v>
      </c>
      <c r="P27" s="15">
        <f t="shared" si="5"/>
        <v>-5.1957242520169586</v>
      </c>
      <c r="Q27" s="91">
        <f t="shared" si="6"/>
        <v>0.95753060176612226</v>
      </c>
      <c r="R27" s="177"/>
      <c r="S27" s="21"/>
      <c r="T27" s="21"/>
      <c r="U27" s="12"/>
      <c r="V27" s="30"/>
      <c r="W27" s="12"/>
      <c r="X27" s="12"/>
      <c r="Y27" s="24">
        <f>SUM(Y21:Y26)</f>
        <v>0</v>
      </c>
      <c r="Z27" s="24">
        <f>SUM(Z21:Z26)</f>
        <v>0</v>
      </c>
      <c r="AA27" s="167"/>
      <c r="AB27" s="167"/>
      <c r="AC27" s="24">
        <v>6</v>
      </c>
      <c r="AD27" s="24">
        <f>SUM(AD21:AD26)</f>
        <v>0</v>
      </c>
      <c r="AE27" s="14">
        <f t="shared" si="8"/>
        <v>-81.399679948265657</v>
      </c>
      <c r="AF27" s="91">
        <f t="shared" si="9"/>
        <v>0.95753060176612226</v>
      </c>
      <c r="AG27" s="177"/>
    </row>
    <row r="28" spans="1:33" ht="15.75" customHeight="1">
      <c r="A28" s="194" t="s">
        <v>1893</v>
      </c>
      <c r="B28" s="28" t="s">
        <v>22</v>
      </c>
      <c r="C28" s="193" t="s">
        <v>23</v>
      </c>
      <c r="D28" s="193"/>
      <c r="E28" s="28">
        <v>31.29</v>
      </c>
      <c r="F28" s="88">
        <v>7000</v>
      </c>
      <c r="G28" s="88">
        <f t="shared" ref="G28:G35" si="23">E28*F28</f>
        <v>219030</v>
      </c>
      <c r="H28" s="30">
        <v>2</v>
      </c>
      <c r="I28" s="95">
        <v>18</v>
      </c>
      <c r="J28" s="13">
        <v>2400</v>
      </c>
      <c r="K28" s="12">
        <f t="shared" si="1"/>
        <v>133.33333333333334</v>
      </c>
      <c r="L28" s="95">
        <v>18</v>
      </c>
      <c r="M28" s="13">
        <f t="shared" ref="M28:M35" si="24">F28/V28*60</f>
        <v>2282.6086956521735</v>
      </c>
      <c r="N28" s="12">
        <f t="shared" si="3"/>
        <v>126.81159420289853</v>
      </c>
      <c r="O28" s="14">
        <f t="shared" si="4"/>
        <v>0</v>
      </c>
      <c r="P28" s="15">
        <f t="shared" si="5"/>
        <v>-6.5217391304348098</v>
      </c>
      <c r="Q28" s="91">
        <f t="shared" si="6"/>
        <v>0.95108695652173891</v>
      </c>
      <c r="R28" s="177">
        <f>Q36</f>
        <v>0.95716532767980977</v>
      </c>
      <c r="S28" s="21">
        <v>8.3333333333333329E-2</v>
      </c>
      <c r="T28" s="21">
        <v>0.21111111111111114</v>
      </c>
      <c r="U28" s="88"/>
      <c r="V28" s="30">
        <f t="shared" ref="V28:V35" si="25">(T28-S28)*24*60</f>
        <v>184.00000000000006</v>
      </c>
      <c r="W28" s="16">
        <f>T28</f>
        <v>0.21111111111111114</v>
      </c>
      <c r="X28" s="16">
        <f>S29</f>
        <v>0.23194444444444448</v>
      </c>
      <c r="Y28" s="16"/>
      <c r="Z28" s="16"/>
      <c r="AA28" s="168"/>
      <c r="AB28" s="168"/>
      <c r="AC28" s="18">
        <v>8</v>
      </c>
      <c r="AD28" s="18"/>
      <c r="AE28" s="14">
        <f t="shared" si="8"/>
        <v>-117.39130434782646</v>
      </c>
      <c r="AF28" s="91">
        <f t="shared" si="9"/>
        <v>0.95108695652173902</v>
      </c>
      <c r="AG28" s="177">
        <f>AF36</f>
        <v>0.95716532767980977</v>
      </c>
    </row>
    <row r="29" spans="1:33" ht="15.75" customHeight="1">
      <c r="A29" s="194" t="s">
        <v>171</v>
      </c>
      <c r="B29" s="28" t="s">
        <v>22</v>
      </c>
      <c r="C29" s="193" t="s">
        <v>24</v>
      </c>
      <c r="D29" s="193"/>
      <c r="E29" s="28">
        <v>25.98</v>
      </c>
      <c r="F29" s="88">
        <v>3876</v>
      </c>
      <c r="G29" s="88">
        <f t="shared" si="23"/>
        <v>100698.48</v>
      </c>
      <c r="H29" s="30" t="s">
        <v>53</v>
      </c>
      <c r="I29" s="95">
        <v>21</v>
      </c>
      <c r="J29" s="13">
        <v>2400</v>
      </c>
      <c r="K29" s="12">
        <f t="shared" si="1"/>
        <v>114.28571428571429</v>
      </c>
      <c r="L29" s="95">
        <v>21</v>
      </c>
      <c r="M29" s="13">
        <f t="shared" si="24"/>
        <v>2302.5742574257429</v>
      </c>
      <c r="N29" s="12">
        <f t="shared" si="3"/>
        <v>109.64639321074966</v>
      </c>
      <c r="O29" s="14">
        <f t="shared" si="4"/>
        <v>0</v>
      </c>
      <c r="P29" s="15">
        <f t="shared" si="5"/>
        <v>-4.6393210749646272</v>
      </c>
      <c r="Q29" s="91">
        <f t="shared" si="6"/>
        <v>0.95940594059405948</v>
      </c>
      <c r="R29" s="177"/>
      <c r="S29" s="21">
        <v>0.23194444444444448</v>
      </c>
      <c r="T29" s="21">
        <v>0.30208333333333337</v>
      </c>
      <c r="U29" s="88">
        <f t="shared" ref="U29:U35" si="26">(S29-T28)*24*60</f>
        <v>30.000000000000014</v>
      </c>
      <c r="V29" s="30">
        <f t="shared" si="25"/>
        <v>101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8"/>
        <v>-97.425742574257129</v>
      </c>
      <c r="AF29" s="91">
        <f t="shared" si="9"/>
        <v>0.95940594059405948</v>
      </c>
      <c r="AG29" s="177"/>
    </row>
    <row r="30" spans="1:33" ht="15.75" customHeight="1">
      <c r="A30" s="194" t="s">
        <v>171</v>
      </c>
      <c r="B30" s="28" t="s">
        <v>22</v>
      </c>
      <c r="C30" s="193" t="s">
        <v>26</v>
      </c>
      <c r="D30" s="193"/>
      <c r="E30" s="28">
        <v>25.99</v>
      </c>
      <c r="F30" s="88">
        <v>3200</v>
      </c>
      <c r="G30" s="88">
        <f t="shared" si="23"/>
        <v>83168</v>
      </c>
      <c r="H30" s="30">
        <v>2</v>
      </c>
      <c r="I30" s="95">
        <v>14</v>
      </c>
      <c r="J30" s="13">
        <v>2400</v>
      </c>
      <c r="K30" s="12">
        <f t="shared" si="1"/>
        <v>171.42857142857142</v>
      </c>
      <c r="L30" s="95">
        <v>14</v>
      </c>
      <c r="M30" s="13">
        <f t="shared" si="24"/>
        <v>2285.7142857142849</v>
      </c>
      <c r="N30" s="12">
        <f t="shared" si="3"/>
        <v>163.26530612244892</v>
      </c>
      <c r="O30" s="14">
        <f t="shared" si="4"/>
        <v>0</v>
      </c>
      <c r="P30" s="15">
        <f t="shared" si="5"/>
        <v>-8.1632653061224971</v>
      </c>
      <c r="Q30" s="91">
        <f t="shared" si="6"/>
        <v>0.95238095238095211</v>
      </c>
      <c r="R30" s="177"/>
      <c r="S30" s="21">
        <v>0.30625000000000002</v>
      </c>
      <c r="T30" s="21">
        <v>0.36458333333333337</v>
      </c>
      <c r="U30" s="88">
        <f t="shared" si="26"/>
        <v>5.9999999999999787</v>
      </c>
      <c r="V30" s="30">
        <f t="shared" si="25"/>
        <v>84.000000000000028</v>
      </c>
      <c r="W30" s="16"/>
      <c r="X30" s="16"/>
      <c r="Y30" s="16"/>
      <c r="Z30" s="16"/>
      <c r="AA30" s="168"/>
      <c r="AB30" s="168"/>
      <c r="AC30" s="18"/>
      <c r="AD30" s="18"/>
      <c r="AE30" s="14">
        <f t="shared" si="8"/>
        <v>-114.28571428571513</v>
      </c>
      <c r="AF30" s="91">
        <f t="shared" si="9"/>
        <v>0.952380952380952</v>
      </c>
      <c r="AG30" s="177"/>
    </row>
    <row r="31" spans="1:33" ht="15.75" customHeight="1">
      <c r="A31" s="194" t="s">
        <v>171</v>
      </c>
      <c r="B31" s="28" t="s">
        <v>22</v>
      </c>
      <c r="C31" s="193" t="s">
        <v>27</v>
      </c>
      <c r="D31" s="193"/>
      <c r="E31" s="28">
        <v>26.18</v>
      </c>
      <c r="F31" s="88">
        <v>1927</v>
      </c>
      <c r="G31" s="88">
        <f t="shared" si="23"/>
        <v>50448.86</v>
      </c>
      <c r="H31" s="30" t="s">
        <v>53</v>
      </c>
      <c r="I31" s="95">
        <v>19</v>
      </c>
      <c r="J31" s="13">
        <v>2400</v>
      </c>
      <c r="K31" s="12">
        <f t="shared" si="1"/>
        <v>126.31578947368421</v>
      </c>
      <c r="L31" s="95">
        <v>19</v>
      </c>
      <c r="M31" s="13">
        <f t="shared" si="24"/>
        <v>2312.400000000001</v>
      </c>
      <c r="N31" s="12">
        <f t="shared" si="3"/>
        <v>121.70526315789479</v>
      </c>
      <c r="O31" s="14">
        <f t="shared" si="4"/>
        <v>0</v>
      </c>
      <c r="P31" s="15">
        <f t="shared" si="5"/>
        <v>-4.6105263157894143</v>
      </c>
      <c r="Q31" s="91">
        <f t="shared" si="6"/>
        <v>0.96350000000000047</v>
      </c>
      <c r="R31" s="177"/>
      <c r="S31" s="21">
        <v>0.36805555555555558</v>
      </c>
      <c r="T31" s="21">
        <v>0.40277777777777779</v>
      </c>
      <c r="U31" s="88">
        <f t="shared" si="26"/>
        <v>4.9999999999999822</v>
      </c>
      <c r="V31" s="30">
        <f t="shared" si="25"/>
        <v>49.999999999999986</v>
      </c>
      <c r="W31" s="16"/>
      <c r="X31" s="16"/>
      <c r="Y31" s="16"/>
      <c r="Z31" s="16"/>
      <c r="AA31" s="168"/>
      <c r="AB31" s="168"/>
      <c r="AC31" s="18"/>
      <c r="AD31" s="18"/>
      <c r="AE31" s="14">
        <f t="shared" si="8"/>
        <v>-87.599999999999</v>
      </c>
      <c r="AF31" s="91">
        <f t="shared" si="9"/>
        <v>0.96350000000000047</v>
      </c>
      <c r="AG31" s="177"/>
    </row>
    <row r="32" spans="1:33" ht="15.75" customHeight="1">
      <c r="A32" s="194" t="s">
        <v>171</v>
      </c>
      <c r="B32" s="28" t="s">
        <v>22</v>
      </c>
      <c r="C32" s="193" t="s">
        <v>25</v>
      </c>
      <c r="D32" s="193"/>
      <c r="E32" s="28">
        <v>26.2</v>
      </c>
      <c r="F32" s="88">
        <v>3700</v>
      </c>
      <c r="G32" s="88">
        <f t="shared" si="23"/>
        <v>96940</v>
      </c>
      <c r="H32" s="30">
        <v>2</v>
      </c>
      <c r="I32" s="95">
        <v>20</v>
      </c>
      <c r="J32" s="13">
        <v>2400</v>
      </c>
      <c r="K32" s="12">
        <f t="shared" si="1"/>
        <v>120</v>
      </c>
      <c r="L32" s="95">
        <v>20</v>
      </c>
      <c r="M32" s="13">
        <f t="shared" si="24"/>
        <v>2288.6597938144337</v>
      </c>
      <c r="N32" s="12">
        <f t="shared" si="3"/>
        <v>114.43298969072168</v>
      </c>
      <c r="O32" s="14">
        <f t="shared" si="4"/>
        <v>0</v>
      </c>
      <c r="P32" s="15">
        <f t="shared" si="5"/>
        <v>-5.5670103092783165</v>
      </c>
      <c r="Q32" s="91">
        <f t="shared" si="6"/>
        <v>0.95360824742268069</v>
      </c>
      <c r="R32" s="177"/>
      <c r="S32" s="21">
        <v>0.40763888888888888</v>
      </c>
      <c r="T32" s="21">
        <v>0.47499999999999998</v>
      </c>
      <c r="U32" s="88">
        <f t="shared" si="26"/>
        <v>6.9999999999999751</v>
      </c>
      <c r="V32" s="30">
        <f t="shared" si="25"/>
        <v>96.999999999999972</v>
      </c>
      <c r="W32" s="16">
        <f>T32</f>
        <v>0.47499999999999998</v>
      </c>
      <c r="X32" s="16">
        <f>S33</f>
        <v>0.51527777777777772</v>
      </c>
      <c r="Y32" s="16"/>
      <c r="Z32" s="16"/>
      <c r="AA32" s="168"/>
      <c r="AB32" s="168"/>
      <c r="AC32" s="18"/>
      <c r="AD32" s="18"/>
      <c r="AE32" s="14">
        <f t="shared" si="8"/>
        <v>-111.34020618556633</v>
      </c>
      <c r="AF32" s="91">
        <f t="shared" si="9"/>
        <v>0.95360824742268069</v>
      </c>
      <c r="AG32" s="177"/>
    </row>
    <row r="33" spans="1:33" ht="15.75" customHeight="1">
      <c r="A33" s="194" t="s">
        <v>171</v>
      </c>
      <c r="B33" s="28" t="s">
        <v>22</v>
      </c>
      <c r="C33" s="193" t="s">
        <v>25</v>
      </c>
      <c r="D33" s="193"/>
      <c r="E33" s="28">
        <v>26.2</v>
      </c>
      <c r="F33" s="88">
        <v>2855</v>
      </c>
      <c r="G33" s="88">
        <f t="shared" si="23"/>
        <v>74801</v>
      </c>
      <c r="H33" s="30" t="s">
        <v>53</v>
      </c>
      <c r="I33" s="95">
        <v>20</v>
      </c>
      <c r="J33" s="13">
        <v>2400</v>
      </c>
      <c r="K33" s="12">
        <f t="shared" si="1"/>
        <v>120</v>
      </c>
      <c r="L33" s="95">
        <v>20</v>
      </c>
      <c r="M33" s="13">
        <f t="shared" si="24"/>
        <v>2314.8648648648632</v>
      </c>
      <c r="N33" s="12">
        <f t="shared" si="3"/>
        <v>115.74324324324316</v>
      </c>
      <c r="O33" s="14">
        <f t="shared" si="4"/>
        <v>0</v>
      </c>
      <c r="P33" s="15">
        <f t="shared" si="5"/>
        <v>-4.2567567567568432</v>
      </c>
      <c r="Q33" s="91">
        <f t="shared" si="6"/>
        <v>0.96452702702702631</v>
      </c>
      <c r="R33" s="177"/>
      <c r="S33" s="21">
        <v>0.51527777777777772</v>
      </c>
      <c r="T33" s="21">
        <v>0.56666666666666665</v>
      </c>
      <c r="U33" s="88">
        <f t="shared" si="26"/>
        <v>57.999999999999957</v>
      </c>
      <c r="V33" s="30">
        <f t="shared" si="25"/>
        <v>74.000000000000057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-85.135135135136807</v>
      </c>
      <c r="AF33" s="91">
        <f t="shared" si="9"/>
        <v>0.96452702702702631</v>
      </c>
      <c r="AG33" s="177"/>
    </row>
    <row r="34" spans="1:33" ht="15.75" customHeight="1">
      <c r="A34" s="194" t="s">
        <v>171</v>
      </c>
      <c r="B34" s="28" t="s">
        <v>22</v>
      </c>
      <c r="C34" s="193" t="s">
        <v>23</v>
      </c>
      <c r="D34" s="193"/>
      <c r="E34" s="28">
        <v>31.29</v>
      </c>
      <c r="F34" s="88">
        <v>4915</v>
      </c>
      <c r="G34" s="88">
        <f t="shared" si="23"/>
        <v>153790.35</v>
      </c>
      <c r="H34" s="30" t="s">
        <v>53</v>
      </c>
      <c r="I34" s="95">
        <v>18</v>
      </c>
      <c r="J34" s="13">
        <v>2400</v>
      </c>
      <c r="K34" s="12">
        <f t="shared" si="1"/>
        <v>133.33333333333334</v>
      </c>
      <c r="L34" s="95">
        <v>18</v>
      </c>
      <c r="M34" s="13">
        <f t="shared" si="24"/>
        <v>2286.0465116279065</v>
      </c>
      <c r="N34" s="12">
        <f t="shared" si="3"/>
        <v>127.00258397932814</v>
      </c>
      <c r="O34" s="14">
        <f t="shared" si="4"/>
        <v>0</v>
      </c>
      <c r="P34" s="15">
        <f t="shared" si="5"/>
        <v>-6.3307493540052064</v>
      </c>
      <c r="Q34" s="91">
        <f t="shared" si="6"/>
        <v>0.95251937984496093</v>
      </c>
      <c r="R34" s="177"/>
      <c r="S34" s="21">
        <v>0.5708333333333333</v>
      </c>
      <c r="T34" s="21">
        <v>0.66041666666666665</v>
      </c>
      <c r="U34" s="88">
        <f t="shared" si="26"/>
        <v>5.9999999999999787</v>
      </c>
      <c r="V34" s="30">
        <f t="shared" si="25"/>
        <v>129.00000000000003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8"/>
        <v>-113.95348837209349</v>
      </c>
      <c r="AF34" s="91">
        <f t="shared" si="9"/>
        <v>0.95251937984496104</v>
      </c>
      <c r="AG34" s="177"/>
    </row>
    <row r="35" spans="1:33" ht="15.75" customHeight="1">
      <c r="A35" s="194" t="s">
        <v>1893</v>
      </c>
      <c r="B35" s="28" t="s">
        <v>22</v>
      </c>
      <c r="C35" s="100" t="s">
        <v>26</v>
      </c>
      <c r="D35" s="101"/>
      <c r="E35" s="28">
        <v>25.99</v>
      </c>
      <c r="F35" s="88">
        <v>2612</v>
      </c>
      <c r="G35" s="88">
        <f t="shared" si="23"/>
        <v>67885.87999999999</v>
      </c>
      <c r="H35" s="30" t="s">
        <v>53</v>
      </c>
      <c r="I35" s="95">
        <v>14</v>
      </c>
      <c r="J35" s="13">
        <v>2400</v>
      </c>
      <c r="K35" s="12">
        <f t="shared" si="1"/>
        <v>171.42857142857142</v>
      </c>
      <c r="L35" s="95">
        <v>14</v>
      </c>
      <c r="M35" s="13">
        <f t="shared" si="24"/>
        <v>2304.7058823529437</v>
      </c>
      <c r="N35" s="12">
        <f t="shared" si="3"/>
        <v>164.62184873949599</v>
      </c>
      <c r="O35" s="14">
        <f t="shared" si="4"/>
        <v>0</v>
      </c>
      <c r="P35" s="15">
        <f t="shared" si="5"/>
        <v>-6.8067226890754284</v>
      </c>
      <c r="Q35" s="91">
        <f t="shared" si="6"/>
        <v>0.96029411764705996</v>
      </c>
      <c r="R35" s="177"/>
      <c r="S35" s="21">
        <v>0.66527777777777775</v>
      </c>
      <c r="T35" s="21">
        <v>0.71249999999999991</v>
      </c>
      <c r="U35" s="88">
        <f t="shared" si="26"/>
        <v>6.9999999999999751</v>
      </c>
      <c r="V35" s="30">
        <f t="shared" si="25"/>
        <v>67.999999999999915</v>
      </c>
      <c r="W35" s="16"/>
      <c r="X35" s="16"/>
      <c r="Y35" s="16"/>
      <c r="Z35" s="16"/>
      <c r="AA35" s="98"/>
      <c r="AB35" s="99"/>
      <c r="AC35" s="18"/>
      <c r="AD35" s="18"/>
      <c r="AE35" s="14">
        <f t="shared" si="8"/>
        <v>-95.294117647056282</v>
      </c>
      <c r="AF35" s="91">
        <f t="shared" si="9"/>
        <v>0.96029411764705985</v>
      </c>
      <c r="AG35" s="177"/>
    </row>
    <row r="36" spans="1:33" ht="15.75" customHeight="1">
      <c r="A36" s="194" t="s">
        <v>1893</v>
      </c>
      <c r="B36" s="28" t="s">
        <v>1894</v>
      </c>
      <c r="C36" s="178"/>
      <c r="D36" s="178"/>
      <c r="E36" s="92"/>
      <c r="F36" s="88"/>
      <c r="G36" s="88"/>
      <c r="H36" s="88"/>
      <c r="I36" s="23">
        <v>18</v>
      </c>
      <c r="J36" s="13">
        <v>2400</v>
      </c>
      <c r="K36" s="12">
        <f t="shared" si="1"/>
        <v>133.33333333333334</v>
      </c>
      <c r="L36" s="23">
        <v>18</v>
      </c>
      <c r="M36" s="13">
        <f>AVERAGE(M28:M35)</f>
        <v>2297.1967864315434</v>
      </c>
      <c r="N36" s="12">
        <f t="shared" si="3"/>
        <v>127.62204369064131</v>
      </c>
      <c r="O36" s="14">
        <f t="shared" si="4"/>
        <v>0</v>
      </c>
      <c r="P36" s="15">
        <f t="shared" si="5"/>
        <v>-5.7112896426920372</v>
      </c>
      <c r="Q36" s="91">
        <f t="shared" si="6"/>
        <v>0.95716532767980977</v>
      </c>
      <c r="R36" s="177"/>
      <c r="S36" s="21"/>
      <c r="T36" s="21"/>
      <c r="U36" s="88"/>
      <c r="V36" s="30"/>
      <c r="W36" s="88"/>
      <c r="X36" s="88"/>
      <c r="Y36" s="24">
        <f>SUM(Y28:Y35)</f>
        <v>0</v>
      </c>
      <c r="Z36" s="24">
        <f>SUM(Z28:Z35)</f>
        <v>0</v>
      </c>
      <c r="AA36" s="167"/>
      <c r="AB36" s="167"/>
      <c r="AC36" s="24">
        <v>8</v>
      </c>
      <c r="AD36" s="24">
        <f>SUM(AD28:AD35)</f>
        <v>0</v>
      </c>
      <c r="AE36" s="14">
        <f t="shared" si="8"/>
        <v>-102.80321356845661</v>
      </c>
      <c r="AF36" s="91">
        <f t="shared" si="9"/>
        <v>0.95716532767980977</v>
      </c>
      <c r="AG36" s="177"/>
    </row>
    <row r="37" spans="1:33" ht="15.75" customHeight="1">
      <c r="A37" s="191" t="s">
        <v>1895</v>
      </c>
      <c r="B37" s="28" t="s">
        <v>22</v>
      </c>
      <c r="C37" s="169" t="s">
        <v>28</v>
      </c>
      <c r="D37" s="169"/>
      <c r="E37" s="28">
        <v>26.2</v>
      </c>
      <c r="F37" s="88">
        <v>5000</v>
      </c>
      <c r="G37" s="88">
        <f t="shared" ref="G37:G44" si="27">E37*F37</f>
        <v>131000</v>
      </c>
      <c r="H37" s="30">
        <v>2</v>
      </c>
      <c r="I37" s="95">
        <v>18</v>
      </c>
      <c r="J37" s="13">
        <v>2400</v>
      </c>
      <c r="K37" s="12">
        <f t="shared" si="1"/>
        <v>133.33333333333334</v>
      </c>
      <c r="L37" s="95">
        <v>18</v>
      </c>
      <c r="M37" s="13">
        <f t="shared" ref="M37:M44" si="28">F37/V37*60</f>
        <v>2290.0763358778627</v>
      </c>
      <c r="N37" s="12">
        <f t="shared" si="3"/>
        <v>127.2264631043257</v>
      </c>
      <c r="O37" s="14">
        <f t="shared" si="4"/>
        <v>0</v>
      </c>
      <c r="P37" s="15">
        <f t="shared" si="5"/>
        <v>-6.1068702290076402</v>
      </c>
      <c r="Q37" s="91">
        <f t="shared" si="6"/>
        <v>0.95419847328244267</v>
      </c>
      <c r="R37" s="177">
        <f>Q45</f>
        <v>0.95334898299257786</v>
      </c>
      <c r="S37" s="21">
        <v>8.3333333333333329E-2</v>
      </c>
      <c r="T37" s="21">
        <v>0.17430555555555555</v>
      </c>
      <c r="U37" s="88"/>
      <c r="V37" s="30">
        <f t="shared" ref="V37:V44" si="29">(T37-S37)*24*60</f>
        <v>131</v>
      </c>
      <c r="W37" s="21">
        <f>T37</f>
        <v>0.17430555555555555</v>
      </c>
      <c r="X37" s="21">
        <f>S38</f>
        <v>0.19444444444444445</v>
      </c>
      <c r="Y37" s="21"/>
      <c r="Z37" s="21"/>
      <c r="AA37" s="168"/>
      <c r="AB37" s="168"/>
      <c r="AC37" s="18">
        <v>8</v>
      </c>
      <c r="AD37" s="18"/>
      <c r="AE37" s="14">
        <f t="shared" si="8"/>
        <v>-109.92366412213732</v>
      </c>
      <c r="AF37" s="91">
        <f t="shared" si="9"/>
        <v>0.95419847328244278</v>
      </c>
      <c r="AG37" s="177">
        <f>AF45</f>
        <v>0.95334898299257798</v>
      </c>
    </row>
    <row r="38" spans="1:33" ht="15.75" customHeight="1">
      <c r="A38" s="191" t="s">
        <v>1895</v>
      </c>
      <c r="B38" s="28" t="s">
        <v>22</v>
      </c>
      <c r="C38" s="169" t="s">
        <v>49</v>
      </c>
      <c r="D38" s="169"/>
      <c r="E38" s="28">
        <v>20.2</v>
      </c>
      <c r="F38" s="88">
        <v>2667</v>
      </c>
      <c r="G38" s="88">
        <f t="shared" si="27"/>
        <v>53873.4</v>
      </c>
      <c r="H38" s="30" t="s">
        <v>53</v>
      </c>
      <c r="I38" s="95">
        <v>15</v>
      </c>
      <c r="J38" s="13">
        <v>2400</v>
      </c>
      <c r="K38" s="12">
        <f t="shared" si="1"/>
        <v>160</v>
      </c>
      <c r="L38" s="95">
        <v>15</v>
      </c>
      <c r="M38" s="13">
        <f t="shared" si="28"/>
        <v>2286.0000000000005</v>
      </c>
      <c r="N38" s="12">
        <f t="shared" si="3"/>
        <v>152.40000000000003</v>
      </c>
      <c r="O38" s="14">
        <f t="shared" si="4"/>
        <v>0</v>
      </c>
      <c r="P38" s="15">
        <f t="shared" si="5"/>
        <v>-7.5999999999999659</v>
      </c>
      <c r="Q38" s="91">
        <f t="shared" si="6"/>
        <v>0.95250000000000024</v>
      </c>
      <c r="R38" s="177"/>
      <c r="S38" s="21">
        <v>0.19444444444444445</v>
      </c>
      <c r="T38" s="21">
        <v>0.24305555555555555</v>
      </c>
      <c r="U38" s="88">
        <f t="shared" ref="U38:U44" si="30">(S38-T37)*24*60</f>
        <v>29.000000000000018</v>
      </c>
      <c r="V38" s="30">
        <f t="shared" si="29"/>
        <v>69.999999999999986</v>
      </c>
      <c r="W38" s="88"/>
      <c r="X38" s="88"/>
      <c r="Y38" s="88"/>
      <c r="Z38" s="88"/>
      <c r="AA38" s="168"/>
      <c r="AB38" s="168"/>
      <c r="AC38" s="18"/>
      <c r="AD38" s="18"/>
      <c r="AE38" s="14">
        <f t="shared" si="8"/>
        <v>-113.99999999999955</v>
      </c>
      <c r="AF38" s="91">
        <f t="shared" si="9"/>
        <v>0.95250000000000024</v>
      </c>
      <c r="AG38" s="177"/>
    </row>
    <row r="39" spans="1:33">
      <c r="A39" s="192" t="s">
        <v>1895</v>
      </c>
      <c r="B39" s="28" t="s">
        <v>22</v>
      </c>
      <c r="C39" s="169" t="s">
        <v>32</v>
      </c>
      <c r="D39" s="169"/>
      <c r="E39" s="28">
        <v>20.52</v>
      </c>
      <c r="F39" s="88">
        <v>3537</v>
      </c>
      <c r="G39" s="88">
        <f t="shared" si="27"/>
        <v>72579.240000000005</v>
      </c>
      <c r="H39" s="30" t="s">
        <v>53</v>
      </c>
      <c r="I39" s="95">
        <v>18</v>
      </c>
      <c r="J39" s="13">
        <v>2400</v>
      </c>
      <c r="K39" s="12">
        <f t="shared" si="1"/>
        <v>133.33333333333334</v>
      </c>
      <c r="L39" s="95">
        <v>18</v>
      </c>
      <c r="M39" s="13">
        <f t="shared" si="28"/>
        <v>2281.9354838709683</v>
      </c>
      <c r="N39" s="12">
        <f t="shared" si="3"/>
        <v>126.77419354838713</v>
      </c>
      <c r="O39" s="14">
        <f t="shared" si="4"/>
        <v>0</v>
      </c>
      <c r="P39" s="15">
        <f t="shared" si="5"/>
        <v>-6.5591397849462112</v>
      </c>
      <c r="Q39" s="91">
        <f t="shared" si="6"/>
        <v>0.95080645161290345</v>
      </c>
      <c r="R39" s="177"/>
      <c r="S39" s="21">
        <v>0.24722222222222223</v>
      </c>
      <c r="T39" s="21">
        <v>0.31180555555555556</v>
      </c>
      <c r="U39" s="88">
        <f t="shared" si="30"/>
        <v>6.0000000000000187</v>
      </c>
      <c r="V39" s="30">
        <f t="shared" si="29"/>
        <v>92.999999999999986</v>
      </c>
      <c r="W39" s="88"/>
      <c r="X39" s="88"/>
      <c r="Y39" s="88"/>
      <c r="Z39" s="88"/>
      <c r="AA39" s="168"/>
      <c r="AB39" s="168"/>
      <c r="AC39" s="18"/>
      <c r="AD39" s="18"/>
      <c r="AE39" s="14">
        <f t="shared" si="8"/>
        <v>-118.06451612903174</v>
      </c>
      <c r="AF39" s="91">
        <f t="shared" si="9"/>
        <v>0.95080645161290345</v>
      </c>
      <c r="AG39" s="177"/>
    </row>
    <row r="40" spans="1:33">
      <c r="A40" s="192" t="s">
        <v>1895</v>
      </c>
      <c r="B40" s="28" t="s">
        <v>22</v>
      </c>
      <c r="C40" s="169" t="s">
        <v>30</v>
      </c>
      <c r="D40" s="169"/>
      <c r="E40" s="28">
        <v>26.39</v>
      </c>
      <c r="F40" s="88">
        <v>4300</v>
      </c>
      <c r="G40" s="88">
        <f t="shared" si="27"/>
        <v>113477</v>
      </c>
      <c r="H40" s="30">
        <v>2</v>
      </c>
      <c r="I40" s="95">
        <v>19</v>
      </c>
      <c r="J40" s="13">
        <v>2400</v>
      </c>
      <c r="K40" s="12">
        <f t="shared" si="1"/>
        <v>126.31578947368421</v>
      </c>
      <c r="L40" s="95">
        <v>19</v>
      </c>
      <c r="M40" s="13">
        <f t="shared" si="28"/>
        <v>2283.1858407079644</v>
      </c>
      <c r="N40" s="12">
        <f t="shared" si="3"/>
        <v>120.16767582673496</v>
      </c>
      <c r="O40" s="14">
        <f t="shared" si="4"/>
        <v>0</v>
      </c>
      <c r="P40" s="15">
        <f t="shared" si="5"/>
        <v>-6.1481136469492412</v>
      </c>
      <c r="Q40" s="91">
        <f t="shared" si="6"/>
        <v>0.95132743362831851</v>
      </c>
      <c r="R40" s="177"/>
      <c r="S40" s="21">
        <v>0.31736111111111109</v>
      </c>
      <c r="T40" s="21">
        <v>0.39583333333333331</v>
      </c>
      <c r="U40" s="88">
        <f t="shared" si="30"/>
        <v>7.9999999999999716</v>
      </c>
      <c r="V40" s="30">
        <f t="shared" si="29"/>
        <v>113</v>
      </c>
      <c r="W40" s="16"/>
      <c r="X40" s="16"/>
      <c r="Y40" s="16"/>
      <c r="Z40" s="16"/>
      <c r="AA40" s="168"/>
      <c r="AB40" s="168"/>
      <c r="AC40" s="18"/>
      <c r="AD40" s="18"/>
      <c r="AE40" s="14">
        <f t="shared" si="8"/>
        <v>-116.81415929203558</v>
      </c>
      <c r="AF40" s="91">
        <f t="shared" si="9"/>
        <v>0.95132743362831851</v>
      </c>
      <c r="AG40" s="177"/>
    </row>
    <row r="41" spans="1:33">
      <c r="A41" s="192" t="s">
        <v>1895</v>
      </c>
      <c r="B41" s="28" t="s">
        <v>22</v>
      </c>
      <c r="C41" s="169" t="s">
        <v>51</v>
      </c>
      <c r="D41" s="169"/>
      <c r="E41" s="28">
        <v>24.43</v>
      </c>
      <c r="F41" s="88">
        <v>4600</v>
      </c>
      <c r="G41" s="88">
        <f t="shared" si="27"/>
        <v>112378</v>
      </c>
      <c r="H41" s="30">
        <v>2</v>
      </c>
      <c r="I41" s="95">
        <v>14</v>
      </c>
      <c r="J41" s="13">
        <v>2400</v>
      </c>
      <c r="K41" s="12">
        <f t="shared" si="1"/>
        <v>171.42857142857142</v>
      </c>
      <c r="L41" s="95">
        <v>14</v>
      </c>
      <c r="M41" s="13">
        <f t="shared" si="28"/>
        <v>2280.9917355371908</v>
      </c>
      <c r="N41" s="12">
        <f t="shared" si="3"/>
        <v>162.92798110979933</v>
      </c>
      <c r="O41" s="14">
        <f t="shared" si="4"/>
        <v>0</v>
      </c>
      <c r="P41" s="15">
        <f t="shared" si="5"/>
        <v>-8.5005903187720833</v>
      </c>
      <c r="Q41" s="91">
        <f t="shared" si="6"/>
        <v>0.95041322314049614</v>
      </c>
      <c r="R41" s="177"/>
      <c r="S41" s="21">
        <v>0.39999999999999997</v>
      </c>
      <c r="T41" s="21">
        <v>0.48402777777777772</v>
      </c>
      <c r="U41" s="88">
        <f t="shared" si="30"/>
        <v>5.9999999999999787</v>
      </c>
      <c r="V41" s="30">
        <f t="shared" si="29"/>
        <v>120.99999999999997</v>
      </c>
      <c r="W41" s="21">
        <f>T41</f>
        <v>0.48402777777777772</v>
      </c>
      <c r="X41" s="21">
        <f>S42</f>
        <v>0.52361111111111103</v>
      </c>
      <c r="Y41" s="16"/>
      <c r="Z41" s="16"/>
      <c r="AA41" s="168"/>
      <c r="AB41" s="168"/>
      <c r="AC41" s="18"/>
      <c r="AD41" s="18"/>
      <c r="AE41" s="14">
        <f t="shared" si="8"/>
        <v>-119.00826446280917</v>
      </c>
      <c r="AF41" s="91">
        <f t="shared" si="9"/>
        <v>0.95041322314049614</v>
      </c>
      <c r="AG41" s="177"/>
    </row>
    <row r="42" spans="1:33">
      <c r="A42" s="192" t="s">
        <v>1895</v>
      </c>
      <c r="B42" s="28" t="s">
        <v>22</v>
      </c>
      <c r="C42" s="169" t="s">
        <v>51</v>
      </c>
      <c r="D42" s="169"/>
      <c r="E42" s="28">
        <v>24.43</v>
      </c>
      <c r="F42" s="88">
        <v>3632</v>
      </c>
      <c r="G42" s="88">
        <f t="shared" si="27"/>
        <v>88729.76</v>
      </c>
      <c r="H42" s="30" t="s">
        <v>53</v>
      </c>
      <c r="I42" s="95">
        <v>14</v>
      </c>
      <c r="J42" s="13">
        <v>2400</v>
      </c>
      <c r="K42" s="12">
        <f t="shared" si="1"/>
        <v>171.42857142857142</v>
      </c>
      <c r="L42" s="95">
        <v>14</v>
      </c>
      <c r="M42" s="13">
        <f t="shared" si="28"/>
        <v>2293.8947368421054</v>
      </c>
      <c r="N42" s="12">
        <f t="shared" si="3"/>
        <v>163.84962406015038</v>
      </c>
      <c r="O42" s="14">
        <f t="shared" si="4"/>
        <v>0</v>
      </c>
      <c r="P42" s="15">
        <f t="shared" si="5"/>
        <v>-7.5789473684210407</v>
      </c>
      <c r="Q42" s="91">
        <f t="shared" si="6"/>
        <v>0.95578947368421063</v>
      </c>
      <c r="R42" s="177"/>
      <c r="S42" s="21">
        <v>0.52361111111111103</v>
      </c>
      <c r="T42" s="21">
        <v>0.58958333333333324</v>
      </c>
      <c r="U42" s="88">
        <f t="shared" si="30"/>
        <v>56.999999999999957</v>
      </c>
      <c r="V42" s="30">
        <f t="shared" si="29"/>
        <v>94.999999999999986</v>
      </c>
      <c r="W42" s="16"/>
      <c r="X42" s="16"/>
      <c r="Y42" s="16"/>
      <c r="Z42" s="16"/>
      <c r="AA42" s="168"/>
      <c r="AB42" s="168"/>
      <c r="AC42" s="18"/>
      <c r="AD42" s="18"/>
      <c r="AE42" s="14">
        <f t="shared" si="8"/>
        <v>-106.10526315789457</v>
      </c>
      <c r="AF42" s="91">
        <f t="shared" si="9"/>
        <v>0.95578947368421063</v>
      </c>
      <c r="AG42" s="177"/>
    </row>
    <row r="43" spans="1:33">
      <c r="A43" s="192" t="s">
        <v>1895</v>
      </c>
      <c r="B43" s="28" t="s">
        <v>22</v>
      </c>
      <c r="C43" s="169" t="s">
        <v>30</v>
      </c>
      <c r="D43" s="169"/>
      <c r="E43" s="28">
        <v>26.39</v>
      </c>
      <c r="F43" s="88">
        <v>3020</v>
      </c>
      <c r="G43" s="88">
        <f t="shared" si="27"/>
        <v>79697.8</v>
      </c>
      <c r="H43" s="30" t="s">
        <v>53</v>
      </c>
      <c r="I43" s="95">
        <v>19</v>
      </c>
      <c r="J43" s="13">
        <v>2400</v>
      </c>
      <c r="K43" s="12">
        <f t="shared" si="1"/>
        <v>126.31578947368421</v>
      </c>
      <c r="L43" s="95">
        <v>19</v>
      </c>
      <c r="M43" s="13">
        <f t="shared" si="28"/>
        <v>2293.6708860759481</v>
      </c>
      <c r="N43" s="12">
        <f t="shared" si="3"/>
        <v>120.71952031978674</v>
      </c>
      <c r="O43" s="14">
        <f t="shared" si="4"/>
        <v>0</v>
      </c>
      <c r="P43" s="15">
        <f t="shared" si="5"/>
        <v>-5.5962691538974667</v>
      </c>
      <c r="Q43" s="91">
        <f t="shared" si="6"/>
        <v>0.955696202531645</v>
      </c>
      <c r="R43" s="177"/>
      <c r="S43" s="21">
        <v>0.59444444444444433</v>
      </c>
      <c r="T43" s="21">
        <v>0.64930555555555547</v>
      </c>
      <c r="U43" s="88">
        <f t="shared" si="30"/>
        <v>6.9999999999999751</v>
      </c>
      <c r="V43" s="30">
        <f t="shared" si="29"/>
        <v>79.000000000000043</v>
      </c>
      <c r="W43" s="16"/>
      <c r="X43" s="16"/>
      <c r="Y43" s="19"/>
      <c r="Z43" s="19"/>
      <c r="AA43" s="172"/>
      <c r="AB43" s="173"/>
      <c r="AC43" s="18"/>
      <c r="AD43" s="18"/>
      <c r="AE43" s="14">
        <f t="shared" si="8"/>
        <v>-106.32911392405185</v>
      </c>
      <c r="AF43" s="91">
        <f t="shared" si="9"/>
        <v>0.95569620253164511</v>
      </c>
      <c r="AG43" s="177"/>
    </row>
    <row r="44" spans="1:33">
      <c r="A44" s="192" t="s">
        <v>1895</v>
      </c>
      <c r="B44" s="28" t="s">
        <v>22</v>
      </c>
      <c r="C44" s="169" t="s">
        <v>28</v>
      </c>
      <c r="D44" s="169"/>
      <c r="E44" s="28">
        <v>26.2</v>
      </c>
      <c r="F44" s="88">
        <v>3786</v>
      </c>
      <c r="G44" s="88">
        <f t="shared" si="27"/>
        <v>99193.2</v>
      </c>
      <c r="H44" s="30" t="s">
        <v>53</v>
      </c>
      <c r="I44" s="95">
        <v>18</v>
      </c>
      <c r="J44" s="13">
        <v>2400</v>
      </c>
      <c r="K44" s="12">
        <f t="shared" si="1"/>
        <v>133.33333333333334</v>
      </c>
      <c r="L44" s="95">
        <v>18</v>
      </c>
      <c r="M44" s="13">
        <f t="shared" si="28"/>
        <v>2294.5454545454554</v>
      </c>
      <c r="N44" s="12">
        <f t="shared" si="3"/>
        <v>127.47474747474752</v>
      </c>
      <c r="O44" s="14">
        <f t="shared" si="4"/>
        <v>0</v>
      </c>
      <c r="P44" s="15">
        <f t="shared" si="5"/>
        <v>-5.8585858585858261</v>
      </c>
      <c r="Q44" s="91">
        <f t="shared" si="6"/>
        <v>0.95606060606060628</v>
      </c>
      <c r="R44" s="177"/>
      <c r="S44" s="21">
        <v>0.65416666666666656</v>
      </c>
      <c r="T44" s="21">
        <v>0.72291666666666654</v>
      </c>
      <c r="U44" s="88">
        <f t="shared" si="30"/>
        <v>6.9999999999999751</v>
      </c>
      <c r="V44" s="30">
        <f t="shared" si="29"/>
        <v>98.999999999999972</v>
      </c>
      <c r="W44" s="16"/>
      <c r="X44" s="16"/>
      <c r="Y44" s="19"/>
      <c r="Z44" s="19"/>
      <c r="AA44" s="172"/>
      <c r="AB44" s="173"/>
      <c r="AC44" s="18"/>
      <c r="AD44" s="18"/>
      <c r="AE44" s="14">
        <f t="shared" si="8"/>
        <v>-105.45454545454459</v>
      </c>
      <c r="AF44" s="91">
        <f t="shared" si="9"/>
        <v>0.95606060606060639</v>
      </c>
      <c r="AG44" s="177"/>
    </row>
    <row r="45" spans="1:33">
      <c r="A45" s="192" t="s">
        <v>1895</v>
      </c>
      <c r="B45" s="12" t="s">
        <v>1894</v>
      </c>
      <c r="C45" s="178"/>
      <c r="D45" s="178"/>
      <c r="E45" s="92"/>
      <c r="F45" s="12"/>
      <c r="G45" s="12"/>
      <c r="H45" s="88"/>
      <c r="I45" s="23">
        <v>16.875</v>
      </c>
      <c r="J45" s="13">
        <v>2400</v>
      </c>
      <c r="K45" s="12">
        <f t="shared" si="1"/>
        <v>142.22222222222223</v>
      </c>
      <c r="L45" s="23">
        <v>16.875</v>
      </c>
      <c r="M45" s="13">
        <f>AVERAGE(M37:M44)</f>
        <v>2288.0375591821871</v>
      </c>
      <c r="N45" s="12">
        <f t="shared" si="3"/>
        <v>135.58741091449997</v>
      </c>
      <c r="O45" s="14">
        <f t="shared" si="4"/>
        <v>0</v>
      </c>
      <c r="P45" s="15">
        <f t="shared" si="5"/>
        <v>-6.6348113077222592</v>
      </c>
      <c r="Q45" s="91">
        <f t="shared" si="6"/>
        <v>0.95334898299257786</v>
      </c>
      <c r="R45" s="177"/>
      <c r="S45" s="21"/>
      <c r="T45" s="21"/>
      <c r="U45" s="12"/>
      <c r="V45" s="30"/>
      <c r="W45" s="12"/>
      <c r="X45" s="12"/>
      <c r="Y45" s="24">
        <f>SUM(Y37:Y44)</f>
        <v>0</v>
      </c>
      <c r="Z45" s="24">
        <f>SUM(Z37:Z44)</f>
        <v>0</v>
      </c>
      <c r="AA45" s="167"/>
      <c r="AB45" s="167"/>
      <c r="AC45" s="24">
        <v>8</v>
      </c>
      <c r="AD45" s="24">
        <f>SUM(AD37:AD44)</f>
        <v>0</v>
      </c>
      <c r="AE45" s="14">
        <f t="shared" si="8"/>
        <v>-111.96244081781288</v>
      </c>
      <c r="AF45" s="91">
        <f t="shared" si="9"/>
        <v>0.95334898299257798</v>
      </c>
      <c r="AG45" s="177"/>
    </row>
    <row r="46" spans="1:33" ht="15.75" customHeight="1">
      <c r="A46" s="188" t="s">
        <v>1896</v>
      </c>
      <c r="B46" s="28" t="s">
        <v>33</v>
      </c>
      <c r="C46" s="170" t="s">
        <v>72</v>
      </c>
      <c r="D46" s="171"/>
      <c r="E46" s="28">
        <v>34.35</v>
      </c>
      <c r="F46" s="88">
        <v>2847</v>
      </c>
      <c r="G46" s="88">
        <f t="shared" ref="G46:G49" si="31">E46*F46</f>
        <v>97794.45</v>
      </c>
      <c r="H46" s="30" t="s">
        <v>53</v>
      </c>
      <c r="I46" s="95">
        <v>8</v>
      </c>
      <c r="J46" s="13">
        <v>3000</v>
      </c>
      <c r="K46" s="12">
        <f t="shared" si="1"/>
        <v>375</v>
      </c>
      <c r="L46" s="95">
        <v>8</v>
      </c>
      <c r="M46" s="13">
        <f t="shared" ref="M46:M49" si="32">F46/V46*60</f>
        <v>2895.2542372881353</v>
      </c>
      <c r="N46" s="13">
        <f t="shared" si="3"/>
        <v>361.90677966101691</v>
      </c>
      <c r="O46" s="14">
        <f t="shared" si="4"/>
        <v>0</v>
      </c>
      <c r="P46" s="15">
        <f t="shared" si="5"/>
        <v>-13.093220338983087</v>
      </c>
      <c r="Q46" s="91">
        <f t="shared" si="6"/>
        <v>0.96508474576271175</v>
      </c>
      <c r="R46" s="183">
        <f>Q50</f>
        <v>0.95703671766633214</v>
      </c>
      <c r="S46" s="21">
        <v>8.3333333333333329E-2</v>
      </c>
      <c r="T46" s="21">
        <v>0.12430555555555556</v>
      </c>
      <c r="U46" s="21"/>
      <c r="V46" s="30">
        <f t="shared" ref="V46:V49" si="33">(T46-S46)*24*60</f>
        <v>59.000000000000007</v>
      </c>
      <c r="W46" s="16">
        <f>T46</f>
        <v>0.12430555555555556</v>
      </c>
      <c r="X46" s="16">
        <f>S47</f>
        <v>0.1451388888888889</v>
      </c>
      <c r="Y46" s="19"/>
      <c r="Z46" s="19"/>
      <c r="AA46" s="172"/>
      <c r="AB46" s="173"/>
      <c r="AC46" s="18">
        <v>4</v>
      </c>
      <c r="AD46" s="18"/>
      <c r="AE46" s="14">
        <f t="shared" si="8"/>
        <v>-104.7457627118647</v>
      </c>
      <c r="AF46" s="91">
        <f t="shared" si="9"/>
        <v>0.96508474576271175</v>
      </c>
      <c r="AG46" s="183">
        <f>AF50</f>
        <v>0.95703671766633214</v>
      </c>
    </row>
    <row r="47" spans="1:33" ht="15.75" customHeight="1">
      <c r="A47" s="189" t="s">
        <v>1896</v>
      </c>
      <c r="B47" s="28" t="s">
        <v>33</v>
      </c>
      <c r="C47" s="170" t="s">
        <v>48</v>
      </c>
      <c r="D47" s="171"/>
      <c r="E47" s="28">
        <v>35.119999999999997</v>
      </c>
      <c r="F47" s="88">
        <v>6269</v>
      </c>
      <c r="G47" s="88">
        <f t="shared" si="31"/>
        <v>220167.27999999997</v>
      </c>
      <c r="H47" s="30" t="s">
        <v>53</v>
      </c>
      <c r="I47" s="95">
        <v>10</v>
      </c>
      <c r="J47" s="13">
        <v>3000</v>
      </c>
      <c r="K47" s="12">
        <f t="shared" si="1"/>
        <v>300</v>
      </c>
      <c r="L47" s="95">
        <v>10</v>
      </c>
      <c r="M47" s="13">
        <f t="shared" si="32"/>
        <v>2871.2977099236646</v>
      </c>
      <c r="N47" s="13">
        <f t="shared" si="3"/>
        <v>287.12977099236645</v>
      </c>
      <c r="O47" s="14">
        <f t="shared" si="4"/>
        <v>0</v>
      </c>
      <c r="P47" s="15">
        <f t="shared" si="5"/>
        <v>-12.870229007633554</v>
      </c>
      <c r="Q47" s="91">
        <f t="shared" si="6"/>
        <v>0.95709923664122154</v>
      </c>
      <c r="R47" s="184"/>
      <c r="S47" s="21">
        <v>0.1451388888888889</v>
      </c>
      <c r="T47" s="21">
        <v>0.2361111111111111</v>
      </c>
      <c r="U47" s="88">
        <f t="shared" ref="U47:U49" si="34">(S47-T46)*24*60</f>
        <v>30.000000000000014</v>
      </c>
      <c r="V47" s="30">
        <f t="shared" si="33"/>
        <v>130.99999999999997</v>
      </c>
      <c r="W47" s="16"/>
      <c r="X47" s="16"/>
      <c r="Y47" s="19"/>
      <c r="Z47" s="19"/>
      <c r="AA47" s="172"/>
      <c r="AB47" s="173"/>
      <c r="AC47" s="18"/>
      <c r="AD47" s="18"/>
      <c r="AE47" s="14">
        <f t="shared" si="8"/>
        <v>-128.70229007633543</v>
      </c>
      <c r="AF47" s="91">
        <f t="shared" si="9"/>
        <v>0.95709923664122154</v>
      </c>
      <c r="AG47" s="184"/>
    </row>
    <row r="48" spans="1:33" ht="15.75" customHeight="1">
      <c r="A48" s="189" t="s">
        <v>173</v>
      </c>
      <c r="B48" s="28" t="s">
        <v>33</v>
      </c>
      <c r="C48" s="170" t="s">
        <v>36</v>
      </c>
      <c r="D48" s="171"/>
      <c r="E48" s="28">
        <v>21.13</v>
      </c>
      <c r="F48" s="88">
        <v>6393</v>
      </c>
      <c r="G48" s="88">
        <f t="shared" si="31"/>
        <v>135084.09</v>
      </c>
      <c r="H48" s="30" t="s">
        <v>53</v>
      </c>
      <c r="I48" s="95">
        <v>10</v>
      </c>
      <c r="J48" s="13">
        <v>3000</v>
      </c>
      <c r="K48" s="12">
        <f t="shared" si="1"/>
        <v>300</v>
      </c>
      <c r="L48" s="95">
        <v>10</v>
      </c>
      <c r="M48" s="13">
        <f t="shared" si="32"/>
        <v>2862.5373134328347</v>
      </c>
      <c r="N48" s="13">
        <f t="shared" si="3"/>
        <v>286.25373134328345</v>
      </c>
      <c r="O48" s="14">
        <f t="shared" si="4"/>
        <v>0</v>
      </c>
      <c r="P48" s="15">
        <f t="shared" si="5"/>
        <v>-13.746268656716552</v>
      </c>
      <c r="Q48" s="91">
        <f t="shared" si="6"/>
        <v>0.95417910447761145</v>
      </c>
      <c r="R48" s="184"/>
      <c r="S48" s="21">
        <v>0.24027777777777778</v>
      </c>
      <c r="T48" s="21">
        <v>0.33333333333333337</v>
      </c>
      <c r="U48" s="88">
        <f t="shared" si="34"/>
        <v>6.0000000000000187</v>
      </c>
      <c r="V48" s="30">
        <f t="shared" si="33"/>
        <v>134.00000000000006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-137.46268656716529</v>
      </c>
      <c r="AF48" s="91">
        <f t="shared" si="9"/>
        <v>0.95417910447761156</v>
      </c>
      <c r="AG48" s="184"/>
    </row>
    <row r="49" spans="1:33" ht="15.75" customHeight="1">
      <c r="A49" s="189" t="s">
        <v>173</v>
      </c>
      <c r="B49" s="28" t="s">
        <v>33</v>
      </c>
      <c r="C49" s="170" t="s">
        <v>37</v>
      </c>
      <c r="D49" s="171"/>
      <c r="E49" s="28">
        <v>27.17</v>
      </c>
      <c r="F49" s="88">
        <v>8804</v>
      </c>
      <c r="G49" s="88">
        <f t="shared" si="31"/>
        <v>239204.68000000002</v>
      </c>
      <c r="H49" s="30" t="s">
        <v>53</v>
      </c>
      <c r="I49" s="95">
        <v>10</v>
      </c>
      <c r="J49" s="13">
        <v>3000</v>
      </c>
      <c r="K49" s="12">
        <f t="shared" si="1"/>
        <v>300</v>
      </c>
      <c r="L49" s="95">
        <v>10</v>
      </c>
      <c r="M49" s="13">
        <f t="shared" si="32"/>
        <v>2855.3513513513517</v>
      </c>
      <c r="N49" s="13">
        <f t="shared" si="3"/>
        <v>285.53513513513519</v>
      </c>
      <c r="O49" s="14">
        <f t="shared" si="4"/>
        <v>0</v>
      </c>
      <c r="P49" s="15">
        <f t="shared" si="5"/>
        <v>-14.464864864864808</v>
      </c>
      <c r="Q49" s="91">
        <f t="shared" si="6"/>
        <v>0.95178378378378392</v>
      </c>
      <c r="R49" s="184"/>
      <c r="S49" s="21">
        <v>0.33750000000000002</v>
      </c>
      <c r="T49" s="21">
        <v>0.46597222222222223</v>
      </c>
      <c r="U49" s="88">
        <f t="shared" si="34"/>
        <v>5.9999999999999787</v>
      </c>
      <c r="V49" s="30">
        <f t="shared" si="33"/>
        <v>184.99999999999997</v>
      </c>
      <c r="W49" s="16"/>
      <c r="X49" s="16"/>
      <c r="Y49" s="19"/>
      <c r="Z49" s="19"/>
      <c r="AA49" s="172"/>
      <c r="AB49" s="173"/>
      <c r="AC49" s="18"/>
      <c r="AD49" s="18"/>
      <c r="AE49" s="14">
        <f t="shared" si="8"/>
        <v>-144.6486486486483</v>
      </c>
      <c r="AF49" s="91">
        <f t="shared" si="9"/>
        <v>0.95178378378378392</v>
      </c>
      <c r="AG49" s="184"/>
    </row>
    <row r="50" spans="1:33" ht="15.75" customHeight="1">
      <c r="A50" s="190" t="s">
        <v>1896</v>
      </c>
      <c r="B50" s="28" t="s">
        <v>1894</v>
      </c>
      <c r="C50" s="165"/>
      <c r="D50" s="166"/>
      <c r="E50" s="89"/>
      <c r="F50" s="88"/>
      <c r="G50" s="88"/>
      <c r="H50" s="88"/>
      <c r="I50" s="23">
        <v>9.5</v>
      </c>
      <c r="J50" s="13">
        <v>3000</v>
      </c>
      <c r="K50" s="12">
        <f t="shared" si="1"/>
        <v>315.78947368421052</v>
      </c>
      <c r="L50" s="23">
        <v>9.5</v>
      </c>
      <c r="M50" s="13">
        <f>AVERAGE(M46:M49)</f>
        <v>2871.1101529989965</v>
      </c>
      <c r="N50" s="12">
        <f t="shared" si="3"/>
        <v>302.22212136831541</v>
      </c>
      <c r="O50" s="14">
        <f t="shared" si="4"/>
        <v>0</v>
      </c>
      <c r="P50" s="15">
        <f t="shared" si="5"/>
        <v>-13.567352315895107</v>
      </c>
      <c r="Q50" s="91">
        <f t="shared" si="6"/>
        <v>0.95703671766633214</v>
      </c>
      <c r="R50" s="185"/>
      <c r="S50" s="21"/>
      <c r="T50" s="21"/>
      <c r="U50" s="88"/>
      <c r="V50" s="30"/>
      <c r="W50" s="16"/>
      <c r="X50" s="16"/>
      <c r="Y50" s="24">
        <f>SUM(Y46:Y49)</f>
        <v>0</v>
      </c>
      <c r="Z50" s="24">
        <f>SUM(Z46:Z49)</f>
        <v>0</v>
      </c>
      <c r="AA50" s="186"/>
      <c r="AB50" s="187"/>
      <c r="AC50" s="24">
        <v>4</v>
      </c>
      <c r="AD50" s="24">
        <f>SUM(AD46:AD49)</f>
        <v>0</v>
      </c>
      <c r="AE50" s="14">
        <f t="shared" si="8"/>
        <v>-128.88984700100355</v>
      </c>
      <c r="AF50" s="91">
        <f t="shared" si="9"/>
        <v>0.95703671766633214</v>
      </c>
      <c r="AG50" s="185"/>
    </row>
    <row r="51" spans="1:33" ht="15.75" customHeight="1">
      <c r="A51" s="181" t="s">
        <v>275</v>
      </c>
      <c r="B51" s="28" t="s">
        <v>5</v>
      </c>
      <c r="C51" s="169" t="s">
        <v>41</v>
      </c>
      <c r="D51" s="169"/>
      <c r="E51" s="28">
        <v>51.75</v>
      </c>
      <c r="F51" s="29">
        <v>1070</v>
      </c>
      <c r="G51" s="88">
        <f t="shared" ref="G51:G56" si="35">E51*F51</f>
        <v>55372.5</v>
      </c>
      <c r="H51" s="30" t="s">
        <v>53</v>
      </c>
      <c r="I51" s="95">
        <v>25</v>
      </c>
      <c r="J51" s="13">
        <v>2000</v>
      </c>
      <c r="K51" s="12">
        <f t="shared" si="1"/>
        <v>80</v>
      </c>
      <c r="L51" s="95">
        <v>25</v>
      </c>
      <c r="M51" s="13">
        <f t="shared" ref="M51" si="36">F51/V51*60</f>
        <v>1945.4545454545475</v>
      </c>
      <c r="N51" s="13">
        <f t="shared" si="3"/>
        <v>77.818181818181898</v>
      </c>
      <c r="O51" s="14">
        <f t="shared" si="4"/>
        <v>0</v>
      </c>
      <c r="P51" s="15">
        <f t="shared" si="5"/>
        <v>-2.1818181818181017</v>
      </c>
      <c r="Q51" s="91">
        <f t="shared" si="6"/>
        <v>0.97272727272727377</v>
      </c>
      <c r="R51" s="177">
        <f>Q57</f>
        <v>0.96012248806565825</v>
      </c>
      <c r="S51" s="21">
        <v>0.33333333333333331</v>
      </c>
      <c r="T51" s="21">
        <v>0.35624999999999996</v>
      </c>
      <c r="U51" s="21"/>
      <c r="V51" s="30">
        <f t="shared" ref="V51:V56" si="37">(T51-S51)*24*60</f>
        <v>32.999999999999964</v>
      </c>
      <c r="W51" s="21"/>
      <c r="X51" s="21"/>
      <c r="Y51" s="21"/>
      <c r="Z51" s="21"/>
      <c r="AA51" s="168"/>
      <c r="AB51" s="168"/>
      <c r="AC51" s="18">
        <v>6</v>
      </c>
      <c r="AD51" s="18"/>
      <c r="AE51" s="14">
        <f t="shared" si="8"/>
        <v>-54.545454545452458</v>
      </c>
      <c r="AF51" s="91">
        <f t="shared" si="9"/>
        <v>0.97272727272727377</v>
      </c>
      <c r="AG51" s="177">
        <f>AF57</f>
        <v>0.96012248806565825</v>
      </c>
    </row>
    <row r="52" spans="1:33" ht="15.75" customHeight="1">
      <c r="A52" s="181" t="s">
        <v>1897</v>
      </c>
      <c r="B52" s="28" t="s">
        <v>5</v>
      </c>
      <c r="C52" s="169" t="s">
        <v>40</v>
      </c>
      <c r="D52" s="169"/>
      <c r="E52" s="28">
        <v>56.43</v>
      </c>
      <c r="F52" s="29">
        <v>1816</v>
      </c>
      <c r="G52" s="88">
        <f t="shared" si="35"/>
        <v>102476.88</v>
      </c>
      <c r="H52" s="30" t="s">
        <v>53</v>
      </c>
      <c r="I52" s="95">
        <v>22</v>
      </c>
      <c r="J52" s="13">
        <v>2000</v>
      </c>
      <c r="K52" s="12">
        <f t="shared" si="1"/>
        <v>90.909090909090907</v>
      </c>
      <c r="L52" s="95">
        <v>22</v>
      </c>
      <c r="M52" s="13">
        <f>F52/V52*60</f>
        <v>1911.5789473684226</v>
      </c>
      <c r="N52" s="13">
        <f t="shared" si="3"/>
        <v>86.889952153110116</v>
      </c>
      <c r="O52" s="14">
        <f t="shared" si="4"/>
        <v>0</v>
      </c>
      <c r="P52" s="15">
        <f t="shared" si="5"/>
        <v>-4.0191387559807907</v>
      </c>
      <c r="Q52" s="91">
        <f t="shared" si="6"/>
        <v>0.9557894736842113</v>
      </c>
      <c r="R52" s="177"/>
      <c r="S52" s="21">
        <v>0.36180555555555549</v>
      </c>
      <c r="T52" s="21">
        <v>0.4013888888888888</v>
      </c>
      <c r="U52" s="88">
        <f t="shared" ref="U52:U56" si="38">IF(S52=TIME(17,0,0),"",(S52-T51)*24*60)</f>
        <v>7.9999999999999716</v>
      </c>
      <c r="V52" s="30">
        <f t="shared" si="37"/>
        <v>56.999999999999957</v>
      </c>
      <c r="W52" s="16"/>
      <c r="X52" s="16"/>
      <c r="Y52" s="16"/>
      <c r="Z52" s="16"/>
      <c r="AA52" s="168"/>
      <c r="AB52" s="168"/>
      <c r="AC52" s="18"/>
      <c r="AD52" s="18"/>
      <c r="AE52" s="14">
        <f t="shared" si="8"/>
        <v>-88.421052631577368</v>
      </c>
      <c r="AF52" s="91">
        <f t="shared" si="9"/>
        <v>0.9557894736842113</v>
      </c>
      <c r="AG52" s="177"/>
    </row>
    <row r="53" spans="1:33" ht="15.75" customHeight="1">
      <c r="A53" s="181" t="s">
        <v>275</v>
      </c>
      <c r="B53" s="28" t="s">
        <v>9</v>
      </c>
      <c r="C53" s="170" t="s">
        <v>39</v>
      </c>
      <c r="D53" s="171"/>
      <c r="E53" s="28">
        <v>46</v>
      </c>
      <c r="F53" s="29">
        <v>2844</v>
      </c>
      <c r="G53" s="88">
        <f t="shared" si="35"/>
        <v>130824</v>
      </c>
      <c r="H53" s="30" t="s">
        <v>53</v>
      </c>
      <c r="I53" s="95">
        <v>17</v>
      </c>
      <c r="J53" s="13">
        <v>2000</v>
      </c>
      <c r="K53" s="12">
        <f t="shared" si="1"/>
        <v>117.64705882352941</v>
      </c>
      <c r="L53" s="95">
        <v>17</v>
      </c>
      <c r="M53" s="13">
        <f t="shared" ref="M53:M56" si="39">F53/V53*60</f>
        <v>1917.3033707865168</v>
      </c>
      <c r="N53" s="13">
        <f t="shared" si="3"/>
        <v>112.78255122273629</v>
      </c>
      <c r="O53" s="14">
        <f t="shared" si="4"/>
        <v>0</v>
      </c>
      <c r="P53" s="15">
        <f t="shared" si="5"/>
        <v>-4.8645076007931181</v>
      </c>
      <c r="Q53" s="91">
        <f t="shared" si="6"/>
        <v>0.95865168539325851</v>
      </c>
      <c r="R53" s="177"/>
      <c r="S53" s="21">
        <v>0.40555555555555545</v>
      </c>
      <c r="T53" s="21">
        <v>0.46736111111111101</v>
      </c>
      <c r="U53" s="88">
        <f t="shared" si="38"/>
        <v>5.9999999999999787</v>
      </c>
      <c r="V53" s="30">
        <f t="shared" si="37"/>
        <v>89</v>
      </c>
      <c r="W53" s="16"/>
      <c r="X53" s="16"/>
      <c r="Y53" s="19"/>
      <c r="Z53" s="19"/>
      <c r="AA53" s="168"/>
      <c r="AB53" s="168"/>
      <c r="AC53" s="18"/>
      <c r="AD53" s="18"/>
      <c r="AE53" s="14">
        <f t="shared" si="8"/>
        <v>-82.69662921348322</v>
      </c>
      <c r="AF53" s="91">
        <f t="shared" si="9"/>
        <v>0.9586516853932584</v>
      </c>
      <c r="AG53" s="177"/>
    </row>
    <row r="54" spans="1:33" ht="15.75" customHeight="1">
      <c r="A54" s="181" t="s">
        <v>1897</v>
      </c>
      <c r="B54" s="28" t="s">
        <v>5</v>
      </c>
      <c r="C54" s="93" t="s">
        <v>45</v>
      </c>
      <c r="D54" s="94"/>
      <c r="E54" s="28">
        <v>55.32</v>
      </c>
      <c r="F54" s="29">
        <v>1673</v>
      </c>
      <c r="G54" s="88">
        <f t="shared" si="35"/>
        <v>92550.36</v>
      </c>
      <c r="H54" s="30" t="s">
        <v>53</v>
      </c>
      <c r="I54" s="95">
        <v>15</v>
      </c>
      <c r="J54" s="13">
        <v>2000</v>
      </c>
      <c r="K54" s="12">
        <f t="shared" si="1"/>
        <v>133.33333333333334</v>
      </c>
      <c r="L54" s="95">
        <v>15</v>
      </c>
      <c r="M54" s="13">
        <f t="shared" si="39"/>
        <v>1930.3846153846164</v>
      </c>
      <c r="N54" s="13">
        <f t="shared" si="3"/>
        <v>128.69230769230776</v>
      </c>
      <c r="O54" s="14">
        <f t="shared" si="4"/>
        <v>0</v>
      </c>
      <c r="P54" s="15">
        <f t="shared" si="5"/>
        <v>-4.6410256410255784</v>
      </c>
      <c r="Q54" s="91">
        <f t="shared" si="6"/>
        <v>0.96519230769230813</v>
      </c>
      <c r="R54" s="177"/>
      <c r="S54" s="21">
        <v>0.70833333333333337</v>
      </c>
      <c r="T54" s="21">
        <v>0.74444444444444446</v>
      </c>
      <c r="U54" s="88" t="str">
        <f t="shared" si="38"/>
        <v/>
      </c>
      <c r="V54" s="30">
        <f t="shared" si="37"/>
        <v>51.999999999999972</v>
      </c>
      <c r="W54" s="16"/>
      <c r="X54" s="16"/>
      <c r="Y54" s="19"/>
      <c r="Z54" s="19"/>
      <c r="AA54" s="168"/>
      <c r="AB54" s="168"/>
      <c r="AC54" s="18"/>
      <c r="AD54" s="18"/>
      <c r="AE54" s="14">
        <f t="shared" si="8"/>
        <v>-69.615384615383618</v>
      </c>
      <c r="AF54" s="91">
        <f t="shared" si="9"/>
        <v>0.96519230769230824</v>
      </c>
      <c r="AG54" s="177"/>
    </row>
    <row r="55" spans="1:33" ht="15.75" customHeight="1">
      <c r="A55" s="181" t="s">
        <v>1897</v>
      </c>
      <c r="B55" s="28" t="s">
        <v>5</v>
      </c>
      <c r="C55" s="93" t="s">
        <v>44</v>
      </c>
      <c r="D55" s="94"/>
      <c r="E55" s="28">
        <v>55.56</v>
      </c>
      <c r="F55" s="29">
        <v>2325</v>
      </c>
      <c r="G55" s="88">
        <f t="shared" si="35"/>
        <v>129177</v>
      </c>
      <c r="H55" s="30" t="s">
        <v>53</v>
      </c>
      <c r="I55" s="95">
        <v>17</v>
      </c>
      <c r="J55" s="13">
        <v>2000</v>
      </c>
      <c r="K55" s="12">
        <f t="shared" si="1"/>
        <v>117.64705882352941</v>
      </c>
      <c r="L55" s="95">
        <v>17</v>
      </c>
      <c r="M55" s="13">
        <f t="shared" si="39"/>
        <v>1910.9589041095876</v>
      </c>
      <c r="N55" s="13">
        <f t="shared" si="3"/>
        <v>112.40934730056398</v>
      </c>
      <c r="O55" s="14">
        <f t="shared" si="4"/>
        <v>0</v>
      </c>
      <c r="P55" s="15">
        <f t="shared" si="5"/>
        <v>-5.2377115229654265</v>
      </c>
      <c r="Q55" s="91">
        <f t="shared" si="6"/>
        <v>0.9554794520547939</v>
      </c>
      <c r="R55" s="177"/>
      <c r="S55" s="21">
        <v>0.74930555555555556</v>
      </c>
      <c r="T55" s="21">
        <v>0.8</v>
      </c>
      <c r="U55" s="88">
        <f t="shared" si="38"/>
        <v>6.9999999999999751</v>
      </c>
      <c r="V55" s="30">
        <f t="shared" si="37"/>
        <v>73.000000000000057</v>
      </c>
      <c r="W55" s="16"/>
      <c r="X55" s="16"/>
      <c r="Y55" s="19"/>
      <c r="Z55" s="19"/>
      <c r="AA55" s="168"/>
      <c r="AB55" s="168"/>
      <c r="AC55" s="18"/>
      <c r="AD55" s="18"/>
      <c r="AE55" s="14">
        <f t="shared" si="8"/>
        <v>-89.041095890412407</v>
      </c>
      <c r="AF55" s="91">
        <f t="shared" si="9"/>
        <v>0.95547945205479379</v>
      </c>
      <c r="AG55" s="177"/>
    </row>
    <row r="56" spans="1:33" ht="15.75" customHeight="1">
      <c r="A56" s="181" t="s">
        <v>1897</v>
      </c>
      <c r="B56" s="28" t="s">
        <v>5</v>
      </c>
      <c r="C56" s="170" t="s">
        <v>43</v>
      </c>
      <c r="D56" s="171"/>
      <c r="E56" s="28">
        <v>54.29</v>
      </c>
      <c r="F56" s="29">
        <v>1207</v>
      </c>
      <c r="G56" s="88">
        <f t="shared" si="35"/>
        <v>65528.03</v>
      </c>
      <c r="H56" s="30" t="s">
        <v>53</v>
      </c>
      <c r="I56" s="95">
        <v>20</v>
      </c>
      <c r="J56" s="13">
        <v>2000</v>
      </c>
      <c r="K56" s="12">
        <f t="shared" si="1"/>
        <v>100</v>
      </c>
      <c r="L56" s="95">
        <v>20</v>
      </c>
      <c r="M56" s="13">
        <f t="shared" si="39"/>
        <v>1905.789473684209</v>
      </c>
      <c r="N56" s="13">
        <f t="shared" si="3"/>
        <v>95.289473684210449</v>
      </c>
      <c r="O56" s="14">
        <f t="shared" si="4"/>
        <v>0</v>
      </c>
      <c r="P56" s="15">
        <f t="shared" si="5"/>
        <v>-4.7105263157895507</v>
      </c>
      <c r="Q56" s="91">
        <f t="shared" si="6"/>
        <v>0.95289473684210446</v>
      </c>
      <c r="R56" s="177"/>
      <c r="S56" s="21">
        <v>0.80347222222222225</v>
      </c>
      <c r="T56" s="21">
        <v>0.82986111111111116</v>
      </c>
      <c r="U56" s="88">
        <f t="shared" si="38"/>
        <v>4.9999999999999822</v>
      </c>
      <c r="V56" s="30">
        <f t="shared" si="37"/>
        <v>38.000000000000028</v>
      </c>
      <c r="W56" s="16"/>
      <c r="X56" s="16"/>
      <c r="Y56" s="19"/>
      <c r="Z56" s="19"/>
      <c r="AA56" s="172"/>
      <c r="AB56" s="173"/>
      <c r="AC56" s="18"/>
      <c r="AD56" s="18"/>
      <c r="AE56" s="14">
        <f t="shared" si="8"/>
        <v>-94.210526315790958</v>
      </c>
      <c r="AF56" s="91">
        <f t="shared" si="9"/>
        <v>0.95289473684210457</v>
      </c>
      <c r="AG56" s="177"/>
    </row>
    <row r="57" spans="1:33">
      <c r="A57" s="182" t="s">
        <v>1897</v>
      </c>
      <c r="B57" s="28" t="s">
        <v>168</v>
      </c>
      <c r="C57" s="178"/>
      <c r="D57" s="178"/>
      <c r="E57" s="92"/>
      <c r="F57" s="12"/>
      <c r="G57" s="12"/>
      <c r="H57" s="88"/>
      <c r="I57" s="23">
        <v>19.333333333333332</v>
      </c>
      <c r="J57" s="13">
        <v>2000</v>
      </c>
      <c r="K57" s="12">
        <f t="shared" si="1"/>
        <v>103.44827586206897</v>
      </c>
      <c r="L57" s="23">
        <v>19.333333333333332</v>
      </c>
      <c r="M57" s="13">
        <f>AVERAGE(M51:M56)</f>
        <v>1920.2449761313164</v>
      </c>
      <c r="N57" s="12">
        <f t="shared" si="3"/>
        <v>99.32301600679223</v>
      </c>
      <c r="O57" s="14">
        <f t="shared" si="4"/>
        <v>0</v>
      </c>
      <c r="P57" s="15">
        <f t="shared" si="5"/>
        <v>-4.1252598552767381</v>
      </c>
      <c r="Q57" s="91">
        <f t="shared" si="6"/>
        <v>0.96012248806565825</v>
      </c>
      <c r="R57" s="177"/>
      <c r="S57" s="21"/>
      <c r="T57" s="21"/>
      <c r="U57" s="88"/>
      <c r="V57" s="30"/>
      <c r="W57" s="12"/>
      <c r="X57" s="12"/>
      <c r="Y57" s="24">
        <f>SUM(Y51:Y56)</f>
        <v>0</v>
      </c>
      <c r="Z57" s="24">
        <f>SUM(Z51:Z56)</f>
        <v>0</v>
      </c>
      <c r="AA57" s="167"/>
      <c r="AB57" s="167"/>
      <c r="AC57" s="24">
        <v>6</v>
      </c>
      <c r="AD57" s="24">
        <f>SUM(AD51:AD56)</f>
        <v>0</v>
      </c>
      <c r="AE57" s="14">
        <f>M57-J57</f>
        <v>-79.755023868683566</v>
      </c>
      <c r="AF57" s="91">
        <f t="shared" si="9"/>
        <v>0.96012248806565825</v>
      </c>
      <c r="AG57" s="177"/>
    </row>
    <row r="58" spans="1:33" ht="15.75" customHeight="1">
      <c r="A58" s="179" t="s">
        <v>1898</v>
      </c>
      <c r="B58" s="88" t="s">
        <v>33</v>
      </c>
      <c r="C58" s="169" t="s">
        <v>46</v>
      </c>
      <c r="D58" s="169"/>
      <c r="E58" s="28">
        <v>37.85</v>
      </c>
      <c r="F58" s="29">
        <v>1276</v>
      </c>
      <c r="G58" s="88">
        <f t="shared" ref="G58:G64" si="40">E58*F58</f>
        <v>48296.6</v>
      </c>
      <c r="H58" s="30" t="s">
        <v>53</v>
      </c>
      <c r="I58" s="95">
        <v>12</v>
      </c>
      <c r="J58" s="13">
        <v>2000</v>
      </c>
      <c r="K58" s="12">
        <f t="shared" si="1"/>
        <v>166.66666666666666</v>
      </c>
      <c r="L58" s="95">
        <v>12</v>
      </c>
      <c r="M58" s="13">
        <f t="shared" ref="M58:M64" si="41">F58/V58*60</f>
        <v>1914.0000000000009</v>
      </c>
      <c r="N58" s="12">
        <f t="shared" si="3"/>
        <v>159.50000000000009</v>
      </c>
      <c r="O58" s="14">
        <f t="shared" si="4"/>
        <v>0</v>
      </c>
      <c r="P58" s="15">
        <f t="shared" si="5"/>
        <v>-7.1666666666665719</v>
      </c>
      <c r="Q58" s="91">
        <f t="shared" si="6"/>
        <v>0.95700000000000052</v>
      </c>
      <c r="R58" s="177">
        <f>Q65</f>
        <v>0.96239074698886051</v>
      </c>
      <c r="S58" s="21">
        <v>0.20833333333333334</v>
      </c>
      <c r="T58" s="21">
        <v>0.2361111111111111</v>
      </c>
      <c r="U58" s="88"/>
      <c r="V58" s="30">
        <f t="shared" ref="V58:V64" si="42">(T58-S58)*24*60</f>
        <v>39.999999999999979</v>
      </c>
      <c r="W58" s="21"/>
      <c r="X58" s="21"/>
      <c r="Y58" s="21"/>
      <c r="Z58" s="21"/>
      <c r="AA58" s="168"/>
      <c r="AB58" s="168"/>
      <c r="AC58" s="18">
        <v>7</v>
      </c>
      <c r="AD58" s="18"/>
      <c r="AE58" s="14">
        <f t="shared" ref="AE58:AE73" si="43">M58-J58</f>
        <v>-85.999999999999091</v>
      </c>
      <c r="AF58" s="91">
        <f t="shared" si="9"/>
        <v>0.95700000000000041</v>
      </c>
      <c r="AG58" s="177">
        <f>AF65</f>
        <v>0.9623907469888604</v>
      </c>
    </row>
    <row r="59" spans="1:33" ht="15.75" customHeight="1">
      <c r="A59" s="179" t="s">
        <v>175</v>
      </c>
      <c r="B59" s="88" t="s">
        <v>33</v>
      </c>
      <c r="C59" s="169" t="s">
        <v>47</v>
      </c>
      <c r="D59" s="169"/>
      <c r="E59" s="28">
        <v>34.36</v>
      </c>
      <c r="F59" s="29">
        <v>2538</v>
      </c>
      <c r="G59" s="88">
        <f t="shared" si="40"/>
        <v>87205.68</v>
      </c>
      <c r="H59" s="30" t="s">
        <v>53</v>
      </c>
      <c r="I59" s="95">
        <v>10</v>
      </c>
      <c r="J59" s="13">
        <v>3000</v>
      </c>
      <c r="K59" s="12">
        <f t="shared" si="1"/>
        <v>300</v>
      </c>
      <c r="L59" s="95">
        <v>10</v>
      </c>
      <c r="M59" s="13">
        <f t="shared" si="41"/>
        <v>2873.2075471698108</v>
      </c>
      <c r="N59" s="12">
        <f t="shared" si="3"/>
        <v>287.32075471698107</v>
      </c>
      <c r="O59" s="14">
        <f t="shared" si="4"/>
        <v>0</v>
      </c>
      <c r="P59" s="15">
        <f t="shared" si="5"/>
        <v>-12.679245283018929</v>
      </c>
      <c r="Q59" s="91">
        <f t="shared" si="6"/>
        <v>0.95773584905660358</v>
      </c>
      <c r="R59" s="177"/>
      <c r="S59" s="21">
        <v>0.24097222222222223</v>
      </c>
      <c r="T59" s="21">
        <v>0.27777777777777779</v>
      </c>
      <c r="U59" s="88">
        <f t="shared" ref="U59:U64" si="44">(S59-T58)*24*60</f>
        <v>7.0000000000000151</v>
      </c>
      <c r="V59" s="30">
        <f t="shared" si="42"/>
        <v>53.000000000000014</v>
      </c>
      <c r="W59" s="88"/>
      <c r="X59" s="88"/>
      <c r="Y59" s="88"/>
      <c r="Z59" s="88"/>
      <c r="AA59" s="168"/>
      <c r="AB59" s="168"/>
      <c r="AC59" s="18"/>
      <c r="AD59" s="18"/>
      <c r="AE59" s="14">
        <f t="shared" si="43"/>
        <v>-126.79245283018918</v>
      </c>
      <c r="AF59" s="91">
        <f t="shared" si="9"/>
        <v>0.95773584905660358</v>
      </c>
      <c r="AG59" s="177"/>
    </row>
    <row r="60" spans="1:33" ht="15.75" customHeight="1">
      <c r="A60" s="179" t="s">
        <v>175</v>
      </c>
      <c r="B60" s="88" t="s">
        <v>33</v>
      </c>
      <c r="C60" s="169" t="s">
        <v>34</v>
      </c>
      <c r="D60" s="169"/>
      <c r="E60" s="28">
        <v>34.36</v>
      </c>
      <c r="F60" s="29">
        <v>1463</v>
      </c>
      <c r="G60" s="88">
        <f t="shared" si="40"/>
        <v>50268.68</v>
      </c>
      <c r="H60" s="30" t="s">
        <v>53</v>
      </c>
      <c r="I60" s="95">
        <v>10</v>
      </c>
      <c r="J60" s="13">
        <v>3000</v>
      </c>
      <c r="K60" s="12">
        <f t="shared" si="1"/>
        <v>300</v>
      </c>
      <c r="L60" s="95">
        <v>10</v>
      </c>
      <c r="M60" s="13">
        <f t="shared" si="41"/>
        <v>2926.0000000000027</v>
      </c>
      <c r="N60" s="12">
        <f t="shared" si="3"/>
        <v>292.60000000000025</v>
      </c>
      <c r="O60" s="14">
        <f t="shared" si="4"/>
        <v>0</v>
      </c>
      <c r="P60" s="15">
        <f t="shared" si="5"/>
        <v>-7.3999999999997499</v>
      </c>
      <c r="Q60" s="91">
        <f t="shared" si="6"/>
        <v>0.97533333333333416</v>
      </c>
      <c r="R60" s="177"/>
      <c r="S60" s="21">
        <v>0.28194444444444444</v>
      </c>
      <c r="T60" s="21">
        <v>0.30277777777777776</v>
      </c>
      <c r="U60" s="88">
        <f t="shared" si="44"/>
        <v>5.9999999999999787</v>
      </c>
      <c r="V60" s="30">
        <f t="shared" si="42"/>
        <v>29.999999999999972</v>
      </c>
      <c r="W60" s="88"/>
      <c r="X60" s="88"/>
      <c r="Y60" s="88"/>
      <c r="Z60" s="88"/>
      <c r="AA60" s="168"/>
      <c r="AB60" s="168"/>
      <c r="AC60" s="18"/>
      <c r="AD60" s="18"/>
      <c r="AE60" s="14">
        <f t="shared" si="43"/>
        <v>-73.999999999997272</v>
      </c>
      <c r="AF60" s="91">
        <f t="shared" si="9"/>
        <v>0.97533333333333427</v>
      </c>
      <c r="AG60" s="177"/>
    </row>
    <row r="61" spans="1:33" ht="15.75" customHeight="1">
      <c r="A61" s="179" t="s">
        <v>175</v>
      </c>
      <c r="B61" s="88" t="s">
        <v>33</v>
      </c>
      <c r="C61" s="169" t="s">
        <v>35</v>
      </c>
      <c r="D61" s="169"/>
      <c r="E61" s="28">
        <v>26.78</v>
      </c>
      <c r="F61" s="29">
        <v>2652</v>
      </c>
      <c r="G61" s="88">
        <f t="shared" si="40"/>
        <v>71020.56</v>
      </c>
      <c r="H61" s="30" t="s">
        <v>53</v>
      </c>
      <c r="I61" s="95">
        <v>10</v>
      </c>
      <c r="J61" s="13">
        <v>3000</v>
      </c>
      <c r="K61" s="12">
        <f t="shared" si="1"/>
        <v>300</v>
      </c>
      <c r="L61" s="95">
        <v>10</v>
      </c>
      <c r="M61" s="13">
        <f t="shared" si="41"/>
        <v>2893.0909090909108</v>
      </c>
      <c r="N61" s="12">
        <f t="shared" si="3"/>
        <v>289.30909090909108</v>
      </c>
      <c r="O61" s="14">
        <f t="shared" si="4"/>
        <v>0</v>
      </c>
      <c r="P61" s="15">
        <f t="shared" si="5"/>
        <v>-10.690909090908917</v>
      </c>
      <c r="Q61" s="91">
        <f t="shared" si="6"/>
        <v>0.96436363636363698</v>
      </c>
      <c r="R61" s="177"/>
      <c r="S61" s="21">
        <v>0.30624999999999997</v>
      </c>
      <c r="T61" s="21">
        <v>0.34444444444444439</v>
      </c>
      <c r="U61" s="88">
        <f t="shared" si="44"/>
        <v>4.9999999999999822</v>
      </c>
      <c r="V61" s="30">
        <f t="shared" si="42"/>
        <v>54.999999999999964</v>
      </c>
      <c r="W61" s="88"/>
      <c r="X61" s="88"/>
      <c r="Y61" s="88"/>
      <c r="Z61" s="88"/>
      <c r="AA61" s="168"/>
      <c r="AB61" s="168"/>
      <c r="AC61" s="18"/>
      <c r="AD61" s="18"/>
      <c r="AE61" s="14">
        <f t="shared" si="43"/>
        <v>-106.90909090908917</v>
      </c>
      <c r="AF61" s="91">
        <f t="shared" si="9"/>
        <v>0.96436363636363698</v>
      </c>
      <c r="AG61" s="177"/>
    </row>
    <row r="62" spans="1:33">
      <c r="A62" s="180" t="s">
        <v>175</v>
      </c>
      <c r="B62" s="88" t="s">
        <v>33</v>
      </c>
      <c r="C62" s="169" t="s">
        <v>71</v>
      </c>
      <c r="D62" s="169"/>
      <c r="E62" s="28">
        <v>28.3</v>
      </c>
      <c r="F62" s="29">
        <v>1346</v>
      </c>
      <c r="G62" s="88">
        <f t="shared" si="40"/>
        <v>38091.800000000003</v>
      </c>
      <c r="H62" s="30" t="s">
        <v>53</v>
      </c>
      <c r="I62" s="95">
        <v>8</v>
      </c>
      <c r="J62" s="13">
        <v>3000</v>
      </c>
      <c r="K62" s="12">
        <f t="shared" si="1"/>
        <v>375</v>
      </c>
      <c r="L62" s="95">
        <v>8</v>
      </c>
      <c r="M62" s="13">
        <f t="shared" si="41"/>
        <v>2884.2857142857165</v>
      </c>
      <c r="N62" s="12">
        <f t="shared" si="3"/>
        <v>360.53571428571456</v>
      </c>
      <c r="O62" s="14">
        <f t="shared" si="4"/>
        <v>0</v>
      </c>
      <c r="P62" s="15">
        <f t="shared" si="5"/>
        <v>-14.464285714285438</v>
      </c>
      <c r="Q62" s="91">
        <f t="shared" si="6"/>
        <v>0.96142857142857219</v>
      </c>
      <c r="R62" s="177"/>
      <c r="S62" s="21">
        <v>0.34861111111111104</v>
      </c>
      <c r="T62" s="21">
        <v>0.36805555555555547</v>
      </c>
      <c r="U62" s="88">
        <f t="shared" si="44"/>
        <v>5.9999999999999787</v>
      </c>
      <c r="V62" s="30">
        <f t="shared" si="42"/>
        <v>27.999999999999979</v>
      </c>
      <c r="W62" s="16"/>
      <c r="X62" s="16"/>
      <c r="Y62" s="16"/>
      <c r="Z62" s="16"/>
      <c r="AA62" s="168"/>
      <c r="AB62" s="168"/>
      <c r="AC62" s="18"/>
      <c r="AD62" s="18"/>
      <c r="AE62" s="14">
        <f t="shared" si="43"/>
        <v>-115.71428571428351</v>
      </c>
      <c r="AF62" s="91">
        <f t="shared" si="9"/>
        <v>0.96142857142857219</v>
      </c>
      <c r="AG62" s="177"/>
    </row>
    <row r="63" spans="1:33" ht="15" customHeight="1">
      <c r="A63" s="180" t="s">
        <v>1899</v>
      </c>
      <c r="B63" s="88" t="s">
        <v>33</v>
      </c>
      <c r="C63" s="170" t="s">
        <v>756</v>
      </c>
      <c r="D63" s="171"/>
      <c r="E63" s="28">
        <v>37.880000000000003</v>
      </c>
      <c r="F63" s="29">
        <v>3117</v>
      </c>
      <c r="G63" s="88">
        <f t="shared" si="40"/>
        <v>118071.96</v>
      </c>
      <c r="H63" s="30" t="s">
        <v>53</v>
      </c>
      <c r="I63" s="95">
        <v>10</v>
      </c>
      <c r="J63" s="13">
        <v>3000</v>
      </c>
      <c r="K63" s="12">
        <f t="shared" si="1"/>
        <v>300</v>
      </c>
      <c r="L63" s="95">
        <v>10</v>
      </c>
      <c r="M63" s="13">
        <f t="shared" si="41"/>
        <v>2877.2307692307686</v>
      </c>
      <c r="N63" s="12">
        <f t="shared" si="3"/>
        <v>287.72307692307686</v>
      </c>
      <c r="O63" s="14">
        <f t="shared" si="4"/>
        <v>0</v>
      </c>
      <c r="P63" s="15">
        <f t="shared" si="5"/>
        <v>-12.27692307692314</v>
      </c>
      <c r="Q63" s="91">
        <f t="shared" si="6"/>
        <v>0.95907692307692283</v>
      </c>
      <c r="R63" s="177"/>
      <c r="S63" s="21">
        <v>0.37291666666666656</v>
      </c>
      <c r="T63" s="21">
        <v>0.41805555555555546</v>
      </c>
      <c r="U63" s="88">
        <f t="shared" si="44"/>
        <v>6.9999999999999751</v>
      </c>
      <c r="V63" s="30">
        <f t="shared" si="42"/>
        <v>65.000000000000014</v>
      </c>
      <c r="W63" s="88"/>
      <c r="X63" s="88"/>
      <c r="Y63" s="98"/>
      <c r="Z63" s="98"/>
      <c r="AA63" s="172"/>
      <c r="AB63" s="173"/>
      <c r="AC63" s="18"/>
      <c r="AD63" s="18"/>
      <c r="AE63" s="14">
        <f t="shared" si="43"/>
        <v>-122.7692307692314</v>
      </c>
      <c r="AF63" s="91">
        <f t="shared" si="9"/>
        <v>0.95907692307692283</v>
      </c>
      <c r="AG63" s="177"/>
    </row>
    <row r="64" spans="1:33">
      <c r="A64" s="180" t="s">
        <v>175</v>
      </c>
      <c r="B64" s="88" t="s">
        <v>33</v>
      </c>
      <c r="C64" s="93" t="s">
        <v>38</v>
      </c>
      <c r="D64" s="94"/>
      <c r="E64" s="28">
        <v>35.869999999999997</v>
      </c>
      <c r="F64" s="29">
        <v>4224</v>
      </c>
      <c r="G64" s="88">
        <f t="shared" si="40"/>
        <v>151514.87999999998</v>
      </c>
      <c r="H64" s="30" t="s">
        <v>53</v>
      </c>
      <c r="I64" s="95">
        <v>9</v>
      </c>
      <c r="J64" s="13">
        <v>3000</v>
      </c>
      <c r="K64" s="12">
        <f t="shared" si="1"/>
        <v>333.33333333333331</v>
      </c>
      <c r="L64" s="95">
        <v>9</v>
      </c>
      <c r="M64" s="13">
        <f t="shared" si="41"/>
        <v>2880</v>
      </c>
      <c r="N64" s="12">
        <f t="shared" si="3"/>
        <v>320</v>
      </c>
      <c r="O64" s="14">
        <f t="shared" si="4"/>
        <v>0</v>
      </c>
      <c r="P64" s="15">
        <f t="shared" si="5"/>
        <v>-13.333333333333314</v>
      </c>
      <c r="Q64" s="91">
        <f t="shared" si="6"/>
        <v>0.96000000000000008</v>
      </c>
      <c r="R64" s="177"/>
      <c r="S64" s="21">
        <v>0.42222222222222211</v>
      </c>
      <c r="T64" s="21">
        <v>0.48333333333333323</v>
      </c>
      <c r="U64" s="88">
        <f t="shared" si="44"/>
        <v>5.9999999999999787</v>
      </c>
      <c r="V64" s="30">
        <f t="shared" si="42"/>
        <v>88</v>
      </c>
      <c r="W64" s="16"/>
      <c r="X64" s="16"/>
      <c r="Y64" s="19"/>
      <c r="Z64" s="19"/>
      <c r="AA64" s="172"/>
      <c r="AB64" s="173"/>
      <c r="AC64" s="18"/>
      <c r="AD64" s="18"/>
      <c r="AE64" s="14">
        <f t="shared" si="43"/>
        <v>-120</v>
      </c>
      <c r="AF64" s="91">
        <f t="shared" si="9"/>
        <v>0.96</v>
      </c>
      <c r="AG64" s="177"/>
    </row>
    <row r="65" spans="1:33">
      <c r="A65" s="180" t="s">
        <v>175</v>
      </c>
      <c r="B65" s="28" t="s">
        <v>1894</v>
      </c>
      <c r="C65" s="178"/>
      <c r="D65" s="178"/>
      <c r="E65" s="92"/>
      <c r="F65" s="12"/>
      <c r="G65" s="12"/>
      <c r="H65" s="88"/>
      <c r="I65" s="23">
        <v>9.8571428571428577</v>
      </c>
      <c r="J65" s="13">
        <v>2857.1428571428573</v>
      </c>
      <c r="K65" s="12">
        <f t="shared" si="1"/>
        <v>289.85507246376812</v>
      </c>
      <c r="L65" s="23">
        <v>9.8571428571428577</v>
      </c>
      <c r="M65" s="13">
        <f>AVERAGE(M58:M64)</f>
        <v>2749.6878485396014</v>
      </c>
      <c r="N65" s="12">
        <f t="shared" si="3"/>
        <v>278.95383970691609</v>
      </c>
      <c r="O65" s="14">
        <f t="shared" si="4"/>
        <v>0</v>
      </c>
      <c r="P65" s="15">
        <f t="shared" si="5"/>
        <v>-10.901232756852039</v>
      </c>
      <c r="Q65" s="91">
        <f t="shared" si="6"/>
        <v>0.96239074698886051</v>
      </c>
      <c r="R65" s="177"/>
      <c r="S65" s="21"/>
      <c r="T65" s="21"/>
      <c r="U65" s="12"/>
      <c r="V65" s="30"/>
      <c r="W65" s="12"/>
      <c r="X65" s="12"/>
      <c r="Y65" s="24">
        <f>SUM(Y58:Y64)</f>
        <v>0</v>
      </c>
      <c r="Z65" s="24">
        <f>SUM(Z58:Z64)</f>
        <v>0</v>
      </c>
      <c r="AA65" s="167"/>
      <c r="AB65" s="167"/>
      <c r="AC65" s="24">
        <v>7</v>
      </c>
      <c r="AD65" s="24">
        <f>SUM(AD58:AD64)</f>
        <v>0</v>
      </c>
      <c r="AE65" s="14">
        <f t="shared" si="43"/>
        <v>-107.45500860325592</v>
      </c>
      <c r="AF65" s="91">
        <f t="shared" si="9"/>
        <v>0.9623907469888604</v>
      </c>
      <c r="AG65" s="177"/>
    </row>
    <row r="66" spans="1:33" ht="15.75" customHeight="1">
      <c r="A66" s="174" t="s">
        <v>176</v>
      </c>
      <c r="B66" s="88" t="s">
        <v>22</v>
      </c>
      <c r="C66" s="169" t="s">
        <v>29</v>
      </c>
      <c r="D66" s="169"/>
      <c r="E66" s="28">
        <v>20.52</v>
      </c>
      <c r="F66" s="88">
        <v>4817</v>
      </c>
      <c r="G66" s="88">
        <f t="shared" ref="G66:G72" si="45">E66*F66</f>
        <v>98844.84</v>
      </c>
      <c r="H66" s="30" t="s">
        <v>53</v>
      </c>
      <c r="I66" s="95">
        <v>18</v>
      </c>
      <c r="J66" s="13">
        <v>2400</v>
      </c>
      <c r="K66" s="12">
        <f t="shared" si="1"/>
        <v>133.33333333333334</v>
      </c>
      <c r="L66" s="95">
        <v>18</v>
      </c>
      <c r="M66" s="13">
        <f t="shared" ref="M66:M72" si="46">F66/V66*60</f>
        <v>2293.8095238095239</v>
      </c>
      <c r="N66" s="12">
        <f t="shared" si="3"/>
        <v>127.43386243386243</v>
      </c>
      <c r="O66" s="14">
        <f t="shared" si="4"/>
        <v>0</v>
      </c>
      <c r="P66" s="15">
        <f t="shared" si="5"/>
        <v>-5.8994708994709129</v>
      </c>
      <c r="Q66" s="91">
        <f t="shared" si="6"/>
        <v>0.95575396825396819</v>
      </c>
      <c r="R66" s="177">
        <f>Q73</f>
        <v>0.95506036080325807</v>
      </c>
      <c r="S66" s="21">
        <v>8.3333333333333329E-2</v>
      </c>
      <c r="T66" s="21">
        <v>0.17083333333333334</v>
      </c>
      <c r="U66" s="21"/>
      <c r="V66" s="30">
        <f t="shared" ref="V66:V72" si="47">(T66-S66)*24*60</f>
        <v>126</v>
      </c>
      <c r="W66" s="16">
        <f>T66</f>
        <v>0.17083333333333334</v>
      </c>
      <c r="X66" s="16">
        <f>S67</f>
        <v>0.18888888888888888</v>
      </c>
      <c r="Y66" s="16"/>
      <c r="Z66" s="16"/>
      <c r="AA66" s="168"/>
      <c r="AB66" s="168"/>
      <c r="AC66" s="18">
        <v>7</v>
      </c>
      <c r="AD66" s="18"/>
      <c r="AE66" s="14">
        <f t="shared" si="43"/>
        <v>-106.19047619047615</v>
      </c>
      <c r="AF66" s="91">
        <f t="shared" si="9"/>
        <v>0.9557539682539683</v>
      </c>
      <c r="AG66" s="177">
        <f>AF73</f>
        <v>0.95506036080325807</v>
      </c>
    </row>
    <row r="67" spans="1:33" ht="15.75" customHeight="1">
      <c r="A67" s="175" t="s">
        <v>176</v>
      </c>
      <c r="B67" s="88" t="s">
        <v>22</v>
      </c>
      <c r="C67" s="169" t="s">
        <v>50</v>
      </c>
      <c r="D67" s="169"/>
      <c r="E67" s="28">
        <v>24.45</v>
      </c>
      <c r="F67" s="88">
        <v>3132</v>
      </c>
      <c r="G67" s="88">
        <f t="shared" si="45"/>
        <v>76577.399999999994</v>
      </c>
      <c r="H67" s="30" t="s">
        <v>53</v>
      </c>
      <c r="I67" s="95">
        <v>19</v>
      </c>
      <c r="J67" s="13">
        <v>2400</v>
      </c>
      <c r="K67" s="12">
        <f t="shared" si="1"/>
        <v>126.31578947368421</v>
      </c>
      <c r="L67" s="95">
        <v>19</v>
      </c>
      <c r="M67" s="13">
        <f t="shared" si="46"/>
        <v>2291.707317073171</v>
      </c>
      <c r="N67" s="12">
        <f t="shared" si="3"/>
        <v>120.61617458279848</v>
      </c>
      <c r="O67" s="14">
        <f t="shared" si="4"/>
        <v>0</v>
      </c>
      <c r="P67" s="15">
        <f t="shared" si="5"/>
        <v>-5.6996148908857265</v>
      </c>
      <c r="Q67" s="91">
        <f t="shared" si="6"/>
        <v>0.95487804878048799</v>
      </c>
      <c r="R67" s="177"/>
      <c r="S67" s="21">
        <v>0.18888888888888888</v>
      </c>
      <c r="T67" s="21">
        <v>0.24583333333333332</v>
      </c>
      <c r="U67" s="88">
        <f t="shared" ref="U67:U72" si="48">(S67-T66)*24*60</f>
        <v>25.999999999999986</v>
      </c>
      <c r="V67" s="30">
        <f t="shared" si="47"/>
        <v>81.999999999999986</v>
      </c>
      <c r="W67" s="16"/>
      <c r="X67" s="16"/>
      <c r="Y67" s="16"/>
      <c r="Z67" s="16"/>
      <c r="AA67" s="168"/>
      <c r="AB67" s="168"/>
      <c r="AC67" s="18"/>
      <c r="AD67" s="18"/>
      <c r="AE67" s="14">
        <f t="shared" si="43"/>
        <v>-108.292682926829</v>
      </c>
      <c r="AF67" s="91">
        <f t="shared" si="9"/>
        <v>0.95487804878048788</v>
      </c>
      <c r="AG67" s="177"/>
    </row>
    <row r="68" spans="1:33" ht="15.75" customHeight="1">
      <c r="A68" s="175" t="s">
        <v>176</v>
      </c>
      <c r="B68" s="88" t="s">
        <v>22</v>
      </c>
      <c r="C68" s="169" t="s">
        <v>31</v>
      </c>
      <c r="D68" s="169"/>
      <c r="E68" s="28">
        <v>20.21</v>
      </c>
      <c r="F68" s="88">
        <v>3427</v>
      </c>
      <c r="G68" s="88">
        <f t="shared" si="45"/>
        <v>69259.67</v>
      </c>
      <c r="H68" s="30" t="s">
        <v>53</v>
      </c>
      <c r="I68" s="95">
        <v>15</v>
      </c>
      <c r="J68" s="13">
        <v>2400</v>
      </c>
      <c r="K68" s="12">
        <f t="shared" si="1"/>
        <v>160</v>
      </c>
      <c r="L68" s="95">
        <v>15</v>
      </c>
      <c r="M68" s="13">
        <f t="shared" si="46"/>
        <v>2284.6666666666656</v>
      </c>
      <c r="N68" s="12">
        <f t="shared" si="3"/>
        <v>152.31111111111105</v>
      </c>
      <c r="O68" s="14">
        <f t="shared" si="4"/>
        <v>0</v>
      </c>
      <c r="P68" s="15">
        <f t="shared" si="5"/>
        <v>-7.6888888888889539</v>
      </c>
      <c r="Q68" s="91">
        <f t="shared" si="6"/>
        <v>0.95194444444444404</v>
      </c>
      <c r="R68" s="177"/>
      <c r="S68" s="21">
        <v>0.24930555555555553</v>
      </c>
      <c r="T68" s="21">
        <v>0.31180555555555556</v>
      </c>
      <c r="U68" s="88">
        <f t="shared" si="48"/>
        <v>4.9999999999999822</v>
      </c>
      <c r="V68" s="30">
        <f t="shared" si="47"/>
        <v>90.000000000000043</v>
      </c>
      <c r="W68" s="16"/>
      <c r="X68" s="16"/>
      <c r="Y68" s="16"/>
      <c r="Z68" s="16"/>
      <c r="AA68" s="168"/>
      <c r="AB68" s="168"/>
      <c r="AC68" s="18"/>
      <c r="AD68" s="18"/>
      <c r="AE68" s="14">
        <f t="shared" si="43"/>
        <v>-115.33333333333439</v>
      </c>
      <c r="AF68" s="91">
        <f t="shared" si="9"/>
        <v>0.95194444444444404</v>
      </c>
      <c r="AG68" s="177"/>
    </row>
    <row r="69" spans="1:33" ht="15.75" customHeight="1">
      <c r="A69" s="175" t="s">
        <v>176</v>
      </c>
      <c r="B69" s="88" t="s">
        <v>22</v>
      </c>
      <c r="C69" s="169" t="s">
        <v>70</v>
      </c>
      <c r="D69" s="169"/>
      <c r="E69" s="28">
        <v>22.69</v>
      </c>
      <c r="F69" s="88">
        <v>3400</v>
      </c>
      <c r="G69" s="88">
        <f t="shared" si="45"/>
        <v>77146</v>
      </c>
      <c r="H69" s="30">
        <v>2</v>
      </c>
      <c r="I69" s="95">
        <v>15</v>
      </c>
      <c r="J69" s="13">
        <v>2400</v>
      </c>
      <c r="K69" s="12">
        <f t="shared" ref="K69:K73" si="49">J69/I69</f>
        <v>160</v>
      </c>
      <c r="L69" s="95">
        <v>15</v>
      </c>
      <c r="M69" s="13">
        <f t="shared" si="46"/>
        <v>2292.1348314606744</v>
      </c>
      <c r="N69" s="12">
        <f t="shared" ref="N69:N73" si="50">M69/L69</f>
        <v>152.80898876404495</v>
      </c>
      <c r="O69" s="14">
        <f t="shared" ref="O69:O73" si="51">L69-I69</f>
        <v>0</v>
      </c>
      <c r="P69" s="15">
        <f t="shared" ref="P69:P73" si="52">N69-K69</f>
        <v>-7.1910112359550453</v>
      </c>
      <c r="Q69" s="91">
        <f t="shared" ref="Q69:Q73" si="53">N69/K69</f>
        <v>0.95505617977528101</v>
      </c>
      <c r="R69" s="177"/>
      <c r="S69" s="21">
        <v>0.31527777777777777</v>
      </c>
      <c r="T69" s="21">
        <v>0.37708333333333333</v>
      </c>
      <c r="U69" s="88">
        <f t="shared" si="48"/>
        <v>4.9999999999999822</v>
      </c>
      <c r="V69" s="30">
        <f t="shared" si="47"/>
        <v>89</v>
      </c>
      <c r="W69" s="16"/>
      <c r="X69" s="16"/>
      <c r="Y69" s="16"/>
      <c r="Z69" s="16"/>
      <c r="AA69" s="168"/>
      <c r="AB69" s="168"/>
      <c r="AC69" s="18"/>
      <c r="AD69" s="18"/>
      <c r="AE69" s="14">
        <f t="shared" si="43"/>
        <v>-107.86516853932562</v>
      </c>
      <c r="AF69" s="91">
        <f t="shared" ref="AF69:AF73" si="54">M69/J69</f>
        <v>0.95505617977528101</v>
      </c>
      <c r="AG69" s="177"/>
    </row>
    <row r="70" spans="1:33" ht="15.75" customHeight="1">
      <c r="A70" s="175" t="s">
        <v>1900</v>
      </c>
      <c r="B70" s="88" t="s">
        <v>22</v>
      </c>
      <c r="C70" s="169" t="s">
        <v>52</v>
      </c>
      <c r="D70" s="169"/>
      <c r="E70" s="28">
        <v>19.02</v>
      </c>
      <c r="F70" s="88">
        <v>6700</v>
      </c>
      <c r="G70" s="88">
        <f t="shared" si="45"/>
        <v>127434</v>
      </c>
      <c r="H70" s="30">
        <v>2</v>
      </c>
      <c r="I70" s="95">
        <v>14</v>
      </c>
      <c r="J70" s="13">
        <v>2400</v>
      </c>
      <c r="K70" s="12">
        <f t="shared" si="49"/>
        <v>171.42857142857142</v>
      </c>
      <c r="L70" s="95">
        <v>14</v>
      </c>
      <c r="M70" s="13">
        <f t="shared" si="46"/>
        <v>2284.090909090909</v>
      </c>
      <c r="N70" s="12">
        <f t="shared" si="50"/>
        <v>163.14935064935065</v>
      </c>
      <c r="O70" s="14">
        <f t="shared" si="51"/>
        <v>0</v>
      </c>
      <c r="P70" s="15">
        <f t="shared" si="52"/>
        <v>-8.2792207792207648</v>
      </c>
      <c r="Q70" s="91">
        <f t="shared" si="53"/>
        <v>0.95170454545454553</v>
      </c>
      <c r="R70" s="177"/>
      <c r="S70" s="21">
        <v>0.38124999999999998</v>
      </c>
      <c r="T70" s="21">
        <v>0.50347222222222221</v>
      </c>
      <c r="U70" s="88">
        <f t="shared" si="48"/>
        <v>5.9999999999999787</v>
      </c>
      <c r="V70" s="30">
        <f t="shared" si="47"/>
        <v>176</v>
      </c>
      <c r="W70" s="16">
        <f>T70</f>
        <v>0.50347222222222221</v>
      </c>
      <c r="X70" s="16">
        <f>S71</f>
        <v>0.54374999999999996</v>
      </c>
      <c r="Y70" s="16"/>
      <c r="Z70" s="16"/>
      <c r="AA70" s="168"/>
      <c r="AB70" s="168"/>
      <c r="AC70" s="18"/>
      <c r="AD70" s="18"/>
      <c r="AE70" s="14">
        <f t="shared" si="43"/>
        <v>-115.90909090909099</v>
      </c>
      <c r="AF70" s="91">
        <f t="shared" si="54"/>
        <v>0.95170454545454541</v>
      </c>
      <c r="AG70" s="177"/>
    </row>
    <row r="71" spans="1:33" ht="15.75" customHeight="1">
      <c r="A71" s="175" t="s">
        <v>176</v>
      </c>
      <c r="B71" s="88" t="s">
        <v>22</v>
      </c>
      <c r="C71" s="169" t="s">
        <v>52</v>
      </c>
      <c r="D71" s="169"/>
      <c r="E71" s="28">
        <v>19.02</v>
      </c>
      <c r="F71" s="88">
        <v>5384</v>
      </c>
      <c r="G71" s="88">
        <f t="shared" si="45"/>
        <v>102403.68</v>
      </c>
      <c r="H71" s="30" t="s">
        <v>53</v>
      </c>
      <c r="I71" s="95">
        <v>14</v>
      </c>
      <c r="J71" s="13">
        <v>2400</v>
      </c>
      <c r="K71" s="12">
        <f t="shared" si="49"/>
        <v>171.42857142857142</v>
      </c>
      <c r="L71" s="95">
        <v>14</v>
      </c>
      <c r="M71" s="13">
        <f t="shared" si="46"/>
        <v>2291.0638297872342</v>
      </c>
      <c r="N71" s="12">
        <f t="shared" si="50"/>
        <v>163.64741641337386</v>
      </c>
      <c r="O71" s="14">
        <f t="shared" si="51"/>
        <v>0</v>
      </c>
      <c r="P71" s="15">
        <f t="shared" si="52"/>
        <v>-7.7811550151975553</v>
      </c>
      <c r="Q71" s="91">
        <f t="shared" si="53"/>
        <v>0.95460992907801423</v>
      </c>
      <c r="R71" s="177"/>
      <c r="S71" s="21">
        <v>0.54374999999999996</v>
      </c>
      <c r="T71" s="21">
        <v>0.64166666666666661</v>
      </c>
      <c r="U71" s="88">
        <f t="shared" si="48"/>
        <v>57.999999999999957</v>
      </c>
      <c r="V71" s="30">
        <f t="shared" si="47"/>
        <v>140.99999999999997</v>
      </c>
      <c r="W71" s="16"/>
      <c r="X71" s="16"/>
      <c r="Y71" s="16"/>
      <c r="Z71" s="16"/>
      <c r="AA71" s="168"/>
      <c r="AB71" s="168"/>
      <c r="AC71" s="18"/>
      <c r="AD71" s="18"/>
      <c r="AE71" s="14">
        <f t="shared" si="43"/>
        <v>-108.93617021276577</v>
      </c>
      <c r="AF71" s="91">
        <f t="shared" si="54"/>
        <v>0.95460992907801423</v>
      </c>
      <c r="AG71" s="177"/>
    </row>
    <row r="72" spans="1:33" ht="15.75" customHeight="1">
      <c r="A72" s="175" t="s">
        <v>176</v>
      </c>
      <c r="B72" s="88" t="s">
        <v>22</v>
      </c>
      <c r="C72" s="170" t="s">
        <v>70</v>
      </c>
      <c r="D72" s="171"/>
      <c r="E72" s="28">
        <v>22.69</v>
      </c>
      <c r="F72" s="88">
        <v>2346</v>
      </c>
      <c r="G72" s="88">
        <f t="shared" si="45"/>
        <v>53230.740000000005</v>
      </c>
      <c r="H72" s="30" t="s">
        <v>53</v>
      </c>
      <c r="I72" s="95">
        <v>15</v>
      </c>
      <c r="J72" s="13">
        <v>2400</v>
      </c>
      <c r="K72" s="12">
        <f t="shared" si="49"/>
        <v>160</v>
      </c>
      <c r="L72" s="95">
        <v>15</v>
      </c>
      <c r="M72" s="13">
        <f t="shared" si="46"/>
        <v>2307.5409836065596</v>
      </c>
      <c r="N72" s="12">
        <f t="shared" si="50"/>
        <v>153.83606557377064</v>
      </c>
      <c r="O72" s="14">
        <f t="shared" si="51"/>
        <v>0</v>
      </c>
      <c r="P72" s="15">
        <f t="shared" si="52"/>
        <v>-6.1639344262293605</v>
      </c>
      <c r="Q72" s="91">
        <f t="shared" si="53"/>
        <v>0.9614754098360665</v>
      </c>
      <c r="R72" s="177"/>
      <c r="S72" s="21">
        <v>0.64513888888888882</v>
      </c>
      <c r="T72" s="21">
        <v>0.68749999999999989</v>
      </c>
      <c r="U72" s="88">
        <f t="shared" si="48"/>
        <v>4.9999999999999822</v>
      </c>
      <c r="V72" s="30">
        <f t="shared" si="47"/>
        <v>60.999999999999943</v>
      </c>
      <c r="W72" s="16"/>
      <c r="X72" s="16"/>
      <c r="Y72" s="19"/>
      <c r="Z72" s="19"/>
      <c r="AA72" s="172"/>
      <c r="AB72" s="173"/>
      <c r="AC72" s="18"/>
      <c r="AD72" s="18"/>
      <c r="AE72" s="14">
        <f t="shared" si="43"/>
        <v>-92.459016393440379</v>
      </c>
      <c r="AF72" s="91">
        <f t="shared" si="54"/>
        <v>0.9614754098360665</v>
      </c>
      <c r="AG72" s="177"/>
    </row>
    <row r="73" spans="1:33" ht="16.5" customHeight="1">
      <c r="A73" s="176" t="s">
        <v>1900</v>
      </c>
      <c r="B73" s="28" t="s">
        <v>1894</v>
      </c>
      <c r="C73" s="165"/>
      <c r="D73" s="166"/>
      <c r="E73" s="92"/>
      <c r="F73" s="12"/>
      <c r="G73" s="12"/>
      <c r="H73" s="88"/>
      <c r="I73" s="23">
        <v>15.714285714285714</v>
      </c>
      <c r="J73" s="13">
        <v>2400</v>
      </c>
      <c r="K73" s="12">
        <f t="shared" si="49"/>
        <v>152.72727272727275</v>
      </c>
      <c r="L73" s="23">
        <v>15.714285714285714</v>
      </c>
      <c r="M73" s="13">
        <f>AVERAGE(M66:M72)</f>
        <v>2292.1448659278194</v>
      </c>
      <c r="N73" s="12">
        <f t="shared" si="50"/>
        <v>145.8637641954067</v>
      </c>
      <c r="O73" s="14">
        <f t="shared" si="51"/>
        <v>0</v>
      </c>
      <c r="P73" s="15">
        <f t="shared" si="52"/>
        <v>-6.8635085318660458</v>
      </c>
      <c r="Q73" s="91">
        <f t="shared" si="53"/>
        <v>0.95506036080325807</v>
      </c>
      <c r="R73" s="177"/>
      <c r="S73" s="21"/>
      <c r="T73" s="21"/>
      <c r="U73" s="12"/>
      <c r="V73" s="30"/>
      <c r="W73" s="12"/>
      <c r="X73" s="12"/>
      <c r="Y73" s="24">
        <f>SUM(Y66:Y72)</f>
        <v>0</v>
      </c>
      <c r="Z73" s="24">
        <f>SUM(Z66:Z72)</f>
        <v>0</v>
      </c>
      <c r="AA73" s="167"/>
      <c r="AB73" s="167"/>
      <c r="AC73" s="24">
        <v>7</v>
      </c>
      <c r="AD73" s="24">
        <f>SUM(AD66:AD72)</f>
        <v>0</v>
      </c>
      <c r="AE73" s="14">
        <f t="shared" si="43"/>
        <v>-107.85513407218059</v>
      </c>
      <c r="AF73" s="91">
        <f t="shared" si="54"/>
        <v>0.95506036080325807</v>
      </c>
      <c r="AG73" s="177"/>
    </row>
    <row r="74" spans="1:33">
      <c r="D74" s="87"/>
      <c r="E74" s="87"/>
    </row>
  </sheetData>
  <mergeCells count="196">
    <mergeCell ref="AG66:AG73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66:A73"/>
    <mergeCell ref="C66:D66"/>
    <mergeCell ref="R66:R73"/>
    <mergeCell ref="AA66:AB66"/>
    <mergeCell ref="AA71:AB71"/>
    <mergeCell ref="C72:D72"/>
    <mergeCell ref="AA72:AB72"/>
    <mergeCell ref="C73:D73"/>
    <mergeCell ref="AA73:AB73"/>
    <mergeCell ref="AG58:AG65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C63:D63"/>
    <mergeCell ref="AA64:AB64"/>
    <mergeCell ref="C65:D65"/>
    <mergeCell ref="AA65:AB65"/>
    <mergeCell ref="A58:A65"/>
    <mergeCell ref="C58:D58"/>
    <mergeCell ref="R58:R65"/>
    <mergeCell ref="AA58:AB58"/>
    <mergeCell ref="AA63:AB63"/>
    <mergeCell ref="A51:A57"/>
    <mergeCell ref="C51:D51"/>
    <mergeCell ref="R51:R57"/>
    <mergeCell ref="AA51:AB51"/>
    <mergeCell ref="AG51:AG57"/>
    <mergeCell ref="C52:D52"/>
    <mergeCell ref="AA52:AB52"/>
    <mergeCell ref="C53:D53"/>
    <mergeCell ref="AA53:AB53"/>
    <mergeCell ref="AA54:AB54"/>
    <mergeCell ref="AG46:AG50"/>
    <mergeCell ref="C47:D47"/>
    <mergeCell ref="AA47:AB47"/>
    <mergeCell ref="C48:D48"/>
    <mergeCell ref="AA48:AB48"/>
    <mergeCell ref="C49:D49"/>
    <mergeCell ref="AA49:AB49"/>
    <mergeCell ref="C50:D50"/>
    <mergeCell ref="AA50:AB50"/>
    <mergeCell ref="AA55:AB55"/>
    <mergeCell ref="C56:D56"/>
    <mergeCell ref="AA56:AB56"/>
    <mergeCell ref="C57:D57"/>
    <mergeCell ref="AA57:AB57"/>
    <mergeCell ref="A46:A50"/>
    <mergeCell ref="C46:D46"/>
    <mergeCell ref="R46:R50"/>
    <mergeCell ref="AA46:AB46"/>
    <mergeCell ref="AG37:AG45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28:A36"/>
    <mergeCell ref="C28:D28"/>
    <mergeCell ref="R28:R36"/>
    <mergeCell ref="AA28:AB28"/>
    <mergeCell ref="C36:D36"/>
    <mergeCell ref="AA36:AB36"/>
    <mergeCell ref="A37:A45"/>
    <mergeCell ref="C37:D37"/>
    <mergeCell ref="R37:R45"/>
    <mergeCell ref="AA37:AB37"/>
    <mergeCell ref="AA42:AB42"/>
    <mergeCell ref="C43:D43"/>
    <mergeCell ref="AA43:AB43"/>
    <mergeCell ref="C44:D44"/>
    <mergeCell ref="AA44:AB44"/>
    <mergeCell ref="C45:D45"/>
    <mergeCell ref="AA45:AB45"/>
    <mergeCell ref="AG28:AG36"/>
    <mergeCell ref="C29:D29"/>
    <mergeCell ref="AA29:AB29"/>
    <mergeCell ref="C30:D30"/>
    <mergeCell ref="AA30:AB30"/>
    <mergeCell ref="C31:D31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A31:AB31"/>
    <mergeCell ref="C32:D32"/>
    <mergeCell ref="AA32:AB32"/>
    <mergeCell ref="C33:D33"/>
    <mergeCell ref="AA33:AB33"/>
    <mergeCell ref="C34:D34"/>
    <mergeCell ref="AA34:AB34"/>
    <mergeCell ref="A21:A27"/>
    <mergeCell ref="C21:D21"/>
    <mergeCell ref="R21:R27"/>
    <mergeCell ref="AA21:AB21"/>
    <mergeCell ref="AA26:AB26"/>
    <mergeCell ref="C27:D27"/>
    <mergeCell ref="AA27:AB27"/>
    <mergeCell ref="A16:A20"/>
    <mergeCell ref="C16:D16"/>
    <mergeCell ref="R16:R20"/>
    <mergeCell ref="AA16:AB16"/>
    <mergeCell ref="AG16:AG20"/>
    <mergeCell ref="C17:D17"/>
    <mergeCell ref="AA17:AB17"/>
    <mergeCell ref="C18:D18"/>
    <mergeCell ref="AA18:AB18"/>
    <mergeCell ref="C19:D19"/>
    <mergeCell ref="AG11:AG15"/>
    <mergeCell ref="C12:D12"/>
    <mergeCell ref="AA12:AB12"/>
    <mergeCell ref="C13:D13"/>
    <mergeCell ref="AA13:AB13"/>
    <mergeCell ref="C14:D14"/>
    <mergeCell ref="AA14:AB14"/>
    <mergeCell ref="C15:D15"/>
    <mergeCell ref="AA15:AB15"/>
    <mergeCell ref="AA19:AB19"/>
    <mergeCell ref="C20:D20"/>
    <mergeCell ref="AA20:AB20"/>
    <mergeCell ref="A11:A15"/>
    <mergeCell ref="C11:D11"/>
    <mergeCell ref="R11:R15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5:O73">
    <cfRule type="cellIs" dxfId="154" priority="9" operator="greaterThan">
      <formula>0</formula>
    </cfRule>
  </conditionalFormatting>
  <conditionalFormatting sqref="P5:P73">
    <cfRule type="cellIs" dxfId="153" priority="1" operator="lessThan">
      <formula>0</formula>
    </cfRule>
  </conditionalFormatting>
  <conditionalFormatting sqref="Q5:Q73 AF5:AF73">
    <cfRule type="cellIs" dxfId="152" priority="10" operator="greaterThan">
      <formula>1</formula>
    </cfRule>
    <cfRule type="cellIs" dxfId="151" priority="11" operator="lessThan">
      <formula>0.8</formula>
    </cfRule>
  </conditionalFormatting>
  <conditionalFormatting sqref="R5:R11 AG5:AG11">
    <cfRule type="cellIs" dxfId="150" priority="42" operator="lessThan">
      <formula>0.8</formula>
    </cfRule>
  </conditionalFormatting>
  <conditionalFormatting sqref="AE5:AE73">
    <cfRule type="cellIs" dxfId="149" priority="12" operator="lessThan">
      <formula>0</formula>
    </cfRule>
  </conditionalFormatting>
  <conditionalFormatting sqref="AG16:AG61 R16:R73">
    <cfRule type="cellIs" dxfId="148" priority="13" operator="lessThan">
      <formula>0.8</formula>
    </cfRule>
  </conditionalFormatting>
  <dataValidations count="1">
    <dataValidation type="list" allowBlank="1" showInputMessage="1" showErrorMessage="1" sqref="AB10 AA5:AB9 AB62:AB64 AB12:AB58 AA10:AA64 AA65:AB73" xr:uid="{00000000-0002-0000-17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Q32"/>
  <sheetViews>
    <sheetView topLeftCell="A4" zoomScale="85" zoomScaleNormal="85" workbookViewId="0">
      <selection activeCell="G14" sqref="G14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1705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1706</v>
      </c>
      <c r="C3" s="154" t="str">
        <f>TEXT('0418 4度C'!A2,"yyyy.mm.ddaaaa")</f>
        <v>2026.04.18星期六</v>
      </c>
      <c r="D3" s="155"/>
      <c r="E3" s="33" t="s">
        <v>1707</v>
      </c>
      <c r="F3" s="156">
        <f>'0418 4度C'!D1</f>
        <v>142201</v>
      </c>
      <c r="G3" s="157"/>
      <c r="H3" s="33" t="s">
        <v>1708</v>
      </c>
      <c r="I3" s="158">
        <f>'0418 4度C'!F1</f>
        <v>4787637.4600000009</v>
      </c>
      <c r="J3" s="159"/>
      <c r="K3" s="34"/>
      <c r="L3" s="35"/>
      <c r="M3" s="35"/>
      <c r="N3" s="35"/>
    </row>
    <row r="4" spans="2:17" ht="28.5" customHeight="1">
      <c r="B4" s="160" t="s">
        <v>1709</v>
      </c>
      <c r="C4" s="146" t="s">
        <v>1710</v>
      </c>
      <c r="D4" s="147"/>
      <c r="E4" s="163" t="s">
        <v>1711</v>
      </c>
      <c r="F4" s="164"/>
      <c r="G4" s="163" t="s">
        <v>1712</v>
      </c>
      <c r="H4" s="164"/>
      <c r="I4" s="163" t="s">
        <v>1713</v>
      </c>
      <c r="J4" s="164"/>
      <c r="K4" s="144" t="s">
        <v>387</v>
      </c>
      <c r="L4" s="145"/>
      <c r="M4" s="145" t="s">
        <v>1714</v>
      </c>
      <c r="N4" s="145"/>
    </row>
    <row r="5" spans="2:17" ht="28.5" customHeight="1">
      <c r="B5" s="161"/>
      <c r="C5" s="146" t="s">
        <v>1715</v>
      </c>
      <c r="D5" s="147"/>
      <c r="E5" s="146" t="s">
        <v>1716</v>
      </c>
      <c r="F5" s="147"/>
      <c r="G5" s="148" t="s">
        <v>1717</v>
      </c>
      <c r="H5" s="149"/>
      <c r="I5" s="150" t="s">
        <v>1718</v>
      </c>
      <c r="J5" s="151"/>
      <c r="K5" s="36" t="s">
        <v>1719</v>
      </c>
      <c r="L5" s="37" t="s">
        <v>1720</v>
      </c>
      <c r="M5" s="36" t="s">
        <v>1719</v>
      </c>
      <c r="N5" s="37" t="s">
        <v>1721</v>
      </c>
    </row>
    <row r="6" spans="2:17" ht="28.5" customHeight="1">
      <c r="B6" s="161"/>
      <c r="C6" s="146" t="s">
        <v>54</v>
      </c>
      <c r="D6" s="147"/>
      <c r="E6" s="138">
        <f>AVERAGE(D13:M13)</f>
        <v>155.52874916914726</v>
      </c>
      <c r="F6" s="139">
        <f>AVERAGE(D31:O31,D13:J13)</f>
        <v>161.97820258249794</v>
      </c>
      <c r="G6" s="140">
        <f>AVERAGE(D13:J13)</f>
        <v>161.97820258249794</v>
      </c>
      <c r="H6" s="141"/>
      <c r="I6" s="140">
        <f>AVERAGE(K13:M13)</f>
        <v>140.48002453799555</v>
      </c>
      <c r="J6" s="141"/>
      <c r="K6" s="142">
        <f>'0418 4度C'!Y2</f>
        <v>0</v>
      </c>
      <c r="L6" s="127">
        <f>'0418 4度C'!Z2</f>
        <v>0</v>
      </c>
      <c r="M6" s="143">
        <f>'0418 4度C'!AC2</f>
        <v>56</v>
      </c>
      <c r="N6" s="127">
        <f>'0418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149.15230933403424</v>
      </c>
      <c r="F7" s="131">
        <f>AVERAGE(D32:O32,D14:J14)</f>
        <v>155.38255487586034</v>
      </c>
      <c r="G7" s="132">
        <f>AVERAGE(D14:J14)</f>
        <v>155.38255487586034</v>
      </c>
      <c r="H7" s="133"/>
      <c r="I7" s="132">
        <f>AVERAGE(K14:M14)</f>
        <v>134.61506973643998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0.95921836541437933</v>
      </c>
      <c r="F8" s="135">
        <f>AVERAGE(D15:J15,D33:O33)</f>
        <v>0.95961430168642681</v>
      </c>
      <c r="G8" s="136">
        <f>AVERAGE(D15:J15)</f>
        <v>0.95961430168642681</v>
      </c>
      <c r="H8" s="137"/>
      <c r="I8" s="136">
        <f>AVERAGE(K15:M15)</f>
        <v>0.95829451411293576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93</v>
      </c>
      <c r="N9" s="35"/>
      <c r="O9" s="35"/>
      <c r="P9" s="35"/>
      <c r="Q9" s="35"/>
    </row>
    <row r="10" spans="2:17" ht="30" customHeight="1">
      <c r="B10" s="110" t="s">
        <v>1722</v>
      </c>
      <c r="C10" s="111"/>
      <c r="D10" s="112" t="s">
        <v>1723</v>
      </c>
      <c r="E10" s="113"/>
      <c r="F10" s="113"/>
      <c r="G10" s="113"/>
      <c r="H10" s="113"/>
      <c r="I10" s="113"/>
      <c r="J10" s="114"/>
      <c r="K10" s="115" t="s">
        <v>95</v>
      </c>
      <c r="L10" s="116"/>
      <c r="M10" s="117"/>
      <c r="P10" s="41"/>
      <c r="Q10" s="41"/>
    </row>
    <row r="11" spans="2:17" ht="17.25" customHeight="1">
      <c r="B11" s="118" t="s">
        <v>1724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144</v>
      </c>
      <c r="C13" s="48" t="s">
        <v>1725</v>
      </c>
      <c r="D13" s="49">
        <f>SUMIFS('0418 4度C'!$K:$K,'0418 4度C'!$A:$A,"新豐6線",'0418 4度C'!$B:$B,"平均")</f>
        <v>118.81188118811882</v>
      </c>
      <c r="E13" s="50">
        <f>SUMIFS('0418 4度C'!$K:$K,'0418 4度C'!$A:$A,"新豐2線",'0418 4度C'!$B:$B,"平均")</f>
        <v>84.905660377358487</v>
      </c>
      <c r="F13" s="51">
        <f>SUMIFS('0418 4度C'!$K:$K,'0418 4度C'!$A:$A,"新豐5線",'0418 4度C'!$B:$B,"平均")</f>
        <v>94.444444444444443</v>
      </c>
      <c r="G13" s="51">
        <f>SUMIFS('0418 4度C'!$K:$K,'0418 4度C'!$A:$A,"新豐7線",'0418 4度C'!$B:$B,"平均")</f>
        <v>134.45378151260505</v>
      </c>
      <c r="H13" s="51">
        <f>SUMIFS('0418 4度C'!$K:$K,'0418 4度C'!$A:$A,"新豐3線",'0418 4度C'!$B:$B,"平均")</f>
        <v>315.78947368421052</v>
      </c>
      <c r="I13" s="51">
        <f>SUMIFS('0418 4度C'!$K:$K,'0418 4度C'!$A:$A,"新豐1線",'0418 4度C'!$B:$B,"平均")</f>
        <v>105.4421768707483</v>
      </c>
      <c r="J13" s="52">
        <f>SUMIFS('0418 4度C'!$K:$K,'0418 4度C'!$A:$A,"新豐10線",'0418 4度C'!$B:$B,"平均")</f>
        <v>280</v>
      </c>
      <c r="K13" s="53">
        <f>SUMIFS('0418 4度C'!$K:$K,'0418 4度C'!$A:$A,"新豐8線",'0418 4度C'!$B:$B,"平均")</f>
        <v>130.43478260869566</v>
      </c>
      <c r="L13" s="54">
        <f>SUMIFS('0418 4度C'!$K:$K,'0418 4度C'!$A:$A,"新豐9線",'0418 4度C'!$B:$B,"平均")</f>
        <v>142.85714285714286</v>
      </c>
      <c r="M13" s="52">
        <f>SUMIFS('0418 4度C'!$K:$K,'0418 4度C'!$A:$A,"新豐4線",'0418 4度C'!$B:$B,"平均")</f>
        <v>148.14814814814815</v>
      </c>
    </row>
    <row r="14" spans="2:17" ht="39.6" customHeight="1">
      <c r="B14" s="123"/>
      <c r="C14" s="55" t="s">
        <v>1726</v>
      </c>
      <c r="D14" s="56">
        <f>SUMIFS('0418 4度C'!$N:$N,'0418 4度C'!$A:$A,"新豐6線",'0418 4度C'!$B:$B,"平均")</f>
        <v>113.37539394002032</v>
      </c>
      <c r="E14" s="57">
        <f>SUMIFS('0418 4度C'!$N:$N,'0418 4度C'!$A:$A,"新豐2線",'0418 4度C'!$B:$B,"平均")</f>
        <v>81.034395754022256</v>
      </c>
      <c r="F14" s="57">
        <f>SUMIFS('0418 4度C'!$N:$N,'0418 4度C'!$A:$A,"新豐5線",'0418 4度C'!$B:$B,"平均")</f>
        <v>91.009362243942661</v>
      </c>
      <c r="G14" s="57">
        <f>SUMIFS('0418 4度C'!$N:$N,'0418 4度C'!$A:$A,"新豐7線",'0418 4度C'!$B:$B,"平均")</f>
        <v>128.88622647134068</v>
      </c>
      <c r="H14" s="57">
        <f>SUMIFS('0418 4度C'!$N:$N,'0418 4度C'!$A:$A,"新豐3線",'0418 4度C'!$B:$B,"平均")</f>
        <v>301.77719281221982</v>
      </c>
      <c r="I14" s="57">
        <f>SUMIFS('0418 4度C'!$N:$N,'0418 4度C'!$A:$A,"新豐1線",'0418 4度C'!$B:$B,"平均")</f>
        <v>102.10304324982017</v>
      </c>
      <c r="J14" s="58">
        <f>SUMIFS('0418 4度C'!$N:$N,'0418 4度C'!$A:$A,"新豐10線",'0418 4度C'!$B:$B,"平均")</f>
        <v>269.49226965965647</v>
      </c>
      <c r="K14" s="59">
        <f>SUMIFS('0418 4度C'!$N:$N,'0418 4度C'!$A:$A,"新豐8線",'0418 4度C'!$B:$B,"平均")</f>
        <v>125.13252645331238</v>
      </c>
      <c r="L14" s="60">
        <f>SUMIFS('0418 4度C'!$N:$N,'0418 4度C'!$A:$A,"新豐9線",'0418 4度C'!$B:$B,"平均")</f>
        <v>136.89425704144654</v>
      </c>
      <c r="M14" s="58">
        <f>SUMIFS('0418 4度C'!$N:$N,'0418 4度C'!$A:$A,"新豐4線",'0418 4度C'!$B:$B,"平均")</f>
        <v>141.81842571456102</v>
      </c>
    </row>
    <row r="15" spans="2:17" ht="40.15" customHeight="1">
      <c r="B15" s="124"/>
      <c r="C15" s="61" t="s">
        <v>1727</v>
      </c>
      <c r="D15" s="62">
        <f t="shared" ref="D15:M15" si="0">D14/D13</f>
        <v>0.9542428989951709</v>
      </c>
      <c r="E15" s="63">
        <f t="shared" si="0"/>
        <v>0.95440510554737323</v>
      </c>
      <c r="F15" s="63">
        <f t="shared" si="0"/>
        <v>0.96362854140645171</v>
      </c>
      <c r="G15" s="63">
        <f t="shared" si="0"/>
        <v>0.95859130938059622</v>
      </c>
      <c r="H15" s="63">
        <f t="shared" si="0"/>
        <v>0.95562777723869607</v>
      </c>
      <c r="I15" s="63">
        <f t="shared" si="0"/>
        <v>0.96833208759506872</v>
      </c>
      <c r="J15" s="64">
        <f t="shared" si="0"/>
        <v>0.96247239164163023</v>
      </c>
      <c r="K15" s="62">
        <f t="shared" si="0"/>
        <v>0.95934936947539484</v>
      </c>
      <c r="L15" s="63">
        <f t="shared" si="0"/>
        <v>0.95825979929012572</v>
      </c>
      <c r="M15" s="64">
        <f t="shared" si="0"/>
        <v>0.95727437357328682</v>
      </c>
    </row>
    <row r="16" spans="2:17" ht="17.25" customHeight="1">
      <c r="B16" s="125" t="s">
        <v>1728</v>
      </c>
      <c r="C16" s="65" t="s">
        <v>1729</v>
      </c>
      <c r="D16" s="66">
        <f>VLOOKUP("新豐6線",'0418 4度C'!$A:$T,19,0)</f>
        <v>0.8125</v>
      </c>
      <c r="E16" s="67">
        <f>VLOOKUP("新豐2線",'0418 4度C'!$A:$T,19,0)</f>
        <v>0.20833333333333334</v>
      </c>
      <c r="F16" s="67">
        <f>VLOOKUP("新豐5線",'0418 4度C'!$A:$T,19,0)</f>
        <v>0.20833333333333334</v>
      </c>
      <c r="G16" s="67">
        <f>VLOOKUP("新豐7線",'0418 4度C'!$A:$T,19,0)</f>
        <v>0.29166666666666669</v>
      </c>
      <c r="H16" s="67">
        <f>VLOOKUP("新豐3線",'0418 4度C'!$A:$T,19,0)</f>
        <v>8.3333333333333329E-2</v>
      </c>
      <c r="I16" s="67">
        <f>VLOOKUP("新豐1線",'0418 4度C'!$A:$T,19,0)</f>
        <v>0.33333333333333331</v>
      </c>
      <c r="J16" s="68">
        <f>VLOOKUP("新豐10線",'0418 4度C'!$A:$T,19,0)</f>
        <v>0.20833333333333334</v>
      </c>
      <c r="K16" s="69">
        <f>VLOOKUP("新豐8線",'0418 4度C'!$A:$T,19,0)</f>
        <v>8.3333333333333329E-2</v>
      </c>
      <c r="L16" s="70">
        <f>VLOOKUP("新豐9線",'0418 4度C'!$A:$T,19,0)</f>
        <v>8.3333333333333329E-2</v>
      </c>
      <c r="M16" s="71">
        <f>VLOOKUP("新豐4線",'0418 4度C'!$A:$T,19,0)</f>
        <v>8.3333333333333329E-2</v>
      </c>
    </row>
    <row r="17" spans="2:13" ht="17.25" customHeight="1">
      <c r="B17" s="126"/>
      <c r="C17" s="65" t="s">
        <v>1730</v>
      </c>
      <c r="D17" s="69">
        <f>LOOKUP(2,1/(('0418 4度C'!$A:$A="新豐6線")*('0418 4度C'!$T:$T&lt;&gt;"")),'0418 4度C'!$T:$T)</f>
        <v>0.95347222222222217</v>
      </c>
      <c r="E17" s="67">
        <f>LOOKUP(2,1/(('0418 4度C'!$A:$A="新豐2線")*('0418 4度C'!$T:$T&lt;&gt;"")),'0418 4度C'!$T:$T)</f>
        <v>0.58680555555555558</v>
      </c>
      <c r="F17" s="67">
        <f>LOOKUP(2,1/(('0418 4度C'!$A:$A="新豐5線")*('0418 4度C'!$T:$T&lt;&gt;"")),'0418 4度C'!$T:$T)</f>
        <v>0.94513888888888886</v>
      </c>
      <c r="G17" s="67">
        <f>LOOKUP(2,1/(('0418 4度C'!$A:$A="新豐7線")*('0418 4度C'!$T:$T&lt;&gt;"")),'0418 4度C'!$T:$T)</f>
        <v>0.9555555555555556</v>
      </c>
      <c r="H17" s="67">
        <f>LOOKUP(2,1/(('0418 4度C'!$A:$A="新豐3線")*('0418 4度C'!$T:$T&lt;&gt;"")),'0418 4度C'!$T:$T)</f>
        <v>0.49236111111111108</v>
      </c>
      <c r="I17" s="67">
        <f>LOOKUP(2,1/(('0418 4度C'!$A:$A="新豐1線")*('0418 4度C'!$T:$T&lt;&gt;"")),'0418 4度C'!$T:$T)</f>
        <v>0.95208333333333328</v>
      </c>
      <c r="J17" s="68">
        <f>LOOKUP(2,1/(('0418 4度C'!$A:$A="新豐10線")*('0418 4度C'!$T:$T&lt;&gt;"")),'0418 4度C'!$T:$T)</f>
        <v>0.35833333333333323</v>
      </c>
      <c r="K17" s="66">
        <f>LOOKUP(2,1/(('0418 4度C'!$A:$A="新豐8線")*('0418 4度C'!$T:$T&lt;&gt;"")),'0418 4度C'!$T:$T)</f>
        <v>0.49999999999999994</v>
      </c>
      <c r="L17" s="67">
        <f>LOOKUP(2,1/(('0418 4度C'!$A:$A="新豐9線")*('0418 4度C'!$T:$T&lt;&gt;"")),'0418 4度C'!$T:$T)</f>
        <v>0.51111111111111107</v>
      </c>
      <c r="M17" s="68">
        <f>LOOKUP(2,1/(('0418 4度C'!$A:$A="新豐4線")*('0418 4度C'!$T:$T&lt;&gt;"")),'0418 4度C'!$T:$T)</f>
        <v>0.50069444444444444</v>
      </c>
    </row>
    <row r="18" spans="2:13" ht="17.25" customHeight="1">
      <c r="B18" s="104" t="s">
        <v>1731</v>
      </c>
      <c r="C18" s="72" t="s">
        <v>1732</v>
      </c>
      <c r="D18" s="73">
        <f>SUMIFS('0418 4度C'!$Y:$Y,'0418 4度C'!$A:$A,"新豐6線",'0418 4度C'!$B:$B,"平均")</f>
        <v>0</v>
      </c>
      <c r="E18" s="74">
        <f>SUMIFS('0418 4度C'!$Y:$Y,'0418 4度C'!$A:$A,"新豐2線",'0418 4度C'!$B:$B,"平均")</f>
        <v>0</v>
      </c>
      <c r="F18" s="74">
        <f>SUMIFS('0418 4度C'!$Y:$Y,'0418 4度C'!$A:$A,"新豐5線",'0418 4度C'!$B:$B,"平均")</f>
        <v>0</v>
      </c>
      <c r="G18" s="74">
        <f>SUMIFS('0418 4度C'!$Y:$Y,'0418 4度C'!$A:$A,"新豐7線",'0418 4度C'!$B:$B,"平均")</f>
        <v>0</v>
      </c>
      <c r="H18" s="74">
        <f>SUMIFS('0418 4度C'!$Y:$Y,'0418 4度C'!$A:$A,"新豐3線",'0418 4度C'!$B:$B,"平均")</f>
        <v>0</v>
      </c>
      <c r="I18" s="74">
        <f>SUMIFS('0418 4度C'!$Y:$Y,'0418 4度C'!$A:$A,"新豐1線",'0418 4度C'!$B:$B,"平均")</f>
        <v>0</v>
      </c>
      <c r="J18" s="75">
        <f>SUMIFS('0418 4度C'!$Y:$Y,'0418 4度C'!$A:$A,"新豐10線",'0418 4度C'!$B:$B,"平均")</f>
        <v>0</v>
      </c>
      <c r="K18" s="76">
        <f>SUMIFS('0418 4度C'!$Y:$Y,'0418 4度C'!$A:$A,"新豐8線",'0418 4度C'!$B:$B,"平均")</f>
        <v>0</v>
      </c>
      <c r="L18" s="74">
        <f>SUMIFS('0418 4度C'!$Y:$Y,'0418 4度C'!$A:$A,"新豐9線",'0418 4度C'!$B:$B,"平均")</f>
        <v>0</v>
      </c>
      <c r="M18" s="75">
        <f>SUMIFS('0418 4度C'!$Y:$Y,'0418 4度C'!$A:$A,"新豐4線",'0418 4度C'!$B:$B,"平均")</f>
        <v>0</v>
      </c>
    </row>
    <row r="19" spans="2:13" ht="17.25" customHeight="1">
      <c r="B19" s="105"/>
      <c r="C19" s="72" t="s">
        <v>1733</v>
      </c>
      <c r="D19" s="73">
        <f>SUMIFS('0418 4度C'!$Z:$Z,'0418 4度C'!$A:$A,"新豐6線",'0418 4度C'!$B:$B,"平均")</f>
        <v>0</v>
      </c>
      <c r="E19" s="74">
        <f>SUMIFS('0418 4度C'!$Z:$Z,'0418 4度C'!$A:$A,"新豐2線",'0418 4度C'!$B:$B,"平均")</f>
        <v>0</v>
      </c>
      <c r="F19" s="74">
        <f>SUMIFS('0418 4度C'!$Z:$Z,'0418 4度C'!$A:$A,"新豐5線",'0418 4度C'!$B:$B,"平均")</f>
        <v>0</v>
      </c>
      <c r="G19" s="74">
        <f>SUMIFS('0418 4度C'!$Z:$Z,'0418 4度C'!$A:$A,"新豐7線",'0418 4度C'!$B:$B,"平均")</f>
        <v>0</v>
      </c>
      <c r="H19" s="74">
        <f>SUMIFS('0418 4度C'!$Z:$Z,'0418 4度C'!$A:$A,"新豐3線",'0418 4度C'!$B:$B,"平均")</f>
        <v>0</v>
      </c>
      <c r="I19" s="74">
        <f>SUMIFS('0418 4度C'!$Z:$Z,'0418 4度C'!$A:$A,"新豐1線",'0418 4度C'!$B:$B,"平均")</f>
        <v>0</v>
      </c>
      <c r="J19" s="75">
        <f>SUMIFS('0418 4度C'!$Z:$Z,'0418 4度C'!$A:$A,"新豐10線",'0418 4度C'!$B:$B,"平均")</f>
        <v>0</v>
      </c>
      <c r="K19" s="76">
        <f>SUMIFS('0418 4度C'!$Z:$Z,'0418 4度C'!$A:$A,"新豐8線",'0418 4度C'!$B:$B,"平均")</f>
        <v>0</v>
      </c>
      <c r="L19" s="74">
        <f>SUMIFS('0418 4度C'!$Z:$Z,'0418 4度C'!$A:$A,"新豐9線",'0418 4度C'!$B:$B,"平均")</f>
        <v>0</v>
      </c>
      <c r="M19" s="75">
        <f>SUMIFS('0418 4度C'!$Z:$Z,'0418 4度C'!$A:$A,"新豐4線",'0418 4度C'!$B:$B,"平均")</f>
        <v>0</v>
      </c>
    </row>
    <row r="20" spans="2:13" ht="17.25" customHeight="1">
      <c r="B20" s="104" t="s">
        <v>1734</v>
      </c>
      <c r="C20" s="72" t="s">
        <v>1732</v>
      </c>
      <c r="D20" s="73">
        <f>SUMIFS('0418 4度C'!$AC:$AC,'0418 4度C'!$A:$A,"新豐6線",'0418 4度C'!$B:$B,"平均")</f>
        <v>6</v>
      </c>
      <c r="E20" s="74">
        <f>SUMIFS('0418 4度C'!$AC:$AC,'0418 4度C'!$A:$A,"新豐2線",'0418 4度C'!$B:$B,"平均")</f>
        <v>3</v>
      </c>
      <c r="F20" s="74">
        <f>SUMIFS('0418 4度C'!$AC:$AC,'0418 4度C'!$A:$A,"新豐5線",'0418 4度C'!$B:$B,"平均")</f>
        <v>5</v>
      </c>
      <c r="G20" s="74">
        <f>SUMIFS('0418 4度C'!$AC:$AC,'0418 4度C'!$A:$A,"新豐7線",'0418 4度C'!$B:$B,"平均")</f>
        <v>8</v>
      </c>
      <c r="H20" s="74">
        <f>SUMIFS('0418 4度C'!$AC:$AC,'0418 4度C'!$A:$A,"新豐3線",'0418 4度C'!$B:$B,"平均")</f>
        <v>6</v>
      </c>
      <c r="I20" s="74">
        <f>SUMIFS('0418 4度C'!$AC:$AC,'0418 4度C'!$A:$A,"新豐1線",'0418 4度C'!$B:$B,"平均")</f>
        <v>8</v>
      </c>
      <c r="J20" s="75">
        <f>SUMIFS('0418 4度C'!$AC:$AC,'0418 4度C'!$A:$A,"新豐10線",'0418 4度C'!$B:$B,"平均")</f>
        <v>5</v>
      </c>
      <c r="K20" s="76">
        <f>SUMIFS('0418 4度C'!$AC:$AC,'0418 4度C'!$A:$A,"新豐8線",'0418 4度C'!$B:$B,"平均")</f>
        <v>5</v>
      </c>
      <c r="L20" s="74">
        <f>SUMIFS('0418 4度C'!$AC:$AC,'0418 4度C'!$A:$A,"新豐9線",'0418 4度C'!$B:$B,"平均")</f>
        <v>5</v>
      </c>
      <c r="M20" s="75">
        <f>SUMIFS('0418 4度C'!$AC:$AC,'0418 4度C'!$A:$A,"新豐4線",'0418 4度C'!$B:$B,"平均")</f>
        <v>5</v>
      </c>
    </row>
    <row r="21" spans="2:13" ht="17.25" customHeight="1">
      <c r="B21" s="105"/>
      <c r="C21" s="72" t="s">
        <v>1735</v>
      </c>
      <c r="D21" s="73">
        <f>SUMIFS('0418 4度C'!$AD:$AD,'0418 4度C'!$A:$A,"新豐6線",'0418 4度C'!$B:$B,"平均")</f>
        <v>0</v>
      </c>
      <c r="E21" s="74">
        <f>SUMIFS('0418 4度C'!$AD:$AD,'0418 4度C'!$A:$A,"新豐2線",'0418 4度C'!$B:$B,"平均")</f>
        <v>0</v>
      </c>
      <c r="F21" s="74">
        <f>SUMIFS('0418 4度C'!$AD:$AD,'0418 4度C'!$A:$A,"新豐5線",'0418 4度C'!$B:$B,"平均")</f>
        <v>0</v>
      </c>
      <c r="G21" s="74">
        <f>SUMIFS('0418 4度C'!$AD:$AD,'0418 4度C'!$A:$A,"新豐7線",'0418 4度C'!$B:$B,"平均")</f>
        <v>0</v>
      </c>
      <c r="H21" s="74">
        <f>SUMIFS('0418 4度C'!$AD:$AD,'0418 4度C'!$A:$A,"新豐3線",'0418 4度C'!$B:$B,"平均")</f>
        <v>0</v>
      </c>
      <c r="I21" s="74">
        <f>SUMIFS('0418 4度C'!$AD:$AD,'0418 4度C'!$A:$A,"新豐1線",'0418 4度C'!$B:$B,"平均")</f>
        <v>0</v>
      </c>
      <c r="J21" s="75">
        <f>SUMIFS('0418 4度C'!$AD:$AD,'0418 4度C'!$A:$A,"新豐10線",'0418 4度C'!$B:$B,"平均")</f>
        <v>0</v>
      </c>
      <c r="K21" s="76">
        <f>SUMIFS('0418 4度C'!$AD:$AD,'0418 4度C'!$A:$A,"新豐8線",'0418 4度C'!$B:$B,"平均")</f>
        <v>0</v>
      </c>
      <c r="L21" s="74">
        <f>SUMIFS('0418 4度C'!$AD:$AD,'0418 4度C'!$A:$A,"新豐9線",'0418 4度C'!$B:$B,"平均")</f>
        <v>0</v>
      </c>
      <c r="M21" s="75">
        <f>SUMIFS('0418 4度C'!$AD:$AD,'0418 4度C'!$A:$A,"新豐4線",'0418 4度C'!$B:$B,"平均")</f>
        <v>0</v>
      </c>
    </row>
    <row r="22" spans="2:13" ht="17.25" customHeight="1">
      <c r="B22" s="106" t="s">
        <v>1736</v>
      </c>
      <c r="C22" s="107"/>
      <c r="D22" s="77">
        <f>SUMIFS('0418 4度C'!$I:$I,'0418 4度C'!$A:$A,"新豐6線",'0418 4度C'!$B:$B,"平均")</f>
        <v>16.833333333333332</v>
      </c>
      <c r="E22" s="78">
        <f>SUMIFS('0418 4度C'!$I:$I,'0418 4度C'!$A:$A,"新豐2線",'0418 4度C'!$B:$B,"平均")</f>
        <v>17.666666666666668</v>
      </c>
      <c r="F22" s="78">
        <f>SUMIFS('0418 4度C'!$I:$I,'0418 4度C'!$A:$A,"新豐5線",'0418 4度C'!$B:$B,"平均")</f>
        <v>18</v>
      </c>
      <c r="G22" s="78">
        <f>SUMIFS('0418 4度C'!$I:$I,'0418 4度C'!$A:$A,"新豐7線",'0418 4度C'!$B:$B,"平均")</f>
        <v>14.875</v>
      </c>
      <c r="H22" s="78">
        <f>SUMIFS('0418 4度C'!$I:$I,'0418 4度C'!$A:$A,"新豐3線",'0418 4度C'!$B:$B,"平均")</f>
        <v>9.5</v>
      </c>
      <c r="I22" s="78">
        <f>SUMIFS('0418 4度C'!$I:$I,'0418 4度C'!$A:$A,"新豐1線",'0418 4度C'!$B:$B,"平均")</f>
        <v>18.375</v>
      </c>
      <c r="J22" s="79">
        <f>SUMIFS('0418 4度C'!$I:$I,'0418 4度C'!$A:$A,"新豐10線",'0418 4度C'!$B:$B,"平均")</f>
        <v>10</v>
      </c>
      <c r="K22" s="77">
        <f>SUMIFS('0418 4度C'!$I:$I,'0418 4度C'!$A:$A,"新豐8線",'0418 4度C'!$B:$B,"平均")</f>
        <v>18.399999999999999</v>
      </c>
      <c r="L22" s="78">
        <f>SUMIFS('0418 4度C'!$I:$I,'0418 4度C'!$A:$A,"新豐9線",'0418 4度C'!$B:$B,"平均")</f>
        <v>16.8</v>
      </c>
      <c r="M22" s="79">
        <f>SUMIFS('0418 4度C'!$I:$I,'0418 4度C'!$A:$A,"新豐4線",'0418 4度C'!$B:$B,"平均")</f>
        <v>16.2</v>
      </c>
    </row>
    <row r="23" spans="2:13" ht="17.25" customHeight="1">
      <c r="B23" s="106" t="s">
        <v>1737</v>
      </c>
      <c r="C23" s="107"/>
      <c r="D23" s="80" t="s">
        <v>67</v>
      </c>
      <c r="E23" s="81" t="s">
        <v>68</v>
      </c>
      <c r="F23" s="81" t="s">
        <v>1738</v>
      </c>
      <c r="G23" s="81" t="s">
        <v>1738</v>
      </c>
      <c r="H23" s="81" t="s">
        <v>69</v>
      </c>
      <c r="I23" s="81" t="s">
        <v>67</v>
      </c>
      <c r="J23" s="82" t="s">
        <v>69</v>
      </c>
      <c r="K23" s="80" t="s">
        <v>1739</v>
      </c>
      <c r="L23" s="81" t="s">
        <v>1739</v>
      </c>
      <c r="M23" s="82" t="s">
        <v>1740</v>
      </c>
    </row>
    <row r="24" spans="2:13" ht="17.25" customHeight="1">
      <c r="B24" s="106" t="s">
        <v>1741</v>
      </c>
      <c r="C24" s="107"/>
      <c r="D24" s="80"/>
      <c r="E24" s="81"/>
      <c r="F24" s="81" t="s">
        <v>1742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1743</v>
      </c>
      <c r="C25" s="109"/>
      <c r="D25" s="83"/>
      <c r="E25" s="84" t="s">
        <v>1744</v>
      </c>
      <c r="F25" s="102" t="s">
        <v>323</v>
      </c>
      <c r="G25" s="103"/>
      <c r="H25" s="84" t="s">
        <v>1745</v>
      </c>
      <c r="I25" s="84" t="s">
        <v>1746</v>
      </c>
      <c r="J25" s="85" t="s">
        <v>1745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4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13">
    <pageSetUpPr fitToPage="1"/>
  </sheetPr>
  <dimension ref="A1:AG71"/>
  <sheetViews>
    <sheetView topLeftCell="E1" zoomScale="80" zoomScaleNormal="80" workbookViewId="0">
      <pane ySplit="4" topLeftCell="A56" activePane="bottomLeft" state="frozen"/>
      <selection activeCell="G14" sqref="G14"/>
      <selection pane="bottomLeft" activeCell="U13" sqref="U13:X72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1747</v>
      </c>
      <c r="B1" s="1"/>
      <c r="C1" s="2" t="s">
        <v>1748</v>
      </c>
      <c r="D1" s="3">
        <f>SUM(F5:F70)</f>
        <v>142201</v>
      </c>
      <c r="E1" s="88" t="s">
        <v>1749</v>
      </c>
      <c r="F1" s="1">
        <f>SUM(G5:G70)</f>
        <v>4787637.4600000009</v>
      </c>
      <c r="G1" s="1" t="s">
        <v>1750</v>
      </c>
      <c r="H1" s="4">
        <f>L11+L15+L49+L58+L21+L64+L36+L42+L30+L70</f>
        <v>156.64999999999998</v>
      </c>
      <c r="I1" s="215" t="s">
        <v>1751</v>
      </c>
      <c r="J1" s="215"/>
      <c r="K1" s="215"/>
      <c r="L1" s="215" t="s">
        <v>1752</v>
      </c>
      <c r="M1" s="215"/>
      <c r="N1" s="215"/>
      <c r="O1" s="215" t="s">
        <v>1753</v>
      </c>
      <c r="P1" s="215"/>
      <c r="Q1" s="215"/>
      <c r="R1" s="215"/>
      <c r="S1" s="215" t="s">
        <v>1754</v>
      </c>
      <c r="T1" s="215"/>
      <c r="U1" s="215"/>
      <c r="V1" s="215"/>
      <c r="W1" s="215"/>
      <c r="X1" s="215"/>
      <c r="Y1" s="5" t="s">
        <v>1755</v>
      </c>
      <c r="Z1" s="6" t="s">
        <v>1756</v>
      </c>
      <c r="AA1" s="216" t="s">
        <v>1757</v>
      </c>
      <c r="AB1" s="216"/>
      <c r="AC1" s="97" t="s">
        <v>1755</v>
      </c>
      <c r="AD1" s="6" t="s">
        <v>1758</v>
      </c>
      <c r="AE1" s="215" t="s">
        <v>1759</v>
      </c>
      <c r="AF1" s="217"/>
      <c r="AG1" s="217"/>
    </row>
    <row r="2" spans="1:33" ht="26.25" customHeight="1">
      <c r="A2" s="26">
        <v>46130</v>
      </c>
      <c r="B2" s="27" t="s">
        <v>437</v>
      </c>
      <c r="C2" s="2" t="s">
        <v>1760</v>
      </c>
      <c r="D2" s="8">
        <f>AVERAGE(N11,N15,N49,N58,N21,N64,N30,N36,N42,N70)</f>
        <v>149.15230933403421</v>
      </c>
      <c r="E2" s="9" t="s">
        <v>0</v>
      </c>
      <c r="F2" s="10">
        <f>F1/D1</f>
        <v>33.668099802392398</v>
      </c>
      <c r="G2" s="1" t="s">
        <v>1761</v>
      </c>
      <c r="H2" s="96">
        <f>COUNT(H5:H70)</f>
        <v>8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SUM(Y11+Y15+Y21+Y30+Y36+Y42+Y49+Y58+Y64+Y70)</f>
        <v>0</v>
      </c>
      <c r="Z2" s="11">
        <f>SUM(Z11+Z15+Z21+Z30+Z36+Z42+Z49+Z58+Z64+Z70)</f>
        <v>0</v>
      </c>
      <c r="AA2" s="216"/>
      <c r="AB2" s="216"/>
      <c r="AC2" s="11">
        <v>56</v>
      </c>
      <c r="AD2" s="11">
        <f>SUM(AD11+AD15+AD21+AD30+AD36+AD42+AD49+AD58+AD64+AD70)</f>
        <v>0</v>
      </c>
      <c r="AE2" s="217"/>
      <c r="AF2" s="217"/>
      <c r="AG2" s="217"/>
    </row>
    <row r="3" spans="1:33" ht="40.5" customHeight="1">
      <c r="A3" s="168" t="s">
        <v>1762</v>
      </c>
      <c r="B3" s="168" t="s">
        <v>1763</v>
      </c>
      <c r="C3" s="168" t="s">
        <v>1764</v>
      </c>
      <c r="D3" s="168"/>
      <c r="E3" s="213" t="s">
        <v>1765</v>
      </c>
      <c r="F3" s="168" t="s">
        <v>1766</v>
      </c>
      <c r="G3" s="213" t="s">
        <v>1767</v>
      </c>
      <c r="H3" s="207" t="s">
        <v>1768</v>
      </c>
      <c r="I3" s="205" t="s">
        <v>1769</v>
      </c>
      <c r="J3" s="202" t="s">
        <v>1770</v>
      </c>
      <c r="K3" s="212" t="s">
        <v>1760</v>
      </c>
      <c r="L3" s="205" t="s">
        <v>1769</v>
      </c>
      <c r="M3" s="202" t="s">
        <v>1770</v>
      </c>
      <c r="N3" s="212" t="s">
        <v>1760</v>
      </c>
      <c r="O3" s="205" t="s">
        <v>1769</v>
      </c>
      <c r="P3" s="212" t="s">
        <v>1760</v>
      </c>
      <c r="Q3" s="203" t="s">
        <v>1771</v>
      </c>
      <c r="R3" s="181" t="s">
        <v>1772</v>
      </c>
      <c r="S3" s="168" t="s">
        <v>1</v>
      </c>
      <c r="T3" s="168"/>
      <c r="U3" s="207" t="s">
        <v>2</v>
      </c>
      <c r="V3" s="207" t="s">
        <v>1773</v>
      </c>
      <c r="W3" s="168" t="s">
        <v>1774</v>
      </c>
      <c r="X3" s="168"/>
      <c r="Y3" s="208" t="s">
        <v>1775</v>
      </c>
      <c r="Z3" s="167"/>
      <c r="AA3" s="209" t="s">
        <v>1776</v>
      </c>
      <c r="AB3" s="210"/>
      <c r="AC3" s="208" t="s">
        <v>1777</v>
      </c>
      <c r="AD3" s="167"/>
      <c r="AE3" s="202" t="s">
        <v>1778</v>
      </c>
      <c r="AF3" s="203" t="s">
        <v>1779</v>
      </c>
      <c r="AG3" s="181" t="s">
        <v>1772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1780</v>
      </c>
      <c r="X4" s="88" t="s">
        <v>1781</v>
      </c>
      <c r="Y4" s="90" t="s">
        <v>1782</v>
      </c>
      <c r="Z4" s="90" t="s">
        <v>1783</v>
      </c>
      <c r="AA4" s="211"/>
      <c r="AB4" s="210"/>
      <c r="AC4" s="90" t="s">
        <v>1784</v>
      </c>
      <c r="AD4" s="90" t="s">
        <v>1785</v>
      </c>
      <c r="AE4" s="202"/>
      <c r="AF4" s="203"/>
      <c r="AG4" s="181"/>
    </row>
    <row r="5" spans="1:33">
      <c r="A5" s="204" t="s">
        <v>1786</v>
      </c>
      <c r="B5" s="28" t="s">
        <v>5</v>
      </c>
      <c r="C5" s="206" t="s">
        <v>6</v>
      </c>
      <c r="D5" s="206"/>
      <c r="E5" s="28">
        <v>50.67</v>
      </c>
      <c r="F5" s="88">
        <v>1354</v>
      </c>
      <c r="G5" s="88">
        <f t="shared" ref="G5:G10" si="0">E5*F5</f>
        <v>68607.180000000008</v>
      </c>
      <c r="H5" s="30" t="s">
        <v>53</v>
      </c>
      <c r="I5" s="95">
        <v>17</v>
      </c>
      <c r="J5" s="13">
        <v>2000</v>
      </c>
      <c r="K5" s="12">
        <f t="shared" ref="K5:K68" si="1">J5/I5</f>
        <v>117.64705882352941</v>
      </c>
      <c r="L5" s="95">
        <v>17</v>
      </c>
      <c r="M5" s="13">
        <f t="shared" ref="M5:M10" si="2">F5/V5*60</f>
        <v>1934.2857142857135</v>
      </c>
      <c r="N5" s="12">
        <f t="shared" ref="N5:N68" si="3">M5/L5</f>
        <v>113.78151260504197</v>
      </c>
      <c r="O5" s="14">
        <f t="shared" ref="O5:O68" si="4">L5-I5</f>
        <v>0</v>
      </c>
      <c r="P5" s="15">
        <f t="shared" ref="P5:P68" si="5">N5-K5</f>
        <v>-3.8655462184874381</v>
      </c>
      <c r="Q5" s="91">
        <f t="shared" ref="Q5:Q68" si="6">N5/K5</f>
        <v>0.96714285714285675</v>
      </c>
      <c r="R5" s="177">
        <f>Q11</f>
        <v>0.9542428989951709</v>
      </c>
      <c r="S5" s="21">
        <v>0.8125</v>
      </c>
      <c r="T5" s="21">
        <v>0.84166666666666667</v>
      </c>
      <c r="U5" s="88"/>
      <c r="V5" s="30">
        <f t="shared" ref="V5:V10" si="7">(T5-S5)*24*60</f>
        <v>42.000000000000014</v>
      </c>
      <c r="W5" s="16"/>
      <c r="X5" s="17"/>
      <c r="Y5" s="17"/>
      <c r="Z5" s="17"/>
      <c r="AA5" s="168"/>
      <c r="AB5" s="168"/>
      <c r="AC5" s="18">
        <v>6</v>
      </c>
      <c r="AD5" s="18"/>
      <c r="AE5" s="14">
        <f t="shared" ref="AE5:AE57" si="8">M5-J5</f>
        <v>-65.714285714286461</v>
      </c>
      <c r="AF5" s="91">
        <f t="shared" ref="AF5:AF68" si="9">M5/J5</f>
        <v>0.96714285714285675</v>
      </c>
      <c r="AG5" s="177">
        <f>AF11</f>
        <v>0.9542428989951709</v>
      </c>
    </row>
    <row r="6" spans="1:33">
      <c r="A6" s="205" t="s">
        <v>1787</v>
      </c>
      <c r="B6" s="28" t="s">
        <v>5</v>
      </c>
      <c r="C6" s="206" t="s">
        <v>7</v>
      </c>
      <c r="D6" s="206"/>
      <c r="E6" s="28">
        <v>54.09</v>
      </c>
      <c r="F6" s="88">
        <v>400</v>
      </c>
      <c r="G6" s="88">
        <f t="shared" si="0"/>
        <v>21636</v>
      </c>
      <c r="H6" s="30">
        <v>2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1846.15384615383</v>
      </c>
      <c r="N6" s="12">
        <f t="shared" si="3"/>
        <v>97.165991902833156</v>
      </c>
      <c r="O6" s="14">
        <f t="shared" si="4"/>
        <v>0</v>
      </c>
      <c r="P6" s="15">
        <f t="shared" si="5"/>
        <v>-8.0971659919036796</v>
      </c>
      <c r="Q6" s="91">
        <f t="shared" si="6"/>
        <v>0.92307692307691502</v>
      </c>
      <c r="R6" s="177"/>
      <c r="S6" s="21">
        <v>0.84652777777777777</v>
      </c>
      <c r="T6" s="21">
        <v>0.85555555555555562</v>
      </c>
      <c r="U6" s="88">
        <f t="shared" ref="U6:U10" si="10">IF(S6=TIME(17,0,0),"",(S6-T5)*24*60)</f>
        <v>6.9999999999999751</v>
      </c>
      <c r="V6" s="30">
        <f t="shared" si="7"/>
        <v>13.000000000000114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-153.84615384616995</v>
      </c>
      <c r="AF6" s="91">
        <f t="shared" si="9"/>
        <v>0.92307692307691502</v>
      </c>
      <c r="AG6" s="177"/>
    </row>
    <row r="7" spans="1:33">
      <c r="A7" s="205" t="s">
        <v>1787</v>
      </c>
      <c r="B7" s="28" t="s">
        <v>5</v>
      </c>
      <c r="C7" s="200" t="s">
        <v>16</v>
      </c>
      <c r="D7" s="201"/>
      <c r="E7" s="28">
        <v>50.67</v>
      </c>
      <c r="F7" s="88">
        <v>500</v>
      </c>
      <c r="G7" s="88">
        <f t="shared" si="0"/>
        <v>25335</v>
      </c>
      <c r="H7" s="30">
        <v>2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1874.9999999999879</v>
      </c>
      <c r="N7" s="12">
        <f t="shared" si="3"/>
        <v>124.99999999999919</v>
      </c>
      <c r="O7" s="14">
        <f t="shared" si="4"/>
        <v>0</v>
      </c>
      <c r="P7" s="15">
        <f t="shared" si="5"/>
        <v>-8.3333333333341528</v>
      </c>
      <c r="Q7" s="91">
        <f t="shared" si="6"/>
        <v>0.93749999999999389</v>
      </c>
      <c r="R7" s="177"/>
      <c r="S7" s="21">
        <v>0.86041666666666661</v>
      </c>
      <c r="T7" s="21">
        <v>0.87152777777777779</v>
      </c>
      <c r="U7" s="88">
        <f t="shared" si="10"/>
        <v>6.9999999999998153</v>
      </c>
      <c r="V7" s="30">
        <f t="shared" si="7"/>
        <v>16.000000000000103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-125.00000000001205</v>
      </c>
      <c r="AF7" s="91">
        <f t="shared" si="9"/>
        <v>0.937499999999994</v>
      </c>
      <c r="AG7" s="177"/>
    </row>
    <row r="8" spans="1:33">
      <c r="A8" s="205" t="s">
        <v>1787</v>
      </c>
      <c r="B8" s="28" t="s">
        <v>5</v>
      </c>
      <c r="C8" s="200" t="s">
        <v>1270</v>
      </c>
      <c r="D8" s="201"/>
      <c r="E8" s="28">
        <v>52.86</v>
      </c>
      <c r="F8" s="88">
        <v>1386</v>
      </c>
      <c r="G8" s="88">
        <f t="shared" si="0"/>
        <v>73263.960000000006</v>
      </c>
      <c r="H8" s="30" t="s">
        <v>53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1933.9534883720928</v>
      </c>
      <c r="N8" s="12">
        <f t="shared" si="3"/>
        <v>120.8720930232558</v>
      </c>
      <c r="O8" s="14">
        <f t="shared" si="4"/>
        <v>0</v>
      </c>
      <c r="P8" s="15">
        <f t="shared" si="5"/>
        <v>-4.1279069767441996</v>
      </c>
      <c r="Q8" s="91">
        <f t="shared" si="6"/>
        <v>0.9669767441860464</v>
      </c>
      <c r="R8" s="177"/>
      <c r="S8" s="21">
        <v>0.87430555555555545</v>
      </c>
      <c r="T8" s="21">
        <v>0.90416666666666656</v>
      </c>
      <c r="U8" s="88">
        <f t="shared" si="10"/>
        <v>3.9999999999998259</v>
      </c>
      <c r="V8" s="30">
        <f t="shared" si="7"/>
        <v>43.000000000000007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-66.046511627907194</v>
      </c>
      <c r="AF8" s="91">
        <f t="shared" si="9"/>
        <v>0.9669767441860464</v>
      </c>
      <c r="AG8" s="177"/>
    </row>
    <row r="9" spans="1:33">
      <c r="A9" s="205" t="s">
        <v>1787</v>
      </c>
      <c r="B9" s="28" t="s">
        <v>5</v>
      </c>
      <c r="C9" s="200" t="s">
        <v>16</v>
      </c>
      <c r="D9" s="201"/>
      <c r="E9" s="28">
        <v>50.67</v>
      </c>
      <c r="F9" s="88">
        <v>1143</v>
      </c>
      <c r="G9" s="88">
        <f t="shared" si="0"/>
        <v>57915.810000000005</v>
      </c>
      <c r="H9" s="30" t="s">
        <v>53</v>
      </c>
      <c r="I9" s="95">
        <v>15</v>
      </c>
      <c r="J9" s="13">
        <v>2000</v>
      </c>
      <c r="K9" s="12">
        <f t="shared" si="1"/>
        <v>133.33333333333334</v>
      </c>
      <c r="L9" s="95">
        <v>15</v>
      </c>
      <c r="M9" s="13">
        <f t="shared" si="2"/>
        <v>1904.9999999999984</v>
      </c>
      <c r="N9" s="12">
        <f t="shared" si="3"/>
        <v>126.9999999999999</v>
      </c>
      <c r="O9" s="14">
        <f t="shared" si="4"/>
        <v>0</v>
      </c>
      <c r="P9" s="15">
        <f t="shared" si="5"/>
        <v>-6.3333333333334423</v>
      </c>
      <c r="Q9" s="91">
        <f t="shared" si="6"/>
        <v>0.95249999999999924</v>
      </c>
      <c r="R9" s="177"/>
      <c r="S9" s="21">
        <v>0.90763888888888877</v>
      </c>
      <c r="T9" s="21">
        <v>0.9326388888888888</v>
      </c>
      <c r="U9" s="88">
        <f t="shared" si="10"/>
        <v>4.9999999999999822</v>
      </c>
      <c r="V9" s="30">
        <f t="shared" si="7"/>
        <v>36.000000000000028</v>
      </c>
      <c r="W9" s="16"/>
      <c r="X9" s="16"/>
      <c r="Y9" s="19"/>
      <c r="Z9" s="19"/>
      <c r="AA9" s="172"/>
      <c r="AB9" s="173"/>
      <c r="AC9" s="18"/>
      <c r="AD9" s="20"/>
      <c r="AE9" s="14">
        <f t="shared" si="8"/>
        <v>-95.000000000001592</v>
      </c>
      <c r="AF9" s="91">
        <f t="shared" si="9"/>
        <v>0.95249999999999924</v>
      </c>
      <c r="AG9" s="177"/>
    </row>
    <row r="10" spans="1:33">
      <c r="A10" s="205" t="s">
        <v>1787</v>
      </c>
      <c r="B10" s="28" t="s">
        <v>5</v>
      </c>
      <c r="C10" s="200" t="s">
        <v>7</v>
      </c>
      <c r="D10" s="201"/>
      <c r="E10" s="28">
        <v>54.09</v>
      </c>
      <c r="F10" s="88">
        <v>750</v>
      </c>
      <c r="G10" s="88">
        <f t="shared" si="0"/>
        <v>40567.5</v>
      </c>
      <c r="H10" s="30" t="s">
        <v>53</v>
      </c>
      <c r="I10" s="95">
        <v>19</v>
      </c>
      <c r="J10" s="13">
        <v>2000</v>
      </c>
      <c r="K10" s="12">
        <f t="shared" si="1"/>
        <v>105.26315789473684</v>
      </c>
      <c r="L10" s="95">
        <v>19</v>
      </c>
      <c r="M10" s="13">
        <f t="shared" si="2"/>
        <v>1956.5217391304279</v>
      </c>
      <c r="N10" s="12">
        <f t="shared" si="3"/>
        <v>102.97482837528568</v>
      </c>
      <c r="O10" s="14">
        <f t="shared" si="4"/>
        <v>0</v>
      </c>
      <c r="P10" s="15">
        <f t="shared" si="5"/>
        <v>-2.2883295194511533</v>
      </c>
      <c r="Q10" s="91">
        <f t="shared" si="6"/>
        <v>0.97826086956521408</v>
      </c>
      <c r="R10" s="177"/>
      <c r="S10" s="21">
        <v>0.93749999999999989</v>
      </c>
      <c r="T10" s="21">
        <v>0.95347222222222217</v>
      </c>
      <c r="U10" s="88">
        <f t="shared" si="10"/>
        <v>6.9999999999999751</v>
      </c>
      <c r="V10" s="30">
        <f t="shared" si="7"/>
        <v>23.000000000000078</v>
      </c>
      <c r="W10" s="16"/>
      <c r="X10" s="16"/>
      <c r="Y10" s="19"/>
      <c r="Z10" s="19"/>
      <c r="AA10" s="172"/>
      <c r="AB10" s="173"/>
      <c r="AC10" s="18"/>
      <c r="AD10" s="20"/>
      <c r="AE10" s="14">
        <f t="shared" si="8"/>
        <v>-43.478260869572068</v>
      </c>
      <c r="AF10" s="91">
        <f t="shared" si="9"/>
        <v>0.97826086956521396</v>
      </c>
      <c r="AG10" s="177"/>
    </row>
    <row r="11" spans="1:33">
      <c r="A11" s="205" t="s">
        <v>1787</v>
      </c>
      <c r="B11" s="28" t="s">
        <v>1788</v>
      </c>
      <c r="C11" s="178"/>
      <c r="D11" s="178"/>
      <c r="E11" s="92"/>
      <c r="F11" s="12"/>
      <c r="G11" s="12"/>
      <c r="H11" s="88"/>
      <c r="I11" s="23">
        <v>16.833333333333332</v>
      </c>
      <c r="J11" s="13">
        <v>2000</v>
      </c>
      <c r="K11" s="12">
        <f t="shared" si="1"/>
        <v>118.81188118811882</v>
      </c>
      <c r="L11" s="23">
        <v>16.833333333333332</v>
      </c>
      <c r="M11" s="13">
        <f>AVERAGE(M5:M10)</f>
        <v>1908.4857979903418</v>
      </c>
      <c r="N11" s="12">
        <f t="shared" si="3"/>
        <v>113.37539394002032</v>
      </c>
      <c r="O11" s="14">
        <f t="shared" si="4"/>
        <v>0</v>
      </c>
      <c r="P11" s="15">
        <f t="shared" si="5"/>
        <v>-5.4364872480985014</v>
      </c>
      <c r="Q11" s="91">
        <f t="shared" si="6"/>
        <v>0.9542428989951709</v>
      </c>
      <c r="R11" s="177"/>
      <c r="S11" s="21"/>
      <c r="T11" s="21"/>
      <c r="U11" s="88"/>
      <c r="V11" s="30"/>
      <c r="W11" s="12"/>
      <c r="X11" s="12"/>
      <c r="Y11" s="24">
        <f>SUM(Y5:Y10)</f>
        <v>0</v>
      </c>
      <c r="Z11" s="24">
        <f>SUM(Z5:Z10)</f>
        <v>0</v>
      </c>
      <c r="AA11" s="167"/>
      <c r="AB11" s="167"/>
      <c r="AC11" s="24">
        <v>6</v>
      </c>
      <c r="AD11" s="24">
        <f>SUM(AD5:AD10)</f>
        <v>0</v>
      </c>
      <c r="AE11" s="14">
        <f t="shared" si="8"/>
        <v>-91.51420200965822</v>
      </c>
      <c r="AF11" s="91">
        <f t="shared" si="9"/>
        <v>0.9542428989951709</v>
      </c>
      <c r="AG11" s="177"/>
    </row>
    <row r="12" spans="1:33" ht="15.75" customHeight="1">
      <c r="A12" s="199" t="s">
        <v>1789</v>
      </c>
      <c r="B12" s="28" t="s">
        <v>9</v>
      </c>
      <c r="C12" s="200" t="s">
        <v>10</v>
      </c>
      <c r="D12" s="201"/>
      <c r="E12" s="28">
        <v>39.619999999999997</v>
      </c>
      <c r="F12" s="88">
        <v>4640</v>
      </c>
      <c r="G12" s="88">
        <f t="shared" ref="G12:G14" si="11">E12*F12</f>
        <v>183836.79999999999</v>
      </c>
      <c r="H12" s="30" t="s">
        <v>53</v>
      </c>
      <c r="I12" s="95">
        <v>19</v>
      </c>
      <c r="J12" s="13">
        <v>1500</v>
      </c>
      <c r="K12" s="12">
        <f t="shared" si="1"/>
        <v>78.94736842105263</v>
      </c>
      <c r="L12" s="95">
        <v>19</v>
      </c>
      <c r="M12" s="13">
        <f t="shared" ref="M12:M14" si="12">F12/V12*60</f>
        <v>1435.0515463917527</v>
      </c>
      <c r="N12" s="12">
        <f t="shared" si="3"/>
        <v>75.529028757460665</v>
      </c>
      <c r="O12" s="14">
        <f t="shared" si="4"/>
        <v>0</v>
      </c>
      <c r="P12" s="15">
        <f t="shared" si="5"/>
        <v>-3.4183396635919649</v>
      </c>
      <c r="Q12" s="91">
        <f t="shared" si="6"/>
        <v>0.95670103092783509</v>
      </c>
      <c r="R12" s="177">
        <f>Q15</f>
        <v>0.95440510554737323</v>
      </c>
      <c r="S12" s="21">
        <v>0.20833333333333334</v>
      </c>
      <c r="T12" s="21">
        <v>0.34305555555555556</v>
      </c>
      <c r="U12" s="88"/>
      <c r="V12" s="30">
        <f t="shared" ref="V12:V14" si="13">(T12-S12)*24*60</f>
        <v>194</v>
      </c>
      <c r="W12" s="16"/>
      <c r="X12" s="16"/>
      <c r="Y12" s="16"/>
      <c r="Z12" s="16"/>
      <c r="AA12" s="168"/>
      <c r="AB12" s="168"/>
      <c r="AC12" s="18">
        <v>3</v>
      </c>
      <c r="AD12" s="18"/>
      <c r="AE12" s="14">
        <f t="shared" si="8"/>
        <v>-64.948453608247291</v>
      </c>
      <c r="AF12" s="91">
        <f t="shared" si="9"/>
        <v>0.95670103092783509</v>
      </c>
      <c r="AG12" s="177">
        <f>AF15</f>
        <v>0.95440510554737334</v>
      </c>
    </row>
    <row r="13" spans="1:33" ht="15.75" customHeight="1">
      <c r="A13" s="199" t="s">
        <v>1789</v>
      </c>
      <c r="B13" s="28" t="s">
        <v>9</v>
      </c>
      <c r="C13" s="200" t="s">
        <v>11</v>
      </c>
      <c r="D13" s="201"/>
      <c r="E13" s="28">
        <v>39.799999999999997</v>
      </c>
      <c r="F13" s="88">
        <v>5000</v>
      </c>
      <c r="G13" s="88">
        <f t="shared" si="11"/>
        <v>199000</v>
      </c>
      <c r="H13" s="30">
        <v>2</v>
      </c>
      <c r="I13" s="95">
        <v>17</v>
      </c>
      <c r="J13" s="13">
        <v>1500</v>
      </c>
      <c r="K13" s="12">
        <f t="shared" si="1"/>
        <v>88.235294117647058</v>
      </c>
      <c r="L13" s="95">
        <v>17</v>
      </c>
      <c r="M13" s="13">
        <f t="shared" si="12"/>
        <v>1428.5714285714282</v>
      </c>
      <c r="N13" s="12">
        <f t="shared" si="3"/>
        <v>84.033613445378137</v>
      </c>
      <c r="O13" s="14">
        <f t="shared" si="4"/>
        <v>0</v>
      </c>
      <c r="P13" s="15">
        <f t="shared" si="5"/>
        <v>-4.2016806722689211</v>
      </c>
      <c r="Q13" s="91">
        <f t="shared" si="6"/>
        <v>0.95238095238095222</v>
      </c>
      <c r="R13" s="177"/>
      <c r="S13" s="21">
        <v>0.34861111111111109</v>
      </c>
      <c r="T13" s="21">
        <v>0.49444444444444446</v>
      </c>
      <c r="U13" s="88">
        <f t="shared" ref="U13:U14" si="14">IF(S13=TIME(17,0,0),"",(S13-T12)*24*60)</f>
        <v>7.9999999999999716</v>
      </c>
      <c r="V13" s="30">
        <f t="shared" si="13"/>
        <v>210.00000000000006</v>
      </c>
      <c r="W13" s="16">
        <f>T13</f>
        <v>0.49444444444444446</v>
      </c>
      <c r="X13" s="16">
        <f>S14</f>
        <v>0.53472222222222221</v>
      </c>
      <c r="Y13" s="16"/>
      <c r="Z13" s="16"/>
      <c r="AA13" s="168"/>
      <c r="AB13" s="168"/>
      <c r="AC13" s="18"/>
      <c r="AD13" s="18"/>
      <c r="AE13" s="14">
        <f t="shared" si="8"/>
        <v>-71.428571428571786</v>
      </c>
      <c r="AF13" s="91">
        <f t="shared" si="9"/>
        <v>0.95238095238095211</v>
      </c>
      <c r="AG13" s="177"/>
    </row>
    <row r="14" spans="1:33" ht="15.75" customHeight="1">
      <c r="A14" s="199" t="s">
        <v>1789</v>
      </c>
      <c r="B14" s="28" t="s">
        <v>9</v>
      </c>
      <c r="C14" s="200" t="s">
        <v>11</v>
      </c>
      <c r="D14" s="201"/>
      <c r="E14" s="28">
        <v>39.799999999999997</v>
      </c>
      <c r="F14" s="88">
        <v>1789</v>
      </c>
      <c r="G14" s="88">
        <f t="shared" si="11"/>
        <v>71202.2</v>
      </c>
      <c r="H14" s="30" t="s">
        <v>53</v>
      </c>
      <c r="I14" s="95">
        <v>17</v>
      </c>
      <c r="J14" s="13">
        <v>1500</v>
      </c>
      <c r="K14" s="12">
        <f t="shared" si="1"/>
        <v>88.235294117647058</v>
      </c>
      <c r="L14" s="95">
        <v>17</v>
      </c>
      <c r="M14" s="13">
        <f t="shared" si="12"/>
        <v>1431.1999999999989</v>
      </c>
      <c r="N14" s="12">
        <f t="shared" si="3"/>
        <v>84.18823529411759</v>
      </c>
      <c r="O14" s="14">
        <f t="shared" si="4"/>
        <v>0</v>
      </c>
      <c r="P14" s="15">
        <f t="shared" si="5"/>
        <v>-4.0470588235294684</v>
      </c>
      <c r="Q14" s="91">
        <f t="shared" si="6"/>
        <v>0.95413333333333272</v>
      </c>
      <c r="R14" s="177"/>
      <c r="S14" s="21">
        <v>0.53472222222222221</v>
      </c>
      <c r="T14" s="21">
        <v>0.58680555555555558</v>
      </c>
      <c r="U14" s="88">
        <f t="shared" si="14"/>
        <v>57.999999999999957</v>
      </c>
      <c r="V14" s="30">
        <f t="shared" si="13"/>
        <v>75.000000000000057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8"/>
        <v>-68.800000000001091</v>
      </c>
      <c r="AF14" s="91">
        <f t="shared" si="9"/>
        <v>0.95413333333333261</v>
      </c>
      <c r="AG14" s="177"/>
    </row>
    <row r="15" spans="1:33" ht="16.5" customHeight="1">
      <c r="A15" s="199" t="s">
        <v>1789</v>
      </c>
      <c r="B15" s="28" t="s">
        <v>1788</v>
      </c>
      <c r="C15" s="178"/>
      <c r="D15" s="178"/>
      <c r="E15" s="92"/>
      <c r="F15" s="13"/>
      <c r="G15" s="13"/>
      <c r="H15" s="88"/>
      <c r="I15" s="23">
        <v>17.666666666666668</v>
      </c>
      <c r="J15" s="13">
        <v>1500</v>
      </c>
      <c r="K15" s="12">
        <f t="shared" si="1"/>
        <v>84.905660377358487</v>
      </c>
      <c r="L15" s="23">
        <v>17.666666666666668</v>
      </c>
      <c r="M15" s="13">
        <f>AVERAGE(M12:M14)</f>
        <v>1431.6076583210599</v>
      </c>
      <c r="N15" s="12">
        <f t="shared" si="3"/>
        <v>81.034395754022256</v>
      </c>
      <c r="O15" s="14">
        <f t="shared" si="4"/>
        <v>0</v>
      </c>
      <c r="P15" s="15">
        <f t="shared" si="5"/>
        <v>-3.8712646233362307</v>
      </c>
      <c r="Q15" s="91">
        <f t="shared" si="6"/>
        <v>0.95440510554737323</v>
      </c>
      <c r="R15" s="177"/>
      <c r="S15" s="21"/>
      <c r="T15" s="21"/>
      <c r="U15" s="12"/>
      <c r="V15" s="30"/>
      <c r="W15" s="12"/>
      <c r="X15" s="12"/>
      <c r="Y15" s="24">
        <f>SUM(Y12:Y14)</f>
        <v>0</v>
      </c>
      <c r="Z15" s="24">
        <f>SUM(Z12:Z14)</f>
        <v>0</v>
      </c>
      <c r="AA15" s="167"/>
      <c r="AB15" s="167"/>
      <c r="AC15" s="24">
        <v>3</v>
      </c>
      <c r="AD15" s="24">
        <f>SUM(AD12:AD14)</f>
        <v>0</v>
      </c>
      <c r="AE15" s="14">
        <f t="shared" si="8"/>
        <v>-68.392341678940056</v>
      </c>
      <c r="AF15" s="91">
        <f t="shared" si="9"/>
        <v>0.95440510554737334</v>
      </c>
      <c r="AG15" s="177"/>
    </row>
    <row r="16" spans="1:33" ht="16.5" customHeight="1">
      <c r="A16" s="197" t="s">
        <v>1790</v>
      </c>
      <c r="B16" s="88" t="s">
        <v>12</v>
      </c>
      <c r="C16" s="193" t="s">
        <v>13</v>
      </c>
      <c r="D16" s="193"/>
      <c r="E16" s="28">
        <v>41</v>
      </c>
      <c r="F16" s="88">
        <v>2065</v>
      </c>
      <c r="G16" s="88">
        <f t="shared" ref="G16:G20" si="15">E16*F16</f>
        <v>84665</v>
      </c>
      <c r="H16" s="30" t="s">
        <v>53</v>
      </c>
      <c r="I16" s="95">
        <v>26</v>
      </c>
      <c r="J16" s="13">
        <v>1500</v>
      </c>
      <c r="K16" s="12">
        <f t="shared" si="1"/>
        <v>57.692307692307693</v>
      </c>
      <c r="L16" s="95">
        <v>26</v>
      </c>
      <c r="M16" s="13">
        <f t="shared" ref="M16:M20" si="16">F16/V16*60</f>
        <v>1440.6976744186052</v>
      </c>
      <c r="N16" s="12">
        <f t="shared" si="3"/>
        <v>55.4114490161002</v>
      </c>
      <c r="O16" s="14">
        <f t="shared" si="4"/>
        <v>0</v>
      </c>
      <c r="P16" s="15">
        <f t="shared" si="5"/>
        <v>-2.2808586762074938</v>
      </c>
      <c r="Q16" s="91">
        <f t="shared" si="6"/>
        <v>0.96046511627907005</v>
      </c>
      <c r="R16" s="177">
        <f>Q21</f>
        <v>0.96362854140645171</v>
      </c>
      <c r="S16" s="21">
        <v>0.20833333333333334</v>
      </c>
      <c r="T16" s="21">
        <v>0.26805555555555555</v>
      </c>
      <c r="U16" s="88"/>
      <c r="V16" s="30">
        <f t="shared" ref="V16:V20" si="17">(T16-S16)*24*60</f>
        <v>85.999999999999972</v>
      </c>
      <c r="W16" s="21"/>
      <c r="X16" s="21"/>
      <c r="Y16" s="21"/>
      <c r="Z16" s="21"/>
      <c r="AA16" s="168"/>
      <c r="AB16" s="168"/>
      <c r="AC16" s="18">
        <v>5</v>
      </c>
      <c r="AD16" s="18"/>
      <c r="AE16" s="14">
        <f t="shared" si="8"/>
        <v>-59.302325581394825</v>
      </c>
      <c r="AF16" s="91">
        <f t="shared" si="9"/>
        <v>0.96046511627907016</v>
      </c>
      <c r="AG16" s="177">
        <f>AF21</f>
        <v>0.96362854140645171</v>
      </c>
    </row>
    <row r="17" spans="1:33" ht="16.5" customHeight="1">
      <c r="A17" s="198" t="s">
        <v>1790</v>
      </c>
      <c r="B17" s="88" t="s">
        <v>5</v>
      </c>
      <c r="C17" s="193" t="s">
        <v>20</v>
      </c>
      <c r="D17" s="193"/>
      <c r="E17" s="28">
        <v>53.68</v>
      </c>
      <c r="F17" s="88">
        <v>500</v>
      </c>
      <c r="G17" s="88">
        <f t="shared" si="15"/>
        <v>26840</v>
      </c>
      <c r="H17" s="30">
        <v>2</v>
      </c>
      <c r="I17" s="95">
        <v>16</v>
      </c>
      <c r="J17" s="13">
        <v>1500</v>
      </c>
      <c r="K17" s="12">
        <f t="shared" si="1"/>
        <v>93.75</v>
      </c>
      <c r="L17" s="95">
        <v>16</v>
      </c>
      <c r="M17" s="13">
        <f t="shared" si="16"/>
        <v>1428.5714285714337</v>
      </c>
      <c r="N17" s="12">
        <f t="shared" si="3"/>
        <v>89.285714285714604</v>
      </c>
      <c r="O17" s="14">
        <f t="shared" si="4"/>
        <v>0</v>
      </c>
      <c r="P17" s="15">
        <f t="shared" si="5"/>
        <v>-4.4642857142853956</v>
      </c>
      <c r="Q17" s="91">
        <f t="shared" si="6"/>
        <v>0.95238095238095577</v>
      </c>
      <c r="R17" s="177"/>
      <c r="S17" s="21">
        <v>0.8125</v>
      </c>
      <c r="T17" s="21">
        <v>0.82708333333333328</v>
      </c>
      <c r="U17" s="88"/>
      <c r="V17" s="30">
        <f t="shared" si="17"/>
        <v>20.999999999999925</v>
      </c>
      <c r="W17" s="16"/>
      <c r="X17" s="16"/>
      <c r="Y17" s="16"/>
      <c r="Z17" s="16"/>
      <c r="AA17" s="168"/>
      <c r="AB17" s="168"/>
      <c r="AC17" s="18"/>
      <c r="AD17" s="18"/>
      <c r="AE17" s="14">
        <f t="shared" si="8"/>
        <v>-71.428571428566329</v>
      </c>
      <c r="AF17" s="91">
        <f t="shared" si="9"/>
        <v>0.95238095238095577</v>
      </c>
      <c r="AG17" s="177"/>
    </row>
    <row r="18" spans="1:33" ht="16.5" customHeight="1">
      <c r="A18" s="198" t="s">
        <v>1790</v>
      </c>
      <c r="B18" s="88" t="s">
        <v>5</v>
      </c>
      <c r="C18" s="193" t="s">
        <v>15</v>
      </c>
      <c r="D18" s="193"/>
      <c r="E18" s="28">
        <v>50.92</v>
      </c>
      <c r="F18" s="88">
        <v>2212</v>
      </c>
      <c r="G18" s="88">
        <f t="shared" si="15"/>
        <v>112635.04000000001</v>
      </c>
      <c r="H18" s="30" t="s">
        <v>53</v>
      </c>
      <c r="I18" s="95">
        <v>15</v>
      </c>
      <c r="J18" s="13">
        <v>2000</v>
      </c>
      <c r="K18" s="12">
        <f t="shared" si="1"/>
        <v>133.33333333333334</v>
      </c>
      <c r="L18" s="95">
        <v>15</v>
      </c>
      <c r="M18" s="13">
        <f t="shared" si="16"/>
        <v>1923.4782608695632</v>
      </c>
      <c r="N18" s="12">
        <f t="shared" si="3"/>
        <v>128.23188405797089</v>
      </c>
      <c r="O18" s="14">
        <f t="shared" si="4"/>
        <v>0</v>
      </c>
      <c r="P18" s="15">
        <f t="shared" si="5"/>
        <v>-5.1014492753624552</v>
      </c>
      <c r="Q18" s="91">
        <f t="shared" si="6"/>
        <v>0.96173913043478154</v>
      </c>
      <c r="R18" s="177"/>
      <c r="S18" s="21">
        <v>0.83263888888888882</v>
      </c>
      <c r="T18" s="21">
        <v>0.88055555555555554</v>
      </c>
      <c r="U18" s="88">
        <f t="shared" ref="U18:U20" si="18">IF(S18=TIME(17,0,0),"",(S18-T17)*24*60)</f>
        <v>7.9999999999999716</v>
      </c>
      <c r="V18" s="30">
        <f t="shared" si="17"/>
        <v>69.000000000000071</v>
      </c>
      <c r="W18" s="16"/>
      <c r="X18" s="16"/>
      <c r="Y18" s="16"/>
      <c r="Z18" s="16"/>
      <c r="AA18" s="168"/>
      <c r="AB18" s="168"/>
      <c r="AC18" s="18"/>
      <c r="AD18" s="18"/>
      <c r="AE18" s="14">
        <f t="shared" si="8"/>
        <v>-76.521739130436799</v>
      </c>
      <c r="AF18" s="91">
        <f t="shared" si="9"/>
        <v>0.96173913043478165</v>
      </c>
      <c r="AG18" s="177"/>
    </row>
    <row r="19" spans="1:33" ht="16.5" customHeight="1">
      <c r="A19" s="198" t="s">
        <v>1790</v>
      </c>
      <c r="B19" s="88" t="s">
        <v>5</v>
      </c>
      <c r="C19" s="193" t="s">
        <v>42</v>
      </c>
      <c r="D19" s="193"/>
      <c r="E19" s="28">
        <v>57.73</v>
      </c>
      <c r="F19" s="88">
        <v>849</v>
      </c>
      <c r="G19" s="88">
        <f t="shared" si="15"/>
        <v>49012.77</v>
      </c>
      <c r="H19" s="30" t="s">
        <v>53</v>
      </c>
      <c r="I19" s="95">
        <v>16</v>
      </c>
      <c r="J19" s="13">
        <v>1500</v>
      </c>
      <c r="K19" s="12">
        <f t="shared" si="1"/>
        <v>93.75</v>
      </c>
      <c r="L19" s="95">
        <v>16</v>
      </c>
      <c r="M19" s="13">
        <f t="shared" si="16"/>
        <v>1455.42857142857</v>
      </c>
      <c r="N19" s="12">
        <f t="shared" si="3"/>
        <v>90.964285714285623</v>
      </c>
      <c r="O19" s="14">
        <f t="shared" si="4"/>
        <v>0</v>
      </c>
      <c r="P19" s="15">
        <f t="shared" si="5"/>
        <v>-2.7857142857143771</v>
      </c>
      <c r="Q19" s="91">
        <f t="shared" si="6"/>
        <v>0.97028571428571331</v>
      </c>
      <c r="R19" s="177"/>
      <c r="S19" s="21">
        <v>0.88402777777777775</v>
      </c>
      <c r="T19" s="21">
        <v>0.90833333333333333</v>
      </c>
      <c r="U19" s="88">
        <f t="shared" si="18"/>
        <v>4.9999999999999822</v>
      </c>
      <c r="V19" s="30">
        <f t="shared" si="17"/>
        <v>35.000000000000036</v>
      </c>
      <c r="W19" s="16"/>
      <c r="X19" s="16"/>
      <c r="Y19" s="16"/>
      <c r="Z19" s="16"/>
      <c r="AA19" s="168"/>
      <c r="AB19" s="168"/>
      <c r="AC19" s="18"/>
      <c r="AD19" s="18"/>
      <c r="AE19" s="14">
        <f t="shared" si="8"/>
        <v>-44.571428571430033</v>
      </c>
      <c r="AF19" s="91">
        <f t="shared" si="9"/>
        <v>0.97028571428571331</v>
      </c>
      <c r="AG19" s="177"/>
    </row>
    <row r="20" spans="1:33" ht="16.5" customHeight="1">
      <c r="A20" s="198" t="s">
        <v>1790</v>
      </c>
      <c r="B20" s="88" t="s">
        <v>5</v>
      </c>
      <c r="C20" s="193" t="s">
        <v>44</v>
      </c>
      <c r="D20" s="193"/>
      <c r="E20" s="28">
        <v>55.56</v>
      </c>
      <c r="F20" s="88">
        <v>1457</v>
      </c>
      <c r="G20" s="88">
        <f t="shared" si="15"/>
        <v>80950.92</v>
      </c>
      <c r="H20" s="30" t="s">
        <v>53</v>
      </c>
      <c r="I20" s="95">
        <v>17</v>
      </c>
      <c r="J20" s="13">
        <v>2000</v>
      </c>
      <c r="K20" s="12">
        <f t="shared" si="1"/>
        <v>117.64705882352941</v>
      </c>
      <c r="L20" s="95">
        <v>17</v>
      </c>
      <c r="M20" s="13">
        <f t="shared" si="16"/>
        <v>1942.6666666666667</v>
      </c>
      <c r="N20" s="12">
        <f t="shared" si="3"/>
        <v>114.27450980392157</v>
      </c>
      <c r="O20" s="14">
        <f t="shared" si="4"/>
        <v>0</v>
      </c>
      <c r="P20" s="15">
        <f t="shared" si="5"/>
        <v>-3.3725490196078312</v>
      </c>
      <c r="Q20" s="91">
        <f t="shared" si="6"/>
        <v>0.97133333333333338</v>
      </c>
      <c r="R20" s="177"/>
      <c r="S20" s="21">
        <v>0.91388888888888886</v>
      </c>
      <c r="T20" s="21">
        <v>0.94513888888888886</v>
      </c>
      <c r="U20" s="88">
        <f t="shared" si="18"/>
        <v>7.9999999999999716</v>
      </c>
      <c r="V20" s="30">
        <f t="shared" si="17"/>
        <v>45</v>
      </c>
      <c r="W20" s="16"/>
      <c r="X20" s="16"/>
      <c r="Y20" s="16"/>
      <c r="Z20" s="16"/>
      <c r="AA20" s="168"/>
      <c r="AB20" s="168"/>
      <c r="AC20" s="18"/>
      <c r="AD20" s="18"/>
      <c r="AE20" s="14">
        <f t="shared" si="8"/>
        <v>-57.333333333333258</v>
      </c>
      <c r="AF20" s="91">
        <f t="shared" si="9"/>
        <v>0.97133333333333338</v>
      </c>
      <c r="AG20" s="177"/>
    </row>
    <row r="21" spans="1:33" ht="16.5" customHeight="1">
      <c r="A21" s="198" t="s">
        <v>1790</v>
      </c>
      <c r="B21" s="28" t="s">
        <v>1788</v>
      </c>
      <c r="C21" s="178"/>
      <c r="D21" s="178"/>
      <c r="E21" s="92"/>
      <c r="F21" s="12"/>
      <c r="G21" s="12"/>
      <c r="H21" s="88"/>
      <c r="I21" s="23">
        <v>18</v>
      </c>
      <c r="J21" s="13">
        <v>1700</v>
      </c>
      <c r="K21" s="12">
        <f t="shared" si="1"/>
        <v>94.444444444444443</v>
      </c>
      <c r="L21" s="23">
        <v>18</v>
      </c>
      <c r="M21" s="13">
        <f>AVERAGE(M16:M20)</f>
        <v>1638.1685203909678</v>
      </c>
      <c r="N21" s="12">
        <f t="shared" si="3"/>
        <v>91.009362243942661</v>
      </c>
      <c r="O21" s="14">
        <f t="shared" si="4"/>
        <v>0</v>
      </c>
      <c r="P21" s="15">
        <f t="shared" si="5"/>
        <v>-3.4350822005017818</v>
      </c>
      <c r="Q21" s="91">
        <f t="shared" si="6"/>
        <v>0.96362854140645171</v>
      </c>
      <c r="R21" s="177"/>
      <c r="S21" s="21"/>
      <c r="T21" s="21"/>
      <c r="U21" s="88"/>
      <c r="V21" s="30"/>
      <c r="W21" s="12"/>
      <c r="X21" s="12"/>
      <c r="Y21" s="24">
        <f>SUM(Y16:Y20)</f>
        <v>0</v>
      </c>
      <c r="Z21" s="24">
        <f>SUM(Z16:Z20)</f>
        <v>0</v>
      </c>
      <c r="AA21" s="167"/>
      <c r="AB21" s="167"/>
      <c r="AC21" s="24">
        <v>5</v>
      </c>
      <c r="AD21" s="24">
        <f>SUM(AD16:AD20)</f>
        <v>0</v>
      </c>
      <c r="AE21" s="14">
        <f t="shared" si="8"/>
        <v>-61.831479609032158</v>
      </c>
      <c r="AF21" s="91">
        <f t="shared" si="9"/>
        <v>0.96362854140645171</v>
      </c>
      <c r="AG21" s="177"/>
    </row>
    <row r="22" spans="1:33" ht="15.75" customHeight="1">
      <c r="A22" s="195" t="s">
        <v>1791</v>
      </c>
      <c r="B22" s="28" t="s">
        <v>5</v>
      </c>
      <c r="C22" s="193" t="s">
        <v>17</v>
      </c>
      <c r="D22" s="193"/>
      <c r="E22" s="28">
        <v>57.73</v>
      </c>
      <c r="F22" s="88">
        <v>2202</v>
      </c>
      <c r="G22" s="88">
        <f t="shared" ref="G22:G29" si="19">E22*F22</f>
        <v>127121.45999999999</v>
      </c>
      <c r="H22" s="30" t="s">
        <v>53</v>
      </c>
      <c r="I22" s="95">
        <v>14</v>
      </c>
      <c r="J22" s="13">
        <v>2000</v>
      </c>
      <c r="K22" s="12">
        <f t="shared" si="1"/>
        <v>142.85714285714286</v>
      </c>
      <c r="L22" s="95">
        <v>14</v>
      </c>
      <c r="M22" s="13">
        <f t="shared" ref="M22:M29" si="20">F22/V22*60</f>
        <v>1914.7826086956522</v>
      </c>
      <c r="N22" s="12">
        <f t="shared" si="3"/>
        <v>136.77018633540374</v>
      </c>
      <c r="O22" s="14">
        <f t="shared" si="4"/>
        <v>0</v>
      </c>
      <c r="P22" s="15">
        <f t="shared" si="5"/>
        <v>-6.0869565217391255</v>
      </c>
      <c r="Q22" s="91">
        <f t="shared" si="6"/>
        <v>0.95739130434782616</v>
      </c>
      <c r="R22" s="177">
        <f>Q30</f>
        <v>0.95859130938059622</v>
      </c>
      <c r="S22" s="21">
        <v>0.29166666666666669</v>
      </c>
      <c r="T22" s="21">
        <v>0.33958333333333335</v>
      </c>
      <c r="U22" s="88"/>
      <c r="V22" s="30">
        <f t="shared" ref="V22:V29" si="21">(T22-S22)*24*60</f>
        <v>69</v>
      </c>
      <c r="W22" s="21"/>
      <c r="X22" s="21"/>
      <c r="Y22" s="21"/>
      <c r="Z22" s="21"/>
      <c r="AA22" s="168"/>
      <c r="AB22" s="168"/>
      <c r="AC22" s="18">
        <v>8</v>
      </c>
      <c r="AD22" s="18"/>
      <c r="AE22" s="14">
        <f t="shared" si="8"/>
        <v>-85.217391304347757</v>
      </c>
      <c r="AF22" s="91">
        <f t="shared" si="9"/>
        <v>0.95739130434782616</v>
      </c>
      <c r="AG22" s="177">
        <f>AF30</f>
        <v>0.95859130938059633</v>
      </c>
    </row>
    <row r="23" spans="1:33" ht="15.75" customHeight="1">
      <c r="A23" s="196" t="s">
        <v>1791</v>
      </c>
      <c r="B23" s="28" t="s">
        <v>5</v>
      </c>
      <c r="C23" s="193" t="s">
        <v>18</v>
      </c>
      <c r="D23" s="193"/>
      <c r="E23" s="28">
        <v>53.68</v>
      </c>
      <c r="F23" s="88">
        <v>1321</v>
      </c>
      <c r="G23" s="88">
        <f t="shared" si="19"/>
        <v>70911.28</v>
      </c>
      <c r="H23" s="30" t="s">
        <v>53</v>
      </c>
      <c r="I23" s="95">
        <v>16</v>
      </c>
      <c r="J23" s="13">
        <v>2000</v>
      </c>
      <c r="K23" s="12">
        <f t="shared" si="1"/>
        <v>125</v>
      </c>
      <c r="L23" s="95">
        <v>16</v>
      </c>
      <c r="M23" s="13">
        <f t="shared" si="20"/>
        <v>1933.1707317073167</v>
      </c>
      <c r="N23" s="12">
        <f t="shared" si="3"/>
        <v>120.82317073170729</v>
      </c>
      <c r="O23" s="14">
        <f t="shared" si="4"/>
        <v>0</v>
      </c>
      <c r="P23" s="15">
        <f t="shared" si="5"/>
        <v>-4.1768292682927068</v>
      </c>
      <c r="Q23" s="91">
        <f t="shared" si="6"/>
        <v>0.9665853658536584</v>
      </c>
      <c r="R23" s="177"/>
      <c r="S23" s="21">
        <v>0.34375</v>
      </c>
      <c r="T23" s="21">
        <v>0.37222222222222223</v>
      </c>
      <c r="U23" s="88">
        <f t="shared" ref="U23:U29" si="22">IF(S23=TIME(17,0,0),"",(S23-T22)*24*60)</f>
        <v>5.9999999999999787</v>
      </c>
      <c r="V23" s="30">
        <f t="shared" si="21"/>
        <v>41.000000000000014</v>
      </c>
      <c r="W23" s="16"/>
      <c r="X23" s="88"/>
      <c r="Y23" s="88"/>
      <c r="Z23" s="88"/>
      <c r="AA23" s="168"/>
      <c r="AB23" s="168"/>
      <c r="AC23" s="18"/>
      <c r="AD23" s="18"/>
      <c r="AE23" s="14">
        <f t="shared" si="8"/>
        <v>-66.829268292683309</v>
      </c>
      <c r="AF23" s="91">
        <f t="shared" si="9"/>
        <v>0.9665853658536584</v>
      </c>
      <c r="AG23" s="177"/>
    </row>
    <row r="24" spans="1:33" ht="15.75" customHeight="1">
      <c r="A24" s="196" t="s">
        <v>1791</v>
      </c>
      <c r="B24" s="28" t="s">
        <v>5</v>
      </c>
      <c r="C24" s="193" t="s">
        <v>73</v>
      </c>
      <c r="D24" s="193"/>
      <c r="E24" s="28">
        <v>50.67</v>
      </c>
      <c r="F24" s="88">
        <v>2375</v>
      </c>
      <c r="G24" s="88">
        <f t="shared" si="19"/>
        <v>120341.25</v>
      </c>
      <c r="H24" s="30" t="s">
        <v>53</v>
      </c>
      <c r="I24" s="95">
        <v>17</v>
      </c>
      <c r="J24" s="13">
        <v>2000</v>
      </c>
      <c r="K24" s="12">
        <f t="shared" si="1"/>
        <v>117.64705882352941</v>
      </c>
      <c r="L24" s="95">
        <v>17</v>
      </c>
      <c r="M24" s="13">
        <f t="shared" si="20"/>
        <v>1925.6756756756763</v>
      </c>
      <c r="N24" s="12">
        <f t="shared" si="3"/>
        <v>113.27503974562802</v>
      </c>
      <c r="O24" s="14">
        <f t="shared" si="4"/>
        <v>0</v>
      </c>
      <c r="P24" s="15">
        <f t="shared" si="5"/>
        <v>-4.3720190779013848</v>
      </c>
      <c r="Q24" s="91">
        <f t="shared" si="6"/>
        <v>0.96283783783783827</v>
      </c>
      <c r="R24" s="177"/>
      <c r="S24" s="21">
        <v>0.37638888888888888</v>
      </c>
      <c r="T24" s="21">
        <v>0.42777777777777776</v>
      </c>
      <c r="U24" s="88">
        <f t="shared" si="22"/>
        <v>5.9999999999999787</v>
      </c>
      <c r="V24" s="30">
        <f t="shared" si="21"/>
        <v>73.999999999999972</v>
      </c>
      <c r="W24" s="16"/>
      <c r="X24" s="88"/>
      <c r="Y24" s="88"/>
      <c r="Z24" s="88"/>
      <c r="AA24" s="168"/>
      <c r="AB24" s="168"/>
      <c r="AC24" s="18"/>
      <c r="AD24" s="18"/>
      <c r="AE24" s="14">
        <f t="shared" si="8"/>
        <v>-74.324324324323698</v>
      </c>
      <c r="AF24" s="91">
        <f t="shared" si="9"/>
        <v>0.96283783783783816</v>
      </c>
      <c r="AG24" s="177"/>
    </row>
    <row r="25" spans="1:33" ht="15.75" customHeight="1">
      <c r="A25" s="196" t="s">
        <v>1791</v>
      </c>
      <c r="B25" s="28" t="s">
        <v>5</v>
      </c>
      <c r="C25" s="193" t="s">
        <v>19</v>
      </c>
      <c r="D25" s="193"/>
      <c r="E25" s="28">
        <v>50.49</v>
      </c>
      <c r="F25" s="88">
        <v>800</v>
      </c>
      <c r="G25" s="88">
        <f t="shared" si="19"/>
        <v>40392</v>
      </c>
      <c r="H25" s="30">
        <v>2</v>
      </c>
      <c r="I25" s="95">
        <v>15</v>
      </c>
      <c r="J25" s="13">
        <v>2000</v>
      </c>
      <c r="K25" s="12">
        <f t="shared" si="1"/>
        <v>133.33333333333334</v>
      </c>
      <c r="L25" s="95">
        <v>15</v>
      </c>
      <c r="M25" s="13">
        <f t="shared" si="20"/>
        <v>1919.9999999999945</v>
      </c>
      <c r="N25" s="12">
        <f t="shared" si="3"/>
        <v>127.99999999999963</v>
      </c>
      <c r="O25" s="14">
        <f t="shared" si="4"/>
        <v>0</v>
      </c>
      <c r="P25" s="15">
        <f t="shared" si="5"/>
        <v>-5.3333333333337123</v>
      </c>
      <c r="Q25" s="91">
        <f t="shared" si="6"/>
        <v>0.95999999999999719</v>
      </c>
      <c r="R25" s="177"/>
      <c r="S25" s="21">
        <v>0.8125</v>
      </c>
      <c r="T25" s="21">
        <v>0.82986111111111116</v>
      </c>
      <c r="U25" s="88"/>
      <c r="V25" s="30">
        <f t="shared" si="21"/>
        <v>25.000000000000071</v>
      </c>
      <c r="W25" s="16"/>
      <c r="X25" s="88"/>
      <c r="Y25" s="88"/>
      <c r="Z25" s="88"/>
      <c r="AA25" s="168"/>
      <c r="AB25" s="168"/>
      <c r="AC25" s="18"/>
      <c r="AD25" s="18"/>
      <c r="AE25" s="14">
        <f t="shared" si="8"/>
        <v>-80.000000000005457</v>
      </c>
      <c r="AF25" s="91">
        <f t="shared" si="9"/>
        <v>0.9599999999999973</v>
      </c>
      <c r="AG25" s="177"/>
    </row>
    <row r="26" spans="1:33" ht="15.75" customHeight="1">
      <c r="A26" s="196" t="s">
        <v>1791</v>
      </c>
      <c r="B26" s="28" t="s">
        <v>5</v>
      </c>
      <c r="C26" s="193" t="s">
        <v>21</v>
      </c>
      <c r="D26" s="193"/>
      <c r="E26" s="28">
        <v>57.3</v>
      </c>
      <c r="F26" s="88">
        <v>500</v>
      </c>
      <c r="G26" s="88">
        <f t="shared" si="19"/>
        <v>28650</v>
      </c>
      <c r="H26" s="30">
        <v>2</v>
      </c>
      <c r="I26" s="95">
        <v>13</v>
      </c>
      <c r="J26" s="13">
        <v>2000</v>
      </c>
      <c r="K26" s="12">
        <f t="shared" si="1"/>
        <v>153.84615384615384</v>
      </c>
      <c r="L26" s="95">
        <v>13</v>
      </c>
      <c r="M26" s="13">
        <f t="shared" si="20"/>
        <v>1875.0000000000066</v>
      </c>
      <c r="N26" s="12">
        <f t="shared" si="3"/>
        <v>144.23076923076974</v>
      </c>
      <c r="O26" s="14">
        <f t="shared" si="4"/>
        <v>0</v>
      </c>
      <c r="P26" s="15">
        <f t="shared" si="5"/>
        <v>-9.6153846153841016</v>
      </c>
      <c r="Q26" s="91">
        <f t="shared" si="6"/>
        <v>0.93750000000000333</v>
      </c>
      <c r="R26" s="177"/>
      <c r="S26" s="21">
        <v>0.8354166666666667</v>
      </c>
      <c r="T26" s="21">
        <v>0.84652777777777777</v>
      </c>
      <c r="U26" s="88">
        <f t="shared" si="22"/>
        <v>7.9999999999999716</v>
      </c>
      <c r="V26" s="30">
        <f t="shared" si="21"/>
        <v>15.999999999999943</v>
      </c>
      <c r="W26" s="16"/>
      <c r="X26" s="16"/>
      <c r="Y26" s="88"/>
      <c r="Z26" s="88"/>
      <c r="AA26" s="168"/>
      <c r="AB26" s="168"/>
      <c r="AC26" s="18"/>
      <c r="AD26" s="18"/>
      <c r="AE26" s="14">
        <f t="shared" si="8"/>
        <v>-124.99999999999341</v>
      </c>
      <c r="AF26" s="91">
        <f t="shared" si="9"/>
        <v>0.93750000000000333</v>
      </c>
      <c r="AG26" s="177"/>
    </row>
    <row r="27" spans="1:33" ht="15.75" customHeight="1">
      <c r="A27" s="196" t="s">
        <v>1791</v>
      </c>
      <c r="B27" s="28" t="s">
        <v>5</v>
      </c>
      <c r="C27" s="193" t="s">
        <v>14</v>
      </c>
      <c r="D27" s="193"/>
      <c r="E27" s="28">
        <v>50.98</v>
      </c>
      <c r="F27" s="88">
        <v>2330</v>
      </c>
      <c r="G27" s="88">
        <f t="shared" si="19"/>
        <v>118783.4</v>
      </c>
      <c r="H27" s="30" t="s">
        <v>53</v>
      </c>
      <c r="I27" s="95">
        <v>16</v>
      </c>
      <c r="J27" s="13">
        <v>2000</v>
      </c>
      <c r="K27" s="12">
        <f t="shared" si="1"/>
        <v>125</v>
      </c>
      <c r="L27" s="95">
        <v>16</v>
      </c>
      <c r="M27" s="13">
        <f t="shared" si="20"/>
        <v>1915.0684931506835</v>
      </c>
      <c r="N27" s="12">
        <f t="shared" si="3"/>
        <v>119.69178082191772</v>
      </c>
      <c r="O27" s="14">
        <f t="shared" si="4"/>
        <v>0</v>
      </c>
      <c r="P27" s="15">
        <f t="shared" si="5"/>
        <v>-5.3082191780822825</v>
      </c>
      <c r="Q27" s="91">
        <f t="shared" si="6"/>
        <v>0.9575342465753417</v>
      </c>
      <c r="R27" s="177"/>
      <c r="S27" s="21">
        <v>0.85069444444444442</v>
      </c>
      <c r="T27" s="21">
        <v>0.90138888888888891</v>
      </c>
      <c r="U27" s="88">
        <f t="shared" si="22"/>
        <v>5.9999999999999787</v>
      </c>
      <c r="V27" s="30">
        <f t="shared" si="21"/>
        <v>73.000000000000057</v>
      </c>
      <c r="W27" s="16"/>
      <c r="X27" s="21"/>
      <c r="Y27" s="21"/>
      <c r="Z27" s="21"/>
      <c r="AA27" s="168"/>
      <c r="AB27" s="168"/>
      <c r="AC27" s="18"/>
      <c r="AD27" s="18"/>
      <c r="AE27" s="14">
        <f t="shared" si="8"/>
        <v>-84.93150684931652</v>
      </c>
      <c r="AF27" s="91">
        <f t="shared" si="9"/>
        <v>0.9575342465753417</v>
      </c>
      <c r="AG27" s="177"/>
    </row>
    <row r="28" spans="1:33" ht="15.75" customHeight="1">
      <c r="A28" s="196" t="s">
        <v>1791</v>
      </c>
      <c r="B28" s="28" t="s">
        <v>5</v>
      </c>
      <c r="C28" s="218" t="s">
        <v>21</v>
      </c>
      <c r="D28" s="219"/>
      <c r="E28" s="28">
        <v>57.3</v>
      </c>
      <c r="F28" s="88">
        <v>1006</v>
      </c>
      <c r="G28" s="88">
        <f t="shared" si="19"/>
        <v>57643.799999999996</v>
      </c>
      <c r="H28" s="30" t="s">
        <v>53</v>
      </c>
      <c r="I28" s="95">
        <v>13</v>
      </c>
      <c r="J28" s="13">
        <v>2000</v>
      </c>
      <c r="K28" s="12">
        <f t="shared" si="1"/>
        <v>153.84615384615384</v>
      </c>
      <c r="L28" s="95">
        <v>13</v>
      </c>
      <c r="M28" s="13">
        <f t="shared" si="20"/>
        <v>1947.0967741935451</v>
      </c>
      <c r="N28" s="12">
        <f t="shared" si="3"/>
        <v>149.776674937965</v>
      </c>
      <c r="O28" s="14">
        <f t="shared" si="4"/>
        <v>0</v>
      </c>
      <c r="P28" s="15">
        <f t="shared" si="5"/>
        <v>-4.0694789081888416</v>
      </c>
      <c r="Q28" s="91">
        <f t="shared" si="6"/>
        <v>0.97354838709677249</v>
      </c>
      <c r="R28" s="177"/>
      <c r="S28" s="21">
        <v>0.90555555555555556</v>
      </c>
      <c r="T28" s="21">
        <v>0.92708333333333337</v>
      </c>
      <c r="U28" s="88">
        <f t="shared" si="22"/>
        <v>5.9999999999999787</v>
      </c>
      <c r="V28" s="30">
        <f t="shared" si="21"/>
        <v>31.00000000000005</v>
      </c>
      <c r="W28" s="16"/>
      <c r="X28" s="21"/>
      <c r="Y28" s="22"/>
      <c r="Z28" s="22"/>
      <c r="AA28" s="172"/>
      <c r="AB28" s="173"/>
      <c r="AC28" s="18"/>
      <c r="AD28" s="18"/>
      <c r="AE28" s="14">
        <f t="shared" si="8"/>
        <v>-52.903225806454884</v>
      </c>
      <c r="AF28" s="91">
        <f t="shared" si="9"/>
        <v>0.9735483870967726</v>
      </c>
      <c r="AG28" s="177"/>
    </row>
    <row r="29" spans="1:33" ht="15.75" customHeight="1">
      <c r="A29" s="196" t="s">
        <v>1791</v>
      </c>
      <c r="B29" s="28" t="s">
        <v>5</v>
      </c>
      <c r="C29" s="100" t="s">
        <v>19</v>
      </c>
      <c r="D29" s="101"/>
      <c r="E29" s="28">
        <v>50.49</v>
      </c>
      <c r="F29" s="88">
        <v>1144</v>
      </c>
      <c r="G29" s="88">
        <f t="shared" si="19"/>
        <v>57760.560000000005</v>
      </c>
      <c r="H29" s="30" t="s">
        <v>53</v>
      </c>
      <c r="I29" s="95">
        <v>15</v>
      </c>
      <c r="J29" s="13">
        <v>2000</v>
      </c>
      <c r="K29" s="12">
        <f t="shared" si="1"/>
        <v>133.33333333333334</v>
      </c>
      <c r="L29" s="95">
        <v>15</v>
      </c>
      <c r="M29" s="13">
        <f t="shared" si="20"/>
        <v>1906.6666666666652</v>
      </c>
      <c r="N29" s="12">
        <f t="shared" si="3"/>
        <v>127.11111111111101</v>
      </c>
      <c r="O29" s="14">
        <f t="shared" si="4"/>
        <v>0</v>
      </c>
      <c r="P29" s="15">
        <f t="shared" si="5"/>
        <v>-6.222222222222328</v>
      </c>
      <c r="Q29" s="91">
        <f t="shared" si="6"/>
        <v>0.95333333333333259</v>
      </c>
      <c r="R29" s="177"/>
      <c r="S29" s="21">
        <v>0.93055555555555558</v>
      </c>
      <c r="T29" s="21">
        <v>0.9555555555555556</v>
      </c>
      <c r="U29" s="88">
        <f t="shared" si="22"/>
        <v>4.9999999999999822</v>
      </c>
      <c r="V29" s="30">
        <f t="shared" si="21"/>
        <v>36.000000000000028</v>
      </c>
      <c r="W29" s="16"/>
      <c r="X29" s="16"/>
      <c r="Y29" s="19"/>
      <c r="Z29" s="19"/>
      <c r="AA29" s="98"/>
      <c r="AB29" s="99"/>
      <c r="AC29" s="18"/>
      <c r="AD29" s="18"/>
      <c r="AE29" s="14">
        <f t="shared" si="8"/>
        <v>-93.333333333334849</v>
      </c>
      <c r="AF29" s="91">
        <f t="shared" si="9"/>
        <v>0.95333333333333259</v>
      </c>
      <c r="AG29" s="177"/>
    </row>
    <row r="30" spans="1:33" ht="15.75" customHeight="1">
      <c r="A30" s="196" t="s">
        <v>1791</v>
      </c>
      <c r="B30" s="28" t="s">
        <v>1788</v>
      </c>
      <c r="C30" s="178"/>
      <c r="D30" s="178"/>
      <c r="E30" s="92"/>
      <c r="F30" s="88"/>
      <c r="G30" s="88"/>
      <c r="H30" s="88"/>
      <c r="I30" s="23">
        <v>14.875</v>
      </c>
      <c r="J30" s="13">
        <v>2000</v>
      </c>
      <c r="K30" s="12">
        <f t="shared" si="1"/>
        <v>134.45378151260505</v>
      </c>
      <c r="L30" s="23">
        <v>14.875</v>
      </c>
      <c r="M30" s="13">
        <f>AVERAGE(M22:M29)</f>
        <v>1917.1826187611928</v>
      </c>
      <c r="N30" s="12">
        <f t="shared" si="3"/>
        <v>128.88622647134068</v>
      </c>
      <c r="O30" s="14">
        <f t="shared" si="4"/>
        <v>0</v>
      </c>
      <c r="P30" s="15">
        <f t="shared" si="5"/>
        <v>-5.5675550412643702</v>
      </c>
      <c r="Q30" s="91">
        <f t="shared" si="6"/>
        <v>0.95859130938059622</v>
      </c>
      <c r="R30" s="177"/>
      <c r="S30" s="21"/>
      <c r="T30" s="21"/>
      <c r="U30" s="12"/>
      <c r="V30" s="30"/>
      <c r="W30" s="12"/>
      <c r="X30" s="12"/>
      <c r="Y30" s="24">
        <f>SUM(Y22:Y29)</f>
        <v>0</v>
      </c>
      <c r="Z30" s="24">
        <f>SUM(Z22:Z29)</f>
        <v>0</v>
      </c>
      <c r="AA30" s="167"/>
      <c r="AB30" s="167"/>
      <c r="AC30" s="24">
        <v>8</v>
      </c>
      <c r="AD30" s="24">
        <f>SUM(AD22:AD29)</f>
        <v>0</v>
      </c>
      <c r="AE30" s="14">
        <f t="shared" si="8"/>
        <v>-82.817381238807229</v>
      </c>
      <c r="AF30" s="91">
        <f t="shared" si="9"/>
        <v>0.95859130938059633</v>
      </c>
      <c r="AG30" s="177"/>
    </row>
    <row r="31" spans="1:33" ht="15.75" customHeight="1">
      <c r="A31" s="194" t="s">
        <v>1792</v>
      </c>
      <c r="B31" s="28" t="s">
        <v>22</v>
      </c>
      <c r="C31" s="193" t="s">
        <v>23</v>
      </c>
      <c r="D31" s="193"/>
      <c r="E31" s="28">
        <v>31.29</v>
      </c>
      <c r="F31" s="88">
        <v>8503</v>
      </c>
      <c r="G31" s="88">
        <f t="shared" ref="G31:G35" si="23">E31*F31</f>
        <v>266058.87</v>
      </c>
      <c r="H31" s="30" t="s">
        <v>53</v>
      </c>
      <c r="I31" s="95">
        <v>18</v>
      </c>
      <c r="J31" s="13">
        <v>2400</v>
      </c>
      <c r="K31" s="12">
        <f t="shared" si="1"/>
        <v>133.33333333333334</v>
      </c>
      <c r="L31" s="95">
        <v>18</v>
      </c>
      <c r="M31" s="13">
        <f t="shared" ref="M31:M35" si="24">F31/V31*60</f>
        <v>2287.8026905829597</v>
      </c>
      <c r="N31" s="12">
        <f t="shared" si="3"/>
        <v>127.10014947683109</v>
      </c>
      <c r="O31" s="14">
        <f t="shared" si="4"/>
        <v>0</v>
      </c>
      <c r="P31" s="15">
        <f t="shared" si="5"/>
        <v>-6.2331838565022508</v>
      </c>
      <c r="Q31" s="91">
        <f t="shared" si="6"/>
        <v>0.95325112107623311</v>
      </c>
      <c r="R31" s="177">
        <f>Q36</f>
        <v>0.95934936947539484</v>
      </c>
      <c r="S31" s="21">
        <v>8.3333333333333329E-2</v>
      </c>
      <c r="T31" s="21">
        <v>0.23819444444444443</v>
      </c>
      <c r="U31" s="88"/>
      <c r="V31" s="30">
        <f t="shared" ref="V31:V35" si="25">(T31-S31)*24*60</f>
        <v>223</v>
      </c>
      <c r="W31" s="16">
        <f>T31</f>
        <v>0.23819444444444443</v>
      </c>
      <c r="X31" s="16">
        <f>S32</f>
        <v>0.2583333333333333</v>
      </c>
      <c r="Y31" s="16"/>
      <c r="Z31" s="16"/>
      <c r="AA31" s="168"/>
      <c r="AB31" s="168"/>
      <c r="AC31" s="18">
        <v>5</v>
      </c>
      <c r="AD31" s="18"/>
      <c r="AE31" s="14">
        <f t="shared" si="8"/>
        <v>-112.19730941704029</v>
      </c>
      <c r="AF31" s="91">
        <f t="shared" si="9"/>
        <v>0.95325112107623322</v>
      </c>
      <c r="AG31" s="177">
        <f>AF36</f>
        <v>0.95934936947539484</v>
      </c>
    </row>
    <row r="32" spans="1:33" ht="15.75" customHeight="1">
      <c r="A32" s="194" t="s">
        <v>1792</v>
      </c>
      <c r="B32" s="28" t="s">
        <v>22</v>
      </c>
      <c r="C32" s="193" t="s">
        <v>24</v>
      </c>
      <c r="D32" s="193"/>
      <c r="E32" s="28">
        <v>25.98</v>
      </c>
      <c r="F32" s="88">
        <v>2645</v>
      </c>
      <c r="G32" s="88">
        <f t="shared" si="23"/>
        <v>68717.100000000006</v>
      </c>
      <c r="H32" s="30" t="s">
        <v>53</v>
      </c>
      <c r="I32" s="95">
        <v>21</v>
      </c>
      <c r="J32" s="13">
        <v>2400</v>
      </c>
      <c r="K32" s="12">
        <f t="shared" si="1"/>
        <v>114.28571428571429</v>
      </c>
      <c r="L32" s="95">
        <v>21</v>
      </c>
      <c r="M32" s="13">
        <f t="shared" si="24"/>
        <v>2300</v>
      </c>
      <c r="N32" s="12">
        <f t="shared" si="3"/>
        <v>109.52380952380952</v>
      </c>
      <c r="O32" s="14">
        <f t="shared" si="4"/>
        <v>0</v>
      </c>
      <c r="P32" s="15">
        <f t="shared" si="5"/>
        <v>-4.7619047619047734</v>
      </c>
      <c r="Q32" s="91">
        <f t="shared" si="6"/>
        <v>0.95833333333333326</v>
      </c>
      <c r="R32" s="177"/>
      <c r="S32" s="21">
        <v>0.2583333333333333</v>
      </c>
      <c r="T32" s="21">
        <v>0.30624999999999997</v>
      </c>
      <c r="U32" s="88">
        <f t="shared" ref="U32:U35" si="26">(S32-T31)*24*60</f>
        <v>28.999999999999979</v>
      </c>
      <c r="V32" s="30">
        <f t="shared" si="25"/>
        <v>69</v>
      </c>
      <c r="W32" s="16"/>
      <c r="X32" s="16"/>
      <c r="Y32" s="16"/>
      <c r="Z32" s="16"/>
      <c r="AA32" s="168"/>
      <c r="AB32" s="168"/>
      <c r="AC32" s="18"/>
      <c r="AD32" s="18"/>
      <c r="AE32" s="14">
        <f t="shared" si="8"/>
        <v>-100</v>
      </c>
      <c r="AF32" s="91">
        <f t="shared" si="9"/>
        <v>0.95833333333333337</v>
      </c>
      <c r="AG32" s="177"/>
    </row>
    <row r="33" spans="1:33" ht="15.75" customHeight="1">
      <c r="A33" s="194" t="s">
        <v>1792</v>
      </c>
      <c r="B33" s="28" t="s">
        <v>22</v>
      </c>
      <c r="C33" s="193" t="s">
        <v>26</v>
      </c>
      <c r="D33" s="193"/>
      <c r="E33" s="28">
        <v>25.99</v>
      </c>
      <c r="F33" s="88">
        <v>3854</v>
      </c>
      <c r="G33" s="88">
        <f t="shared" si="23"/>
        <v>100165.45999999999</v>
      </c>
      <c r="H33" s="30" t="s">
        <v>53</v>
      </c>
      <c r="I33" s="95">
        <v>14</v>
      </c>
      <c r="J33" s="13">
        <v>2400</v>
      </c>
      <c r="K33" s="12">
        <f t="shared" si="1"/>
        <v>171.42857142857142</v>
      </c>
      <c r="L33" s="95">
        <v>14</v>
      </c>
      <c r="M33" s="13">
        <f t="shared" si="24"/>
        <v>2289.5049504950484</v>
      </c>
      <c r="N33" s="12">
        <f t="shared" si="3"/>
        <v>163.53606789250347</v>
      </c>
      <c r="O33" s="14">
        <f t="shared" si="4"/>
        <v>0</v>
      </c>
      <c r="P33" s="15">
        <f t="shared" si="5"/>
        <v>-7.8925035360679487</v>
      </c>
      <c r="Q33" s="91">
        <f t="shared" si="6"/>
        <v>0.95396039603960359</v>
      </c>
      <c r="R33" s="177"/>
      <c r="S33" s="21">
        <v>0.3118055555555555</v>
      </c>
      <c r="T33" s="21">
        <v>0.38194444444444442</v>
      </c>
      <c r="U33" s="88">
        <f t="shared" si="26"/>
        <v>7.9999999999999716</v>
      </c>
      <c r="V33" s="30">
        <f t="shared" si="25"/>
        <v>101.00000000000004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-110.49504950495157</v>
      </c>
      <c r="AF33" s="91">
        <f t="shared" si="9"/>
        <v>0.95396039603960348</v>
      </c>
      <c r="AG33" s="177"/>
    </row>
    <row r="34" spans="1:33" ht="15.75" customHeight="1">
      <c r="A34" s="194" t="s">
        <v>1792</v>
      </c>
      <c r="B34" s="28" t="s">
        <v>22</v>
      </c>
      <c r="C34" s="193" t="s">
        <v>27</v>
      </c>
      <c r="D34" s="193"/>
      <c r="E34" s="28">
        <v>26.18</v>
      </c>
      <c r="F34" s="88">
        <v>1213</v>
      </c>
      <c r="G34" s="88">
        <f t="shared" si="23"/>
        <v>31756.34</v>
      </c>
      <c r="H34" s="30" t="s">
        <v>53</v>
      </c>
      <c r="I34" s="95">
        <v>19</v>
      </c>
      <c r="J34" s="13">
        <v>2400</v>
      </c>
      <c r="K34" s="12">
        <f t="shared" si="1"/>
        <v>126.31578947368421</v>
      </c>
      <c r="L34" s="95">
        <v>19</v>
      </c>
      <c r="M34" s="13">
        <f t="shared" si="24"/>
        <v>2347.7419354838735</v>
      </c>
      <c r="N34" s="12">
        <f t="shared" si="3"/>
        <v>123.56536502546703</v>
      </c>
      <c r="O34" s="14">
        <f t="shared" si="4"/>
        <v>0</v>
      </c>
      <c r="P34" s="15">
        <f t="shared" si="5"/>
        <v>-2.7504244482171742</v>
      </c>
      <c r="Q34" s="91">
        <f t="shared" si="6"/>
        <v>0.97822580645161405</v>
      </c>
      <c r="R34" s="177"/>
      <c r="S34" s="21">
        <v>0.38749999999999996</v>
      </c>
      <c r="T34" s="21">
        <v>0.40902777777777771</v>
      </c>
      <c r="U34" s="88">
        <f t="shared" si="26"/>
        <v>7.9999999999999716</v>
      </c>
      <c r="V34" s="30">
        <f t="shared" si="25"/>
        <v>30.999999999999972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8"/>
        <v>-52.258064516126524</v>
      </c>
      <c r="AF34" s="91">
        <f t="shared" si="9"/>
        <v>0.97822580645161394</v>
      </c>
      <c r="AG34" s="177"/>
    </row>
    <row r="35" spans="1:33" ht="15.75" customHeight="1">
      <c r="A35" s="194" t="s">
        <v>1792</v>
      </c>
      <c r="B35" s="28" t="s">
        <v>22</v>
      </c>
      <c r="C35" s="193" t="s">
        <v>25</v>
      </c>
      <c r="D35" s="193"/>
      <c r="E35" s="28">
        <v>26.2</v>
      </c>
      <c r="F35" s="88">
        <v>4803</v>
      </c>
      <c r="G35" s="88">
        <f t="shared" si="23"/>
        <v>125838.59999999999</v>
      </c>
      <c r="H35" s="30" t="s">
        <v>53</v>
      </c>
      <c r="I35" s="95">
        <v>20</v>
      </c>
      <c r="J35" s="13">
        <v>2400</v>
      </c>
      <c r="K35" s="12">
        <f t="shared" si="1"/>
        <v>120</v>
      </c>
      <c r="L35" s="95">
        <v>20</v>
      </c>
      <c r="M35" s="13">
        <f t="shared" si="24"/>
        <v>2287.1428571428569</v>
      </c>
      <c r="N35" s="12">
        <f t="shared" si="3"/>
        <v>114.35714285714285</v>
      </c>
      <c r="O35" s="14">
        <f t="shared" si="4"/>
        <v>0</v>
      </c>
      <c r="P35" s="15">
        <f t="shared" si="5"/>
        <v>-5.642857142857153</v>
      </c>
      <c r="Q35" s="91">
        <f t="shared" si="6"/>
        <v>0.95297619047619042</v>
      </c>
      <c r="R35" s="177"/>
      <c r="S35" s="21">
        <v>0.41249999999999992</v>
      </c>
      <c r="T35" s="21">
        <v>0.49999999999999994</v>
      </c>
      <c r="U35" s="88">
        <f t="shared" si="26"/>
        <v>4.9999999999999822</v>
      </c>
      <c r="V35" s="30">
        <f t="shared" si="25"/>
        <v>126.00000000000003</v>
      </c>
      <c r="W35" s="16"/>
      <c r="X35" s="16"/>
      <c r="Y35" s="16"/>
      <c r="Z35" s="16"/>
      <c r="AA35" s="168"/>
      <c r="AB35" s="168"/>
      <c r="AC35" s="18"/>
      <c r="AD35" s="18"/>
      <c r="AE35" s="14">
        <f t="shared" si="8"/>
        <v>-112.85714285714312</v>
      </c>
      <c r="AF35" s="91">
        <f t="shared" si="9"/>
        <v>0.95297619047619042</v>
      </c>
      <c r="AG35" s="177"/>
    </row>
    <row r="36" spans="1:33" ht="15.75" customHeight="1">
      <c r="A36" s="194" t="s">
        <v>1792</v>
      </c>
      <c r="B36" s="28" t="s">
        <v>1788</v>
      </c>
      <c r="C36" s="178"/>
      <c r="D36" s="178"/>
      <c r="E36" s="92"/>
      <c r="F36" s="88"/>
      <c r="G36" s="88"/>
      <c r="H36" s="88"/>
      <c r="I36" s="23">
        <v>18.399999999999999</v>
      </c>
      <c r="J36" s="13">
        <v>2400</v>
      </c>
      <c r="K36" s="12">
        <f t="shared" si="1"/>
        <v>130.43478260869566</v>
      </c>
      <c r="L36" s="23">
        <v>18.399999999999999</v>
      </c>
      <c r="M36" s="13">
        <f>AVERAGE(M31:M35)</f>
        <v>2302.4384867409476</v>
      </c>
      <c r="N36" s="12">
        <f t="shared" si="3"/>
        <v>125.13252645331238</v>
      </c>
      <c r="O36" s="14">
        <f t="shared" si="4"/>
        <v>0</v>
      </c>
      <c r="P36" s="15">
        <f t="shared" si="5"/>
        <v>-5.3022561553832759</v>
      </c>
      <c r="Q36" s="91">
        <f t="shared" si="6"/>
        <v>0.95934936947539484</v>
      </c>
      <c r="R36" s="177"/>
      <c r="S36" s="21"/>
      <c r="T36" s="21"/>
      <c r="U36" s="88"/>
      <c r="V36" s="30"/>
      <c r="W36" s="88"/>
      <c r="X36" s="88"/>
      <c r="Y36" s="24">
        <f>SUM(Y31:Y35)</f>
        <v>0</v>
      </c>
      <c r="Z36" s="24">
        <f>SUM(Z31:Z35)</f>
        <v>0</v>
      </c>
      <c r="AA36" s="167"/>
      <c r="AB36" s="167"/>
      <c r="AC36" s="24">
        <v>5</v>
      </c>
      <c r="AD36" s="24">
        <f>SUM(AD31:AD35)</f>
        <v>0</v>
      </c>
      <c r="AE36" s="14">
        <f t="shared" si="8"/>
        <v>-97.56151325905239</v>
      </c>
      <c r="AF36" s="91">
        <f t="shared" si="9"/>
        <v>0.95934936947539484</v>
      </c>
      <c r="AG36" s="177"/>
    </row>
    <row r="37" spans="1:33" ht="15.75" customHeight="1">
      <c r="A37" s="191" t="s">
        <v>1793</v>
      </c>
      <c r="B37" s="28" t="s">
        <v>22</v>
      </c>
      <c r="C37" s="169" t="s">
        <v>28</v>
      </c>
      <c r="D37" s="169"/>
      <c r="E37" s="28">
        <v>26.2</v>
      </c>
      <c r="F37" s="88">
        <v>6248</v>
      </c>
      <c r="G37" s="88">
        <f t="shared" ref="G37:G41" si="27">E37*F37</f>
        <v>163697.60000000001</v>
      </c>
      <c r="H37" s="30" t="s">
        <v>53</v>
      </c>
      <c r="I37" s="95">
        <v>18</v>
      </c>
      <c r="J37" s="13">
        <v>2400</v>
      </c>
      <c r="K37" s="12">
        <f t="shared" si="1"/>
        <v>133.33333333333334</v>
      </c>
      <c r="L37" s="95">
        <v>18</v>
      </c>
      <c r="M37" s="13">
        <f t="shared" ref="M37:M41" si="28">F37/V37*60</f>
        <v>2285.853658536585</v>
      </c>
      <c r="N37" s="12">
        <f t="shared" si="3"/>
        <v>126.99186991869917</v>
      </c>
      <c r="O37" s="14">
        <f t="shared" si="4"/>
        <v>0</v>
      </c>
      <c r="P37" s="15">
        <f t="shared" si="5"/>
        <v>-6.3414634146341768</v>
      </c>
      <c r="Q37" s="91">
        <f t="shared" si="6"/>
        <v>0.95243902439024364</v>
      </c>
      <c r="R37" s="177">
        <f>Q42</f>
        <v>0.95825979929012572</v>
      </c>
      <c r="S37" s="21">
        <v>8.3333333333333329E-2</v>
      </c>
      <c r="T37" s="21">
        <v>0.19722222222222222</v>
      </c>
      <c r="U37" s="88"/>
      <c r="V37" s="30">
        <f t="shared" ref="V37:V41" si="29">(T37-S37)*24*60</f>
        <v>164</v>
      </c>
      <c r="W37" s="21">
        <f>T37</f>
        <v>0.19722222222222222</v>
      </c>
      <c r="X37" s="21">
        <f>S38</f>
        <v>0.21597222222222223</v>
      </c>
      <c r="Y37" s="21"/>
      <c r="Z37" s="21"/>
      <c r="AA37" s="168"/>
      <c r="AB37" s="168"/>
      <c r="AC37" s="18">
        <v>5</v>
      </c>
      <c r="AD37" s="18"/>
      <c r="AE37" s="14">
        <f t="shared" si="8"/>
        <v>-114.14634146341496</v>
      </c>
      <c r="AF37" s="91">
        <f t="shared" si="9"/>
        <v>0.95243902439024375</v>
      </c>
      <c r="AG37" s="177">
        <f>AF42</f>
        <v>0.95825979929012572</v>
      </c>
    </row>
    <row r="38" spans="1:33" ht="15.75" customHeight="1">
      <c r="A38" s="191" t="s">
        <v>1793</v>
      </c>
      <c r="B38" s="28" t="s">
        <v>22</v>
      </c>
      <c r="C38" s="169" t="s">
        <v>49</v>
      </c>
      <c r="D38" s="169"/>
      <c r="E38" s="28">
        <v>20.2</v>
      </c>
      <c r="F38" s="88">
        <v>1670</v>
      </c>
      <c r="G38" s="88">
        <f t="shared" si="27"/>
        <v>33734</v>
      </c>
      <c r="H38" s="30" t="s">
        <v>53</v>
      </c>
      <c r="I38" s="95">
        <v>15</v>
      </c>
      <c r="J38" s="13">
        <v>2400</v>
      </c>
      <c r="K38" s="12">
        <f t="shared" si="1"/>
        <v>160</v>
      </c>
      <c r="L38" s="95">
        <v>15</v>
      </c>
      <c r="M38" s="13">
        <f t="shared" si="28"/>
        <v>2330.2325581395344</v>
      </c>
      <c r="N38" s="12">
        <f t="shared" si="3"/>
        <v>155.3488372093023</v>
      </c>
      <c r="O38" s="14">
        <f t="shared" si="4"/>
        <v>0</v>
      </c>
      <c r="P38" s="15">
        <f t="shared" si="5"/>
        <v>-4.6511627906976969</v>
      </c>
      <c r="Q38" s="91">
        <f t="shared" si="6"/>
        <v>0.97093023255813937</v>
      </c>
      <c r="R38" s="177"/>
      <c r="S38" s="21">
        <v>0.21597222222222223</v>
      </c>
      <c r="T38" s="21">
        <v>0.24583333333333335</v>
      </c>
      <c r="U38" s="88">
        <f t="shared" ref="U38:U41" si="30">(S38-T37)*24*60</f>
        <v>27.000000000000025</v>
      </c>
      <c r="V38" s="30">
        <f t="shared" si="29"/>
        <v>43.000000000000007</v>
      </c>
      <c r="W38" s="88"/>
      <c r="X38" s="88"/>
      <c r="Y38" s="88"/>
      <c r="Z38" s="88"/>
      <c r="AA38" s="168"/>
      <c r="AB38" s="168"/>
      <c r="AC38" s="18"/>
      <c r="AD38" s="18"/>
      <c r="AE38" s="14">
        <f t="shared" si="8"/>
        <v>-69.767441860465624</v>
      </c>
      <c r="AF38" s="91">
        <f t="shared" si="9"/>
        <v>0.97093023255813937</v>
      </c>
      <c r="AG38" s="177"/>
    </row>
    <row r="39" spans="1:33">
      <c r="A39" s="192" t="s">
        <v>1793</v>
      </c>
      <c r="B39" s="28" t="s">
        <v>22</v>
      </c>
      <c r="C39" s="169" t="s">
        <v>32</v>
      </c>
      <c r="D39" s="169"/>
      <c r="E39" s="28">
        <v>20.52</v>
      </c>
      <c r="F39" s="88">
        <v>2534</v>
      </c>
      <c r="G39" s="88">
        <f t="shared" si="27"/>
        <v>51997.68</v>
      </c>
      <c r="H39" s="30" t="s">
        <v>53</v>
      </c>
      <c r="I39" s="95">
        <v>18</v>
      </c>
      <c r="J39" s="13">
        <v>2400</v>
      </c>
      <c r="K39" s="12">
        <f t="shared" si="1"/>
        <v>133.33333333333334</v>
      </c>
      <c r="L39" s="95">
        <v>18</v>
      </c>
      <c r="M39" s="13">
        <f t="shared" si="28"/>
        <v>2303.6363636363635</v>
      </c>
      <c r="N39" s="12">
        <f t="shared" si="3"/>
        <v>127.97979797979798</v>
      </c>
      <c r="O39" s="14">
        <f t="shared" si="4"/>
        <v>0</v>
      </c>
      <c r="P39" s="15">
        <f t="shared" si="5"/>
        <v>-5.3535353535353636</v>
      </c>
      <c r="Q39" s="91">
        <f t="shared" si="6"/>
        <v>0.95984848484848473</v>
      </c>
      <c r="R39" s="177"/>
      <c r="S39" s="21">
        <v>0.25138888888888888</v>
      </c>
      <c r="T39" s="21">
        <v>0.29722222222222222</v>
      </c>
      <c r="U39" s="88">
        <f t="shared" si="30"/>
        <v>7.9999999999999716</v>
      </c>
      <c r="V39" s="30">
        <f t="shared" si="29"/>
        <v>66</v>
      </c>
      <c r="W39" s="88"/>
      <c r="X39" s="88"/>
      <c r="Y39" s="88"/>
      <c r="Z39" s="88"/>
      <c r="AA39" s="168"/>
      <c r="AB39" s="168"/>
      <c r="AC39" s="18"/>
      <c r="AD39" s="18"/>
      <c r="AE39" s="14">
        <f t="shared" si="8"/>
        <v>-96.363636363636488</v>
      </c>
      <c r="AF39" s="91">
        <f t="shared" si="9"/>
        <v>0.95984848484848484</v>
      </c>
      <c r="AG39" s="177"/>
    </row>
    <row r="40" spans="1:33">
      <c r="A40" s="192" t="s">
        <v>1793</v>
      </c>
      <c r="B40" s="28" t="s">
        <v>22</v>
      </c>
      <c r="C40" s="169" t="s">
        <v>30</v>
      </c>
      <c r="D40" s="169"/>
      <c r="E40" s="28">
        <v>26.39</v>
      </c>
      <c r="F40" s="88">
        <v>5187</v>
      </c>
      <c r="G40" s="88">
        <f t="shared" si="27"/>
        <v>136884.93</v>
      </c>
      <c r="H40" s="30" t="s">
        <v>53</v>
      </c>
      <c r="I40" s="95">
        <v>19</v>
      </c>
      <c r="J40" s="13">
        <v>2400</v>
      </c>
      <c r="K40" s="12">
        <f t="shared" si="1"/>
        <v>126.31578947368421</v>
      </c>
      <c r="L40" s="95">
        <v>19</v>
      </c>
      <c r="M40" s="13">
        <f t="shared" si="28"/>
        <v>2288.3823529411766</v>
      </c>
      <c r="N40" s="12">
        <f t="shared" si="3"/>
        <v>120.44117647058825</v>
      </c>
      <c r="O40" s="14">
        <f t="shared" si="4"/>
        <v>0</v>
      </c>
      <c r="P40" s="15">
        <f t="shared" si="5"/>
        <v>-5.8746130030959591</v>
      </c>
      <c r="Q40" s="91">
        <f t="shared" si="6"/>
        <v>0.95349264705882364</v>
      </c>
      <c r="R40" s="177"/>
      <c r="S40" s="21">
        <v>0.30277777777777776</v>
      </c>
      <c r="T40" s="21">
        <v>0.3972222222222222</v>
      </c>
      <c r="U40" s="88">
        <f t="shared" si="30"/>
        <v>7.9999999999999716</v>
      </c>
      <c r="V40" s="30">
        <f t="shared" si="29"/>
        <v>136</v>
      </c>
      <c r="W40" s="16"/>
      <c r="X40" s="16"/>
      <c r="Y40" s="16"/>
      <c r="Z40" s="16"/>
      <c r="AA40" s="168"/>
      <c r="AB40" s="168"/>
      <c r="AC40" s="18"/>
      <c r="AD40" s="18"/>
      <c r="AE40" s="14">
        <f t="shared" si="8"/>
        <v>-111.61764705882342</v>
      </c>
      <c r="AF40" s="91">
        <f t="shared" si="9"/>
        <v>0.95349264705882353</v>
      </c>
      <c r="AG40" s="177"/>
    </row>
    <row r="41" spans="1:33">
      <c r="A41" s="192" t="s">
        <v>1793</v>
      </c>
      <c r="B41" s="28" t="s">
        <v>22</v>
      </c>
      <c r="C41" s="169" t="s">
        <v>51</v>
      </c>
      <c r="D41" s="169"/>
      <c r="E41" s="28">
        <v>24.43</v>
      </c>
      <c r="F41" s="88">
        <v>6033</v>
      </c>
      <c r="G41" s="88">
        <f t="shared" si="27"/>
        <v>147386.19</v>
      </c>
      <c r="H41" s="30" t="s">
        <v>53</v>
      </c>
      <c r="I41" s="95">
        <v>14</v>
      </c>
      <c r="J41" s="13">
        <v>2400</v>
      </c>
      <c r="K41" s="12">
        <f t="shared" si="1"/>
        <v>171.42857142857142</v>
      </c>
      <c r="L41" s="95">
        <v>14</v>
      </c>
      <c r="M41" s="13">
        <f t="shared" si="28"/>
        <v>2291.0126582278481</v>
      </c>
      <c r="N41" s="12">
        <f t="shared" si="3"/>
        <v>163.64376130198914</v>
      </c>
      <c r="O41" s="14">
        <f t="shared" si="4"/>
        <v>0</v>
      </c>
      <c r="P41" s="15">
        <f t="shared" si="5"/>
        <v>-7.784810126582272</v>
      </c>
      <c r="Q41" s="91">
        <f t="shared" si="6"/>
        <v>0.95458860759493669</v>
      </c>
      <c r="R41" s="177"/>
      <c r="S41" s="21">
        <v>0.40138888888888885</v>
      </c>
      <c r="T41" s="21">
        <v>0.51111111111111107</v>
      </c>
      <c r="U41" s="88">
        <f t="shared" si="30"/>
        <v>5.9999999999999787</v>
      </c>
      <c r="V41" s="30">
        <f t="shared" si="29"/>
        <v>158</v>
      </c>
      <c r="W41" s="16"/>
      <c r="X41" s="16"/>
      <c r="Y41" s="16"/>
      <c r="Z41" s="16"/>
      <c r="AA41" s="168"/>
      <c r="AB41" s="168"/>
      <c r="AC41" s="18"/>
      <c r="AD41" s="18"/>
      <c r="AE41" s="14">
        <f t="shared" si="8"/>
        <v>-108.98734177215192</v>
      </c>
      <c r="AF41" s="91">
        <f t="shared" si="9"/>
        <v>0.95458860759493669</v>
      </c>
      <c r="AG41" s="177"/>
    </row>
    <row r="42" spans="1:33">
      <c r="A42" s="192" t="s">
        <v>1793</v>
      </c>
      <c r="B42" s="12" t="s">
        <v>1788</v>
      </c>
      <c r="C42" s="178"/>
      <c r="D42" s="178"/>
      <c r="E42" s="92"/>
      <c r="F42" s="12"/>
      <c r="G42" s="12"/>
      <c r="H42" s="88"/>
      <c r="I42" s="23">
        <v>16.8</v>
      </c>
      <c r="J42" s="13">
        <v>2400</v>
      </c>
      <c r="K42" s="12">
        <f t="shared" si="1"/>
        <v>142.85714285714286</v>
      </c>
      <c r="L42" s="23">
        <v>16.8</v>
      </c>
      <c r="M42" s="13">
        <f>AVERAGE(M37:M41)</f>
        <v>2299.8235182963017</v>
      </c>
      <c r="N42" s="12">
        <f t="shared" si="3"/>
        <v>136.89425704144654</v>
      </c>
      <c r="O42" s="14">
        <f t="shared" si="4"/>
        <v>0</v>
      </c>
      <c r="P42" s="15">
        <f t="shared" si="5"/>
        <v>-5.9628858156963247</v>
      </c>
      <c r="Q42" s="91">
        <f t="shared" si="6"/>
        <v>0.95825979929012572</v>
      </c>
      <c r="R42" s="177"/>
      <c r="S42" s="21"/>
      <c r="T42" s="21"/>
      <c r="U42" s="12"/>
      <c r="V42" s="30"/>
      <c r="W42" s="12"/>
      <c r="X42" s="12"/>
      <c r="Y42" s="24">
        <f>SUM(Y37:Y41)</f>
        <v>0</v>
      </c>
      <c r="Z42" s="24">
        <f>SUM(Z37:Z41)</f>
        <v>0</v>
      </c>
      <c r="AA42" s="167"/>
      <c r="AB42" s="167"/>
      <c r="AC42" s="24">
        <v>5</v>
      </c>
      <c r="AD42" s="24">
        <f>SUM(AD37:AD41)</f>
        <v>0</v>
      </c>
      <c r="AE42" s="14">
        <f t="shared" si="8"/>
        <v>-100.1764817036983</v>
      </c>
      <c r="AF42" s="91">
        <f t="shared" si="9"/>
        <v>0.95825979929012572</v>
      </c>
      <c r="AG42" s="177"/>
    </row>
    <row r="43" spans="1:33" ht="15.75" customHeight="1">
      <c r="A43" s="188" t="s">
        <v>1794</v>
      </c>
      <c r="B43" s="28" t="s">
        <v>33</v>
      </c>
      <c r="C43" s="170" t="s">
        <v>72</v>
      </c>
      <c r="D43" s="171"/>
      <c r="E43" s="28">
        <v>34.35</v>
      </c>
      <c r="F43" s="88">
        <v>2480</v>
      </c>
      <c r="G43" s="88">
        <f t="shared" ref="G43:G48" si="31">E43*F43</f>
        <v>85188</v>
      </c>
      <c r="H43" s="30" t="s">
        <v>53</v>
      </c>
      <c r="I43" s="95">
        <v>8</v>
      </c>
      <c r="J43" s="13">
        <v>3000</v>
      </c>
      <c r="K43" s="12">
        <f t="shared" si="1"/>
        <v>375</v>
      </c>
      <c r="L43" s="95">
        <v>8</v>
      </c>
      <c r="M43" s="13">
        <f t="shared" ref="M43:M48" si="32">F43/V43*60</f>
        <v>2861.5384615384619</v>
      </c>
      <c r="N43" s="13">
        <f t="shared" si="3"/>
        <v>357.69230769230774</v>
      </c>
      <c r="O43" s="14">
        <f t="shared" si="4"/>
        <v>0</v>
      </c>
      <c r="P43" s="15">
        <f t="shared" si="5"/>
        <v>-17.307692307692264</v>
      </c>
      <c r="Q43" s="91">
        <f t="shared" si="6"/>
        <v>0.95384615384615401</v>
      </c>
      <c r="R43" s="183">
        <f>Q49</f>
        <v>0.95562777723869607</v>
      </c>
      <c r="S43" s="21">
        <v>8.3333333333333329E-2</v>
      </c>
      <c r="T43" s="21">
        <v>0.11944444444444444</v>
      </c>
      <c r="U43" s="21"/>
      <c r="V43" s="30">
        <f t="shared" ref="V43:V48" si="33">(T43-S43)*24*60</f>
        <v>51.999999999999993</v>
      </c>
      <c r="W43" s="16">
        <f>T43</f>
        <v>0.11944444444444444</v>
      </c>
      <c r="X43" s="16">
        <f>S44</f>
        <v>0.14097222222222222</v>
      </c>
      <c r="Y43" s="19"/>
      <c r="Z43" s="19"/>
      <c r="AA43" s="172"/>
      <c r="AB43" s="173"/>
      <c r="AC43" s="18">
        <v>6</v>
      </c>
      <c r="AD43" s="18"/>
      <c r="AE43" s="14">
        <f t="shared" si="8"/>
        <v>-138.46153846153811</v>
      </c>
      <c r="AF43" s="91">
        <f t="shared" si="9"/>
        <v>0.95384615384615401</v>
      </c>
      <c r="AG43" s="183">
        <f>AF49</f>
        <v>0.95562777723869607</v>
      </c>
    </row>
    <row r="44" spans="1:33" ht="15.75" customHeight="1">
      <c r="A44" s="189" t="s">
        <v>1794</v>
      </c>
      <c r="B44" s="28" t="s">
        <v>33</v>
      </c>
      <c r="C44" s="170" t="s">
        <v>48</v>
      </c>
      <c r="D44" s="171"/>
      <c r="E44" s="28">
        <v>35.119999999999997</v>
      </c>
      <c r="F44" s="88">
        <v>5172</v>
      </c>
      <c r="G44" s="88">
        <f t="shared" si="31"/>
        <v>181640.63999999998</v>
      </c>
      <c r="H44" s="30" t="s">
        <v>53</v>
      </c>
      <c r="I44" s="95">
        <v>10</v>
      </c>
      <c r="J44" s="13">
        <v>3000</v>
      </c>
      <c r="K44" s="12">
        <f t="shared" si="1"/>
        <v>300</v>
      </c>
      <c r="L44" s="95">
        <v>10</v>
      </c>
      <c r="M44" s="13">
        <f t="shared" si="32"/>
        <v>2873.333333333333</v>
      </c>
      <c r="N44" s="13">
        <f t="shared" si="3"/>
        <v>287.33333333333331</v>
      </c>
      <c r="O44" s="14">
        <f t="shared" si="4"/>
        <v>0</v>
      </c>
      <c r="P44" s="15">
        <f t="shared" si="5"/>
        <v>-12.666666666666686</v>
      </c>
      <c r="Q44" s="91">
        <f t="shared" si="6"/>
        <v>0.95777777777777773</v>
      </c>
      <c r="R44" s="184"/>
      <c r="S44" s="21">
        <v>0.14097222222222222</v>
      </c>
      <c r="T44" s="21">
        <v>0.21597222222222223</v>
      </c>
      <c r="U44" s="88">
        <f t="shared" ref="U44:U48" si="34">(S44-T43)*24*60</f>
        <v>31.000000000000011</v>
      </c>
      <c r="V44" s="30">
        <f t="shared" si="33"/>
        <v>108.00000000000001</v>
      </c>
      <c r="W44" s="16"/>
      <c r="X44" s="16"/>
      <c r="Y44" s="19"/>
      <c r="Z44" s="19"/>
      <c r="AA44" s="172"/>
      <c r="AB44" s="173"/>
      <c r="AC44" s="18"/>
      <c r="AD44" s="18"/>
      <c r="AE44" s="14">
        <f t="shared" si="8"/>
        <v>-126.66666666666697</v>
      </c>
      <c r="AF44" s="91">
        <f t="shared" si="9"/>
        <v>0.95777777777777773</v>
      </c>
      <c r="AG44" s="184"/>
    </row>
    <row r="45" spans="1:33" ht="15.75" customHeight="1">
      <c r="A45" s="189" t="s">
        <v>1794</v>
      </c>
      <c r="B45" s="28" t="s">
        <v>33</v>
      </c>
      <c r="C45" s="170" t="s">
        <v>36</v>
      </c>
      <c r="D45" s="171"/>
      <c r="E45" s="28">
        <v>21.13</v>
      </c>
      <c r="F45" s="88">
        <v>4912</v>
      </c>
      <c r="G45" s="88">
        <f t="shared" si="31"/>
        <v>103790.56</v>
      </c>
      <c r="H45" s="30" t="s">
        <v>53</v>
      </c>
      <c r="I45" s="95">
        <v>10</v>
      </c>
      <c r="J45" s="13">
        <v>3000</v>
      </c>
      <c r="K45" s="12">
        <f t="shared" si="1"/>
        <v>300</v>
      </c>
      <c r="L45" s="95">
        <v>10</v>
      </c>
      <c r="M45" s="13">
        <f t="shared" si="32"/>
        <v>2861.3592233009708</v>
      </c>
      <c r="N45" s="13">
        <f t="shared" si="3"/>
        <v>286.13592233009706</v>
      </c>
      <c r="O45" s="14">
        <f t="shared" si="4"/>
        <v>0</v>
      </c>
      <c r="P45" s="15">
        <f t="shared" si="5"/>
        <v>-13.86407766990294</v>
      </c>
      <c r="Q45" s="91">
        <f t="shared" si="6"/>
        <v>0.9537864077669902</v>
      </c>
      <c r="R45" s="184"/>
      <c r="S45" s="21">
        <v>0.2215277777777778</v>
      </c>
      <c r="T45" s="21">
        <v>0.29305555555555557</v>
      </c>
      <c r="U45" s="88">
        <f t="shared" si="34"/>
        <v>8.0000000000000107</v>
      </c>
      <c r="V45" s="30">
        <f t="shared" si="33"/>
        <v>103</v>
      </c>
      <c r="W45" s="16"/>
      <c r="X45" s="16"/>
      <c r="Y45" s="19"/>
      <c r="Z45" s="19"/>
      <c r="AA45" s="172"/>
      <c r="AB45" s="173"/>
      <c r="AC45" s="18"/>
      <c r="AD45" s="18"/>
      <c r="AE45" s="14">
        <f t="shared" si="8"/>
        <v>-138.64077669902917</v>
      </c>
      <c r="AF45" s="91">
        <f t="shared" si="9"/>
        <v>0.95378640776699031</v>
      </c>
      <c r="AG45" s="184"/>
    </row>
    <row r="46" spans="1:33" ht="15.75" customHeight="1">
      <c r="A46" s="189" t="s">
        <v>1794</v>
      </c>
      <c r="B46" s="28" t="s">
        <v>33</v>
      </c>
      <c r="C46" s="170" t="s">
        <v>38</v>
      </c>
      <c r="D46" s="171"/>
      <c r="E46" s="28">
        <v>35.869999999999997</v>
      </c>
      <c r="F46" s="88">
        <v>3500</v>
      </c>
      <c r="G46" s="88">
        <f t="shared" si="31"/>
        <v>125544.99999999999</v>
      </c>
      <c r="H46" s="30" t="s">
        <v>53</v>
      </c>
      <c r="I46" s="95">
        <v>9</v>
      </c>
      <c r="J46" s="13">
        <v>3000</v>
      </c>
      <c r="K46" s="12">
        <f t="shared" si="1"/>
        <v>333.33333333333331</v>
      </c>
      <c r="L46" s="95">
        <v>9</v>
      </c>
      <c r="M46" s="13">
        <f t="shared" si="32"/>
        <v>2876.7123287671238</v>
      </c>
      <c r="N46" s="13">
        <f t="shared" si="3"/>
        <v>319.63470319634712</v>
      </c>
      <c r="O46" s="14">
        <f t="shared" si="4"/>
        <v>0</v>
      </c>
      <c r="P46" s="15">
        <f t="shared" si="5"/>
        <v>-13.698630136986196</v>
      </c>
      <c r="Q46" s="91">
        <f t="shared" si="6"/>
        <v>0.95890410958904138</v>
      </c>
      <c r="R46" s="184"/>
      <c r="S46" s="21">
        <v>0.29722222222222222</v>
      </c>
      <c r="T46" s="21">
        <v>0.34791666666666665</v>
      </c>
      <c r="U46" s="88">
        <f t="shared" si="34"/>
        <v>5.9999999999999787</v>
      </c>
      <c r="V46" s="30">
        <f t="shared" si="33"/>
        <v>72.999999999999986</v>
      </c>
      <c r="W46" s="16"/>
      <c r="X46" s="16"/>
      <c r="Y46" s="19"/>
      <c r="Z46" s="19"/>
      <c r="AA46" s="172"/>
      <c r="AB46" s="173"/>
      <c r="AC46" s="18"/>
      <c r="AD46" s="18"/>
      <c r="AE46" s="14">
        <f t="shared" si="8"/>
        <v>-123.28767123287616</v>
      </c>
      <c r="AF46" s="91">
        <f t="shared" si="9"/>
        <v>0.95890410958904126</v>
      </c>
      <c r="AG46" s="184"/>
    </row>
    <row r="47" spans="1:33" ht="15.75" customHeight="1">
      <c r="A47" s="189" t="s">
        <v>1794</v>
      </c>
      <c r="B47" s="28" t="s">
        <v>33</v>
      </c>
      <c r="C47" s="170" t="s">
        <v>756</v>
      </c>
      <c r="D47" s="171"/>
      <c r="E47" s="28">
        <v>37.880000000000003</v>
      </c>
      <c r="F47" s="88">
        <v>3100</v>
      </c>
      <c r="G47" s="88">
        <f t="shared" si="31"/>
        <v>117428.00000000001</v>
      </c>
      <c r="H47" s="30" t="s">
        <v>53</v>
      </c>
      <c r="I47" s="95">
        <v>10</v>
      </c>
      <c r="J47" s="13">
        <v>3000</v>
      </c>
      <c r="K47" s="12">
        <f t="shared" si="1"/>
        <v>300</v>
      </c>
      <c r="L47" s="95">
        <v>10</v>
      </c>
      <c r="M47" s="13">
        <f t="shared" si="32"/>
        <v>2861.538461538461</v>
      </c>
      <c r="N47" s="13">
        <f t="shared" si="3"/>
        <v>286.15384615384608</v>
      </c>
      <c r="O47" s="14">
        <f t="shared" si="4"/>
        <v>0</v>
      </c>
      <c r="P47" s="15">
        <f t="shared" si="5"/>
        <v>-13.846153846153925</v>
      </c>
      <c r="Q47" s="91">
        <f t="shared" si="6"/>
        <v>0.95384615384615357</v>
      </c>
      <c r="R47" s="184"/>
      <c r="S47" s="21">
        <v>0.35138888888888886</v>
      </c>
      <c r="T47" s="21">
        <v>0.39652777777777776</v>
      </c>
      <c r="U47" s="88">
        <f t="shared" si="34"/>
        <v>4.9999999999999822</v>
      </c>
      <c r="V47" s="30">
        <f t="shared" si="33"/>
        <v>65.000000000000014</v>
      </c>
      <c r="W47" s="16"/>
      <c r="X47" s="16"/>
      <c r="Y47" s="19"/>
      <c r="Z47" s="19"/>
      <c r="AA47" s="172"/>
      <c r="AB47" s="173"/>
      <c r="AC47" s="18"/>
      <c r="AD47" s="18"/>
      <c r="AE47" s="14">
        <f t="shared" si="8"/>
        <v>-138.46153846153902</v>
      </c>
      <c r="AF47" s="91">
        <f t="shared" si="9"/>
        <v>0.95384615384615368</v>
      </c>
      <c r="AG47" s="184"/>
    </row>
    <row r="48" spans="1:33" ht="15.75" customHeight="1">
      <c r="A48" s="189" t="s">
        <v>1794</v>
      </c>
      <c r="B48" s="28" t="s">
        <v>33</v>
      </c>
      <c r="C48" s="170" t="s">
        <v>37</v>
      </c>
      <c r="D48" s="171"/>
      <c r="E48" s="28">
        <v>27.17</v>
      </c>
      <c r="F48" s="88">
        <v>6307</v>
      </c>
      <c r="G48" s="88">
        <f t="shared" si="31"/>
        <v>171361.19</v>
      </c>
      <c r="H48" s="30" t="s">
        <v>53</v>
      </c>
      <c r="I48" s="95">
        <v>10</v>
      </c>
      <c r="J48" s="13">
        <v>3000</v>
      </c>
      <c r="K48" s="12">
        <f t="shared" si="1"/>
        <v>300</v>
      </c>
      <c r="L48" s="95">
        <v>10</v>
      </c>
      <c r="M48" s="13">
        <f t="shared" si="32"/>
        <v>2866.818181818182</v>
      </c>
      <c r="N48" s="13">
        <f t="shared" si="3"/>
        <v>286.68181818181819</v>
      </c>
      <c r="O48" s="14">
        <f t="shared" si="4"/>
        <v>0</v>
      </c>
      <c r="P48" s="15">
        <f t="shared" si="5"/>
        <v>-13.318181818181813</v>
      </c>
      <c r="Q48" s="91">
        <f t="shared" si="6"/>
        <v>0.95560606060606057</v>
      </c>
      <c r="R48" s="184"/>
      <c r="S48" s="21">
        <v>0.40069444444444441</v>
      </c>
      <c r="T48" s="21">
        <v>0.49236111111111108</v>
      </c>
      <c r="U48" s="88">
        <f t="shared" si="34"/>
        <v>5.9999999999999787</v>
      </c>
      <c r="V48" s="30">
        <f t="shared" si="33"/>
        <v>132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-133.18181818181802</v>
      </c>
      <c r="AF48" s="91">
        <f t="shared" si="9"/>
        <v>0.95560606060606068</v>
      </c>
      <c r="AG48" s="184"/>
    </row>
    <row r="49" spans="1:33" ht="15.75" customHeight="1">
      <c r="A49" s="190" t="s">
        <v>1794</v>
      </c>
      <c r="B49" s="28" t="s">
        <v>1788</v>
      </c>
      <c r="C49" s="165"/>
      <c r="D49" s="166"/>
      <c r="E49" s="89"/>
      <c r="F49" s="88"/>
      <c r="G49" s="88"/>
      <c r="H49" s="88"/>
      <c r="I49" s="23">
        <v>9.5</v>
      </c>
      <c r="J49" s="13">
        <v>3000</v>
      </c>
      <c r="K49" s="12">
        <f t="shared" si="1"/>
        <v>315.78947368421052</v>
      </c>
      <c r="L49" s="23">
        <v>9.5</v>
      </c>
      <c r="M49" s="13">
        <f>AVERAGE(M43:M48)</f>
        <v>2866.8833317160884</v>
      </c>
      <c r="N49" s="12">
        <f t="shared" si="3"/>
        <v>301.77719281221982</v>
      </c>
      <c r="O49" s="14">
        <f t="shared" si="4"/>
        <v>0</v>
      </c>
      <c r="P49" s="15">
        <f t="shared" si="5"/>
        <v>-14.012280871990697</v>
      </c>
      <c r="Q49" s="91">
        <f t="shared" si="6"/>
        <v>0.95562777723869607</v>
      </c>
      <c r="R49" s="185"/>
      <c r="S49" s="21"/>
      <c r="T49" s="21"/>
      <c r="U49" s="88"/>
      <c r="V49" s="30"/>
      <c r="W49" s="16"/>
      <c r="X49" s="16"/>
      <c r="Y49" s="24">
        <f>SUM(Y43:Y48)</f>
        <v>0</v>
      </c>
      <c r="Z49" s="24">
        <f>SUM(Z43:Z48)</f>
        <v>0</v>
      </c>
      <c r="AA49" s="186"/>
      <c r="AB49" s="187"/>
      <c r="AC49" s="24">
        <v>6</v>
      </c>
      <c r="AD49" s="24">
        <f>SUM(AD43:AD48)</f>
        <v>0</v>
      </c>
      <c r="AE49" s="14">
        <f t="shared" si="8"/>
        <v>-133.11666828391162</v>
      </c>
      <c r="AF49" s="91">
        <f t="shared" si="9"/>
        <v>0.95562777723869607</v>
      </c>
      <c r="AG49" s="185"/>
    </row>
    <row r="50" spans="1:33" ht="15.75" customHeight="1">
      <c r="A50" s="181" t="s">
        <v>1795</v>
      </c>
      <c r="B50" s="28" t="s">
        <v>5</v>
      </c>
      <c r="C50" s="169" t="s">
        <v>41</v>
      </c>
      <c r="D50" s="169"/>
      <c r="E50" s="28">
        <v>51.75</v>
      </c>
      <c r="F50" s="29">
        <v>1041</v>
      </c>
      <c r="G50" s="88">
        <f t="shared" ref="G50:G57" si="35">E50*F50</f>
        <v>53871.75</v>
      </c>
      <c r="H50" s="30" t="s">
        <v>53</v>
      </c>
      <c r="I50" s="95">
        <v>25</v>
      </c>
      <c r="J50" s="13">
        <v>2000</v>
      </c>
      <c r="K50" s="12">
        <f t="shared" si="1"/>
        <v>80</v>
      </c>
      <c r="L50" s="95">
        <v>25</v>
      </c>
      <c r="M50" s="13">
        <f t="shared" ref="M50" si="36">F50/V50*60</f>
        <v>1951.875000000002</v>
      </c>
      <c r="N50" s="13">
        <f t="shared" si="3"/>
        <v>78.075000000000088</v>
      </c>
      <c r="O50" s="14">
        <f t="shared" si="4"/>
        <v>0</v>
      </c>
      <c r="P50" s="15">
        <f t="shared" si="5"/>
        <v>-1.9249999999999119</v>
      </c>
      <c r="Q50" s="91">
        <f t="shared" si="6"/>
        <v>0.97593750000000112</v>
      </c>
      <c r="R50" s="177">
        <f>Q58</f>
        <v>0.96833208759506872</v>
      </c>
      <c r="S50" s="21">
        <v>0.33333333333333331</v>
      </c>
      <c r="T50" s="21">
        <v>0.35555555555555551</v>
      </c>
      <c r="U50" s="21"/>
      <c r="V50" s="30">
        <f t="shared" ref="V50:V57" si="37">(T50-S50)*24*60</f>
        <v>31.999999999999964</v>
      </c>
      <c r="W50" s="21"/>
      <c r="X50" s="21"/>
      <c r="Y50" s="21"/>
      <c r="Z50" s="21"/>
      <c r="AA50" s="168"/>
      <c r="AB50" s="168"/>
      <c r="AC50" s="18">
        <v>8</v>
      </c>
      <c r="AD50" s="18"/>
      <c r="AE50" s="14">
        <f t="shared" si="8"/>
        <v>-48.124999999997954</v>
      </c>
      <c r="AF50" s="91">
        <f t="shared" si="9"/>
        <v>0.97593750000000101</v>
      </c>
      <c r="AG50" s="177">
        <f>AF58</f>
        <v>0.96833208759506884</v>
      </c>
    </row>
    <row r="51" spans="1:33" ht="15.75" customHeight="1">
      <c r="A51" s="181" t="s">
        <v>1795</v>
      </c>
      <c r="B51" s="28" t="s">
        <v>5</v>
      </c>
      <c r="C51" s="169" t="s">
        <v>40</v>
      </c>
      <c r="D51" s="169"/>
      <c r="E51" s="28">
        <v>56.43</v>
      </c>
      <c r="F51" s="29">
        <v>1456</v>
      </c>
      <c r="G51" s="88">
        <f t="shared" si="35"/>
        <v>82162.080000000002</v>
      </c>
      <c r="H51" s="30" t="s">
        <v>53</v>
      </c>
      <c r="I51" s="95">
        <v>22</v>
      </c>
      <c r="J51" s="13">
        <v>2000</v>
      </c>
      <c r="K51" s="12">
        <f t="shared" si="1"/>
        <v>90.909090909090907</v>
      </c>
      <c r="L51" s="95">
        <v>22</v>
      </c>
      <c r="M51" s="13">
        <f>F51/V51*60</f>
        <v>1941.3333333333333</v>
      </c>
      <c r="N51" s="13">
        <f t="shared" si="3"/>
        <v>88.242424242424235</v>
      </c>
      <c r="O51" s="14">
        <f t="shared" si="4"/>
        <v>0</v>
      </c>
      <c r="P51" s="15">
        <f t="shared" si="5"/>
        <v>-2.6666666666666714</v>
      </c>
      <c r="Q51" s="91">
        <f t="shared" si="6"/>
        <v>0.97066666666666657</v>
      </c>
      <c r="R51" s="177"/>
      <c r="S51" s="21">
        <v>0.35902777777777772</v>
      </c>
      <c r="T51" s="21">
        <v>0.39027777777777772</v>
      </c>
      <c r="U51" s="88">
        <f t="shared" ref="U51:U57" si="38">IF(S51=TIME(17,0,0),"",(S51-T50)*24*60)</f>
        <v>4.9999999999999822</v>
      </c>
      <c r="V51" s="30">
        <f t="shared" si="37"/>
        <v>45</v>
      </c>
      <c r="W51" s="16"/>
      <c r="X51" s="16"/>
      <c r="Y51" s="16"/>
      <c r="Z51" s="16"/>
      <c r="AA51" s="168"/>
      <c r="AB51" s="168"/>
      <c r="AC51" s="18"/>
      <c r="AD51" s="18"/>
      <c r="AE51" s="14">
        <f t="shared" si="8"/>
        <v>-58.666666666666742</v>
      </c>
      <c r="AF51" s="91">
        <f t="shared" si="9"/>
        <v>0.97066666666666668</v>
      </c>
      <c r="AG51" s="177"/>
    </row>
    <row r="52" spans="1:33" ht="15.75" customHeight="1">
      <c r="A52" s="181" t="s">
        <v>1795</v>
      </c>
      <c r="B52" s="28" t="s">
        <v>9</v>
      </c>
      <c r="C52" s="170" t="s">
        <v>39</v>
      </c>
      <c r="D52" s="171"/>
      <c r="E52" s="28">
        <v>46</v>
      </c>
      <c r="F52" s="29">
        <v>2600</v>
      </c>
      <c r="G52" s="88">
        <f t="shared" si="35"/>
        <v>119600</v>
      </c>
      <c r="H52" s="30" t="s">
        <v>53</v>
      </c>
      <c r="I52" s="95">
        <v>17</v>
      </c>
      <c r="J52" s="13">
        <v>2000</v>
      </c>
      <c r="K52" s="12">
        <f t="shared" si="1"/>
        <v>117.64705882352941</v>
      </c>
      <c r="L52" s="95">
        <v>17</v>
      </c>
      <c r="M52" s="13">
        <f t="shared" ref="M52:M57" si="39">F52/V52*60</f>
        <v>1902.4390243902433</v>
      </c>
      <c r="N52" s="13">
        <f t="shared" si="3"/>
        <v>111.90817790530843</v>
      </c>
      <c r="O52" s="14">
        <f t="shared" si="4"/>
        <v>0</v>
      </c>
      <c r="P52" s="15">
        <f t="shared" si="5"/>
        <v>-5.7388809182209712</v>
      </c>
      <c r="Q52" s="91">
        <f t="shared" si="6"/>
        <v>0.9512195121951218</v>
      </c>
      <c r="R52" s="177"/>
      <c r="S52" s="21">
        <v>0.39444444444444438</v>
      </c>
      <c r="T52" s="21">
        <v>0.45138888888888884</v>
      </c>
      <c r="U52" s="88">
        <f t="shared" si="38"/>
        <v>5.9999999999999787</v>
      </c>
      <c r="V52" s="30">
        <f t="shared" si="37"/>
        <v>82.000000000000028</v>
      </c>
      <c r="W52" s="16"/>
      <c r="X52" s="16"/>
      <c r="Y52" s="19"/>
      <c r="Z52" s="19"/>
      <c r="AA52" s="168"/>
      <c r="AB52" s="168"/>
      <c r="AC52" s="18"/>
      <c r="AD52" s="18"/>
      <c r="AE52" s="14">
        <f t="shared" si="8"/>
        <v>-97.560975609756724</v>
      </c>
      <c r="AF52" s="91">
        <f t="shared" si="9"/>
        <v>0.95121951219512169</v>
      </c>
      <c r="AG52" s="177"/>
    </row>
    <row r="53" spans="1:33" ht="15.75" customHeight="1">
      <c r="A53" s="181" t="s">
        <v>1795</v>
      </c>
      <c r="B53" s="28" t="s">
        <v>5</v>
      </c>
      <c r="C53" s="93" t="s">
        <v>45</v>
      </c>
      <c r="D53" s="94"/>
      <c r="E53" s="28">
        <v>55.32</v>
      </c>
      <c r="F53" s="29">
        <v>300</v>
      </c>
      <c r="G53" s="88">
        <f t="shared" si="35"/>
        <v>16596</v>
      </c>
      <c r="H53" s="30">
        <v>2</v>
      </c>
      <c r="I53" s="95">
        <v>15</v>
      </c>
      <c r="J53" s="13">
        <v>2000</v>
      </c>
      <c r="K53" s="12">
        <f t="shared" si="1"/>
        <v>133.33333333333334</v>
      </c>
      <c r="L53" s="95">
        <v>15</v>
      </c>
      <c r="M53" s="13">
        <f t="shared" si="39"/>
        <v>2000.000000000007</v>
      </c>
      <c r="N53" s="13">
        <f t="shared" si="3"/>
        <v>133.3333333333338</v>
      </c>
      <c r="O53" s="14">
        <f t="shared" si="4"/>
        <v>0</v>
      </c>
      <c r="P53" s="15">
        <f t="shared" si="5"/>
        <v>4.5474735088646412E-13</v>
      </c>
      <c r="Q53" s="91">
        <f t="shared" si="6"/>
        <v>1.0000000000000033</v>
      </c>
      <c r="R53" s="177"/>
      <c r="S53" s="21">
        <v>0.85416666666666663</v>
      </c>
      <c r="T53" s="21">
        <v>0.86041666666666661</v>
      </c>
      <c r="U53" s="88"/>
      <c r="V53" s="30">
        <f t="shared" si="37"/>
        <v>8.999999999999968</v>
      </c>
      <c r="W53" s="16"/>
      <c r="X53" s="16"/>
      <c r="Y53" s="19"/>
      <c r="Z53" s="19"/>
      <c r="AA53" s="168"/>
      <c r="AB53" s="168"/>
      <c r="AC53" s="18"/>
      <c r="AD53" s="18"/>
      <c r="AE53" s="14">
        <f t="shared" si="8"/>
        <v>7.0485839387401938E-12</v>
      </c>
      <c r="AF53" s="91">
        <f t="shared" si="9"/>
        <v>1.0000000000000036</v>
      </c>
      <c r="AG53" s="177"/>
    </row>
    <row r="54" spans="1:33" ht="15.75" customHeight="1">
      <c r="A54" s="181" t="s">
        <v>1795</v>
      </c>
      <c r="B54" s="28" t="s">
        <v>5</v>
      </c>
      <c r="C54" s="93" t="s">
        <v>44</v>
      </c>
      <c r="D54" s="94"/>
      <c r="E54" s="28">
        <v>55.56</v>
      </c>
      <c r="F54" s="29">
        <v>500</v>
      </c>
      <c r="G54" s="88">
        <f t="shared" si="35"/>
        <v>27780</v>
      </c>
      <c r="H54" s="30">
        <v>2</v>
      </c>
      <c r="I54" s="95">
        <v>17</v>
      </c>
      <c r="J54" s="13">
        <v>2000</v>
      </c>
      <c r="K54" s="12">
        <f t="shared" si="1"/>
        <v>117.64705882352941</v>
      </c>
      <c r="L54" s="95">
        <v>17</v>
      </c>
      <c r="M54" s="13">
        <f t="shared" si="39"/>
        <v>1874.9999999999879</v>
      </c>
      <c r="N54" s="13">
        <f t="shared" si="3"/>
        <v>110.29411764705812</v>
      </c>
      <c r="O54" s="14">
        <f t="shared" si="4"/>
        <v>0</v>
      </c>
      <c r="P54" s="15">
        <f t="shared" si="5"/>
        <v>-7.3529411764712904</v>
      </c>
      <c r="Q54" s="91">
        <f t="shared" si="6"/>
        <v>0.937499999999994</v>
      </c>
      <c r="R54" s="177"/>
      <c r="S54" s="21">
        <v>0.86458333333333326</v>
      </c>
      <c r="T54" s="21">
        <v>0.87569444444444444</v>
      </c>
      <c r="U54" s="88">
        <f t="shared" si="38"/>
        <v>5.9999999999999787</v>
      </c>
      <c r="V54" s="30">
        <f t="shared" si="37"/>
        <v>16.000000000000103</v>
      </c>
      <c r="W54" s="16"/>
      <c r="X54" s="16"/>
      <c r="Y54" s="19"/>
      <c r="Z54" s="19"/>
      <c r="AA54" s="168"/>
      <c r="AB54" s="168"/>
      <c r="AC54" s="18"/>
      <c r="AD54" s="18"/>
      <c r="AE54" s="14">
        <f t="shared" si="8"/>
        <v>-125.00000000001205</v>
      </c>
      <c r="AF54" s="91">
        <f t="shared" si="9"/>
        <v>0.937499999999994</v>
      </c>
      <c r="AG54" s="177"/>
    </row>
    <row r="55" spans="1:33" ht="15.75" customHeight="1">
      <c r="A55" s="181" t="s">
        <v>1795</v>
      </c>
      <c r="B55" s="28" t="s">
        <v>5</v>
      </c>
      <c r="C55" s="170" t="s">
        <v>43</v>
      </c>
      <c r="D55" s="171"/>
      <c r="E55" s="28">
        <v>54.29</v>
      </c>
      <c r="F55" s="29">
        <v>963</v>
      </c>
      <c r="G55" s="88">
        <f t="shared" si="35"/>
        <v>52281.27</v>
      </c>
      <c r="H55" s="30" t="s">
        <v>53</v>
      </c>
      <c r="I55" s="95">
        <v>20</v>
      </c>
      <c r="J55" s="13">
        <v>2000</v>
      </c>
      <c r="K55" s="12">
        <f t="shared" si="1"/>
        <v>100</v>
      </c>
      <c r="L55" s="95">
        <v>20</v>
      </c>
      <c r="M55" s="13">
        <f t="shared" si="39"/>
        <v>1925.9999999999966</v>
      </c>
      <c r="N55" s="13">
        <f t="shared" si="3"/>
        <v>96.299999999999827</v>
      </c>
      <c r="O55" s="14">
        <f t="shared" si="4"/>
        <v>0</v>
      </c>
      <c r="P55" s="15">
        <f t="shared" si="5"/>
        <v>-3.7000000000001734</v>
      </c>
      <c r="Q55" s="91">
        <f t="shared" si="6"/>
        <v>0.9629999999999983</v>
      </c>
      <c r="R55" s="177"/>
      <c r="S55" s="21">
        <v>0.8784722222222221</v>
      </c>
      <c r="T55" s="21">
        <v>0.89930555555555547</v>
      </c>
      <c r="U55" s="88">
        <f t="shared" si="38"/>
        <v>3.9999999999998259</v>
      </c>
      <c r="V55" s="30">
        <f t="shared" si="37"/>
        <v>30.000000000000053</v>
      </c>
      <c r="W55" s="16"/>
      <c r="X55" s="16"/>
      <c r="Y55" s="19"/>
      <c r="Z55" s="19"/>
      <c r="AA55" s="172"/>
      <c r="AB55" s="173"/>
      <c r="AC55" s="18"/>
      <c r="AD55" s="18"/>
      <c r="AE55" s="14">
        <f t="shared" si="8"/>
        <v>-74.000000000003411</v>
      </c>
      <c r="AF55" s="91">
        <f t="shared" si="9"/>
        <v>0.9629999999999983</v>
      </c>
      <c r="AG55" s="177"/>
    </row>
    <row r="56" spans="1:33" ht="15.75" customHeight="1">
      <c r="A56" s="181" t="s">
        <v>1795</v>
      </c>
      <c r="B56" s="28" t="s">
        <v>5</v>
      </c>
      <c r="C56" s="170" t="s">
        <v>45</v>
      </c>
      <c r="D56" s="171"/>
      <c r="E56" s="28">
        <v>55.32</v>
      </c>
      <c r="F56" s="29">
        <v>1037</v>
      </c>
      <c r="G56" s="88">
        <f t="shared" si="35"/>
        <v>57366.840000000004</v>
      </c>
      <c r="H56" s="30" t="s">
        <v>53</v>
      </c>
      <c r="I56" s="95">
        <v>15</v>
      </c>
      <c r="J56" s="13">
        <v>2000</v>
      </c>
      <c r="K56" s="12">
        <f t="shared" si="1"/>
        <v>133.33333333333334</v>
      </c>
      <c r="L56" s="95">
        <v>15</v>
      </c>
      <c r="M56" s="13">
        <f t="shared" si="39"/>
        <v>1944.3749999999975</v>
      </c>
      <c r="N56" s="13">
        <f t="shared" si="3"/>
        <v>129.62499999999983</v>
      </c>
      <c r="O56" s="14">
        <f t="shared" si="4"/>
        <v>0</v>
      </c>
      <c r="P56" s="15">
        <f t="shared" si="5"/>
        <v>-3.7083333333335133</v>
      </c>
      <c r="Q56" s="91">
        <f t="shared" si="6"/>
        <v>0.97218749999999865</v>
      </c>
      <c r="R56" s="177"/>
      <c r="S56" s="21">
        <v>0.90347222222222212</v>
      </c>
      <c r="T56" s="21">
        <v>0.92569444444444438</v>
      </c>
      <c r="U56" s="88">
        <f t="shared" si="38"/>
        <v>5.9999999999999787</v>
      </c>
      <c r="V56" s="30">
        <f t="shared" si="37"/>
        <v>32.000000000000043</v>
      </c>
      <c r="W56" s="16"/>
      <c r="X56" s="16"/>
      <c r="Y56" s="19"/>
      <c r="Z56" s="19"/>
      <c r="AA56" s="172"/>
      <c r="AB56" s="173"/>
      <c r="AC56" s="18"/>
      <c r="AD56" s="18"/>
      <c r="AE56" s="14">
        <f t="shared" si="8"/>
        <v>-55.625000000002501</v>
      </c>
      <c r="AF56" s="91">
        <f t="shared" si="9"/>
        <v>0.97218749999999876</v>
      </c>
      <c r="AG56" s="177"/>
    </row>
    <row r="57" spans="1:33" ht="15.75" customHeight="1">
      <c r="A57" s="181" t="s">
        <v>1795</v>
      </c>
      <c r="B57" s="28" t="s">
        <v>5</v>
      </c>
      <c r="C57" s="170" t="s">
        <v>20</v>
      </c>
      <c r="D57" s="171"/>
      <c r="E57" s="28">
        <v>53.68</v>
      </c>
      <c r="F57" s="29">
        <v>783</v>
      </c>
      <c r="G57" s="88">
        <f t="shared" si="35"/>
        <v>42031.44</v>
      </c>
      <c r="H57" s="30" t="s">
        <v>53</v>
      </c>
      <c r="I57" s="95">
        <v>16</v>
      </c>
      <c r="J57" s="13">
        <v>1500</v>
      </c>
      <c r="K57" s="12">
        <f t="shared" si="1"/>
        <v>93.75</v>
      </c>
      <c r="L57" s="95">
        <v>16</v>
      </c>
      <c r="M57" s="13">
        <f t="shared" si="39"/>
        <v>1468.1249999999982</v>
      </c>
      <c r="N57" s="13">
        <f t="shared" si="3"/>
        <v>91.757812499999886</v>
      </c>
      <c r="O57" s="14">
        <f t="shared" si="4"/>
        <v>0</v>
      </c>
      <c r="P57" s="15">
        <f t="shared" si="5"/>
        <v>-1.9921875000001137</v>
      </c>
      <c r="Q57" s="91">
        <f t="shared" si="6"/>
        <v>0.97874999999999879</v>
      </c>
      <c r="R57" s="177"/>
      <c r="S57" s="21">
        <v>0.92986111111111103</v>
      </c>
      <c r="T57" s="21">
        <v>0.95208333333333328</v>
      </c>
      <c r="U57" s="88">
        <f t="shared" si="38"/>
        <v>5.9999999999999787</v>
      </c>
      <c r="V57" s="30">
        <f t="shared" si="37"/>
        <v>32.000000000000043</v>
      </c>
      <c r="W57" s="16"/>
      <c r="X57" s="16"/>
      <c r="Y57" s="19"/>
      <c r="Z57" s="19"/>
      <c r="AA57" s="172"/>
      <c r="AB57" s="173"/>
      <c r="AC57" s="18"/>
      <c r="AD57" s="18"/>
      <c r="AE57" s="14">
        <f t="shared" si="8"/>
        <v>-31.875000000001819</v>
      </c>
      <c r="AF57" s="91">
        <f t="shared" si="9"/>
        <v>0.97874999999999879</v>
      </c>
      <c r="AG57" s="177"/>
    </row>
    <row r="58" spans="1:33">
      <c r="A58" s="182" t="s">
        <v>1795</v>
      </c>
      <c r="B58" s="28" t="s">
        <v>1788</v>
      </c>
      <c r="C58" s="178"/>
      <c r="D58" s="178"/>
      <c r="E58" s="92"/>
      <c r="F58" s="12"/>
      <c r="G58" s="12"/>
      <c r="H58" s="88"/>
      <c r="I58" s="23">
        <v>18.375</v>
      </c>
      <c r="J58" s="13">
        <v>1937.5</v>
      </c>
      <c r="K58" s="12">
        <f t="shared" si="1"/>
        <v>105.4421768707483</v>
      </c>
      <c r="L58" s="23">
        <v>18.375</v>
      </c>
      <c r="M58" s="13">
        <f>AVERAGE(M50:M57)</f>
        <v>1876.1434197154458</v>
      </c>
      <c r="N58" s="12">
        <f t="shared" si="3"/>
        <v>102.10304324982017</v>
      </c>
      <c r="O58" s="14">
        <f t="shared" si="4"/>
        <v>0</v>
      </c>
      <c r="P58" s="15">
        <f t="shared" si="5"/>
        <v>-3.3391336209281235</v>
      </c>
      <c r="Q58" s="91">
        <f t="shared" si="6"/>
        <v>0.96833208759506872</v>
      </c>
      <c r="R58" s="177"/>
      <c r="S58" s="21"/>
      <c r="T58" s="21"/>
      <c r="U58" s="88"/>
      <c r="V58" s="30"/>
      <c r="W58" s="12"/>
      <c r="X58" s="12"/>
      <c r="Y58" s="24">
        <f>SUM(Y50:Y57)</f>
        <v>0</v>
      </c>
      <c r="Z58" s="24">
        <f>SUM(Z50:Z57)</f>
        <v>0</v>
      </c>
      <c r="AA58" s="167"/>
      <c r="AB58" s="167"/>
      <c r="AC58" s="24">
        <v>8</v>
      </c>
      <c r="AD58" s="24">
        <f>SUM(AD50:AD57)</f>
        <v>0</v>
      </c>
      <c r="AE58" s="14">
        <f>M58-J58</f>
        <v>-61.356580284554184</v>
      </c>
      <c r="AF58" s="91">
        <f t="shared" si="9"/>
        <v>0.96833208759506884</v>
      </c>
      <c r="AG58" s="177"/>
    </row>
    <row r="59" spans="1:33" ht="15.75" customHeight="1">
      <c r="A59" s="179" t="s">
        <v>1796</v>
      </c>
      <c r="B59" s="88" t="s">
        <v>33</v>
      </c>
      <c r="C59" s="169" t="s">
        <v>46</v>
      </c>
      <c r="D59" s="169"/>
      <c r="E59" s="28">
        <v>37.85</v>
      </c>
      <c r="F59" s="29">
        <v>1209</v>
      </c>
      <c r="G59" s="88">
        <f t="shared" ref="G59:G63" si="40">E59*F59</f>
        <v>45760.65</v>
      </c>
      <c r="H59" s="30" t="s">
        <v>53</v>
      </c>
      <c r="I59" s="95">
        <v>12</v>
      </c>
      <c r="J59" s="13">
        <v>2000</v>
      </c>
      <c r="K59" s="12">
        <f t="shared" si="1"/>
        <v>166.66666666666666</v>
      </c>
      <c r="L59" s="95">
        <v>12</v>
      </c>
      <c r="M59" s="13">
        <f t="shared" ref="M59:M63" si="41">F59/V59*60</f>
        <v>1908.9473684210534</v>
      </c>
      <c r="N59" s="12">
        <f t="shared" si="3"/>
        <v>159.07894736842113</v>
      </c>
      <c r="O59" s="14">
        <f t="shared" si="4"/>
        <v>0</v>
      </c>
      <c r="P59" s="15">
        <f t="shared" si="5"/>
        <v>-7.5877192982455313</v>
      </c>
      <c r="Q59" s="91">
        <f t="shared" si="6"/>
        <v>0.95447368421052681</v>
      </c>
      <c r="R59" s="177">
        <f>Q64</f>
        <v>0.96247239164163023</v>
      </c>
      <c r="S59" s="21">
        <v>0.20833333333333334</v>
      </c>
      <c r="T59" s="21">
        <v>0.23472222222222222</v>
      </c>
      <c r="U59" s="88"/>
      <c r="V59" s="30">
        <f t="shared" ref="V59:V63" si="42">(T59-S59)*24*60</f>
        <v>37.999999999999986</v>
      </c>
      <c r="W59" s="21"/>
      <c r="X59" s="21"/>
      <c r="Y59" s="21"/>
      <c r="Z59" s="21"/>
      <c r="AA59" s="168"/>
      <c r="AB59" s="168"/>
      <c r="AC59" s="18">
        <v>5</v>
      </c>
      <c r="AD59" s="18"/>
      <c r="AE59" s="14">
        <f t="shared" ref="AE59:AE70" si="43">M59-J59</f>
        <v>-91.052631578946603</v>
      </c>
      <c r="AF59" s="91">
        <f t="shared" si="9"/>
        <v>0.9544736842105267</v>
      </c>
      <c r="AG59" s="177">
        <f>AF64</f>
        <v>0.96247239164163034</v>
      </c>
    </row>
    <row r="60" spans="1:33" ht="15.75" customHeight="1">
      <c r="A60" s="179" t="s">
        <v>1796</v>
      </c>
      <c r="B60" s="88" t="s">
        <v>33</v>
      </c>
      <c r="C60" s="169" t="s">
        <v>47</v>
      </c>
      <c r="D60" s="169"/>
      <c r="E60" s="28">
        <v>34.36</v>
      </c>
      <c r="F60" s="29">
        <v>2217</v>
      </c>
      <c r="G60" s="88">
        <f t="shared" si="40"/>
        <v>76176.12</v>
      </c>
      <c r="H60" s="30" t="s">
        <v>53</v>
      </c>
      <c r="I60" s="95">
        <v>10</v>
      </c>
      <c r="J60" s="13">
        <v>3000</v>
      </c>
      <c r="K60" s="12">
        <f t="shared" si="1"/>
        <v>300</v>
      </c>
      <c r="L60" s="95">
        <v>10</v>
      </c>
      <c r="M60" s="13">
        <f t="shared" si="41"/>
        <v>2891.739130434783</v>
      </c>
      <c r="N60" s="12">
        <f t="shared" si="3"/>
        <v>289.17391304347831</v>
      </c>
      <c r="O60" s="14">
        <f t="shared" si="4"/>
        <v>0</v>
      </c>
      <c r="P60" s="15">
        <f t="shared" si="5"/>
        <v>-10.826086956521692</v>
      </c>
      <c r="Q60" s="91">
        <f t="shared" si="6"/>
        <v>0.96391304347826101</v>
      </c>
      <c r="R60" s="177"/>
      <c r="S60" s="21">
        <v>0.23819444444444443</v>
      </c>
      <c r="T60" s="21">
        <v>0.27013888888888887</v>
      </c>
      <c r="U60" s="88">
        <f t="shared" ref="U60:U63" si="44">(S60-T59)*24*60</f>
        <v>4.9999999999999822</v>
      </c>
      <c r="V60" s="30">
        <f t="shared" si="42"/>
        <v>46</v>
      </c>
      <c r="W60" s="88"/>
      <c r="X60" s="88"/>
      <c r="Y60" s="88"/>
      <c r="Z60" s="88"/>
      <c r="AA60" s="168"/>
      <c r="AB60" s="168"/>
      <c r="AC60" s="18"/>
      <c r="AD60" s="18"/>
      <c r="AE60" s="14">
        <f t="shared" si="43"/>
        <v>-108.26086956521704</v>
      </c>
      <c r="AF60" s="91">
        <f t="shared" si="9"/>
        <v>0.96391304347826101</v>
      </c>
      <c r="AG60" s="177"/>
    </row>
    <row r="61" spans="1:33" ht="15.75" customHeight="1">
      <c r="A61" s="179" t="s">
        <v>1796</v>
      </c>
      <c r="B61" s="88" t="s">
        <v>33</v>
      </c>
      <c r="C61" s="169" t="s">
        <v>34</v>
      </c>
      <c r="D61" s="169"/>
      <c r="E61" s="28">
        <v>34.36</v>
      </c>
      <c r="F61" s="29">
        <v>1369</v>
      </c>
      <c r="G61" s="88">
        <f t="shared" si="40"/>
        <v>47038.84</v>
      </c>
      <c r="H61" s="30" t="s">
        <v>53</v>
      </c>
      <c r="I61" s="95">
        <v>10</v>
      </c>
      <c r="J61" s="13">
        <v>3000</v>
      </c>
      <c r="K61" s="12">
        <f t="shared" si="1"/>
        <v>300</v>
      </c>
      <c r="L61" s="95">
        <v>10</v>
      </c>
      <c r="M61" s="13">
        <f t="shared" si="41"/>
        <v>2933.5714285714307</v>
      </c>
      <c r="N61" s="12">
        <f t="shared" si="3"/>
        <v>293.35714285714306</v>
      </c>
      <c r="O61" s="14">
        <f t="shared" si="4"/>
        <v>0</v>
      </c>
      <c r="P61" s="15">
        <f t="shared" si="5"/>
        <v>-6.6428571428569398</v>
      </c>
      <c r="Q61" s="91">
        <f t="shared" si="6"/>
        <v>0.97785714285714354</v>
      </c>
      <c r="R61" s="177"/>
      <c r="S61" s="21">
        <v>0.27430555555555552</v>
      </c>
      <c r="T61" s="21">
        <v>0.29374999999999996</v>
      </c>
      <c r="U61" s="88">
        <f t="shared" si="44"/>
        <v>5.9999999999999787</v>
      </c>
      <c r="V61" s="30">
        <f t="shared" si="42"/>
        <v>27.999999999999979</v>
      </c>
      <c r="W61" s="88"/>
      <c r="X61" s="88"/>
      <c r="Y61" s="88"/>
      <c r="Z61" s="88"/>
      <c r="AA61" s="168"/>
      <c r="AB61" s="168"/>
      <c r="AC61" s="18"/>
      <c r="AD61" s="18"/>
      <c r="AE61" s="14">
        <f t="shared" si="43"/>
        <v>-66.428571428569285</v>
      </c>
      <c r="AF61" s="91">
        <f t="shared" si="9"/>
        <v>0.97785714285714354</v>
      </c>
      <c r="AG61" s="177"/>
    </row>
    <row r="62" spans="1:33" ht="15.75" customHeight="1">
      <c r="A62" s="179" t="s">
        <v>1796</v>
      </c>
      <c r="B62" s="88" t="s">
        <v>33</v>
      </c>
      <c r="C62" s="169" t="s">
        <v>35</v>
      </c>
      <c r="D62" s="169"/>
      <c r="E62" s="28">
        <v>26.78</v>
      </c>
      <c r="F62" s="29">
        <v>2404</v>
      </c>
      <c r="G62" s="88">
        <f t="shared" si="40"/>
        <v>64379.12</v>
      </c>
      <c r="H62" s="30" t="s">
        <v>53</v>
      </c>
      <c r="I62" s="95">
        <v>10</v>
      </c>
      <c r="J62" s="13">
        <v>3000</v>
      </c>
      <c r="K62" s="12">
        <f t="shared" si="1"/>
        <v>300</v>
      </c>
      <c r="L62" s="95">
        <v>10</v>
      </c>
      <c r="M62" s="13">
        <f t="shared" si="41"/>
        <v>2884.8000000000006</v>
      </c>
      <c r="N62" s="12">
        <f t="shared" si="3"/>
        <v>288.48000000000008</v>
      </c>
      <c r="O62" s="14">
        <f t="shared" si="4"/>
        <v>0</v>
      </c>
      <c r="P62" s="15">
        <f t="shared" si="5"/>
        <v>-11.519999999999925</v>
      </c>
      <c r="Q62" s="91">
        <f t="shared" si="6"/>
        <v>0.96160000000000023</v>
      </c>
      <c r="R62" s="177"/>
      <c r="S62" s="21">
        <v>0.29930555555555549</v>
      </c>
      <c r="T62" s="21">
        <v>0.3340277777777777</v>
      </c>
      <c r="U62" s="88">
        <f t="shared" si="44"/>
        <v>7.9999999999999716</v>
      </c>
      <c r="V62" s="30">
        <f t="shared" si="42"/>
        <v>49.999999999999986</v>
      </c>
      <c r="W62" s="88"/>
      <c r="X62" s="88"/>
      <c r="Y62" s="88"/>
      <c r="Z62" s="88"/>
      <c r="AA62" s="168"/>
      <c r="AB62" s="168"/>
      <c r="AC62" s="18"/>
      <c r="AD62" s="18"/>
      <c r="AE62" s="14">
        <f t="shared" si="43"/>
        <v>-115.19999999999936</v>
      </c>
      <c r="AF62" s="91">
        <f t="shared" si="9"/>
        <v>0.96160000000000023</v>
      </c>
      <c r="AG62" s="177"/>
    </row>
    <row r="63" spans="1:33">
      <c r="A63" s="180" t="s">
        <v>1796</v>
      </c>
      <c r="B63" s="88" t="s">
        <v>33</v>
      </c>
      <c r="C63" s="169" t="s">
        <v>71</v>
      </c>
      <c r="D63" s="169"/>
      <c r="E63" s="28">
        <v>28.3</v>
      </c>
      <c r="F63" s="29">
        <v>1285</v>
      </c>
      <c r="G63" s="88">
        <f t="shared" si="40"/>
        <v>36365.5</v>
      </c>
      <c r="H63" s="30" t="s">
        <v>53</v>
      </c>
      <c r="I63" s="95">
        <v>8</v>
      </c>
      <c r="J63" s="13">
        <v>3000</v>
      </c>
      <c r="K63" s="12">
        <f t="shared" si="1"/>
        <v>375</v>
      </c>
      <c r="L63" s="95">
        <v>8</v>
      </c>
      <c r="M63" s="13">
        <f t="shared" si="41"/>
        <v>2855.555555555557</v>
      </c>
      <c r="N63" s="12">
        <f t="shared" si="3"/>
        <v>356.94444444444463</v>
      </c>
      <c r="O63" s="14">
        <f t="shared" si="4"/>
        <v>0</v>
      </c>
      <c r="P63" s="15">
        <f t="shared" si="5"/>
        <v>-18.055555555555372</v>
      </c>
      <c r="Q63" s="91">
        <f t="shared" si="6"/>
        <v>0.95185185185185239</v>
      </c>
      <c r="R63" s="177"/>
      <c r="S63" s="21">
        <v>0.33958333333333324</v>
      </c>
      <c r="T63" s="21">
        <v>0.35833333333333323</v>
      </c>
      <c r="U63" s="88">
        <f t="shared" si="44"/>
        <v>7.9999999999999716</v>
      </c>
      <c r="V63" s="30">
        <f t="shared" si="42"/>
        <v>26.999999999999986</v>
      </c>
      <c r="W63" s="16"/>
      <c r="X63" s="16"/>
      <c r="Y63" s="16"/>
      <c r="Z63" s="16"/>
      <c r="AA63" s="168"/>
      <c r="AB63" s="168"/>
      <c r="AC63" s="18"/>
      <c r="AD63" s="18"/>
      <c r="AE63" s="14">
        <f t="shared" si="43"/>
        <v>-144.44444444444298</v>
      </c>
      <c r="AF63" s="91">
        <f t="shared" si="9"/>
        <v>0.95185185185185239</v>
      </c>
      <c r="AG63" s="177"/>
    </row>
    <row r="64" spans="1:33">
      <c r="A64" s="180" t="s">
        <v>1796</v>
      </c>
      <c r="B64" s="28" t="s">
        <v>1788</v>
      </c>
      <c r="C64" s="178"/>
      <c r="D64" s="178"/>
      <c r="E64" s="92"/>
      <c r="F64" s="12"/>
      <c r="G64" s="12"/>
      <c r="H64" s="88"/>
      <c r="I64" s="23">
        <v>10</v>
      </c>
      <c r="J64" s="13">
        <v>2800</v>
      </c>
      <c r="K64" s="12">
        <f t="shared" si="1"/>
        <v>280</v>
      </c>
      <c r="L64" s="23">
        <v>10</v>
      </c>
      <c r="M64" s="13">
        <f>AVERAGE(M59:M63)</f>
        <v>2694.9226965965649</v>
      </c>
      <c r="N64" s="12">
        <f t="shared" si="3"/>
        <v>269.49226965965647</v>
      </c>
      <c r="O64" s="14">
        <f t="shared" si="4"/>
        <v>0</v>
      </c>
      <c r="P64" s="15">
        <f t="shared" si="5"/>
        <v>-10.507730340343528</v>
      </c>
      <c r="Q64" s="91">
        <f t="shared" si="6"/>
        <v>0.96247239164163023</v>
      </c>
      <c r="R64" s="177"/>
      <c r="S64" s="21"/>
      <c r="T64" s="21"/>
      <c r="U64" s="12"/>
      <c r="V64" s="30"/>
      <c r="W64" s="12"/>
      <c r="X64" s="12"/>
      <c r="Y64" s="24">
        <f>SUM(Y59:Y63)</f>
        <v>0</v>
      </c>
      <c r="Z64" s="24">
        <f>SUM(Z59:Z63)</f>
        <v>0</v>
      </c>
      <c r="AA64" s="167"/>
      <c r="AB64" s="167"/>
      <c r="AC64" s="24">
        <v>5</v>
      </c>
      <c r="AD64" s="24">
        <f>SUM(AD59:AD63)</f>
        <v>0</v>
      </c>
      <c r="AE64" s="14">
        <f t="shared" si="43"/>
        <v>-105.07730340343505</v>
      </c>
      <c r="AF64" s="91">
        <f t="shared" si="9"/>
        <v>0.96247239164163034</v>
      </c>
      <c r="AG64" s="177"/>
    </row>
    <row r="65" spans="1:33" ht="15.75" customHeight="1">
      <c r="A65" s="174" t="s">
        <v>1797</v>
      </c>
      <c r="B65" s="88" t="s">
        <v>22</v>
      </c>
      <c r="C65" s="169" t="s">
        <v>29</v>
      </c>
      <c r="D65" s="169"/>
      <c r="E65" s="28">
        <v>20.52</v>
      </c>
      <c r="F65" s="88">
        <v>3208</v>
      </c>
      <c r="G65" s="88">
        <f t="shared" ref="G65:G69" si="45">E65*F65</f>
        <v>65828.160000000003</v>
      </c>
      <c r="H65" s="30" t="s">
        <v>53</v>
      </c>
      <c r="I65" s="95">
        <v>18</v>
      </c>
      <c r="J65" s="13">
        <v>2400</v>
      </c>
      <c r="K65" s="12">
        <f t="shared" si="1"/>
        <v>133.33333333333334</v>
      </c>
      <c r="L65" s="95">
        <v>18</v>
      </c>
      <c r="M65" s="13">
        <f t="shared" ref="M65:M69" si="46">F65/V65*60</f>
        <v>2291.4285714285716</v>
      </c>
      <c r="N65" s="12">
        <f t="shared" si="3"/>
        <v>127.3015873015873</v>
      </c>
      <c r="O65" s="14">
        <f t="shared" si="4"/>
        <v>0</v>
      </c>
      <c r="P65" s="15">
        <f t="shared" si="5"/>
        <v>-6.0317460317460387</v>
      </c>
      <c r="Q65" s="91">
        <f t="shared" si="6"/>
        <v>0.9547619047619047</v>
      </c>
      <c r="R65" s="177">
        <f>Q70</f>
        <v>0.95727437357328682</v>
      </c>
      <c r="S65" s="21">
        <v>8.3333333333333329E-2</v>
      </c>
      <c r="T65" s="21">
        <v>0.14166666666666666</v>
      </c>
      <c r="U65" s="21"/>
      <c r="V65" s="30">
        <f t="shared" ref="V65:V69" si="47">(T65-S65)*24*60</f>
        <v>84</v>
      </c>
      <c r="W65" s="16">
        <f>T65</f>
        <v>0.14166666666666666</v>
      </c>
      <c r="X65" s="16">
        <f>S66</f>
        <v>0.16111111111111112</v>
      </c>
      <c r="Y65" s="16"/>
      <c r="Z65" s="16"/>
      <c r="AA65" s="168"/>
      <c r="AB65" s="168"/>
      <c r="AC65" s="18">
        <v>5</v>
      </c>
      <c r="AD65" s="18"/>
      <c r="AE65" s="14">
        <f t="shared" si="43"/>
        <v>-108.57142857142844</v>
      </c>
      <c r="AF65" s="91">
        <f t="shared" si="9"/>
        <v>0.95476190476190481</v>
      </c>
      <c r="AG65" s="177">
        <f>AF70</f>
        <v>0.95727437357328671</v>
      </c>
    </row>
    <row r="66" spans="1:33" ht="15.75" customHeight="1">
      <c r="A66" s="175" t="s">
        <v>1797</v>
      </c>
      <c r="B66" s="88" t="s">
        <v>22</v>
      </c>
      <c r="C66" s="169" t="s">
        <v>50</v>
      </c>
      <c r="D66" s="169"/>
      <c r="E66" s="28">
        <v>24.45</v>
      </c>
      <c r="F66" s="88">
        <v>2169</v>
      </c>
      <c r="G66" s="88">
        <f t="shared" si="45"/>
        <v>53032.049999999996</v>
      </c>
      <c r="H66" s="30" t="s">
        <v>53</v>
      </c>
      <c r="I66" s="95">
        <v>19</v>
      </c>
      <c r="J66" s="13">
        <v>2400</v>
      </c>
      <c r="K66" s="12">
        <f t="shared" si="1"/>
        <v>126.31578947368421</v>
      </c>
      <c r="L66" s="95">
        <v>19</v>
      </c>
      <c r="M66" s="13">
        <f t="shared" si="46"/>
        <v>2323.9285714285711</v>
      </c>
      <c r="N66" s="12">
        <f t="shared" si="3"/>
        <v>122.31203007518795</v>
      </c>
      <c r="O66" s="14">
        <f t="shared" si="4"/>
        <v>0</v>
      </c>
      <c r="P66" s="15">
        <f t="shared" si="5"/>
        <v>-4.0037593984962569</v>
      </c>
      <c r="Q66" s="91">
        <f t="shared" si="6"/>
        <v>0.96830357142857126</v>
      </c>
      <c r="R66" s="177"/>
      <c r="S66" s="21">
        <v>0.16111111111111112</v>
      </c>
      <c r="T66" s="21">
        <v>0.2</v>
      </c>
      <c r="U66" s="88">
        <f t="shared" ref="U66:U69" si="48">(S66-T65)*24*60</f>
        <v>28.000000000000021</v>
      </c>
      <c r="V66" s="30">
        <f t="shared" si="47"/>
        <v>56</v>
      </c>
      <c r="W66" s="16"/>
      <c r="X66" s="16"/>
      <c r="Y66" s="16"/>
      <c r="Z66" s="16"/>
      <c r="AA66" s="168"/>
      <c r="AB66" s="168"/>
      <c r="AC66" s="18"/>
      <c r="AD66" s="18"/>
      <c r="AE66" s="14">
        <f t="shared" si="43"/>
        <v>-76.071428571428896</v>
      </c>
      <c r="AF66" s="91">
        <f t="shared" si="9"/>
        <v>0.96830357142857126</v>
      </c>
      <c r="AG66" s="177"/>
    </row>
    <row r="67" spans="1:33" ht="15.75" customHeight="1">
      <c r="A67" s="175" t="s">
        <v>1797</v>
      </c>
      <c r="B67" s="88" t="s">
        <v>22</v>
      </c>
      <c r="C67" s="169" t="s">
        <v>31</v>
      </c>
      <c r="D67" s="169"/>
      <c r="E67" s="28">
        <v>20.21</v>
      </c>
      <c r="F67" s="88">
        <v>2497</v>
      </c>
      <c r="G67" s="88">
        <f t="shared" si="45"/>
        <v>50464.37</v>
      </c>
      <c r="H67" s="30" t="s">
        <v>53</v>
      </c>
      <c r="I67" s="95">
        <v>15</v>
      </c>
      <c r="J67" s="13">
        <v>2400</v>
      </c>
      <c r="K67" s="12">
        <f t="shared" si="1"/>
        <v>160</v>
      </c>
      <c r="L67" s="95">
        <v>15</v>
      </c>
      <c r="M67" s="13">
        <f t="shared" si="46"/>
        <v>2304.923076923078</v>
      </c>
      <c r="N67" s="12">
        <f t="shared" si="3"/>
        <v>153.66153846153853</v>
      </c>
      <c r="O67" s="14">
        <f t="shared" si="4"/>
        <v>0</v>
      </c>
      <c r="P67" s="15">
        <f t="shared" si="5"/>
        <v>-6.3384615384614733</v>
      </c>
      <c r="Q67" s="91">
        <f t="shared" si="6"/>
        <v>0.96038461538461584</v>
      </c>
      <c r="R67" s="177"/>
      <c r="S67" s="21">
        <v>0.20486111111111113</v>
      </c>
      <c r="T67" s="21">
        <v>0.25</v>
      </c>
      <c r="U67" s="88">
        <f t="shared" si="48"/>
        <v>7.0000000000000151</v>
      </c>
      <c r="V67" s="30">
        <f t="shared" si="47"/>
        <v>64.999999999999972</v>
      </c>
      <c r="W67" s="16"/>
      <c r="X67" s="16"/>
      <c r="Y67" s="16"/>
      <c r="Z67" s="16"/>
      <c r="AA67" s="168"/>
      <c r="AB67" s="168"/>
      <c r="AC67" s="18"/>
      <c r="AD67" s="18"/>
      <c r="AE67" s="14">
        <f t="shared" si="43"/>
        <v>-95.076923076921958</v>
      </c>
      <c r="AF67" s="91">
        <f t="shared" si="9"/>
        <v>0.96038461538461584</v>
      </c>
      <c r="AG67" s="177"/>
    </row>
    <row r="68" spans="1:33" ht="15.75" customHeight="1">
      <c r="A68" s="175" t="s">
        <v>1797</v>
      </c>
      <c r="B68" s="88" t="s">
        <v>22</v>
      </c>
      <c r="C68" s="169" t="s">
        <v>70</v>
      </c>
      <c r="D68" s="169"/>
      <c r="E68" s="28">
        <v>22.69</v>
      </c>
      <c r="F68" s="88">
        <v>4380</v>
      </c>
      <c r="G68" s="88">
        <f t="shared" si="45"/>
        <v>99382.200000000012</v>
      </c>
      <c r="H68" s="30" t="s">
        <v>53</v>
      </c>
      <c r="I68" s="95">
        <v>15</v>
      </c>
      <c r="J68" s="13">
        <v>2400</v>
      </c>
      <c r="K68" s="12">
        <f t="shared" si="1"/>
        <v>160</v>
      </c>
      <c r="L68" s="95">
        <v>15</v>
      </c>
      <c r="M68" s="13">
        <f t="shared" si="46"/>
        <v>2285.217391304348</v>
      </c>
      <c r="N68" s="12">
        <f t="shared" si="3"/>
        <v>152.34782608695653</v>
      </c>
      <c r="O68" s="14">
        <f t="shared" si="4"/>
        <v>0</v>
      </c>
      <c r="P68" s="15">
        <f t="shared" si="5"/>
        <v>-7.6521739130434696</v>
      </c>
      <c r="Q68" s="91">
        <f t="shared" si="6"/>
        <v>0.95217391304347831</v>
      </c>
      <c r="R68" s="177"/>
      <c r="S68" s="21">
        <v>0.25416666666666665</v>
      </c>
      <c r="T68" s="21">
        <v>0.33402777777777776</v>
      </c>
      <c r="U68" s="88">
        <f t="shared" si="48"/>
        <v>5.9999999999999787</v>
      </c>
      <c r="V68" s="30">
        <f t="shared" si="47"/>
        <v>114.99999999999999</v>
      </c>
      <c r="W68" s="16"/>
      <c r="X68" s="16"/>
      <c r="Y68" s="16"/>
      <c r="Z68" s="16"/>
      <c r="AA68" s="168"/>
      <c r="AB68" s="168"/>
      <c r="AC68" s="18"/>
      <c r="AD68" s="18"/>
      <c r="AE68" s="14">
        <f t="shared" si="43"/>
        <v>-114.78260869565202</v>
      </c>
      <c r="AF68" s="91">
        <f t="shared" si="9"/>
        <v>0.95217391304347831</v>
      </c>
      <c r="AG68" s="177"/>
    </row>
    <row r="69" spans="1:33" ht="15.75" customHeight="1">
      <c r="A69" s="175" t="s">
        <v>1797</v>
      </c>
      <c r="B69" s="88" t="s">
        <v>22</v>
      </c>
      <c r="C69" s="169" t="s">
        <v>52</v>
      </c>
      <c r="D69" s="169"/>
      <c r="E69" s="28">
        <v>19.02</v>
      </c>
      <c r="F69" s="88">
        <v>8899</v>
      </c>
      <c r="G69" s="88">
        <f t="shared" si="45"/>
        <v>169258.98</v>
      </c>
      <c r="H69" s="30" t="s">
        <v>53</v>
      </c>
      <c r="I69" s="95">
        <v>14</v>
      </c>
      <c r="J69" s="13">
        <v>2400</v>
      </c>
      <c r="K69" s="12">
        <f t="shared" ref="K69:K70" si="49">J69/I69</f>
        <v>171.42857142857142</v>
      </c>
      <c r="L69" s="95">
        <v>14</v>
      </c>
      <c r="M69" s="13">
        <f t="shared" si="46"/>
        <v>2281.7948717948711</v>
      </c>
      <c r="N69" s="12">
        <f t="shared" ref="N69:N70" si="50">M69/L69</f>
        <v>162.98534798534794</v>
      </c>
      <c r="O69" s="14">
        <f t="shared" ref="O69:O70" si="51">L69-I69</f>
        <v>0</v>
      </c>
      <c r="P69" s="15">
        <f t="shared" ref="P69:P70" si="52">N69-K69</f>
        <v>-8.4432234432234736</v>
      </c>
      <c r="Q69" s="91">
        <f t="shared" ref="Q69:Q70" si="53">N69/K69</f>
        <v>0.95074786324786309</v>
      </c>
      <c r="R69" s="177"/>
      <c r="S69" s="21">
        <v>0.33819444444444441</v>
      </c>
      <c r="T69" s="21">
        <v>0.50069444444444444</v>
      </c>
      <c r="U69" s="88">
        <f t="shared" si="48"/>
        <v>5.9999999999999787</v>
      </c>
      <c r="V69" s="30">
        <f t="shared" si="47"/>
        <v>234.00000000000006</v>
      </c>
      <c r="W69" s="16"/>
      <c r="X69" s="16"/>
      <c r="Y69" s="16"/>
      <c r="Z69" s="16"/>
      <c r="AA69" s="168"/>
      <c r="AB69" s="168"/>
      <c r="AC69" s="18"/>
      <c r="AD69" s="18"/>
      <c r="AE69" s="14">
        <f t="shared" si="43"/>
        <v>-118.20512820512886</v>
      </c>
      <c r="AF69" s="91">
        <f t="shared" ref="AF69:AF70" si="54">M69/J69</f>
        <v>0.95074786324786298</v>
      </c>
      <c r="AG69" s="177"/>
    </row>
    <row r="70" spans="1:33" ht="16.5" customHeight="1">
      <c r="A70" s="176" t="s">
        <v>1797</v>
      </c>
      <c r="B70" s="28" t="s">
        <v>1788</v>
      </c>
      <c r="C70" s="165"/>
      <c r="D70" s="166"/>
      <c r="E70" s="92"/>
      <c r="F70" s="12"/>
      <c r="G70" s="12"/>
      <c r="H70" s="88"/>
      <c r="I70" s="23">
        <v>16.2</v>
      </c>
      <c r="J70" s="13">
        <v>2400</v>
      </c>
      <c r="K70" s="12">
        <f t="shared" si="49"/>
        <v>148.14814814814815</v>
      </c>
      <c r="L70" s="23">
        <v>16.2</v>
      </c>
      <c r="M70" s="13">
        <f>AVERAGE(M65:M69)</f>
        <v>2297.4584965758881</v>
      </c>
      <c r="N70" s="12">
        <f t="shared" si="50"/>
        <v>141.81842571456102</v>
      </c>
      <c r="O70" s="14">
        <f t="shared" si="51"/>
        <v>0</v>
      </c>
      <c r="P70" s="15">
        <f t="shared" si="52"/>
        <v>-6.3297224335871363</v>
      </c>
      <c r="Q70" s="91">
        <f t="shared" si="53"/>
        <v>0.95727437357328682</v>
      </c>
      <c r="R70" s="177"/>
      <c r="S70" s="21"/>
      <c r="T70" s="21"/>
      <c r="U70" s="12"/>
      <c r="V70" s="30"/>
      <c r="W70" s="12"/>
      <c r="X70" s="12"/>
      <c r="Y70" s="24">
        <f>SUM(Y65:Y69)</f>
        <v>0</v>
      </c>
      <c r="Z70" s="24">
        <f>SUM(Z65:Z69)</f>
        <v>0</v>
      </c>
      <c r="AA70" s="167"/>
      <c r="AB70" s="167"/>
      <c r="AC70" s="24">
        <v>5</v>
      </c>
      <c r="AD70" s="24">
        <f>SUM(AD65:AD69)</f>
        <v>0</v>
      </c>
      <c r="AE70" s="14">
        <f t="shared" si="43"/>
        <v>-102.54150342411185</v>
      </c>
      <c r="AF70" s="91">
        <f t="shared" si="54"/>
        <v>0.95727437357328671</v>
      </c>
      <c r="AG70" s="177"/>
    </row>
    <row r="71" spans="1:33">
      <c r="D71" s="87"/>
      <c r="E71" s="87"/>
    </row>
  </sheetData>
  <mergeCells count="191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C11:D11"/>
    <mergeCell ref="AA11:AB11"/>
    <mergeCell ref="A12:A15"/>
    <mergeCell ref="C12:D12"/>
    <mergeCell ref="R12:R15"/>
    <mergeCell ref="AA12:AB12"/>
    <mergeCell ref="C7:D7"/>
    <mergeCell ref="AA7:AB7"/>
    <mergeCell ref="C8:D8"/>
    <mergeCell ref="AA8:AB8"/>
    <mergeCell ref="C9:D9"/>
    <mergeCell ref="AA9:AB9"/>
    <mergeCell ref="A5:A11"/>
    <mergeCell ref="C5:D5"/>
    <mergeCell ref="R5:R11"/>
    <mergeCell ref="AA5:AB5"/>
    <mergeCell ref="AG16:AG21"/>
    <mergeCell ref="C17:D17"/>
    <mergeCell ref="AA17:AB17"/>
    <mergeCell ref="C18:D18"/>
    <mergeCell ref="AA18:AB18"/>
    <mergeCell ref="C19:D19"/>
    <mergeCell ref="AG12:AG15"/>
    <mergeCell ref="C13:D13"/>
    <mergeCell ref="AA13:AB13"/>
    <mergeCell ref="C14:D14"/>
    <mergeCell ref="AA14:AB14"/>
    <mergeCell ref="C15:D15"/>
    <mergeCell ref="AA15:AB15"/>
    <mergeCell ref="AA19:AB19"/>
    <mergeCell ref="C20:D20"/>
    <mergeCell ref="AA20:AB20"/>
    <mergeCell ref="C21:D21"/>
    <mergeCell ref="AA21:AB21"/>
    <mergeCell ref="A22:A30"/>
    <mergeCell ref="C22:D22"/>
    <mergeCell ref="R22:R30"/>
    <mergeCell ref="AA22:AB22"/>
    <mergeCell ref="AA27:AB27"/>
    <mergeCell ref="A16:A21"/>
    <mergeCell ref="C16:D16"/>
    <mergeCell ref="R16:R21"/>
    <mergeCell ref="AA16:AB16"/>
    <mergeCell ref="AG22:AG30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C30:D30"/>
    <mergeCell ref="AA30:AB30"/>
    <mergeCell ref="A31:A36"/>
    <mergeCell ref="C31:D31"/>
    <mergeCell ref="R31:R36"/>
    <mergeCell ref="AA31:AB31"/>
    <mergeCell ref="AA36:AB36"/>
    <mergeCell ref="AG37:AG42"/>
    <mergeCell ref="C38:D38"/>
    <mergeCell ref="AA38:AB38"/>
    <mergeCell ref="C39:D39"/>
    <mergeCell ref="AA39:AB39"/>
    <mergeCell ref="C40:D40"/>
    <mergeCell ref="AG31:AG36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40:AB40"/>
    <mergeCell ref="C41:D41"/>
    <mergeCell ref="AA41:AB41"/>
    <mergeCell ref="C42:D42"/>
    <mergeCell ref="AA42:AB42"/>
    <mergeCell ref="A43:A49"/>
    <mergeCell ref="C43:D43"/>
    <mergeCell ref="R43:R49"/>
    <mergeCell ref="AA43:AB43"/>
    <mergeCell ref="AA48:AB48"/>
    <mergeCell ref="A37:A42"/>
    <mergeCell ref="C37:D37"/>
    <mergeCell ref="R37:R42"/>
    <mergeCell ref="AA37:AB37"/>
    <mergeCell ref="AG43:AG49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C48:D48"/>
    <mergeCell ref="C49:D49"/>
    <mergeCell ref="AA49:AB49"/>
    <mergeCell ref="A50:A58"/>
    <mergeCell ref="C50:D50"/>
    <mergeCell ref="R50:R58"/>
    <mergeCell ref="AA50:AB50"/>
    <mergeCell ref="AA56:AB56"/>
    <mergeCell ref="C57:D57"/>
    <mergeCell ref="AA57:AB57"/>
    <mergeCell ref="C58:D58"/>
    <mergeCell ref="AA58:AB58"/>
    <mergeCell ref="A59:A64"/>
    <mergeCell ref="C59:D59"/>
    <mergeCell ref="R59:R64"/>
    <mergeCell ref="AA59:AB59"/>
    <mergeCell ref="AG59:AG64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AG50:AG58"/>
    <mergeCell ref="C51:D51"/>
    <mergeCell ref="AA51:AB51"/>
    <mergeCell ref="C52:D52"/>
    <mergeCell ref="AA52:AB52"/>
    <mergeCell ref="AA53:AB53"/>
    <mergeCell ref="AA54:AB54"/>
    <mergeCell ref="C55:D55"/>
    <mergeCell ref="AA55:AB55"/>
    <mergeCell ref="C56:D56"/>
    <mergeCell ref="AA68:AB68"/>
    <mergeCell ref="C69:D69"/>
    <mergeCell ref="AA69:AB69"/>
    <mergeCell ref="A65:A70"/>
    <mergeCell ref="C65:D65"/>
    <mergeCell ref="R65:R70"/>
    <mergeCell ref="AA65:AB65"/>
    <mergeCell ref="AG65:AG70"/>
    <mergeCell ref="C66:D66"/>
    <mergeCell ref="AA66:AB66"/>
    <mergeCell ref="C67:D67"/>
    <mergeCell ref="AA67:AB67"/>
    <mergeCell ref="C68:D68"/>
    <mergeCell ref="C70:D70"/>
    <mergeCell ref="AA70:AB70"/>
  </mergeCells>
  <phoneticPr fontId="3" type="noConversion"/>
  <conditionalFormatting sqref="O5:O70">
    <cfRule type="cellIs" dxfId="146" priority="9" operator="greaterThan">
      <formula>0</formula>
    </cfRule>
  </conditionalFormatting>
  <conditionalFormatting sqref="P5:P70">
    <cfRule type="cellIs" dxfId="145" priority="1" operator="lessThan">
      <formula>0</formula>
    </cfRule>
  </conditionalFormatting>
  <conditionalFormatting sqref="Q5:Q70 AF5:AF70">
    <cfRule type="cellIs" dxfId="144" priority="10" operator="greaterThan">
      <formula>1</formula>
    </cfRule>
    <cfRule type="cellIs" dxfId="143" priority="11" operator="lessThan">
      <formula>0.8</formula>
    </cfRule>
  </conditionalFormatting>
  <conditionalFormatting sqref="R5:R12 AG5:AG12">
    <cfRule type="cellIs" dxfId="142" priority="55" operator="lessThan">
      <formula>0.8</formula>
    </cfRule>
  </conditionalFormatting>
  <conditionalFormatting sqref="AE5:AE70">
    <cfRule type="cellIs" dxfId="141" priority="12" operator="lessThan">
      <formula>0</formula>
    </cfRule>
  </conditionalFormatting>
  <conditionalFormatting sqref="AG16:AG62 R16:R70">
    <cfRule type="cellIs" dxfId="140" priority="13" operator="lessThan">
      <formula>0.8</formula>
    </cfRule>
  </conditionalFormatting>
  <dataValidations count="1">
    <dataValidation type="list" allowBlank="1" showInputMessage="1" showErrorMessage="1" sqref="AA5:AB9 AB10:AB11 AB63 AB13:AB59 AA10:AA63 AA64:AB70" xr:uid="{00000000-0002-0000-19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Q32"/>
  <sheetViews>
    <sheetView topLeftCell="A6" zoomScale="85" zoomScaleNormal="85" workbookViewId="0">
      <selection activeCell="A9" sqref="A9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1588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1589</v>
      </c>
      <c r="C3" s="154" t="str">
        <f>TEXT('0417 4度C'!A2,"yyyy.mm.ddaaaa")</f>
        <v>2026.04.17星期五</v>
      </c>
      <c r="D3" s="155"/>
      <c r="E3" s="33" t="s">
        <v>1590</v>
      </c>
      <c r="F3" s="156">
        <f>'0417 4度C'!D1</f>
        <v>135741</v>
      </c>
      <c r="G3" s="157"/>
      <c r="H3" s="33" t="s">
        <v>1591</v>
      </c>
      <c r="I3" s="158">
        <f>'0417 4度C'!F1</f>
        <v>4525418.82</v>
      </c>
      <c r="J3" s="159"/>
      <c r="K3" s="34"/>
      <c r="L3" s="35"/>
      <c r="M3" s="35"/>
      <c r="N3" s="35"/>
    </row>
    <row r="4" spans="2:17" ht="28.5" customHeight="1">
      <c r="B4" s="160" t="s">
        <v>1592</v>
      </c>
      <c r="C4" s="146" t="s">
        <v>1593</v>
      </c>
      <c r="D4" s="147"/>
      <c r="E4" s="163" t="s">
        <v>1594</v>
      </c>
      <c r="F4" s="164"/>
      <c r="G4" s="163" t="s">
        <v>1595</v>
      </c>
      <c r="H4" s="164"/>
      <c r="I4" s="163" t="s">
        <v>1596</v>
      </c>
      <c r="J4" s="164"/>
      <c r="K4" s="144" t="s">
        <v>1597</v>
      </c>
      <c r="L4" s="145"/>
      <c r="M4" s="145" t="s">
        <v>1598</v>
      </c>
      <c r="N4" s="145"/>
    </row>
    <row r="5" spans="2:17" ht="28.5" customHeight="1">
      <c r="B5" s="161"/>
      <c r="C5" s="146" t="s">
        <v>1599</v>
      </c>
      <c r="D5" s="147"/>
      <c r="E5" s="146" t="s">
        <v>1600</v>
      </c>
      <c r="F5" s="147"/>
      <c r="G5" s="148" t="s">
        <v>1601</v>
      </c>
      <c r="H5" s="149"/>
      <c r="I5" s="150" t="s">
        <v>1602</v>
      </c>
      <c r="J5" s="151"/>
      <c r="K5" s="36" t="s">
        <v>1603</v>
      </c>
      <c r="L5" s="37" t="s">
        <v>1604</v>
      </c>
      <c r="M5" s="36" t="s">
        <v>1603</v>
      </c>
      <c r="N5" s="37" t="s">
        <v>1605</v>
      </c>
    </row>
    <row r="6" spans="2:17" ht="28.5" customHeight="1">
      <c r="B6" s="161"/>
      <c r="C6" s="146" t="s">
        <v>54</v>
      </c>
      <c r="D6" s="147"/>
      <c r="E6" s="138">
        <f>AVERAGE(D13:M13)</f>
        <v>155.03328433731917</v>
      </c>
      <c r="F6" s="139">
        <f>AVERAGE(D31:O31,D13:J13)</f>
        <v>161.27039567988641</v>
      </c>
      <c r="G6" s="140">
        <f>AVERAGE(D13:J13)</f>
        <v>161.27039567988641</v>
      </c>
      <c r="H6" s="141"/>
      <c r="I6" s="140">
        <f>AVERAGE(K13:M13)</f>
        <v>140.48002453799555</v>
      </c>
      <c r="J6" s="141"/>
      <c r="K6" s="142">
        <f>'0417 4度C'!Y2</f>
        <v>0</v>
      </c>
      <c r="L6" s="127">
        <f>'0417 4度C'!Z2</f>
        <v>0</v>
      </c>
      <c r="M6" s="143">
        <f>'0417 4度C'!AC2</f>
        <v>49</v>
      </c>
      <c r="N6" s="127">
        <f>'0417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148.92718142723552</v>
      </c>
      <c r="F7" s="131">
        <f>AVERAGE(D32:O32,D14:J14)</f>
        <v>155.15830399823153</v>
      </c>
      <c r="G7" s="132">
        <f>AVERAGE(D14:J14)</f>
        <v>155.15830399823153</v>
      </c>
      <c r="H7" s="133"/>
      <c r="I7" s="132">
        <f>AVERAGE(K14:M14)</f>
        <v>134.38789542824489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0.95947507060607895</v>
      </c>
      <c r="F8" s="135">
        <f>AVERAGE(D15:J15,D33:O33)</f>
        <v>0.96063708341904708</v>
      </c>
      <c r="G8" s="136">
        <f>AVERAGE(D15:J15)</f>
        <v>0.96063708341904708</v>
      </c>
      <c r="H8" s="137"/>
      <c r="I8" s="136">
        <f>AVERAGE(K15:M15)</f>
        <v>0.95676370737581984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1606</v>
      </c>
      <c r="N9" s="35"/>
      <c r="O9" s="35"/>
      <c r="P9" s="35"/>
      <c r="Q9" s="35"/>
    </row>
    <row r="10" spans="2:17" ht="30" customHeight="1">
      <c r="B10" s="110" t="s">
        <v>1607</v>
      </c>
      <c r="C10" s="111"/>
      <c r="D10" s="112" t="s">
        <v>1608</v>
      </c>
      <c r="E10" s="113"/>
      <c r="F10" s="113"/>
      <c r="G10" s="113"/>
      <c r="H10" s="113"/>
      <c r="I10" s="113"/>
      <c r="J10" s="114"/>
      <c r="K10" s="115" t="s">
        <v>1609</v>
      </c>
      <c r="L10" s="116"/>
      <c r="M10" s="117"/>
      <c r="P10" s="41"/>
      <c r="Q10" s="41"/>
    </row>
    <row r="11" spans="2:17" ht="17.25" customHeight="1">
      <c r="B11" s="118" t="s">
        <v>1610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1611</v>
      </c>
      <c r="C13" s="48" t="s">
        <v>1612</v>
      </c>
      <c r="D13" s="49">
        <f>SUMIFS('0417 4度C'!$K:$K,'0417 4度C'!$A:$A,"新豐6線",'0417 4度C'!$B:$B,"平均")</f>
        <v>115.38461538461539</v>
      </c>
      <c r="E13" s="50">
        <f>SUMIFS('0417 4度C'!$K:$K,'0417 4度C'!$A:$A,"新豐2線",'0417 4度C'!$B:$B,"平均")</f>
        <v>84.905660377358487</v>
      </c>
      <c r="F13" s="51">
        <f>SUMIFS('0417 4度C'!$K:$K,'0417 4度C'!$A:$A,"新豐5線",'0417 4度C'!$B:$B,"平均")</f>
        <v>104.16666666666667</v>
      </c>
      <c r="G13" s="51">
        <f>SUMIFS('0417 4度C'!$K:$K,'0417 4度C'!$A:$A,"新豐7線",'0417 4度C'!$B:$B,"平均")</f>
        <v>126.37362637362638</v>
      </c>
      <c r="H13" s="51">
        <f>SUMIFS('0417 4度C'!$K:$K,'0417 4度C'!$A:$A,"新豐3線",'0417 4度C'!$B:$B,"平均")</f>
        <v>315.78947368421052</v>
      </c>
      <c r="I13" s="51">
        <f>SUMIFS('0417 4度C'!$K:$K,'0417 4度C'!$A:$A,"新豐1線",'0417 4度C'!$B:$B,"平均")</f>
        <v>102.27272727272728</v>
      </c>
      <c r="J13" s="52">
        <f>SUMIFS('0417 4度C'!$K:$K,'0417 4度C'!$A:$A,"新豐10線",'0417 4度C'!$B:$B,"平均")</f>
        <v>280</v>
      </c>
      <c r="K13" s="53">
        <f>SUMIFS('0417 4度C'!$K:$K,'0417 4度C'!$A:$A,"新豐8線",'0417 4度C'!$B:$B,"平均")</f>
        <v>130.43478260869566</v>
      </c>
      <c r="L13" s="54">
        <f>SUMIFS('0417 4度C'!$K:$K,'0417 4度C'!$A:$A,"新豐9線",'0417 4度C'!$B:$B,"平均")</f>
        <v>142.85714285714286</v>
      </c>
      <c r="M13" s="52">
        <f>SUMIFS('0417 4度C'!$K:$K,'0417 4度C'!$A:$A,"新豐4線",'0417 4度C'!$B:$B,"平均")</f>
        <v>148.14814814814815</v>
      </c>
    </row>
    <row r="14" spans="2:17" ht="39.6" customHeight="1">
      <c r="B14" s="123"/>
      <c r="C14" s="55" t="s">
        <v>1613</v>
      </c>
      <c r="D14" s="56">
        <f>SUMIFS('0417 4度C'!$N:$N,'0417 4度C'!$A:$A,"新豐6線",'0417 4度C'!$B:$B,"平均")</f>
        <v>111.17912981327608</v>
      </c>
      <c r="E14" s="57">
        <f>SUMIFS('0417 4度C'!$N:$N,'0417 4度C'!$A:$A,"新豐2線",'0417 4度C'!$B:$B,"平均")</f>
        <v>80.863446451303517</v>
      </c>
      <c r="F14" s="57">
        <f>SUMIFS('0417 4度C'!$N:$N,'0417 4度C'!$A:$A,"新豐5線",'0417 4度C'!$B:$B,"平均")</f>
        <v>99.978170381627876</v>
      </c>
      <c r="G14" s="57">
        <f>SUMIFS('0417 4度C'!$N:$N,'0417 4度C'!$A:$A,"新豐7線",'0417 4度C'!$B:$B,"平均")</f>
        <v>121.08961747358201</v>
      </c>
      <c r="H14" s="57">
        <f>SUMIFS('0417 4度C'!$N:$N,'0417 4度C'!$A:$A,"新豐3線",'0417 4度C'!$B:$B,"平均")</f>
        <v>302.75113057315048</v>
      </c>
      <c r="I14" s="57">
        <f>SUMIFS('0417 4度C'!$N:$N,'0417 4度C'!$A:$A,"新豐1線",'0417 4度C'!$B:$B,"平均")</f>
        <v>98.208502459998357</v>
      </c>
      <c r="J14" s="58">
        <f>SUMIFS('0417 4度C'!$N:$N,'0417 4度C'!$A:$A,"新豐10線",'0417 4度C'!$B:$B,"平均")</f>
        <v>272.03813083468253</v>
      </c>
      <c r="K14" s="59">
        <f>SUMIFS('0417 4度C'!$N:$N,'0417 4度C'!$A:$A,"新豐8線",'0417 4度C'!$B:$B,"平均")</f>
        <v>125.27827268903414</v>
      </c>
      <c r="L14" s="60">
        <f>SUMIFS('0417 4度C'!$N:$N,'0417 4度C'!$A:$A,"新豐9線",'0417 4度C'!$B:$B,"平均")</f>
        <v>136.39129229554473</v>
      </c>
      <c r="M14" s="58">
        <f>SUMIFS('0417 4度C'!$N:$N,'0417 4度C'!$A:$A,"新豐4線",'0417 4度C'!$B:$B,"平均")</f>
        <v>141.4941213001558</v>
      </c>
    </row>
    <row r="15" spans="2:17" ht="40.15" customHeight="1">
      <c r="B15" s="124"/>
      <c r="C15" s="61" t="s">
        <v>1614</v>
      </c>
      <c r="D15" s="62">
        <f t="shared" ref="D15:M15" si="0">D14/D13</f>
        <v>0.96355245838172598</v>
      </c>
      <c r="E15" s="63">
        <f t="shared" si="0"/>
        <v>0.95239170264868589</v>
      </c>
      <c r="F15" s="63">
        <f t="shared" si="0"/>
        <v>0.95979043566362754</v>
      </c>
      <c r="G15" s="63">
        <f t="shared" si="0"/>
        <v>0.95818740783443146</v>
      </c>
      <c r="H15" s="63">
        <f t="shared" si="0"/>
        <v>0.9587119134816432</v>
      </c>
      <c r="I15" s="63">
        <f t="shared" si="0"/>
        <v>0.96026091294220606</v>
      </c>
      <c r="J15" s="64">
        <f t="shared" si="0"/>
        <v>0.97156475298100908</v>
      </c>
      <c r="K15" s="62">
        <f t="shared" si="0"/>
        <v>0.96046675728259501</v>
      </c>
      <c r="L15" s="63">
        <f t="shared" si="0"/>
        <v>0.9547390460688131</v>
      </c>
      <c r="M15" s="64">
        <f t="shared" si="0"/>
        <v>0.95508531877605163</v>
      </c>
    </row>
    <row r="16" spans="2:17" ht="17.25" customHeight="1">
      <c r="B16" s="125" t="s">
        <v>1615</v>
      </c>
      <c r="C16" s="65" t="s">
        <v>1616</v>
      </c>
      <c r="D16" s="66">
        <f>VLOOKUP("新豐6線",'0417 4度C'!$A:$T,19,0)</f>
        <v>0.70833333333333337</v>
      </c>
      <c r="E16" s="67">
        <f>VLOOKUP("新豐2線",'0417 4度C'!$A:$T,19,0)</f>
        <v>0.20833333333333334</v>
      </c>
      <c r="F16" s="67">
        <f>VLOOKUP("新豐5線",'0417 4度C'!$A:$T,19,0)</f>
        <v>0.20833333333333334</v>
      </c>
      <c r="G16" s="67">
        <f>VLOOKUP("新豐7線",'0417 4度C'!$A:$T,19,0)</f>
        <v>0.29166666666666669</v>
      </c>
      <c r="H16" s="67">
        <f>VLOOKUP("新豐3線",'0417 4度C'!$A:$T,19,0)</f>
        <v>8.3333333333333329E-2</v>
      </c>
      <c r="I16" s="67">
        <f>VLOOKUP("新豐1線",'0417 4度C'!$A:$T,19,0)</f>
        <v>0.33333333333333331</v>
      </c>
      <c r="J16" s="68">
        <f>VLOOKUP("新豐10線",'0417 4度C'!$A:$T,19,0)</f>
        <v>0.20833333333333334</v>
      </c>
      <c r="K16" s="69">
        <f>VLOOKUP("新豐8線",'0417 4度C'!$A:$T,19,0)</f>
        <v>8.3333333333333329E-2</v>
      </c>
      <c r="L16" s="70">
        <f>VLOOKUP("新豐9線",'0417 4度C'!$A:$T,19,0)</f>
        <v>8.3333333333333329E-2</v>
      </c>
      <c r="M16" s="71">
        <f>VLOOKUP("新豐4線",'0417 4度C'!$A:$T,19,0)</f>
        <v>8.3333333333333329E-2</v>
      </c>
    </row>
    <row r="17" spans="2:13" ht="17.25" customHeight="1">
      <c r="B17" s="126"/>
      <c r="C17" s="65" t="s">
        <v>1617</v>
      </c>
      <c r="D17" s="69">
        <f>LOOKUP(2,1/(('0417 4度C'!$A:$A="新豐6線")*('0417 4度C'!$T:$T&lt;&gt;"")),'0417 4度C'!$T:$T)</f>
        <v>0.79444444444444451</v>
      </c>
      <c r="E17" s="67">
        <f>LOOKUP(2,1/(('0417 4度C'!$A:$A="新豐2線")*('0417 4度C'!$T:$T&lt;&gt;"")),'0417 4度C'!$T:$T)</f>
        <v>0.56736111111111109</v>
      </c>
      <c r="F17" s="67">
        <f>LOOKUP(2,1/(('0417 4度C'!$A:$A="新豐5線")*('0417 4度C'!$T:$T&lt;&gt;"")),'0417 4度C'!$T:$T)</f>
        <v>0.83958333333333324</v>
      </c>
      <c r="G17" s="67">
        <f>LOOKUP(2,1/(('0417 4度C'!$A:$A="新豐7線")*('0417 4度C'!$T:$T&lt;&gt;"")),'0417 4度C'!$T:$T)</f>
        <v>0.81944444444444442</v>
      </c>
      <c r="H17" s="67">
        <f>LOOKUP(2,1/(('0417 4度C'!$A:$A="新豐3線")*('0417 4度C'!$T:$T&lt;&gt;"")),'0417 4度C'!$T:$T)</f>
        <v>0.46666666666666667</v>
      </c>
      <c r="I17" s="67">
        <f>LOOKUP(2,1/(('0417 4度C'!$A:$A="新豐1線")*('0417 4度C'!$T:$T&lt;&gt;"")),'0417 4度C'!$T:$T)</f>
        <v>0.83750000000000002</v>
      </c>
      <c r="J17" s="68">
        <f>LOOKUP(2,1/(('0417 4度C'!$A:$A="新豐10線")*('0417 4度C'!$T:$T&lt;&gt;"")),'0417 4度C'!$T:$T)</f>
        <v>0.33402777777777776</v>
      </c>
      <c r="K17" s="66">
        <f>LOOKUP(2,1/(('0417 4度C'!$A:$A="新豐8線")*('0417 4度C'!$T:$T&lt;&gt;"")),'0417 4度C'!$T:$T)</f>
        <v>0.50624999999999987</v>
      </c>
      <c r="L17" s="67">
        <f>LOOKUP(2,1/(('0417 4度C'!$A:$A="新豐9線")*('0417 4度C'!$T:$T&lt;&gt;"")),'0417 4度C'!$T:$T)</f>
        <v>0.50624999999999987</v>
      </c>
      <c r="M17" s="68">
        <f>LOOKUP(2,1/(('0417 4度C'!$A:$A="新豐4線")*('0417 4度C'!$T:$T&lt;&gt;"")),'0417 4度C'!$T:$T)</f>
        <v>0.49444444444444435</v>
      </c>
    </row>
    <row r="18" spans="2:13" ht="17.25" customHeight="1">
      <c r="B18" s="104" t="s">
        <v>1618</v>
      </c>
      <c r="C18" s="72" t="s">
        <v>1619</v>
      </c>
      <c r="D18" s="73">
        <f>SUMIFS('0417 4度C'!$Y:$Y,'0417 4度C'!$A:$A,"新豐6線",'0417 4度C'!$B:$B,"平均")</f>
        <v>0</v>
      </c>
      <c r="E18" s="74">
        <f>SUMIFS('0417 4度C'!$Y:$Y,'0417 4度C'!$A:$A,"新豐2線",'0417 4度C'!$B:$B,"平均")</f>
        <v>0</v>
      </c>
      <c r="F18" s="74">
        <f>SUMIFS('0417 4度C'!$Y:$Y,'0417 4度C'!$A:$A,"新豐5線",'0417 4度C'!$B:$B,"平均")</f>
        <v>0</v>
      </c>
      <c r="G18" s="74">
        <f>SUMIFS('0417 4度C'!$Y:$Y,'0417 4度C'!$A:$A,"新豐7線",'0417 4度C'!$B:$B,"平均")</f>
        <v>0</v>
      </c>
      <c r="H18" s="74">
        <f>SUMIFS('0417 4度C'!$Y:$Y,'0417 4度C'!$A:$A,"新豐3線",'0417 4度C'!$B:$B,"平均")</f>
        <v>0</v>
      </c>
      <c r="I18" s="74">
        <f>SUMIFS('0417 4度C'!$Y:$Y,'0417 4度C'!$A:$A,"新豐1線",'0417 4度C'!$B:$B,"平均")</f>
        <v>0</v>
      </c>
      <c r="J18" s="75">
        <f>SUMIFS('0417 4度C'!$Y:$Y,'0417 4度C'!$A:$A,"新豐10線",'0417 4度C'!$B:$B,"平均")</f>
        <v>0</v>
      </c>
      <c r="K18" s="76">
        <f>SUMIFS('0417 4度C'!$Y:$Y,'0417 4度C'!$A:$A,"新豐8線",'0417 4度C'!$B:$B,"平均")</f>
        <v>0</v>
      </c>
      <c r="L18" s="74">
        <f>SUMIFS('0417 4度C'!$Y:$Y,'0417 4度C'!$A:$A,"新豐9線",'0417 4度C'!$B:$B,"平均")</f>
        <v>0</v>
      </c>
      <c r="M18" s="75">
        <f>SUMIFS('0417 4度C'!$Y:$Y,'0417 4度C'!$A:$A,"新豐4線",'0417 4度C'!$B:$B,"平均")</f>
        <v>0</v>
      </c>
    </row>
    <row r="19" spans="2:13" ht="17.25" customHeight="1">
      <c r="B19" s="105"/>
      <c r="C19" s="72" t="s">
        <v>1620</v>
      </c>
      <c r="D19" s="73">
        <f>SUMIFS('0417 4度C'!$Z:$Z,'0417 4度C'!$A:$A,"新豐6線",'0417 4度C'!$B:$B,"平均")</f>
        <v>0</v>
      </c>
      <c r="E19" s="74">
        <f>SUMIFS('0417 4度C'!$Z:$Z,'0417 4度C'!$A:$A,"新豐2線",'0417 4度C'!$B:$B,"平均")</f>
        <v>0</v>
      </c>
      <c r="F19" s="74">
        <f>SUMIFS('0417 4度C'!$Z:$Z,'0417 4度C'!$A:$A,"新豐5線",'0417 4度C'!$B:$B,"平均")</f>
        <v>0</v>
      </c>
      <c r="G19" s="74">
        <f>SUMIFS('0417 4度C'!$Z:$Z,'0417 4度C'!$A:$A,"新豐7線",'0417 4度C'!$B:$B,"平均")</f>
        <v>0</v>
      </c>
      <c r="H19" s="74">
        <f>SUMIFS('0417 4度C'!$Z:$Z,'0417 4度C'!$A:$A,"新豐3線",'0417 4度C'!$B:$B,"平均")</f>
        <v>0</v>
      </c>
      <c r="I19" s="74">
        <f>SUMIFS('0417 4度C'!$Z:$Z,'0417 4度C'!$A:$A,"新豐1線",'0417 4度C'!$B:$B,"平均")</f>
        <v>0</v>
      </c>
      <c r="J19" s="75">
        <f>SUMIFS('0417 4度C'!$Z:$Z,'0417 4度C'!$A:$A,"新豐10線",'0417 4度C'!$B:$B,"平均")</f>
        <v>0</v>
      </c>
      <c r="K19" s="76">
        <f>SUMIFS('0417 4度C'!$Z:$Z,'0417 4度C'!$A:$A,"新豐8線",'0417 4度C'!$B:$B,"平均")</f>
        <v>0</v>
      </c>
      <c r="L19" s="74">
        <f>SUMIFS('0417 4度C'!$Z:$Z,'0417 4度C'!$A:$A,"新豐9線",'0417 4度C'!$B:$B,"平均")</f>
        <v>0</v>
      </c>
      <c r="M19" s="75">
        <f>SUMIFS('0417 4度C'!$Z:$Z,'0417 4度C'!$A:$A,"新豐4線",'0417 4度C'!$B:$B,"平均")</f>
        <v>0</v>
      </c>
    </row>
    <row r="20" spans="2:13" ht="17.25" customHeight="1">
      <c r="B20" s="104" t="s">
        <v>1621</v>
      </c>
      <c r="C20" s="72" t="s">
        <v>1619</v>
      </c>
      <c r="D20" s="73">
        <f>SUMIFS('0417 4度C'!$AC:$AC,'0417 4度C'!$A:$A,"新豐6線",'0417 4度C'!$B:$B,"平均")</f>
        <v>3</v>
      </c>
      <c r="E20" s="74">
        <f>SUMIFS('0417 4度C'!$AC:$AC,'0417 4度C'!$A:$A,"新豐2線",'0417 4度C'!$B:$B,"平均")</f>
        <v>3</v>
      </c>
      <c r="F20" s="74">
        <f>SUMIFS('0417 4度C'!$AC:$AC,'0417 4度C'!$A:$A,"新豐5線",'0417 4度C'!$B:$B,"平均")</f>
        <v>4</v>
      </c>
      <c r="G20" s="74">
        <f>SUMIFS('0417 4度C'!$AC:$AC,'0417 4度C'!$A:$A,"新豐7線",'0417 4度C'!$B:$B,"平均")</f>
        <v>6</v>
      </c>
      <c r="H20" s="74">
        <f>SUMIFS('0417 4度C'!$AC:$AC,'0417 4度C'!$A:$A,"新豐3線",'0417 4度C'!$B:$B,"平均")</f>
        <v>6</v>
      </c>
      <c r="I20" s="74">
        <f>SUMIFS('0417 4度C'!$AC:$AC,'0417 4度C'!$A:$A,"新豐1線",'0417 4度C'!$B:$B,"平均")</f>
        <v>7</v>
      </c>
      <c r="J20" s="75">
        <f>SUMIFS('0417 4度C'!$AC:$AC,'0417 4度C'!$A:$A,"新豐10線",'0417 4度C'!$B:$B,"平均")</f>
        <v>5</v>
      </c>
      <c r="K20" s="76">
        <f>SUMIFS('0417 4度C'!$AC:$AC,'0417 4度C'!$A:$A,"新豐8線",'0417 4度C'!$B:$B,"平均")</f>
        <v>5</v>
      </c>
      <c r="L20" s="74">
        <f>SUMIFS('0417 4度C'!$AC:$AC,'0417 4度C'!$A:$A,"新豐9線",'0417 4度C'!$B:$B,"平均")</f>
        <v>5</v>
      </c>
      <c r="M20" s="75">
        <f>SUMIFS('0417 4度C'!$AC:$AC,'0417 4度C'!$A:$A,"新豐4線",'0417 4度C'!$B:$B,"平均")</f>
        <v>5</v>
      </c>
    </row>
    <row r="21" spans="2:13" ht="17.25" customHeight="1">
      <c r="B21" s="105"/>
      <c r="C21" s="72" t="s">
        <v>1622</v>
      </c>
      <c r="D21" s="73">
        <f>SUMIFS('0417 4度C'!$AD:$AD,'0417 4度C'!$A:$A,"新豐6線",'0417 4度C'!$B:$B,"平均")</f>
        <v>0</v>
      </c>
      <c r="E21" s="74">
        <f>SUMIFS('0417 4度C'!$AD:$AD,'0417 4度C'!$A:$A,"新豐2線",'0417 4度C'!$B:$B,"平均")</f>
        <v>0</v>
      </c>
      <c r="F21" s="74">
        <f>SUMIFS('0417 4度C'!$AD:$AD,'0417 4度C'!$A:$A,"新豐5線",'0417 4度C'!$B:$B,"平均")</f>
        <v>0</v>
      </c>
      <c r="G21" s="74">
        <f>SUMIFS('0417 4度C'!$AD:$AD,'0417 4度C'!$A:$A,"新豐7線",'0417 4度C'!$B:$B,"平均")</f>
        <v>0</v>
      </c>
      <c r="H21" s="74">
        <f>SUMIFS('0417 4度C'!$AD:$AD,'0417 4度C'!$A:$A,"新豐3線",'0417 4度C'!$B:$B,"平均")</f>
        <v>0</v>
      </c>
      <c r="I21" s="74">
        <f>SUMIFS('0417 4度C'!$AD:$AD,'0417 4度C'!$A:$A,"新豐1線",'0417 4度C'!$B:$B,"平均")</f>
        <v>0</v>
      </c>
      <c r="J21" s="75">
        <f>SUMIFS('0417 4度C'!$AD:$AD,'0417 4度C'!$A:$A,"新豐10線",'0417 4度C'!$B:$B,"平均")</f>
        <v>0</v>
      </c>
      <c r="K21" s="76">
        <f>SUMIFS('0417 4度C'!$AD:$AD,'0417 4度C'!$A:$A,"新豐8線",'0417 4度C'!$B:$B,"平均")</f>
        <v>0</v>
      </c>
      <c r="L21" s="74">
        <f>SUMIFS('0417 4度C'!$AD:$AD,'0417 4度C'!$A:$A,"新豐9線",'0417 4度C'!$B:$B,"平均")</f>
        <v>0</v>
      </c>
      <c r="M21" s="75">
        <f>SUMIFS('0417 4度C'!$AD:$AD,'0417 4度C'!$A:$A,"新豐4線",'0417 4度C'!$B:$B,"平均")</f>
        <v>0</v>
      </c>
    </row>
    <row r="22" spans="2:13" ht="17.25" customHeight="1">
      <c r="B22" s="106" t="s">
        <v>1623</v>
      </c>
      <c r="C22" s="107"/>
      <c r="D22" s="77">
        <f>SUMIFS('0417 4度C'!$I:$I,'0417 4度C'!$A:$A,"新豐6線",'0417 4度C'!$B:$B,"平均")</f>
        <v>17.333333333333332</v>
      </c>
      <c r="E22" s="78">
        <f>SUMIFS('0417 4度C'!$I:$I,'0417 4度C'!$A:$A,"新豐2線",'0417 4度C'!$B:$B,"平均")</f>
        <v>17.666666666666668</v>
      </c>
      <c r="F22" s="78">
        <f>SUMIFS('0417 4度C'!$I:$I,'0417 4度C'!$A:$A,"新豐5線",'0417 4度C'!$B:$B,"平均")</f>
        <v>18</v>
      </c>
      <c r="G22" s="78">
        <f>SUMIFS('0417 4度C'!$I:$I,'0417 4度C'!$A:$A,"新豐7線",'0417 4度C'!$B:$B,"平均")</f>
        <v>15.166666666666666</v>
      </c>
      <c r="H22" s="78">
        <f>SUMIFS('0417 4度C'!$I:$I,'0417 4度C'!$A:$A,"新豐3線",'0417 4度C'!$B:$B,"平均")</f>
        <v>9.5</v>
      </c>
      <c r="I22" s="78">
        <f>SUMIFS('0417 4度C'!$I:$I,'0417 4度C'!$A:$A,"新豐1線",'0417 4度C'!$B:$B,"平均")</f>
        <v>18.857142857142858</v>
      </c>
      <c r="J22" s="79">
        <f>SUMIFS('0417 4度C'!$I:$I,'0417 4度C'!$A:$A,"新豐10線",'0417 4度C'!$B:$B,"平均")</f>
        <v>10</v>
      </c>
      <c r="K22" s="77">
        <f>SUMIFS('0417 4度C'!$I:$I,'0417 4度C'!$A:$A,"新豐8線",'0417 4度C'!$B:$B,"平均")</f>
        <v>18.399999999999999</v>
      </c>
      <c r="L22" s="78">
        <f>SUMIFS('0417 4度C'!$I:$I,'0417 4度C'!$A:$A,"新豐9線",'0417 4度C'!$B:$B,"平均")</f>
        <v>16.8</v>
      </c>
      <c r="M22" s="79">
        <f>SUMIFS('0417 4度C'!$I:$I,'0417 4度C'!$A:$A,"新豐4線",'0417 4度C'!$B:$B,"平均")</f>
        <v>16.2</v>
      </c>
    </row>
    <row r="23" spans="2:13" ht="17.25" customHeight="1">
      <c r="B23" s="106" t="s">
        <v>1624</v>
      </c>
      <c r="C23" s="107"/>
      <c r="D23" s="80" t="s">
        <v>67</v>
      </c>
      <c r="E23" s="81" t="s">
        <v>68</v>
      </c>
      <c r="F23" s="81" t="s">
        <v>1625</v>
      </c>
      <c r="G23" s="81" t="s">
        <v>1625</v>
      </c>
      <c r="H23" s="81" t="s">
        <v>69</v>
      </c>
      <c r="I23" s="81" t="s">
        <v>67</v>
      </c>
      <c r="J23" s="82" t="s">
        <v>69</v>
      </c>
      <c r="K23" s="80" t="s">
        <v>1626</v>
      </c>
      <c r="L23" s="81" t="s">
        <v>1626</v>
      </c>
      <c r="M23" s="82" t="s">
        <v>1626</v>
      </c>
    </row>
    <row r="24" spans="2:13" ht="17.25" customHeight="1">
      <c r="B24" s="106" t="s">
        <v>1627</v>
      </c>
      <c r="C24" s="107"/>
      <c r="D24" s="80"/>
      <c r="E24" s="81"/>
      <c r="F24" s="81" t="s">
        <v>1628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1629</v>
      </c>
      <c r="C25" s="109"/>
      <c r="D25" s="83"/>
      <c r="E25" s="84" t="s">
        <v>1630</v>
      </c>
      <c r="F25" s="102" t="s">
        <v>1631</v>
      </c>
      <c r="G25" s="103"/>
      <c r="H25" s="84" t="s">
        <v>1632</v>
      </c>
      <c r="I25" s="84" t="s">
        <v>1633</v>
      </c>
      <c r="J25" s="85" t="s">
        <v>1632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3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工作表13">
    <pageSetUpPr fitToPage="1"/>
  </sheetPr>
  <dimension ref="A1:AG64"/>
  <sheetViews>
    <sheetView zoomScale="80" zoomScaleNormal="80" workbookViewId="0">
      <pane ySplit="4" topLeftCell="A35" activePane="bottomLeft" state="frozen"/>
      <selection activeCell="A9" sqref="A9"/>
      <selection pane="bottomLeft" activeCell="A9" sqref="A9:A12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1634</v>
      </c>
      <c r="B1" s="1"/>
      <c r="C1" s="2" t="s">
        <v>1635</v>
      </c>
      <c r="D1" s="3">
        <f>SUM(F5:F63)</f>
        <v>135741</v>
      </c>
      <c r="E1" s="88" t="s">
        <v>1636</v>
      </c>
      <c r="F1" s="1">
        <f>SUM(G5:G63)</f>
        <v>4525418.82</v>
      </c>
      <c r="G1" s="1" t="s">
        <v>1637</v>
      </c>
      <c r="H1" s="4">
        <f>L8+L12+L43+L51+L17+L57+L30+L36+L24+L63</f>
        <v>157.92380952380952</v>
      </c>
      <c r="I1" s="215" t="s">
        <v>1638</v>
      </c>
      <c r="J1" s="215"/>
      <c r="K1" s="215"/>
      <c r="L1" s="215" t="s">
        <v>1639</v>
      </c>
      <c r="M1" s="215"/>
      <c r="N1" s="215"/>
      <c r="O1" s="215" t="s">
        <v>1640</v>
      </c>
      <c r="P1" s="215"/>
      <c r="Q1" s="215"/>
      <c r="R1" s="215"/>
      <c r="S1" s="215" t="s">
        <v>1641</v>
      </c>
      <c r="T1" s="215"/>
      <c r="U1" s="215"/>
      <c r="V1" s="215"/>
      <c r="W1" s="215"/>
      <c r="X1" s="215"/>
      <c r="Y1" s="5" t="s">
        <v>1642</v>
      </c>
      <c r="Z1" s="6" t="s">
        <v>1643</v>
      </c>
      <c r="AA1" s="216" t="s">
        <v>1644</v>
      </c>
      <c r="AB1" s="216"/>
      <c r="AC1" s="97" t="s">
        <v>1642</v>
      </c>
      <c r="AD1" s="6" t="s">
        <v>1645</v>
      </c>
      <c r="AE1" s="215" t="s">
        <v>1646</v>
      </c>
      <c r="AF1" s="217"/>
      <c r="AG1" s="217"/>
    </row>
    <row r="2" spans="1:33" ht="26.25" customHeight="1">
      <c r="A2" s="26">
        <v>46129</v>
      </c>
      <c r="B2" s="27" t="s">
        <v>330</v>
      </c>
      <c r="C2" s="2" t="s">
        <v>1647</v>
      </c>
      <c r="D2" s="8">
        <f>AVERAGE(N8,N12,N43,N51,N17,N57,N24,N30,N36,N63)</f>
        <v>148.92718142723552</v>
      </c>
      <c r="E2" s="9" t="s">
        <v>0</v>
      </c>
      <c r="F2" s="10">
        <f>F1/D1</f>
        <v>33.338628859371894</v>
      </c>
      <c r="G2" s="1" t="s">
        <v>1648</v>
      </c>
      <c r="H2" s="96">
        <f>COUNT(H5:H63)</f>
        <v>1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SUM(Y8+Y12+Y17+Y24+Y30+Y36+Y43+Y51+Y57+Y63)</f>
        <v>0</v>
      </c>
      <c r="Z2" s="11">
        <f>SUM(Z8+Z12+Z17+Z24+Z30+Z36+Z43+Z51+Z57+Z63)</f>
        <v>0</v>
      </c>
      <c r="AA2" s="216"/>
      <c r="AB2" s="216"/>
      <c r="AC2" s="11">
        <v>49</v>
      </c>
      <c r="AD2" s="11">
        <f>SUM(AD8+AD12+AD17+AD24+AD30+AD36+AD43+AD51+AD57+AD63)</f>
        <v>0</v>
      </c>
      <c r="AE2" s="217"/>
      <c r="AF2" s="217"/>
      <c r="AG2" s="217"/>
    </row>
    <row r="3" spans="1:33" ht="40.5" customHeight="1">
      <c r="A3" s="168" t="s">
        <v>1649</v>
      </c>
      <c r="B3" s="168" t="s">
        <v>1650</v>
      </c>
      <c r="C3" s="168" t="s">
        <v>1651</v>
      </c>
      <c r="D3" s="168"/>
      <c r="E3" s="213" t="s">
        <v>1652</v>
      </c>
      <c r="F3" s="168" t="s">
        <v>1653</v>
      </c>
      <c r="G3" s="213" t="s">
        <v>1654</v>
      </c>
      <c r="H3" s="207" t="s">
        <v>1655</v>
      </c>
      <c r="I3" s="205" t="s">
        <v>1656</v>
      </c>
      <c r="J3" s="202" t="s">
        <v>1657</v>
      </c>
      <c r="K3" s="212" t="s">
        <v>1647</v>
      </c>
      <c r="L3" s="205" t="s">
        <v>1656</v>
      </c>
      <c r="M3" s="202" t="s">
        <v>1657</v>
      </c>
      <c r="N3" s="212" t="s">
        <v>1647</v>
      </c>
      <c r="O3" s="205" t="s">
        <v>1656</v>
      </c>
      <c r="P3" s="212" t="s">
        <v>1647</v>
      </c>
      <c r="Q3" s="203" t="s">
        <v>1658</v>
      </c>
      <c r="R3" s="181" t="s">
        <v>1659</v>
      </c>
      <c r="S3" s="168" t="s">
        <v>1</v>
      </c>
      <c r="T3" s="168"/>
      <c r="U3" s="207" t="s">
        <v>2</v>
      </c>
      <c r="V3" s="207" t="s">
        <v>1660</v>
      </c>
      <c r="W3" s="168" t="s">
        <v>1661</v>
      </c>
      <c r="X3" s="168"/>
      <c r="Y3" s="208" t="s">
        <v>1662</v>
      </c>
      <c r="Z3" s="167"/>
      <c r="AA3" s="209" t="s">
        <v>1663</v>
      </c>
      <c r="AB3" s="210"/>
      <c r="AC3" s="208" t="s">
        <v>1664</v>
      </c>
      <c r="AD3" s="167"/>
      <c r="AE3" s="202" t="s">
        <v>1665</v>
      </c>
      <c r="AF3" s="203" t="s">
        <v>1666</v>
      </c>
      <c r="AG3" s="181" t="s">
        <v>1667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1668</v>
      </c>
      <c r="X4" s="88" t="s">
        <v>1669</v>
      </c>
      <c r="Y4" s="90" t="s">
        <v>1670</v>
      </c>
      <c r="Z4" s="90" t="s">
        <v>1671</v>
      </c>
      <c r="AA4" s="211"/>
      <c r="AB4" s="210"/>
      <c r="AC4" s="90" t="s">
        <v>1672</v>
      </c>
      <c r="AD4" s="90" t="s">
        <v>1673</v>
      </c>
      <c r="AE4" s="202"/>
      <c r="AF4" s="203"/>
      <c r="AG4" s="181"/>
    </row>
    <row r="5" spans="1:33">
      <c r="A5" s="204" t="s">
        <v>1674</v>
      </c>
      <c r="B5" s="28" t="s">
        <v>5</v>
      </c>
      <c r="C5" s="206" t="s">
        <v>6</v>
      </c>
      <c r="D5" s="206"/>
      <c r="E5" s="28">
        <v>50.67</v>
      </c>
      <c r="F5" s="88">
        <v>1306</v>
      </c>
      <c r="G5" s="88">
        <f t="shared" ref="G5:G7" si="0">E5*F5</f>
        <v>66175.02</v>
      </c>
      <c r="H5" s="30" t="s">
        <v>53</v>
      </c>
      <c r="I5" s="95">
        <v>17</v>
      </c>
      <c r="J5" s="13">
        <v>2000</v>
      </c>
      <c r="K5" s="12">
        <f t="shared" ref="K5:K63" si="1">J5/I5</f>
        <v>117.64705882352941</v>
      </c>
      <c r="L5" s="95">
        <v>17</v>
      </c>
      <c r="M5" s="13">
        <f t="shared" ref="M5:M7" si="2">F5/V5*60</f>
        <v>1911.2195121951213</v>
      </c>
      <c r="N5" s="12">
        <f t="shared" ref="N5:N63" si="3">M5/L5</f>
        <v>112.4246771879483</v>
      </c>
      <c r="O5" s="14">
        <f t="shared" ref="O5:O63" si="4">L5-I5</f>
        <v>0</v>
      </c>
      <c r="P5" s="15">
        <f t="shared" ref="P5:P63" si="5">N5-K5</f>
        <v>-5.222381635581101</v>
      </c>
      <c r="Q5" s="91">
        <f t="shared" ref="Q5:Q63" si="6">N5/K5</f>
        <v>0.9556097560975606</v>
      </c>
      <c r="R5" s="177">
        <f>Q8</f>
        <v>0.96355245838172598</v>
      </c>
      <c r="S5" s="21">
        <v>0.70833333333333337</v>
      </c>
      <c r="T5" s="21">
        <v>0.7368055555555556</v>
      </c>
      <c r="U5" s="88"/>
      <c r="V5" s="30">
        <f t="shared" ref="V5:V7" si="7">(T5-S5)*24*60</f>
        <v>41.000000000000014</v>
      </c>
      <c r="W5" s="16"/>
      <c r="X5" s="17"/>
      <c r="Y5" s="17"/>
      <c r="Z5" s="17"/>
      <c r="AA5" s="168"/>
      <c r="AB5" s="168"/>
      <c r="AC5" s="18">
        <v>3</v>
      </c>
      <c r="AD5" s="18"/>
      <c r="AE5" s="14">
        <f t="shared" ref="AE5:AE50" si="8">M5-J5</f>
        <v>-88.780487804878703</v>
      </c>
      <c r="AF5" s="91">
        <f t="shared" ref="AF5:AF63" si="9">M5/J5</f>
        <v>0.9556097560975606</v>
      </c>
      <c r="AG5" s="177">
        <f>AF8</f>
        <v>0.96355245838172598</v>
      </c>
    </row>
    <row r="6" spans="1:33">
      <c r="A6" s="205" t="s">
        <v>461</v>
      </c>
      <c r="B6" s="28" t="s">
        <v>5</v>
      </c>
      <c r="C6" s="206" t="s">
        <v>7</v>
      </c>
      <c r="D6" s="206"/>
      <c r="E6" s="28">
        <v>54.09</v>
      </c>
      <c r="F6" s="88">
        <v>1122</v>
      </c>
      <c r="G6" s="88">
        <f t="shared" si="0"/>
        <v>60688.98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1923.4285714285693</v>
      </c>
      <c r="N6" s="12">
        <f t="shared" si="3"/>
        <v>101.23308270676681</v>
      </c>
      <c r="O6" s="14">
        <f t="shared" si="4"/>
        <v>0</v>
      </c>
      <c r="P6" s="15">
        <f t="shared" si="5"/>
        <v>-4.0300751879700272</v>
      </c>
      <c r="Q6" s="91">
        <f t="shared" si="6"/>
        <v>0.96171428571428474</v>
      </c>
      <c r="R6" s="177"/>
      <c r="S6" s="21">
        <v>0.74027777777777781</v>
      </c>
      <c r="T6" s="21">
        <v>0.76458333333333339</v>
      </c>
      <c r="U6" s="88">
        <f t="shared" ref="U6:U7" si="10">IF(S6=TIME(17,0,0),"",(S6-T5)*24*60)</f>
        <v>4.9999999999999822</v>
      </c>
      <c r="V6" s="30">
        <f t="shared" si="7"/>
        <v>35.000000000000036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-76.571428571430715</v>
      </c>
      <c r="AF6" s="91">
        <f t="shared" si="9"/>
        <v>0.96171428571428463</v>
      </c>
      <c r="AG6" s="177"/>
    </row>
    <row r="7" spans="1:33">
      <c r="A7" s="205" t="s">
        <v>1675</v>
      </c>
      <c r="B7" s="28" t="s">
        <v>5</v>
      </c>
      <c r="C7" s="200" t="s">
        <v>1270</v>
      </c>
      <c r="D7" s="201"/>
      <c r="E7" s="28">
        <v>52.86</v>
      </c>
      <c r="F7" s="88">
        <v>1168</v>
      </c>
      <c r="G7" s="88">
        <f t="shared" si="0"/>
        <v>61740.479999999996</v>
      </c>
      <c r="H7" s="30" t="s">
        <v>53</v>
      </c>
      <c r="I7" s="95">
        <v>16</v>
      </c>
      <c r="J7" s="13">
        <v>2000</v>
      </c>
      <c r="K7" s="12">
        <f t="shared" si="1"/>
        <v>125</v>
      </c>
      <c r="L7" s="95">
        <v>16</v>
      </c>
      <c r="M7" s="13">
        <f t="shared" si="2"/>
        <v>1946.6666666666654</v>
      </c>
      <c r="N7" s="12">
        <f t="shared" si="3"/>
        <v>121.66666666666659</v>
      </c>
      <c r="O7" s="14">
        <f t="shared" si="4"/>
        <v>0</v>
      </c>
      <c r="P7" s="15">
        <f t="shared" si="5"/>
        <v>-3.3333333333334139</v>
      </c>
      <c r="Q7" s="91">
        <f t="shared" si="6"/>
        <v>0.97333333333333272</v>
      </c>
      <c r="R7" s="177"/>
      <c r="S7" s="21">
        <v>0.76944444444444449</v>
      </c>
      <c r="T7" s="21">
        <v>0.79444444444444451</v>
      </c>
      <c r="U7" s="88">
        <f t="shared" si="10"/>
        <v>6.9999999999999751</v>
      </c>
      <c r="V7" s="30">
        <f t="shared" si="7"/>
        <v>36.000000000000028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-53.333333333334622</v>
      </c>
      <c r="AF7" s="91">
        <f t="shared" si="9"/>
        <v>0.97333333333333272</v>
      </c>
      <c r="AG7" s="177"/>
    </row>
    <row r="8" spans="1:33">
      <c r="A8" s="205" t="s">
        <v>461</v>
      </c>
      <c r="B8" s="28" t="s">
        <v>360</v>
      </c>
      <c r="C8" s="178"/>
      <c r="D8" s="178"/>
      <c r="E8" s="92"/>
      <c r="F8" s="12"/>
      <c r="G8" s="12"/>
      <c r="H8" s="88"/>
      <c r="I8" s="23">
        <v>17.333333333333332</v>
      </c>
      <c r="J8" s="13">
        <v>2000</v>
      </c>
      <c r="K8" s="12">
        <f t="shared" si="1"/>
        <v>115.38461538461539</v>
      </c>
      <c r="L8" s="23">
        <v>17.333333333333332</v>
      </c>
      <c r="M8" s="13">
        <f>AVERAGE(M5:M7)</f>
        <v>1927.1049167634519</v>
      </c>
      <c r="N8" s="12">
        <f t="shared" si="3"/>
        <v>111.17912981327608</v>
      </c>
      <c r="O8" s="14">
        <f t="shared" si="4"/>
        <v>0</v>
      </c>
      <c r="P8" s="15">
        <f t="shared" si="5"/>
        <v>-4.2054855713393096</v>
      </c>
      <c r="Q8" s="91">
        <f t="shared" si="6"/>
        <v>0.96355245838172598</v>
      </c>
      <c r="R8" s="177"/>
      <c r="S8" s="21"/>
      <c r="T8" s="21"/>
      <c r="U8" s="88"/>
      <c r="V8" s="30"/>
      <c r="W8" s="12"/>
      <c r="X8" s="12"/>
      <c r="Y8" s="24">
        <f>SUM(Y5:Y7)</f>
        <v>0</v>
      </c>
      <c r="Z8" s="24">
        <f>SUM(Z5:Z7)</f>
        <v>0</v>
      </c>
      <c r="AA8" s="167"/>
      <c r="AB8" s="167"/>
      <c r="AC8" s="24">
        <v>3</v>
      </c>
      <c r="AD8" s="24">
        <f>SUM(AD5:AD7)</f>
        <v>0</v>
      </c>
      <c r="AE8" s="14">
        <f t="shared" si="8"/>
        <v>-72.895083236548089</v>
      </c>
      <c r="AF8" s="91">
        <f t="shared" si="9"/>
        <v>0.96355245838172598</v>
      </c>
      <c r="AG8" s="177"/>
    </row>
    <row r="9" spans="1:33" ht="15.75" customHeight="1">
      <c r="A9" s="199" t="s">
        <v>350</v>
      </c>
      <c r="B9" s="28" t="s">
        <v>9</v>
      </c>
      <c r="C9" s="200" t="s">
        <v>10</v>
      </c>
      <c r="D9" s="201"/>
      <c r="E9" s="28">
        <v>39.619999999999997</v>
      </c>
      <c r="F9" s="88">
        <v>4261</v>
      </c>
      <c r="G9" s="88">
        <f t="shared" ref="G9:G11" si="11">E9*F9</f>
        <v>168820.81999999998</v>
      </c>
      <c r="H9" s="30" t="s">
        <v>53</v>
      </c>
      <c r="I9" s="95">
        <v>19</v>
      </c>
      <c r="J9" s="13">
        <v>1500</v>
      </c>
      <c r="K9" s="12">
        <f t="shared" si="1"/>
        <v>78.94736842105263</v>
      </c>
      <c r="L9" s="95">
        <v>19</v>
      </c>
      <c r="M9" s="13">
        <f t="shared" ref="M9:M11" si="12">F9/V9*60</f>
        <v>1428.2681564245806</v>
      </c>
      <c r="N9" s="12">
        <f t="shared" si="3"/>
        <v>75.17200823287267</v>
      </c>
      <c r="O9" s="14">
        <f t="shared" si="4"/>
        <v>0</v>
      </c>
      <c r="P9" s="15">
        <f t="shared" si="5"/>
        <v>-3.7753601881799597</v>
      </c>
      <c r="Q9" s="91">
        <f t="shared" si="6"/>
        <v>0.95217877094972048</v>
      </c>
      <c r="R9" s="177">
        <f>Q12</f>
        <v>0.95239170264868589</v>
      </c>
      <c r="S9" s="21">
        <v>0.20833333333333334</v>
      </c>
      <c r="T9" s="21">
        <v>0.33263888888888893</v>
      </c>
      <c r="U9" s="88"/>
      <c r="V9" s="30">
        <f t="shared" ref="V9:V11" si="13">(T9-S9)*24*60</f>
        <v>179.00000000000006</v>
      </c>
      <c r="W9" s="16"/>
      <c r="X9" s="16"/>
      <c r="Y9" s="16"/>
      <c r="Z9" s="16"/>
      <c r="AA9" s="168"/>
      <c r="AB9" s="168"/>
      <c r="AC9" s="18">
        <v>3</v>
      </c>
      <c r="AD9" s="18"/>
      <c r="AE9" s="14">
        <f t="shared" si="8"/>
        <v>-71.731843575419362</v>
      </c>
      <c r="AF9" s="91">
        <f t="shared" si="9"/>
        <v>0.95217877094972048</v>
      </c>
      <c r="AG9" s="177">
        <f>AF12</f>
        <v>0.95239170264868589</v>
      </c>
    </row>
    <row r="10" spans="1:33" ht="15.75" customHeight="1">
      <c r="A10" s="199" t="s">
        <v>1676</v>
      </c>
      <c r="B10" s="28" t="s">
        <v>9</v>
      </c>
      <c r="C10" s="200" t="s">
        <v>11</v>
      </c>
      <c r="D10" s="201"/>
      <c r="E10" s="28">
        <v>39.799999999999997</v>
      </c>
      <c r="F10" s="88">
        <v>5000</v>
      </c>
      <c r="G10" s="88">
        <f t="shared" si="11"/>
        <v>199000</v>
      </c>
      <c r="H10" s="30">
        <v>2</v>
      </c>
      <c r="I10" s="95">
        <v>17</v>
      </c>
      <c r="J10" s="13">
        <v>1500</v>
      </c>
      <c r="K10" s="12">
        <f t="shared" si="1"/>
        <v>88.235294117647058</v>
      </c>
      <c r="L10" s="95">
        <v>17</v>
      </c>
      <c r="M10" s="13">
        <f t="shared" si="12"/>
        <v>1428.5714285714282</v>
      </c>
      <c r="N10" s="12">
        <f t="shared" si="3"/>
        <v>84.033613445378137</v>
      </c>
      <c r="O10" s="14">
        <f t="shared" si="4"/>
        <v>0</v>
      </c>
      <c r="P10" s="15">
        <f t="shared" si="5"/>
        <v>-4.2016806722689211</v>
      </c>
      <c r="Q10" s="91">
        <f t="shared" si="6"/>
        <v>0.95238095238095222</v>
      </c>
      <c r="R10" s="177"/>
      <c r="S10" s="21">
        <v>0.33611111111111114</v>
      </c>
      <c r="T10" s="21">
        <v>0.48194444444444451</v>
      </c>
      <c r="U10" s="88">
        <f t="shared" ref="U10:U11" si="14">IF(S10=TIME(17,0,0),"",(S10-T9)*24*60)</f>
        <v>4.9999999999999822</v>
      </c>
      <c r="V10" s="30">
        <f t="shared" si="13"/>
        <v>210.00000000000006</v>
      </c>
      <c r="W10" s="16">
        <f>T10</f>
        <v>0.48194444444444451</v>
      </c>
      <c r="X10" s="16">
        <f>S11</f>
        <v>0.52222222222222225</v>
      </c>
      <c r="Y10" s="16"/>
      <c r="Z10" s="16"/>
      <c r="AA10" s="168"/>
      <c r="AB10" s="168"/>
      <c r="AC10" s="18"/>
      <c r="AD10" s="18"/>
      <c r="AE10" s="14">
        <f t="shared" si="8"/>
        <v>-71.428571428571786</v>
      </c>
      <c r="AF10" s="91">
        <f t="shared" si="9"/>
        <v>0.95238095238095211</v>
      </c>
      <c r="AG10" s="177"/>
    </row>
    <row r="11" spans="1:33" ht="15.75" customHeight="1">
      <c r="A11" s="199" t="s">
        <v>350</v>
      </c>
      <c r="B11" s="28" t="s">
        <v>9</v>
      </c>
      <c r="C11" s="200" t="s">
        <v>11</v>
      </c>
      <c r="D11" s="201"/>
      <c r="E11" s="28">
        <v>39.799999999999997</v>
      </c>
      <c r="F11" s="88">
        <v>1548</v>
      </c>
      <c r="G11" s="88">
        <f t="shared" si="11"/>
        <v>61610.399999999994</v>
      </c>
      <c r="H11" s="30" t="s">
        <v>53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1428.9230769230785</v>
      </c>
      <c r="N11" s="12">
        <f t="shared" si="3"/>
        <v>84.054298642534036</v>
      </c>
      <c r="O11" s="14">
        <f t="shared" si="4"/>
        <v>0</v>
      </c>
      <c r="P11" s="15">
        <f t="shared" si="5"/>
        <v>-4.1809954751130221</v>
      </c>
      <c r="Q11" s="91">
        <f t="shared" si="6"/>
        <v>0.95261538461538575</v>
      </c>
      <c r="R11" s="177"/>
      <c r="S11" s="21">
        <v>0.52222222222222225</v>
      </c>
      <c r="T11" s="21">
        <v>0.56736111111111109</v>
      </c>
      <c r="U11" s="88">
        <f t="shared" si="14"/>
        <v>57.999999999999957</v>
      </c>
      <c r="V11" s="30">
        <f t="shared" si="13"/>
        <v>64.999999999999929</v>
      </c>
      <c r="W11" s="16"/>
      <c r="X11" s="16"/>
      <c r="Y11" s="16"/>
      <c r="Z11" s="16"/>
      <c r="AA11" s="168"/>
      <c r="AB11" s="168"/>
      <c r="AC11" s="18"/>
      <c r="AD11" s="18"/>
      <c r="AE11" s="14">
        <f t="shared" si="8"/>
        <v>-71.076923076921503</v>
      </c>
      <c r="AF11" s="91">
        <f t="shared" si="9"/>
        <v>0.95261538461538564</v>
      </c>
      <c r="AG11" s="177"/>
    </row>
    <row r="12" spans="1:33" ht="16.5" customHeight="1">
      <c r="A12" s="199" t="s">
        <v>350</v>
      </c>
      <c r="B12" s="28" t="s">
        <v>1677</v>
      </c>
      <c r="C12" s="178"/>
      <c r="D12" s="178"/>
      <c r="E12" s="92"/>
      <c r="F12" s="13"/>
      <c r="G12" s="13"/>
      <c r="H12" s="88"/>
      <c r="I12" s="23">
        <v>17.666666666666668</v>
      </c>
      <c r="J12" s="13">
        <v>1500</v>
      </c>
      <c r="K12" s="12">
        <f t="shared" si="1"/>
        <v>84.905660377358487</v>
      </c>
      <c r="L12" s="23">
        <v>17.666666666666668</v>
      </c>
      <c r="M12" s="13">
        <f>AVERAGE(M9:M11)</f>
        <v>1428.5875539730289</v>
      </c>
      <c r="N12" s="12">
        <f t="shared" si="3"/>
        <v>80.863446451303517</v>
      </c>
      <c r="O12" s="14">
        <f t="shared" si="4"/>
        <v>0</v>
      </c>
      <c r="P12" s="15">
        <f t="shared" si="5"/>
        <v>-4.0422139260549699</v>
      </c>
      <c r="Q12" s="91">
        <f t="shared" si="6"/>
        <v>0.95239170264868589</v>
      </c>
      <c r="R12" s="177"/>
      <c r="S12" s="21"/>
      <c r="T12" s="21"/>
      <c r="U12" s="12"/>
      <c r="V12" s="30"/>
      <c r="W12" s="12"/>
      <c r="X12" s="12"/>
      <c r="Y12" s="24">
        <f>SUM(Y9:Y11)</f>
        <v>0</v>
      </c>
      <c r="Z12" s="24">
        <f>SUM(Z9:Z11)</f>
        <v>0</v>
      </c>
      <c r="AA12" s="167"/>
      <c r="AB12" s="167"/>
      <c r="AC12" s="24">
        <v>3</v>
      </c>
      <c r="AD12" s="24">
        <f>SUM(AD9:AD11)</f>
        <v>0</v>
      </c>
      <c r="AE12" s="14">
        <f t="shared" si="8"/>
        <v>-71.412446026971111</v>
      </c>
      <c r="AF12" s="91">
        <f t="shared" si="9"/>
        <v>0.95239170264868589</v>
      </c>
      <c r="AG12" s="177"/>
    </row>
    <row r="13" spans="1:33" ht="16.5" customHeight="1">
      <c r="A13" s="197" t="s">
        <v>470</v>
      </c>
      <c r="B13" s="88" t="s">
        <v>12</v>
      </c>
      <c r="C13" s="193" t="s">
        <v>13</v>
      </c>
      <c r="D13" s="193"/>
      <c r="E13" s="28">
        <v>41</v>
      </c>
      <c r="F13" s="88">
        <v>1797</v>
      </c>
      <c r="G13" s="88">
        <f t="shared" ref="G13:G16" si="15">E13*F13</f>
        <v>73677</v>
      </c>
      <c r="H13" s="30" t="s">
        <v>53</v>
      </c>
      <c r="I13" s="95">
        <v>26</v>
      </c>
      <c r="J13" s="13">
        <v>1500</v>
      </c>
      <c r="K13" s="12">
        <f t="shared" si="1"/>
        <v>57.692307692307693</v>
      </c>
      <c r="L13" s="95">
        <v>26</v>
      </c>
      <c r="M13" s="13">
        <f t="shared" ref="M13:M16" si="16">F13/V13*60</f>
        <v>1437.5999999999997</v>
      </c>
      <c r="N13" s="12">
        <f t="shared" si="3"/>
        <v>55.292307692307681</v>
      </c>
      <c r="O13" s="14">
        <f t="shared" si="4"/>
        <v>0</v>
      </c>
      <c r="P13" s="15">
        <f t="shared" si="5"/>
        <v>-2.4000000000000128</v>
      </c>
      <c r="Q13" s="91">
        <f t="shared" si="6"/>
        <v>0.95839999999999981</v>
      </c>
      <c r="R13" s="177">
        <f>Q17</f>
        <v>0.95979043566362754</v>
      </c>
      <c r="S13" s="21">
        <v>0.20833333333333334</v>
      </c>
      <c r="T13" s="21">
        <v>0.26041666666666669</v>
      </c>
      <c r="U13" s="88"/>
      <c r="V13" s="30">
        <f t="shared" ref="V13:V16" si="17">(T13-S13)*24*60</f>
        <v>75.000000000000014</v>
      </c>
      <c r="W13" s="21"/>
      <c r="X13" s="21"/>
      <c r="Y13" s="21"/>
      <c r="Z13" s="21"/>
      <c r="AA13" s="168"/>
      <c r="AB13" s="168"/>
      <c r="AC13" s="18">
        <v>4</v>
      </c>
      <c r="AD13" s="18"/>
      <c r="AE13" s="14">
        <f t="shared" si="8"/>
        <v>-62.400000000000318</v>
      </c>
      <c r="AF13" s="91">
        <f t="shared" si="9"/>
        <v>0.95839999999999981</v>
      </c>
      <c r="AG13" s="177">
        <f>AF17</f>
        <v>0.95979043566362765</v>
      </c>
    </row>
    <row r="14" spans="1:33" ht="16.5" customHeight="1">
      <c r="A14" s="198" t="s">
        <v>1678</v>
      </c>
      <c r="B14" s="88" t="s">
        <v>5</v>
      </c>
      <c r="C14" s="193" t="s">
        <v>14</v>
      </c>
      <c r="D14" s="193"/>
      <c r="E14" s="28">
        <v>50.98</v>
      </c>
      <c r="F14" s="88">
        <v>2040</v>
      </c>
      <c r="G14" s="88">
        <f t="shared" si="15"/>
        <v>103999.2</v>
      </c>
      <c r="H14" s="30" t="s">
        <v>53</v>
      </c>
      <c r="I14" s="95">
        <v>16</v>
      </c>
      <c r="J14" s="13">
        <v>2000</v>
      </c>
      <c r="K14" s="12">
        <f t="shared" si="1"/>
        <v>125</v>
      </c>
      <c r="L14" s="95">
        <v>16</v>
      </c>
      <c r="M14" s="13">
        <f t="shared" si="16"/>
        <v>1912.500000000002</v>
      </c>
      <c r="N14" s="12">
        <f t="shared" si="3"/>
        <v>119.53125000000013</v>
      </c>
      <c r="O14" s="14">
        <f t="shared" si="4"/>
        <v>0</v>
      </c>
      <c r="P14" s="15">
        <f t="shared" si="5"/>
        <v>-5.4687499999998721</v>
      </c>
      <c r="Q14" s="91">
        <f t="shared" si="6"/>
        <v>0.95625000000000104</v>
      </c>
      <c r="R14" s="177"/>
      <c r="S14" s="21">
        <v>0.70833333333333337</v>
      </c>
      <c r="T14" s="21">
        <v>0.75277777777777777</v>
      </c>
      <c r="U14" s="88" t="str">
        <f t="shared" ref="U14:U16" si="18">IF(S14=TIME(17,0,0),"",(S14-T13)*24*60)</f>
        <v/>
      </c>
      <c r="V14" s="30">
        <f t="shared" si="17"/>
        <v>63.999999999999929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8"/>
        <v>-87.499999999997954</v>
      </c>
      <c r="AF14" s="91">
        <f t="shared" si="9"/>
        <v>0.95625000000000104</v>
      </c>
      <c r="AG14" s="177"/>
    </row>
    <row r="15" spans="1:33" ht="16.5" customHeight="1">
      <c r="A15" s="198" t="s">
        <v>1679</v>
      </c>
      <c r="B15" s="88" t="s">
        <v>5</v>
      </c>
      <c r="C15" s="193" t="s">
        <v>15</v>
      </c>
      <c r="D15" s="193"/>
      <c r="E15" s="28">
        <v>50.92</v>
      </c>
      <c r="F15" s="88">
        <v>2010</v>
      </c>
      <c r="G15" s="88">
        <f t="shared" si="15"/>
        <v>102349.2</v>
      </c>
      <c r="H15" s="30" t="s">
        <v>53</v>
      </c>
      <c r="I15" s="95">
        <v>15</v>
      </c>
      <c r="J15" s="13">
        <v>2000</v>
      </c>
      <c r="K15" s="12">
        <f t="shared" si="1"/>
        <v>133.33333333333334</v>
      </c>
      <c r="L15" s="95">
        <v>15</v>
      </c>
      <c r="M15" s="13">
        <f t="shared" si="16"/>
        <v>1914.2857142857163</v>
      </c>
      <c r="N15" s="12">
        <f t="shared" si="3"/>
        <v>127.61904761904775</v>
      </c>
      <c r="O15" s="14">
        <f t="shared" si="4"/>
        <v>0</v>
      </c>
      <c r="P15" s="15">
        <f t="shared" si="5"/>
        <v>-5.7142857142855945</v>
      </c>
      <c r="Q15" s="91">
        <f t="shared" si="6"/>
        <v>0.95714285714285807</v>
      </c>
      <c r="R15" s="177"/>
      <c r="S15" s="21">
        <v>0.75763888888888886</v>
      </c>
      <c r="T15" s="21">
        <v>0.80138888888888882</v>
      </c>
      <c r="U15" s="88">
        <f t="shared" si="18"/>
        <v>6.9999999999999751</v>
      </c>
      <c r="V15" s="30">
        <f t="shared" si="17"/>
        <v>62.999999999999936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-85.714285714283733</v>
      </c>
      <c r="AF15" s="91">
        <f t="shared" si="9"/>
        <v>0.95714285714285818</v>
      </c>
      <c r="AG15" s="177"/>
    </row>
    <row r="16" spans="1:33" ht="16.5" customHeight="1">
      <c r="A16" s="198" t="s">
        <v>470</v>
      </c>
      <c r="B16" s="88" t="s">
        <v>5</v>
      </c>
      <c r="C16" s="193" t="s">
        <v>16</v>
      </c>
      <c r="D16" s="193"/>
      <c r="E16" s="28">
        <v>50.67</v>
      </c>
      <c r="F16" s="88">
        <v>1515</v>
      </c>
      <c r="G16" s="88">
        <f t="shared" si="15"/>
        <v>76765.05</v>
      </c>
      <c r="H16" s="30" t="s">
        <v>53</v>
      </c>
      <c r="I16" s="95">
        <v>15</v>
      </c>
      <c r="J16" s="13">
        <v>2000</v>
      </c>
      <c r="K16" s="12">
        <f t="shared" si="1"/>
        <v>133.33333333333334</v>
      </c>
      <c r="L16" s="95">
        <v>15</v>
      </c>
      <c r="M16" s="13">
        <f t="shared" si="16"/>
        <v>1934.0425531914896</v>
      </c>
      <c r="N16" s="12">
        <f t="shared" si="3"/>
        <v>128.93617021276597</v>
      </c>
      <c r="O16" s="14">
        <f t="shared" si="4"/>
        <v>0</v>
      </c>
      <c r="P16" s="15">
        <f t="shared" si="5"/>
        <v>-4.3971631205673702</v>
      </c>
      <c r="Q16" s="91">
        <f t="shared" si="6"/>
        <v>0.96702127659574477</v>
      </c>
      <c r="R16" s="177"/>
      <c r="S16" s="21">
        <v>0.80694444444444435</v>
      </c>
      <c r="T16" s="21">
        <v>0.83958333333333324</v>
      </c>
      <c r="U16" s="88">
        <f t="shared" si="18"/>
        <v>7.9999999999999716</v>
      </c>
      <c r="V16" s="30">
        <f t="shared" si="17"/>
        <v>46.999999999999993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-65.95744680851044</v>
      </c>
      <c r="AF16" s="91">
        <f t="shared" si="9"/>
        <v>0.96702127659574477</v>
      </c>
      <c r="AG16" s="177"/>
    </row>
    <row r="17" spans="1:33" ht="16.5" customHeight="1">
      <c r="A17" s="198" t="s">
        <v>470</v>
      </c>
      <c r="B17" s="28" t="s">
        <v>1680</v>
      </c>
      <c r="C17" s="178"/>
      <c r="D17" s="178"/>
      <c r="E17" s="92"/>
      <c r="F17" s="12"/>
      <c r="G17" s="12"/>
      <c r="H17" s="88"/>
      <c r="I17" s="23">
        <v>18</v>
      </c>
      <c r="J17" s="13">
        <v>1875</v>
      </c>
      <c r="K17" s="12">
        <f t="shared" si="1"/>
        <v>104.16666666666667</v>
      </c>
      <c r="L17" s="23">
        <v>18</v>
      </c>
      <c r="M17" s="13">
        <f>AVERAGE(M13:M16)</f>
        <v>1799.6070668693019</v>
      </c>
      <c r="N17" s="12">
        <f t="shared" si="3"/>
        <v>99.978170381627876</v>
      </c>
      <c r="O17" s="14">
        <f t="shared" si="4"/>
        <v>0</v>
      </c>
      <c r="P17" s="15">
        <f t="shared" si="5"/>
        <v>-4.188496285038795</v>
      </c>
      <c r="Q17" s="91">
        <f t="shared" si="6"/>
        <v>0.95979043566362754</v>
      </c>
      <c r="R17" s="177"/>
      <c r="S17" s="21"/>
      <c r="T17" s="21"/>
      <c r="U17" s="88"/>
      <c r="V17" s="30"/>
      <c r="W17" s="12"/>
      <c r="X17" s="12"/>
      <c r="Y17" s="24">
        <f>SUM(Y13:Y16)</f>
        <v>0</v>
      </c>
      <c r="Z17" s="24">
        <f>SUM(Z13:Z16)</f>
        <v>0</v>
      </c>
      <c r="AA17" s="167"/>
      <c r="AB17" s="167"/>
      <c r="AC17" s="24">
        <v>4</v>
      </c>
      <c r="AD17" s="24">
        <f>SUM(AD13:AD16)</f>
        <v>0</v>
      </c>
      <c r="AE17" s="14">
        <f t="shared" si="8"/>
        <v>-75.392933130698111</v>
      </c>
      <c r="AF17" s="91">
        <f t="shared" si="9"/>
        <v>0.95979043566362765</v>
      </c>
      <c r="AG17" s="177"/>
    </row>
    <row r="18" spans="1:33" ht="15.75" customHeight="1">
      <c r="A18" s="195" t="s">
        <v>1681</v>
      </c>
      <c r="B18" s="28" t="s">
        <v>5</v>
      </c>
      <c r="C18" s="193" t="s">
        <v>17</v>
      </c>
      <c r="D18" s="193"/>
      <c r="E18" s="28">
        <v>57.73</v>
      </c>
      <c r="F18" s="88">
        <v>2040</v>
      </c>
      <c r="G18" s="88">
        <f t="shared" ref="G18:G23" si="19">E18*F18</f>
        <v>117769.2</v>
      </c>
      <c r="H18" s="30" t="s">
        <v>53</v>
      </c>
      <c r="I18" s="95">
        <v>14</v>
      </c>
      <c r="J18" s="13">
        <v>2000</v>
      </c>
      <c r="K18" s="12">
        <f t="shared" si="1"/>
        <v>142.85714285714286</v>
      </c>
      <c r="L18" s="95">
        <v>14</v>
      </c>
      <c r="M18" s="13">
        <f t="shared" ref="M18:M23" si="20">F18/V18*60</f>
        <v>1912.4999999999995</v>
      </c>
      <c r="N18" s="12">
        <f t="shared" si="3"/>
        <v>136.60714285714283</v>
      </c>
      <c r="O18" s="14">
        <f t="shared" si="4"/>
        <v>0</v>
      </c>
      <c r="P18" s="15">
        <f t="shared" si="5"/>
        <v>-6.2500000000000284</v>
      </c>
      <c r="Q18" s="91">
        <f t="shared" si="6"/>
        <v>0.95624999999999982</v>
      </c>
      <c r="R18" s="177">
        <f>Q24</f>
        <v>0.95818740783443146</v>
      </c>
      <c r="S18" s="21">
        <v>0.29166666666666669</v>
      </c>
      <c r="T18" s="21">
        <v>0.33611111111111114</v>
      </c>
      <c r="U18" s="88"/>
      <c r="V18" s="30">
        <f t="shared" ref="V18:V23" si="21">(T18-S18)*24*60</f>
        <v>64.000000000000014</v>
      </c>
      <c r="W18" s="21"/>
      <c r="X18" s="21"/>
      <c r="Y18" s="21"/>
      <c r="Z18" s="21"/>
      <c r="AA18" s="168"/>
      <c r="AB18" s="168"/>
      <c r="AC18" s="18">
        <v>6</v>
      </c>
      <c r="AD18" s="18"/>
      <c r="AE18" s="14">
        <f t="shared" si="8"/>
        <v>-87.500000000000455</v>
      </c>
      <c r="AF18" s="91">
        <f t="shared" si="9"/>
        <v>0.95624999999999982</v>
      </c>
      <c r="AG18" s="177">
        <f>AF24</f>
        <v>0.95818740783443146</v>
      </c>
    </row>
    <row r="19" spans="1:33" ht="15.75" customHeight="1">
      <c r="A19" s="196" t="s">
        <v>1682</v>
      </c>
      <c r="B19" s="28" t="s">
        <v>5</v>
      </c>
      <c r="C19" s="193" t="s">
        <v>18</v>
      </c>
      <c r="D19" s="193"/>
      <c r="E19" s="28">
        <v>53.68</v>
      </c>
      <c r="F19" s="88">
        <v>1087</v>
      </c>
      <c r="G19" s="88">
        <f t="shared" si="19"/>
        <v>58350.159999999996</v>
      </c>
      <c r="H19" s="30" t="s">
        <v>53</v>
      </c>
      <c r="I19" s="95">
        <v>16</v>
      </c>
      <c r="J19" s="13">
        <v>2000</v>
      </c>
      <c r="K19" s="12">
        <f t="shared" si="1"/>
        <v>125</v>
      </c>
      <c r="L19" s="95">
        <v>16</v>
      </c>
      <c r="M19" s="13">
        <f t="shared" si="20"/>
        <v>1918.2352941176446</v>
      </c>
      <c r="N19" s="12">
        <f t="shared" si="3"/>
        <v>119.88970588235279</v>
      </c>
      <c r="O19" s="14">
        <f t="shared" si="4"/>
        <v>0</v>
      </c>
      <c r="P19" s="15">
        <f t="shared" si="5"/>
        <v>-5.1102941176472143</v>
      </c>
      <c r="Q19" s="91">
        <f t="shared" si="6"/>
        <v>0.9591176470588223</v>
      </c>
      <c r="R19" s="177"/>
      <c r="S19" s="21">
        <v>0.34166666666666667</v>
      </c>
      <c r="T19" s="21">
        <v>0.36527777777777781</v>
      </c>
      <c r="U19" s="88">
        <f t="shared" ref="U19:U23" si="22">IF(S19=TIME(17,0,0),"",(S19-T18)*24*60)</f>
        <v>7.9999999999999716</v>
      </c>
      <c r="V19" s="30">
        <f t="shared" si="21"/>
        <v>34.000000000000043</v>
      </c>
      <c r="W19" s="16"/>
      <c r="X19" s="88"/>
      <c r="Y19" s="88"/>
      <c r="Z19" s="88"/>
      <c r="AA19" s="168"/>
      <c r="AB19" s="168"/>
      <c r="AC19" s="18"/>
      <c r="AD19" s="18"/>
      <c r="AE19" s="14">
        <f t="shared" si="8"/>
        <v>-81.764705882355429</v>
      </c>
      <c r="AF19" s="91">
        <f t="shared" si="9"/>
        <v>0.9591176470588223</v>
      </c>
      <c r="AG19" s="177"/>
    </row>
    <row r="20" spans="1:33" ht="15.75" customHeight="1">
      <c r="A20" s="196" t="s">
        <v>1682</v>
      </c>
      <c r="B20" s="28" t="s">
        <v>5</v>
      </c>
      <c r="C20" s="193" t="s">
        <v>73</v>
      </c>
      <c r="D20" s="193"/>
      <c r="E20" s="28">
        <v>50.67</v>
      </c>
      <c r="F20" s="88">
        <v>2321</v>
      </c>
      <c r="G20" s="88">
        <f t="shared" si="19"/>
        <v>117605.07</v>
      </c>
      <c r="H20" s="30" t="s">
        <v>53</v>
      </c>
      <c r="I20" s="95">
        <v>17</v>
      </c>
      <c r="J20" s="13">
        <v>2000</v>
      </c>
      <c r="K20" s="12">
        <f t="shared" si="1"/>
        <v>117.64705882352941</v>
      </c>
      <c r="L20" s="95">
        <v>17</v>
      </c>
      <c r="M20" s="13">
        <f t="shared" si="20"/>
        <v>1907.6712328767126</v>
      </c>
      <c r="N20" s="12">
        <f t="shared" si="3"/>
        <v>112.21595487510073</v>
      </c>
      <c r="O20" s="14">
        <f t="shared" si="4"/>
        <v>0</v>
      </c>
      <c r="P20" s="15">
        <f t="shared" si="5"/>
        <v>-5.4311039484286709</v>
      </c>
      <c r="Q20" s="91">
        <f t="shared" si="6"/>
        <v>0.95383561643835635</v>
      </c>
      <c r="R20" s="177"/>
      <c r="S20" s="21">
        <v>0.37083333333333335</v>
      </c>
      <c r="T20" s="21">
        <v>0.42152777777777778</v>
      </c>
      <c r="U20" s="88">
        <f t="shared" si="22"/>
        <v>7.9999999999999716</v>
      </c>
      <c r="V20" s="30">
        <f t="shared" si="21"/>
        <v>72.999999999999986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-92.328767123287435</v>
      </c>
      <c r="AF20" s="91">
        <f t="shared" si="9"/>
        <v>0.95383561643835624</v>
      </c>
      <c r="AG20" s="177"/>
    </row>
    <row r="21" spans="1:33" ht="15.75" customHeight="1">
      <c r="A21" s="196" t="s">
        <v>355</v>
      </c>
      <c r="B21" s="28" t="s">
        <v>5</v>
      </c>
      <c r="C21" s="193" t="s">
        <v>21</v>
      </c>
      <c r="D21" s="193"/>
      <c r="E21" s="28">
        <v>57.3</v>
      </c>
      <c r="F21" s="88">
        <v>1400</v>
      </c>
      <c r="G21" s="88">
        <f t="shared" si="19"/>
        <v>80220</v>
      </c>
      <c r="H21" s="30" t="s">
        <v>53</v>
      </c>
      <c r="I21" s="95">
        <v>13</v>
      </c>
      <c r="J21" s="13">
        <v>2000</v>
      </c>
      <c r="K21" s="12">
        <f t="shared" si="1"/>
        <v>153.84615384615384</v>
      </c>
      <c r="L21" s="95">
        <v>13</v>
      </c>
      <c r="M21" s="13">
        <f t="shared" si="20"/>
        <v>1909.090909090909</v>
      </c>
      <c r="N21" s="12">
        <f t="shared" si="3"/>
        <v>146.85314685314685</v>
      </c>
      <c r="O21" s="14">
        <f t="shared" si="4"/>
        <v>0</v>
      </c>
      <c r="P21" s="15">
        <f t="shared" si="5"/>
        <v>-6.9930069930069862</v>
      </c>
      <c r="Q21" s="91">
        <f t="shared" si="6"/>
        <v>0.95454545454545459</v>
      </c>
      <c r="R21" s="177"/>
      <c r="S21" s="21">
        <v>0.70833333333333337</v>
      </c>
      <c r="T21" s="21">
        <v>0.73888888888888893</v>
      </c>
      <c r="U21" s="88" t="str">
        <f t="shared" si="22"/>
        <v/>
      </c>
      <c r="V21" s="30">
        <f t="shared" si="21"/>
        <v>44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8"/>
        <v>-90.909090909090992</v>
      </c>
      <c r="AF21" s="91">
        <f t="shared" si="9"/>
        <v>0.95454545454545447</v>
      </c>
      <c r="AG21" s="177"/>
    </row>
    <row r="22" spans="1:33" ht="15.75" customHeight="1">
      <c r="A22" s="196" t="s">
        <v>1683</v>
      </c>
      <c r="B22" s="28" t="s">
        <v>5</v>
      </c>
      <c r="C22" s="193" t="s">
        <v>20</v>
      </c>
      <c r="D22" s="193"/>
      <c r="E22" s="28">
        <v>53.68</v>
      </c>
      <c r="F22" s="88">
        <v>1220</v>
      </c>
      <c r="G22" s="88">
        <f t="shared" si="19"/>
        <v>65489.599999999999</v>
      </c>
      <c r="H22" s="30" t="s">
        <v>53</v>
      </c>
      <c r="I22" s="95">
        <v>16</v>
      </c>
      <c r="J22" s="13">
        <v>1500</v>
      </c>
      <c r="K22" s="12">
        <f t="shared" si="1"/>
        <v>93.75</v>
      </c>
      <c r="L22" s="95">
        <v>16</v>
      </c>
      <c r="M22" s="13">
        <f t="shared" si="20"/>
        <v>1435.2941176470595</v>
      </c>
      <c r="N22" s="12">
        <f t="shared" si="3"/>
        <v>89.705882352941217</v>
      </c>
      <c r="O22" s="14">
        <f t="shared" si="4"/>
        <v>0</v>
      </c>
      <c r="P22" s="15">
        <f t="shared" si="5"/>
        <v>-4.0441176470587834</v>
      </c>
      <c r="Q22" s="91">
        <f t="shared" si="6"/>
        <v>0.95686274509803959</v>
      </c>
      <c r="R22" s="177"/>
      <c r="S22" s="21">
        <v>0.74236111111111114</v>
      </c>
      <c r="T22" s="21">
        <v>0.77777777777777779</v>
      </c>
      <c r="U22" s="88">
        <f t="shared" si="22"/>
        <v>4.9999999999999822</v>
      </c>
      <c r="V22" s="30">
        <f t="shared" si="21"/>
        <v>50.999999999999979</v>
      </c>
      <c r="W22" s="16"/>
      <c r="X22" s="16"/>
      <c r="Y22" s="88"/>
      <c r="Z22" s="88"/>
      <c r="AA22" s="168"/>
      <c r="AB22" s="168"/>
      <c r="AC22" s="18"/>
      <c r="AD22" s="18"/>
      <c r="AE22" s="14">
        <f t="shared" si="8"/>
        <v>-64.705882352940534</v>
      </c>
      <c r="AF22" s="91">
        <f t="shared" si="9"/>
        <v>0.95686274509803959</v>
      </c>
      <c r="AG22" s="177"/>
    </row>
    <row r="23" spans="1:33" ht="15.75" customHeight="1">
      <c r="A23" s="196" t="s">
        <v>1682</v>
      </c>
      <c r="B23" s="28" t="s">
        <v>5</v>
      </c>
      <c r="C23" s="193" t="s">
        <v>19</v>
      </c>
      <c r="D23" s="193"/>
      <c r="E23" s="28">
        <v>50.49</v>
      </c>
      <c r="F23" s="88">
        <v>1775</v>
      </c>
      <c r="G23" s="88">
        <f t="shared" si="19"/>
        <v>89619.75</v>
      </c>
      <c r="H23" s="30" t="s">
        <v>53</v>
      </c>
      <c r="I23" s="95">
        <v>15</v>
      </c>
      <c r="J23" s="13">
        <v>2000</v>
      </c>
      <c r="K23" s="12">
        <f t="shared" si="1"/>
        <v>133.33333333333334</v>
      </c>
      <c r="L23" s="95">
        <v>15</v>
      </c>
      <c r="M23" s="13">
        <f t="shared" si="20"/>
        <v>1936.3636363636376</v>
      </c>
      <c r="N23" s="12">
        <f t="shared" si="3"/>
        <v>129.09090909090918</v>
      </c>
      <c r="O23" s="14">
        <f t="shared" si="4"/>
        <v>0</v>
      </c>
      <c r="P23" s="15">
        <f t="shared" si="5"/>
        <v>-4.242424242424164</v>
      </c>
      <c r="Q23" s="91">
        <f t="shared" si="6"/>
        <v>0.96818181818181881</v>
      </c>
      <c r="R23" s="177"/>
      <c r="S23" s="21">
        <v>0.78125</v>
      </c>
      <c r="T23" s="21">
        <v>0.81944444444444442</v>
      </c>
      <c r="U23" s="88">
        <f t="shared" si="22"/>
        <v>4.9999999999999822</v>
      </c>
      <c r="V23" s="30">
        <f t="shared" si="21"/>
        <v>54.999999999999964</v>
      </c>
      <c r="W23" s="16"/>
      <c r="X23" s="21"/>
      <c r="Y23" s="21"/>
      <c r="Z23" s="21"/>
      <c r="AA23" s="168"/>
      <c r="AB23" s="168"/>
      <c r="AC23" s="18"/>
      <c r="AD23" s="18"/>
      <c r="AE23" s="14">
        <f t="shared" si="8"/>
        <v>-63.636363636362375</v>
      </c>
      <c r="AF23" s="91">
        <f t="shared" si="9"/>
        <v>0.96818181818181881</v>
      </c>
      <c r="AG23" s="177"/>
    </row>
    <row r="24" spans="1:33" ht="15.75" customHeight="1">
      <c r="A24" s="196" t="s">
        <v>355</v>
      </c>
      <c r="B24" s="28" t="s">
        <v>1680</v>
      </c>
      <c r="C24" s="178"/>
      <c r="D24" s="178"/>
      <c r="E24" s="92"/>
      <c r="F24" s="88"/>
      <c r="G24" s="88"/>
      <c r="H24" s="88"/>
      <c r="I24" s="23">
        <v>15.166666666666666</v>
      </c>
      <c r="J24" s="13">
        <v>1916.6666666666667</v>
      </c>
      <c r="K24" s="12">
        <f t="shared" si="1"/>
        <v>126.37362637362638</v>
      </c>
      <c r="L24" s="23">
        <v>15.166666666666666</v>
      </c>
      <c r="M24" s="13">
        <f>AVERAGE(M18:M23)</f>
        <v>1836.5258650159938</v>
      </c>
      <c r="N24" s="12">
        <f t="shared" si="3"/>
        <v>121.08961747358201</v>
      </c>
      <c r="O24" s="14">
        <f t="shared" si="4"/>
        <v>0</v>
      </c>
      <c r="P24" s="15">
        <f t="shared" si="5"/>
        <v>-5.2840089000443697</v>
      </c>
      <c r="Q24" s="91">
        <f t="shared" si="6"/>
        <v>0.95818740783443146</v>
      </c>
      <c r="R24" s="177"/>
      <c r="S24" s="21"/>
      <c r="T24" s="21"/>
      <c r="U24" s="12"/>
      <c r="V24" s="30"/>
      <c r="W24" s="12"/>
      <c r="X24" s="12"/>
      <c r="Y24" s="24">
        <f>SUM(Y18:Y23)</f>
        <v>0</v>
      </c>
      <c r="Z24" s="24">
        <f>SUM(Z18:Z23)</f>
        <v>0</v>
      </c>
      <c r="AA24" s="167"/>
      <c r="AB24" s="167"/>
      <c r="AC24" s="24">
        <v>6</v>
      </c>
      <c r="AD24" s="24">
        <f>SUM(AD18:AD23)</f>
        <v>0</v>
      </c>
      <c r="AE24" s="14">
        <f t="shared" si="8"/>
        <v>-80.140801650672984</v>
      </c>
      <c r="AF24" s="91">
        <f t="shared" si="9"/>
        <v>0.95818740783443146</v>
      </c>
      <c r="AG24" s="177"/>
    </row>
    <row r="25" spans="1:33" ht="15.75" customHeight="1">
      <c r="A25" s="194" t="s">
        <v>1684</v>
      </c>
      <c r="B25" s="28" t="s">
        <v>22</v>
      </c>
      <c r="C25" s="193" t="s">
        <v>23</v>
      </c>
      <c r="D25" s="193"/>
      <c r="E25" s="28">
        <v>31.29</v>
      </c>
      <c r="F25" s="88">
        <v>8542</v>
      </c>
      <c r="G25" s="88">
        <f t="shared" ref="G25:G29" si="23">E25*F25</f>
        <v>267279.18</v>
      </c>
      <c r="H25" s="30" t="s">
        <v>53</v>
      </c>
      <c r="I25" s="95">
        <v>18</v>
      </c>
      <c r="J25" s="13">
        <v>2400</v>
      </c>
      <c r="K25" s="12">
        <f t="shared" si="1"/>
        <v>133.33333333333334</v>
      </c>
      <c r="L25" s="95">
        <v>18</v>
      </c>
      <c r="M25" s="13">
        <f t="shared" ref="M25:M29" si="24">F25/V25*60</f>
        <v>2288.0357142857142</v>
      </c>
      <c r="N25" s="12">
        <f t="shared" si="3"/>
        <v>127.11309523809524</v>
      </c>
      <c r="O25" s="14">
        <f t="shared" si="4"/>
        <v>0</v>
      </c>
      <c r="P25" s="15">
        <f t="shared" si="5"/>
        <v>-6.220238095238102</v>
      </c>
      <c r="Q25" s="91">
        <f t="shared" si="6"/>
        <v>0.95334821428571426</v>
      </c>
      <c r="R25" s="177">
        <f>Q30</f>
        <v>0.96046675728259501</v>
      </c>
      <c r="S25" s="21">
        <v>8.3333333333333329E-2</v>
      </c>
      <c r="T25" s="21">
        <v>0.23888888888888887</v>
      </c>
      <c r="U25" s="88"/>
      <c r="V25" s="30">
        <f t="shared" ref="V25:V29" si="25">(T25-S25)*24*60</f>
        <v>224</v>
      </c>
      <c r="W25" s="16">
        <f>T25</f>
        <v>0.23888888888888887</v>
      </c>
      <c r="X25" s="16">
        <f>S26</f>
        <v>0.25902777777777775</v>
      </c>
      <c r="Y25" s="16"/>
      <c r="Z25" s="16"/>
      <c r="AA25" s="168"/>
      <c r="AB25" s="168"/>
      <c r="AC25" s="18">
        <v>5</v>
      </c>
      <c r="AD25" s="18"/>
      <c r="AE25" s="14">
        <f t="shared" si="8"/>
        <v>-111.96428571428578</v>
      </c>
      <c r="AF25" s="91">
        <f t="shared" si="9"/>
        <v>0.95334821428571426</v>
      </c>
      <c r="AG25" s="177">
        <f>AF30</f>
        <v>0.96046675728259501</v>
      </c>
    </row>
    <row r="26" spans="1:33" ht="15.75" customHeight="1">
      <c r="A26" s="194" t="s">
        <v>1685</v>
      </c>
      <c r="B26" s="28" t="s">
        <v>22</v>
      </c>
      <c r="C26" s="193" t="s">
        <v>24</v>
      </c>
      <c r="D26" s="193"/>
      <c r="E26" s="28">
        <v>25.98</v>
      </c>
      <c r="F26" s="88">
        <v>2835</v>
      </c>
      <c r="G26" s="88">
        <f t="shared" si="23"/>
        <v>73653.3</v>
      </c>
      <c r="H26" s="30" t="s">
        <v>53</v>
      </c>
      <c r="I26" s="95">
        <v>21</v>
      </c>
      <c r="J26" s="13">
        <v>2400</v>
      </c>
      <c r="K26" s="12">
        <f t="shared" si="1"/>
        <v>114.28571428571429</v>
      </c>
      <c r="L26" s="95">
        <v>21</v>
      </c>
      <c r="M26" s="13">
        <f t="shared" si="24"/>
        <v>2298.6486486486497</v>
      </c>
      <c r="N26" s="12">
        <f t="shared" si="3"/>
        <v>109.45945945945951</v>
      </c>
      <c r="O26" s="14">
        <f t="shared" si="4"/>
        <v>0</v>
      </c>
      <c r="P26" s="15">
        <f t="shared" si="5"/>
        <v>-4.8262548262547824</v>
      </c>
      <c r="Q26" s="91">
        <f t="shared" si="6"/>
        <v>0.95777027027027062</v>
      </c>
      <c r="R26" s="177"/>
      <c r="S26" s="21">
        <v>0.25902777777777775</v>
      </c>
      <c r="T26" s="21">
        <v>0.31041666666666662</v>
      </c>
      <c r="U26" s="88">
        <f t="shared" ref="U26:U29" si="26">(S26-T25)*24*60</f>
        <v>28.999999999999979</v>
      </c>
      <c r="V26" s="30">
        <f t="shared" si="25"/>
        <v>73.999999999999972</v>
      </c>
      <c r="W26" s="16"/>
      <c r="X26" s="16"/>
      <c r="Y26" s="16"/>
      <c r="Z26" s="16"/>
      <c r="AA26" s="168"/>
      <c r="AB26" s="168"/>
      <c r="AC26" s="18"/>
      <c r="AD26" s="18"/>
      <c r="AE26" s="14">
        <f t="shared" si="8"/>
        <v>-101.35135135135033</v>
      </c>
      <c r="AF26" s="91">
        <f t="shared" si="9"/>
        <v>0.95777027027027073</v>
      </c>
      <c r="AG26" s="177"/>
    </row>
    <row r="27" spans="1:33" ht="15.75" customHeight="1">
      <c r="A27" s="194" t="s">
        <v>362</v>
      </c>
      <c r="B27" s="28" t="s">
        <v>22</v>
      </c>
      <c r="C27" s="193" t="s">
        <v>26</v>
      </c>
      <c r="D27" s="193"/>
      <c r="E27" s="28">
        <v>25.99</v>
      </c>
      <c r="F27" s="88">
        <v>3936</v>
      </c>
      <c r="G27" s="88">
        <f t="shared" si="23"/>
        <v>102296.64</v>
      </c>
      <c r="H27" s="30" t="s">
        <v>53</v>
      </c>
      <c r="I27" s="95">
        <v>14</v>
      </c>
      <c r="J27" s="13">
        <v>2400</v>
      </c>
      <c r="K27" s="12">
        <f t="shared" si="1"/>
        <v>171.42857142857142</v>
      </c>
      <c r="L27" s="95">
        <v>14</v>
      </c>
      <c r="M27" s="13">
        <f t="shared" si="24"/>
        <v>2292.8155339805821</v>
      </c>
      <c r="N27" s="12">
        <f t="shared" si="3"/>
        <v>163.77253814147016</v>
      </c>
      <c r="O27" s="14">
        <f t="shared" si="4"/>
        <v>0</v>
      </c>
      <c r="P27" s="15">
        <f t="shared" si="5"/>
        <v>-7.656033287101252</v>
      </c>
      <c r="Q27" s="91">
        <f t="shared" si="6"/>
        <v>0.95533980582524269</v>
      </c>
      <c r="R27" s="177"/>
      <c r="S27" s="21">
        <v>0.31597222222222215</v>
      </c>
      <c r="T27" s="21">
        <v>0.38749999999999996</v>
      </c>
      <c r="U27" s="88">
        <f t="shared" si="26"/>
        <v>7.9999999999999716</v>
      </c>
      <c r="V27" s="30">
        <f t="shared" si="25"/>
        <v>103.00000000000003</v>
      </c>
      <c r="W27" s="16"/>
      <c r="X27" s="16"/>
      <c r="Y27" s="16"/>
      <c r="Z27" s="16"/>
      <c r="AA27" s="168"/>
      <c r="AB27" s="168"/>
      <c r="AC27" s="18"/>
      <c r="AD27" s="18"/>
      <c r="AE27" s="14">
        <f t="shared" si="8"/>
        <v>-107.18446601941787</v>
      </c>
      <c r="AF27" s="91">
        <f t="shared" si="9"/>
        <v>0.95533980582524258</v>
      </c>
      <c r="AG27" s="177"/>
    </row>
    <row r="28" spans="1:33" ht="15.75" customHeight="1">
      <c r="A28" s="194" t="s">
        <v>1686</v>
      </c>
      <c r="B28" s="28" t="s">
        <v>22</v>
      </c>
      <c r="C28" s="193" t="s">
        <v>27</v>
      </c>
      <c r="D28" s="193"/>
      <c r="E28" s="28">
        <v>26.18</v>
      </c>
      <c r="F28" s="88">
        <v>1251</v>
      </c>
      <c r="G28" s="88">
        <f t="shared" si="23"/>
        <v>32751.18</v>
      </c>
      <c r="H28" s="30" t="s">
        <v>53</v>
      </c>
      <c r="I28" s="95">
        <v>19</v>
      </c>
      <c r="J28" s="13">
        <v>2400</v>
      </c>
      <c r="K28" s="12">
        <f t="shared" si="1"/>
        <v>126.31578947368421</v>
      </c>
      <c r="L28" s="95">
        <v>19</v>
      </c>
      <c r="M28" s="13">
        <f t="shared" si="24"/>
        <v>2345.6250000000027</v>
      </c>
      <c r="N28" s="12">
        <f t="shared" si="3"/>
        <v>123.4539473684212</v>
      </c>
      <c r="O28" s="14">
        <f t="shared" si="4"/>
        <v>0</v>
      </c>
      <c r="P28" s="15">
        <f t="shared" si="5"/>
        <v>-2.8618421052630083</v>
      </c>
      <c r="Q28" s="91">
        <f t="shared" si="6"/>
        <v>0.97734375000000118</v>
      </c>
      <c r="R28" s="177"/>
      <c r="S28" s="21">
        <v>0.39305555555555549</v>
      </c>
      <c r="T28" s="21">
        <v>0.41527777777777769</v>
      </c>
      <c r="U28" s="88">
        <f t="shared" si="26"/>
        <v>7.9999999999999716</v>
      </c>
      <c r="V28" s="30">
        <f t="shared" si="25"/>
        <v>31.999999999999964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-54.374999999997272</v>
      </c>
      <c r="AF28" s="91">
        <f t="shared" si="9"/>
        <v>0.97734375000000118</v>
      </c>
      <c r="AG28" s="177"/>
    </row>
    <row r="29" spans="1:33" ht="15.75" customHeight="1">
      <c r="A29" s="194" t="s">
        <v>1685</v>
      </c>
      <c r="B29" s="28" t="s">
        <v>22</v>
      </c>
      <c r="C29" s="193" t="s">
        <v>25</v>
      </c>
      <c r="D29" s="193"/>
      <c r="E29" s="28">
        <v>26.2</v>
      </c>
      <c r="F29" s="88">
        <v>4831</v>
      </c>
      <c r="G29" s="88">
        <f t="shared" si="23"/>
        <v>126572.2</v>
      </c>
      <c r="H29" s="30" t="s">
        <v>53</v>
      </c>
      <c r="I29" s="95">
        <v>20</v>
      </c>
      <c r="J29" s="13">
        <v>2400</v>
      </c>
      <c r="K29" s="12">
        <f t="shared" si="1"/>
        <v>120</v>
      </c>
      <c r="L29" s="95">
        <v>20</v>
      </c>
      <c r="M29" s="13">
        <f t="shared" si="24"/>
        <v>2300.4761904761913</v>
      </c>
      <c r="N29" s="12">
        <f t="shared" si="3"/>
        <v>115.02380952380956</v>
      </c>
      <c r="O29" s="14">
        <f t="shared" si="4"/>
        <v>0</v>
      </c>
      <c r="P29" s="15">
        <f t="shared" si="5"/>
        <v>-4.976190476190439</v>
      </c>
      <c r="Q29" s="91">
        <f t="shared" si="6"/>
        <v>0.95853174603174629</v>
      </c>
      <c r="R29" s="177"/>
      <c r="S29" s="21">
        <v>0.4187499999999999</v>
      </c>
      <c r="T29" s="21">
        <v>0.50624999999999987</v>
      </c>
      <c r="U29" s="88">
        <f t="shared" si="26"/>
        <v>4.9999999999999822</v>
      </c>
      <c r="V29" s="30">
        <f t="shared" si="25"/>
        <v>125.99999999999996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8"/>
        <v>-99.523809523808723</v>
      </c>
      <c r="AF29" s="91">
        <f t="shared" si="9"/>
        <v>0.9585317460317464</v>
      </c>
      <c r="AG29" s="177"/>
    </row>
    <row r="30" spans="1:33" ht="15.75" customHeight="1">
      <c r="A30" s="194" t="s">
        <v>362</v>
      </c>
      <c r="B30" s="28" t="s">
        <v>1687</v>
      </c>
      <c r="C30" s="178"/>
      <c r="D30" s="178"/>
      <c r="E30" s="92"/>
      <c r="F30" s="88"/>
      <c r="G30" s="88"/>
      <c r="H30" s="88"/>
      <c r="I30" s="23">
        <v>18.399999999999999</v>
      </c>
      <c r="J30" s="13">
        <v>2400</v>
      </c>
      <c r="K30" s="12">
        <f t="shared" si="1"/>
        <v>130.43478260869566</v>
      </c>
      <c r="L30" s="23">
        <v>18.399999999999999</v>
      </c>
      <c r="M30" s="13">
        <f>AVERAGE(M25:M29)</f>
        <v>2305.1202174782279</v>
      </c>
      <c r="N30" s="12">
        <f t="shared" si="3"/>
        <v>125.27827268903414</v>
      </c>
      <c r="O30" s="14">
        <f t="shared" si="4"/>
        <v>0</v>
      </c>
      <c r="P30" s="15">
        <f t="shared" si="5"/>
        <v>-5.1565099196615165</v>
      </c>
      <c r="Q30" s="91">
        <f t="shared" si="6"/>
        <v>0.96046675728259501</v>
      </c>
      <c r="R30" s="177"/>
      <c r="S30" s="21"/>
      <c r="T30" s="21"/>
      <c r="U30" s="88"/>
      <c r="V30" s="30"/>
      <c r="W30" s="88"/>
      <c r="X30" s="88"/>
      <c r="Y30" s="24">
        <f>SUM(Y25:Y29)</f>
        <v>0</v>
      </c>
      <c r="Z30" s="24">
        <f>SUM(Z25:Z29)</f>
        <v>0</v>
      </c>
      <c r="AA30" s="167"/>
      <c r="AB30" s="167"/>
      <c r="AC30" s="24">
        <v>5</v>
      </c>
      <c r="AD30" s="24">
        <f>SUM(AD25:AD29)</f>
        <v>0</v>
      </c>
      <c r="AE30" s="14">
        <f t="shared" si="8"/>
        <v>-94.879782521772086</v>
      </c>
      <c r="AF30" s="91">
        <f t="shared" si="9"/>
        <v>0.96046675728259501</v>
      </c>
      <c r="AG30" s="177"/>
    </row>
    <row r="31" spans="1:33" ht="15.75" customHeight="1">
      <c r="A31" s="191" t="s">
        <v>363</v>
      </c>
      <c r="B31" s="28" t="s">
        <v>22</v>
      </c>
      <c r="C31" s="169" t="s">
        <v>28</v>
      </c>
      <c r="D31" s="169"/>
      <c r="E31" s="28">
        <v>26.2</v>
      </c>
      <c r="F31" s="88">
        <v>6033</v>
      </c>
      <c r="G31" s="88">
        <f t="shared" ref="G31:G35" si="27">E31*F31</f>
        <v>158064.6</v>
      </c>
      <c r="H31" s="30" t="s">
        <v>53</v>
      </c>
      <c r="I31" s="95">
        <v>18</v>
      </c>
      <c r="J31" s="13">
        <v>2400</v>
      </c>
      <c r="K31" s="12">
        <f t="shared" si="1"/>
        <v>133.33333333333334</v>
      </c>
      <c r="L31" s="95">
        <v>18</v>
      </c>
      <c r="M31" s="13">
        <f t="shared" ref="M31:M35" si="28">F31/V31*60</f>
        <v>2291.0126582278485</v>
      </c>
      <c r="N31" s="12">
        <f t="shared" si="3"/>
        <v>127.27848101265825</v>
      </c>
      <c r="O31" s="14">
        <f t="shared" si="4"/>
        <v>0</v>
      </c>
      <c r="P31" s="15">
        <f t="shared" si="5"/>
        <v>-6.0548523206750957</v>
      </c>
      <c r="Q31" s="91">
        <f t="shared" si="6"/>
        <v>0.9545886075949368</v>
      </c>
      <c r="R31" s="177">
        <f>Q36</f>
        <v>0.9547390460688131</v>
      </c>
      <c r="S31" s="21">
        <v>8.3333333333333329E-2</v>
      </c>
      <c r="T31" s="21">
        <v>0.19305555555555554</v>
      </c>
      <c r="U31" s="88"/>
      <c r="V31" s="30">
        <f t="shared" ref="V31:V35" si="29">(T31-S31)*24*60</f>
        <v>157.99999999999997</v>
      </c>
      <c r="W31" s="21">
        <f>T31</f>
        <v>0.19305555555555554</v>
      </c>
      <c r="X31" s="21">
        <f>S32</f>
        <v>0.21180555555555552</v>
      </c>
      <c r="Y31" s="21"/>
      <c r="Z31" s="21"/>
      <c r="AA31" s="168"/>
      <c r="AB31" s="168"/>
      <c r="AC31" s="18">
        <v>5</v>
      </c>
      <c r="AD31" s="18"/>
      <c r="AE31" s="14">
        <f t="shared" si="8"/>
        <v>-108.98734177215147</v>
      </c>
      <c r="AF31" s="91">
        <f t="shared" si="9"/>
        <v>0.95458860759493691</v>
      </c>
      <c r="AG31" s="177">
        <f>AF36</f>
        <v>0.95473904606881321</v>
      </c>
    </row>
    <row r="32" spans="1:33" ht="15.75" customHeight="1">
      <c r="A32" s="191" t="s">
        <v>1688</v>
      </c>
      <c r="B32" s="28" t="s">
        <v>22</v>
      </c>
      <c r="C32" s="169" t="s">
        <v>49</v>
      </c>
      <c r="D32" s="169"/>
      <c r="E32" s="28">
        <v>20.2</v>
      </c>
      <c r="F32" s="88">
        <v>1688</v>
      </c>
      <c r="G32" s="88">
        <f t="shared" si="27"/>
        <v>34097.599999999999</v>
      </c>
      <c r="H32" s="30" t="s">
        <v>53</v>
      </c>
      <c r="I32" s="95">
        <v>15</v>
      </c>
      <c r="J32" s="13">
        <v>2400</v>
      </c>
      <c r="K32" s="12">
        <f t="shared" si="1"/>
        <v>160</v>
      </c>
      <c r="L32" s="95">
        <v>15</v>
      </c>
      <c r="M32" s="13">
        <f t="shared" si="28"/>
        <v>2301.818181818182</v>
      </c>
      <c r="N32" s="12">
        <f t="shared" si="3"/>
        <v>153.45454545454547</v>
      </c>
      <c r="O32" s="14">
        <f t="shared" si="4"/>
        <v>0</v>
      </c>
      <c r="P32" s="15">
        <f t="shared" si="5"/>
        <v>-6.5454545454545325</v>
      </c>
      <c r="Q32" s="91">
        <f t="shared" si="6"/>
        <v>0.95909090909090922</v>
      </c>
      <c r="R32" s="177"/>
      <c r="S32" s="21">
        <v>0.21180555555555552</v>
      </c>
      <c r="T32" s="21">
        <v>0.24236111111111108</v>
      </c>
      <c r="U32" s="88">
        <f t="shared" ref="U32:U35" si="30">(S32-T31)*24*60</f>
        <v>26.999999999999986</v>
      </c>
      <c r="V32" s="30">
        <f t="shared" si="29"/>
        <v>44</v>
      </c>
      <c r="W32" s="88"/>
      <c r="X32" s="88"/>
      <c r="Y32" s="88"/>
      <c r="Z32" s="88"/>
      <c r="AA32" s="168"/>
      <c r="AB32" s="168"/>
      <c r="AC32" s="18"/>
      <c r="AD32" s="18"/>
      <c r="AE32" s="14">
        <f t="shared" si="8"/>
        <v>-98.181818181818016</v>
      </c>
      <c r="AF32" s="91">
        <f t="shared" si="9"/>
        <v>0.95909090909090911</v>
      </c>
      <c r="AG32" s="177"/>
    </row>
    <row r="33" spans="1:33">
      <c r="A33" s="192" t="s">
        <v>1688</v>
      </c>
      <c r="B33" s="28" t="s">
        <v>22</v>
      </c>
      <c r="C33" s="169" t="s">
        <v>32</v>
      </c>
      <c r="D33" s="169"/>
      <c r="E33" s="28">
        <v>20.52</v>
      </c>
      <c r="F33" s="88">
        <v>2550</v>
      </c>
      <c r="G33" s="88">
        <f t="shared" si="27"/>
        <v>52326</v>
      </c>
      <c r="H33" s="30" t="s">
        <v>53</v>
      </c>
      <c r="I33" s="95">
        <v>18</v>
      </c>
      <c r="J33" s="13">
        <v>2400</v>
      </c>
      <c r="K33" s="12">
        <f t="shared" si="1"/>
        <v>133.33333333333334</v>
      </c>
      <c r="L33" s="95">
        <v>18</v>
      </c>
      <c r="M33" s="13">
        <f t="shared" si="28"/>
        <v>2283.5820895522402</v>
      </c>
      <c r="N33" s="12">
        <f t="shared" si="3"/>
        <v>126.86567164179112</v>
      </c>
      <c r="O33" s="14">
        <f t="shared" si="4"/>
        <v>0</v>
      </c>
      <c r="P33" s="15">
        <f t="shared" si="5"/>
        <v>-6.4676616915422187</v>
      </c>
      <c r="Q33" s="91">
        <f t="shared" si="6"/>
        <v>0.95149253731343342</v>
      </c>
      <c r="R33" s="177"/>
      <c r="S33" s="21">
        <v>0.2472222222222222</v>
      </c>
      <c r="T33" s="21">
        <v>0.29374999999999996</v>
      </c>
      <c r="U33" s="88">
        <f t="shared" si="30"/>
        <v>7.0000000000000151</v>
      </c>
      <c r="V33" s="30">
        <f t="shared" si="29"/>
        <v>66.999999999999957</v>
      </c>
      <c r="W33" s="88"/>
      <c r="X33" s="88"/>
      <c r="Y33" s="88"/>
      <c r="Z33" s="88"/>
      <c r="AA33" s="168"/>
      <c r="AB33" s="168"/>
      <c r="AC33" s="18"/>
      <c r="AD33" s="18"/>
      <c r="AE33" s="14">
        <f t="shared" si="8"/>
        <v>-116.41791044775982</v>
      </c>
      <c r="AF33" s="91">
        <f t="shared" si="9"/>
        <v>0.95149253731343342</v>
      </c>
      <c r="AG33" s="177"/>
    </row>
    <row r="34" spans="1:33">
      <c r="A34" s="192" t="s">
        <v>363</v>
      </c>
      <c r="B34" s="28" t="s">
        <v>22</v>
      </c>
      <c r="C34" s="169" t="s">
        <v>30</v>
      </c>
      <c r="D34" s="169"/>
      <c r="E34" s="28">
        <v>26.39</v>
      </c>
      <c r="F34" s="88">
        <v>5237</v>
      </c>
      <c r="G34" s="88">
        <f t="shared" si="27"/>
        <v>138204.43</v>
      </c>
      <c r="H34" s="30" t="s">
        <v>53</v>
      </c>
      <c r="I34" s="95">
        <v>19</v>
      </c>
      <c r="J34" s="13">
        <v>2400</v>
      </c>
      <c r="K34" s="12">
        <f t="shared" si="1"/>
        <v>126.31578947368421</v>
      </c>
      <c r="L34" s="95">
        <v>19</v>
      </c>
      <c r="M34" s="13">
        <f t="shared" si="28"/>
        <v>2293.5766423357663</v>
      </c>
      <c r="N34" s="12">
        <f t="shared" si="3"/>
        <v>120.71456012293507</v>
      </c>
      <c r="O34" s="14">
        <f t="shared" si="4"/>
        <v>0</v>
      </c>
      <c r="P34" s="15">
        <f t="shared" si="5"/>
        <v>-5.6012293507491364</v>
      </c>
      <c r="Q34" s="91">
        <f t="shared" si="6"/>
        <v>0.95565693430656928</v>
      </c>
      <c r="R34" s="177"/>
      <c r="S34" s="21">
        <v>0.29791666666666661</v>
      </c>
      <c r="T34" s="21">
        <v>0.39305555555555549</v>
      </c>
      <c r="U34" s="88">
        <f t="shared" si="30"/>
        <v>5.9999999999999787</v>
      </c>
      <c r="V34" s="30">
        <f t="shared" si="29"/>
        <v>137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8"/>
        <v>-106.42335766423366</v>
      </c>
      <c r="AF34" s="91">
        <f t="shared" si="9"/>
        <v>0.95565693430656928</v>
      </c>
      <c r="AG34" s="177"/>
    </row>
    <row r="35" spans="1:33">
      <c r="A35" s="192" t="s">
        <v>363</v>
      </c>
      <c r="B35" s="28" t="s">
        <v>22</v>
      </c>
      <c r="C35" s="169" t="s">
        <v>51</v>
      </c>
      <c r="D35" s="169"/>
      <c r="E35" s="28">
        <v>24.43</v>
      </c>
      <c r="F35" s="88">
        <v>5984</v>
      </c>
      <c r="G35" s="88">
        <f t="shared" si="27"/>
        <v>146189.12</v>
      </c>
      <c r="H35" s="30" t="s">
        <v>53</v>
      </c>
      <c r="I35" s="95">
        <v>14</v>
      </c>
      <c r="J35" s="13">
        <v>2400</v>
      </c>
      <c r="K35" s="12">
        <f t="shared" si="1"/>
        <v>171.42857142857142</v>
      </c>
      <c r="L35" s="95">
        <v>14</v>
      </c>
      <c r="M35" s="13">
        <f t="shared" si="28"/>
        <v>2286.8789808917209</v>
      </c>
      <c r="N35" s="12">
        <f t="shared" si="3"/>
        <v>163.34849863512292</v>
      </c>
      <c r="O35" s="14">
        <f t="shared" si="4"/>
        <v>0</v>
      </c>
      <c r="P35" s="15">
        <f t="shared" si="5"/>
        <v>-8.0800727934484939</v>
      </c>
      <c r="Q35" s="91">
        <f t="shared" si="6"/>
        <v>0.95286624203821713</v>
      </c>
      <c r="R35" s="177"/>
      <c r="S35" s="21">
        <v>0.39722222222222214</v>
      </c>
      <c r="T35" s="21">
        <v>0.50624999999999987</v>
      </c>
      <c r="U35" s="88">
        <f t="shared" si="30"/>
        <v>5.9999999999999787</v>
      </c>
      <c r="V35" s="30">
        <f t="shared" si="29"/>
        <v>156.99999999999991</v>
      </c>
      <c r="W35" s="16"/>
      <c r="X35" s="16"/>
      <c r="Y35" s="16"/>
      <c r="Z35" s="16"/>
      <c r="AA35" s="168"/>
      <c r="AB35" s="168"/>
      <c r="AC35" s="18"/>
      <c r="AD35" s="18"/>
      <c r="AE35" s="14">
        <f t="shared" si="8"/>
        <v>-113.12101910827914</v>
      </c>
      <c r="AF35" s="91">
        <f t="shared" si="9"/>
        <v>0.95286624203821702</v>
      </c>
      <c r="AG35" s="177"/>
    </row>
    <row r="36" spans="1:33">
      <c r="A36" s="192" t="s">
        <v>363</v>
      </c>
      <c r="B36" s="12" t="s">
        <v>1680</v>
      </c>
      <c r="C36" s="178"/>
      <c r="D36" s="178"/>
      <c r="E36" s="92"/>
      <c r="F36" s="12"/>
      <c r="G36" s="12"/>
      <c r="H36" s="88"/>
      <c r="I36" s="23">
        <v>16.8</v>
      </c>
      <c r="J36" s="13">
        <v>2400</v>
      </c>
      <c r="K36" s="12">
        <f t="shared" si="1"/>
        <v>142.85714285714286</v>
      </c>
      <c r="L36" s="23">
        <v>16.8</v>
      </c>
      <c r="M36" s="13">
        <f>AVERAGE(M31:M35)</f>
        <v>2291.3737105651517</v>
      </c>
      <c r="N36" s="12">
        <f t="shared" si="3"/>
        <v>136.39129229554473</v>
      </c>
      <c r="O36" s="14">
        <f t="shared" si="4"/>
        <v>0</v>
      </c>
      <c r="P36" s="15">
        <f t="shared" si="5"/>
        <v>-6.4658505615981312</v>
      </c>
      <c r="Q36" s="91">
        <f t="shared" si="6"/>
        <v>0.9547390460688131</v>
      </c>
      <c r="R36" s="177"/>
      <c r="S36" s="21"/>
      <c r="T36" s="21"/>
      <c r="U36" s="12"/>
      <c r="V36" s="30"/>
      <c r="W36" s="12"/>
      <c r="X36" s="12"/>
      <c r="Y36" s="24">
        <f>SUM(Y31:Y35)</f>
        <v>0</v>
      </c>
      <c r="Z36" s="24">
        <f>SUM(Z31:Z35)</f>
        <v>0</v>
      </c>
      <c r="AA36" s="167"/>
      <c r="AB36" s="167"/>
      <c r="AC36" s="24">
        <v>5</v>
      </c>
      <c r="AD36" s="24">
        <f>SUM(AD31:AD35)</f>
        <v>0</v>
      </c>
      <c r="AE36" s="14">
        <f t="shared" si="8"/>
        <v>-108.62628943484833</v>
      </c>
      <c r="AF36" s="91">
        <f t="shared" si="9"/>
        <v>0.95473904606881321</v>
      </c>
      <c r="AG36" s="177"/>
    </row>
    <row r="37" spans="1:33" ht="15.75" customHeight="1">
      <c r="A37" s="188" t="s">
        <v>1689</v>
      </c>
      <c r="B37" s="28" t="s">
        <v>33</v>
      </c>
      <c r="C37" s="170" t="s">
        <v>72</v>
      </c>
      <c r="D37" s="171"/>
      <c r="E37" s="28">
        <v>34.35</v>
      </c>
      <c r="F37" s="88">
        <v>2229</v>
      </c>
      <c r="G37" s="88">
        <f t="shared" ref="G37:G42" si="31">E37*F37</f>
        <v>76566.150000000009</v>
      </c>
      <c r="H37" s="30" t="s">
        <v>53</v>
      </c>
      <c r="I37" s="95">
        <v>8</v>
      </c>
      <c r="J37" s="13">
        <v>3000</v>
      </c>
      <c r="K37" s="12">
        <f t="shared" si="1"/>
        <v>375</v>
      </c>
      <c r="L37" s="95">
        <v>8</v>
      </c>
      <c r="M37" s="13">
        <f t="shared" ref="M37:M42" si="32">F37/V37*60</f>
        <v>2907.3913043478256</v>
      </c>
      <c r="N37" s="13">
        <f t="shared" si="3"/>
        <v>363.42391304347819</v>
      </c>
      <c r="O37" s="14">
        <f t="shared" si="4"/>
        <v>0</v>
      </c>
      <c r="P37" s="15">
        <f t="shared" si="5"/>
        <v>-11.576086956521806</v>
      </c>
      <c r="Q37" s="91">
        <f t="shared" si="6"/>
        <v>0.96913043478260852</v>
      </c>
      <c r="R37" s="183">
        <f>Q43</f>
        <v>0.9587119134816432</v>
      </c>
      <c r="S37" s="21">
        <v>8.3333333333333329E-2</v>
      </c>
      <c r="T37" s="21">
        <v>0.11527777777777778</v>
      </c>
      <c r="U37" s="21"/>
      <c r="V37" s="30">
        <f t="shared" ref="V37:V42" si="33">(T37-S37)*24*60</f>
        <v>46.000000000000014</v>
      </c>
      <c r="W37" s="16">
        <f>T37</f>
        <v>0.11527777777777778</v>
      </c>
      <c r="X37" s="16">
        <f>S38</f>
        <v>0.13263888888888889</v>
      </c>
      <c r="Y37" s="19"/>
      <c r="Z37" s="19"/>
      <c r="AA37" s="172"/>
      <c r="AB37" s="173"/>
      <c r="AC37" s="18">
        <v>6</v>
      </c>
      <c r="AD37" s="18"/>
      <c r="AE37" s="14">
        <f t="shared" si="8"/>
        <v>-92.608695652174447</v>
      </c>
      <c r="AF37" s="91">
        <f t="shared" si="9"/>
        <v>0.96913043478260852</v>
      </c>
      <c r="AG37" s="183">
        <f>AF43</f>
        <v>0.9587119134816432</v>
      </c>
    </row>
    <row r="38" spans="1:33" ht="15.75" customHeight="1">
      <c r="A38" s="189" t="s">
        <v>1690</v>
      </c>
      <c r="B38" s="28" t="s">
        <v>33</v>
      </c>
      <c r="C38" s="170" t="s">
        <v>48</v>
      </c>
      <c r="D38" s="171"/>
      <c r="E38" s="28">
        <v>35.119999999999997</v>
      </c>
      <c r="F38" s="88">
        <v>4782</v>
      </c>
      <c r="G38" s="88">
        <f t="shared" si="31"/>
        <v>167943.84</v>
      </c>
      <c r="H38" s="30" t="s">
        <v>53</v>
      </c>
      <c r="I38" s="95">
        <v>10</v>
      </c>
      <c r="J38" s="13">
        <v>3000</v>
      </c>
      <c r="K38" s="12">
        <f t="shared" si="1"/>
        <v>300</v>
      </c>
      <c r="L38" s="95">
        <v>10</v>
      </c>
      <c r="M38" s="13">
        <f t="shared" si="32"/>
        <v>2869.2</v>
      </c>
      <c r="N38" s="13">
        <f t="shared" si="3"/>
        <v>286.91999999999996</v>
      </c>
      <c r="O38" s="14">
        <f t="shared" si="4"/>
        <v>0</v>
      </c>
      <c r="P38" s="15">
        <f t="shared" si="5"/>
        <v>-13.080000000000041</v>
      </c>
      <c r="Q38" s="91">
        <f t="shared" si="6"/>
        <v>0.95639999999999992</v>
      </c>
      <c r="R38" s="184"/>
      <c r="S38" s="21">
        <v>0.13263888888888889</v>
      </c>
      <c r="T38" s="21">
        <v>0.20208333333333334</v>
      </c>
      <c r="U38" s="88">
        <f t="shared" ref="U38:U42" si="34">(S38-T37)*24*60</f>
        <v>24.999999999999993</v>
      </c>
      <c r="V38" s="30">
        <f t="shared" si="33"/>
        <v>100</v>
      </c>
      <c r="W38" s="16"/>
      <c r="X38" s="16"/>
      <c r="Y38" s="19"/>
      <c r="Z38" s="19"/>
      <c r="AA38" s="172"/>
      <c r="AB38" s="173"/>
      <c r="AC38" s="18"/>
      <c r="AD38" s="18"/>
      <c r="AE38" s="14">
        <f t="shared" si="8"/>
        <v>-130.80000000000018</v>
      </c>
      <c r="AF38" s="91">
        <f t="shared" si="9"/>
        <v>0.95639999999999992</v>
      </c>
      <c r="AG38" s="184"/>
    </row>
    <row r="39" spans="1:33" ht="15.75" customHeight="1">
      <c r="A39" s="189" t="s">
        <v>1691</v>
      </c>
      <c r="B39" s="28" t="s">
        <v>33</v>
      </c>
      <c r="C39" s="170" t="s">
        <v>36</v>
      </c>
      <c r="D39" s="171"/>
      <c r="E39" s="28">
        <v>21.13</v>
      </c>
      <c r="F39" s="88">
        <v>4632</v>
      </c>
      <c r="G39" s="88">
        <f t="shared" si="31"/>
        <v>97874.159999999989</v>
      </c>
      <c r="H39" s="30" t="s">
        <v>53</v>
      </c>
      <c r="I39" s="95">
        <v>10</v>
      </c>
      <c r="J39" s="13">
        <v>3000</v>
      </c>
      <c r="K39" s="12">
        <f t="shared" si="1"/>
        <v>300</v>
      </c>
      <c r="L39" s="95">
        <v>10</v>
      </c>
      <c r="M39" s="13">
        <f t="shared" si="32"/>
        <v>2865.1546391752572</v>
      </c>
      <c r="N39" s="13">
        <f t="shared" si="3"/>
        <v>286.51546391752572</v>
      </c>
      <c r="O39" s="14">
        <f t="shared" si="4"/>
        <v>0</v>
      </c>
      <c r="P39" s="15">
        <f t="shared" si="5"/>
        <v>-13.484536082474278</v>
      </c>
      <c r="Q39" s="91">
        <f t="shared" si="6"/>
        <v>0.95505154639175238</v>
      </c>
      <c r="R39" s="184"/>
      <c r="S39" s="21">
        <v>0.2076388888888889</v>
      </c>
      <c r="T39" s="21">
        <v>0.27500000000000002</v>
      </c>
      <c r="U39" s="88">
        <f t="shared" si="34"/>
        <v>8.0000000000000107</v>
      </c>
      <c r="V39" s="30">
        <f t="shared" si="33"/>
        <v>97.000000000000014</v>
      </c>
      <c r="W39" s="16"/>
      <c r="X39" s="16"/>
      <c r="Y39" s="19"/>
      <c r="Z39" s="19"/>
      <c r="AA39" s="172"/>
      <c r="AB39" s="173"/>
      <c r="AC39" s="18"/>
      <c r="AD39" s="18"/>
      <c r="AE39" s="14">
        <f t="shared" si="8"/>
        <v>-134.84536082474278</v>
      </c>
      <c r="AF39" s="91">
        <f t="shared" si="9"/>
        <v>0.95505154639175238</v>
      </c>
      <c r="AG39" s="184"/>
    </row>
    <row r="40" spans="1:33" ht="15.75" customHeight="1">
      <c r="A40" s="189" t="s">
        <v>1692</v>
      </c>
      <c r="B40" s="28" t="s">
        <v>33</v>
      </c>
      <c r="C40" s="170" t="s">
        <v>38</v>
      </c>
      <c r="D40" s="171"/>
      <c r="E40" s="28">
        <v>35.869999999999997</v>
      </c>
      <c r="F40" s="88">
        <v>3153</v>
      </c>
      <c r="G40" s="88">
        <f t="shared" si="31"/>
        <v>113098.10999999999</v>
      </c>
      <c r="H40" s="30" t="s">
        <v>53</v>
      </c>
      <c r="I40" s="95">
        <v>9</v>
      </c>
      <c r="J40" s="13">
        <v>3000</v>
      </c>
      <c r="K40" s="12">
        <f t="shared" si="1"/>
        <v>333.33333333333331</v>
      </c>
      <c r="L40" s="95">
        <v>9</v>
      </c>
      <c r="M40" s="13">
        <f t="shared" si="32"/>
        <v>2866.3636363636365</v>
      </c>
      <c r="N40" s="13">
        <f t="shared" si="3"/>
        <v>318.4848484848485</v>
      </c>
      <c r="O40" s="14">
        <f t="shared" si="4"/>
        <v>0</v>
      </c>
      <c r="P40" s="15">
        <f t="shared" si="5"/>
        <v>-14.848484848484816</v>
      </c>
      <c r="Q40" s="91">
        <f t="shared" si="6"/>
        <v>0.95545454545454556</v>
      </c>
      <c r="R40" s="184"/>
      <c r="S40" s="21">
        <v>0.28055555555555556</v>
      </c>
      <c r="T40" s="21">
        <v>0.3263888888888889</v>
      </c>
      <c r="U40" s="88">
        <f t="shared" si="34"/>
        <v>7.9999999999999716</v>
      </c>
      <c r="V40" s="30">
        <f t="shared" si="33"/>
        <v>66</v>
      </c>
      <c r="W40" s="16"/>
      <c r="X40" s="16"/>
      <c r="Y40" s="19"/>
      <c r="Z40" s="19"/>
      <c r="AA40" s="172"/>
      <c r="AB40" s="173"/>
      <c r="AC40" s="18"/>
      <c r="AD40" s="18"/>
      <c r="AE40" s="14">
        <f t="shared" si="8"/>
        <v>-133.63636363636351</v>
      </c>
      <c r="AF40" s="91">
        <f t="shared" si="9"/>
        <v>0.95545454545454545</v>
      </c>
      <c r="AG40" s="184"/>
    </row>
    <row r="41" spans="1:33" ht="15.75" customHeight="1">
      <c r="A41" s="189" t="s">
        <v>1693</v>
      </c>
      <c r="B41" s="28" t="s">
        <v>33</v>
      </c>
      <c r="C41" s="170" t="s">
        <v>756</v>
      </c>
      <c r="D41" s="171"/>
      <c r="E41" s="28">
        <v>37.880000000000003</v>
      </c>
      <c r="F41" s="88">
        <v>3225</v>
      </c>
      <c r="G41" s="88">
        <f t="shared" si="31"/>
        <v>122163.00000000001</v>
      </c>
      <c r="H41" s="30" t="s">
        <v>53</v>
      </c>
      <c r="I41" s="95">
        <v>10</v>
      </c>
      <c r="J41" s="13">
        <v>3000</v>
      </c>
      <c r="K41" s="12">
        <f t="shared" si="1"/>
        <v>300</v>
      </c>
      <c r="L41" s="95">
        <v>10</v>
      </c>
      <c r="M41" s="13">
        <f t="shared" si="32"/>
        <v>2888.0597014925374</v>
      </c>
      <c r="N41" s="13">
        <f t="shared" si="3"/>
        <v>288.80597014925377</v>
      </c>
      <c r="O41" s="14">
        <f t="shared" si="4"/>
        <v>0</v>
      </c>
      <c r="P41" s="15">
        <f t="shared" si="5"/>
        <v>-11.194029850746233</v>
      </c>
      <c r="Q41" s="91">
        <f t="shared" si="6"/>
        <v>0.96268656716417922</v>
      </c>
      <c r="R41" s="184"/>
      <c r="S41" s="21">
        <v>0.33055555555555555</v>
      </c>
      <c r="T41" s="21">
        <v>0.37708333333333333</v>
      </c>
      <c r="U41" s="88">
        <f t="shared" si="34"/>
        <v>5.9999999999999787</v>
      </c>
      <c r="V41" s="30">
        <f t="shared" si="33"/>
        <v>67</v>
      </c>
      <c r="W41" s="16"/>
      <c r="X41" s="16"/>
      <c r="Y41" s="19"/>
      <c r="Z41" s="19"/>
      <c r="AA41" s="172"/>
      <c r="AB41" s="173"/>
      <c r="AC41" s="18"/>
      <c r="AD41" s="18"/>
      <c r="AE41" s="14">
        <f t="shared" si="8"/>
        <v>-111.94029850746256</v>
      </c>
      <c r="AF41" s="91">
        <f t="shared" si="9"/>
        <v>0.96268656716417911</v>
      </c>
      <c r="AG41" s="184"/>
    </row>
    <row r="42" spans="1:33" ht="15.75" customHeight="1">
      <c r="A42" s="189" t="s">
        <v>1694</v>
      </c>
      <c r="B42" s="28" t="s">
        <v>33</v>
      </c>
      <c r="C42" s="170" t="s">
        <v>37</v>
      </c>
      <c r="D42" s="171"/>
      <c r="E42" s="28">
        <v>27.17</v>
      </c>
      <c r="F42" s="88">
        <v>5912</v>
      </c>
      <c r="G42" s="88">
        <f t="shared" si="31"/>
        <v>160629.04</v>
      </c>
      <c r="H42" s="30" t="s">
        <v>53</v>
      </c>
      <c r="I42" s="95">
        <v>10</v>
      </c>
      <c r="J42" s="13">
        <v>3000</v>
      </c>
      <c r="K42" s="12">
        <f t="shared" si="1"/>
        <v>300</v>
      </c>
      <c r="L42" s="95">
        <v>10</v>
      </c>
      <c r="M42" s="13">
        <f t="shared" si="32"/>
        <v>2860.6451612903215</v>
      </c>
      <c r="N42" s="13">
        <f t="shared" si="3"/>
        <v>286.06451612903214</v>
      </c>
      <c r="O42" s="14">
        <f t="shared" si="4"/>
        <v>0</v>
      </c>
      <c r="P42" s="15">
        <f t="shared" si="5"/>
        <v>-13.935483870967857</v>
      </c>
      <c r="Q42" s="91">
        <f t="shared" si="6"/>
        <v>0.95354838709677381</v>
      </c>
      <c r="R42" s="184"/>
      <c r="S42" s="21">
        <v>0.38055555555555554</v>
      </c>
      <c r="T42" s="21">
        <v>0.46666666666666667</v>
      </c>
      <c r="U42" s="88">
        <f t="shared" si="34"/>
        <v>4.9999999999999822</v>
      </c>
      <c r="V42" s="30">
        <f t="shared" si="33"/>
        <v>124.00000000000004</v>
      </c>
      <c r="W42" s="16"/>
      <c r="X42" s="16"/>
      <c r="Y42" s="19"/>
      <c r="Z42" s="19"/>
      <c r="AA42" s="172"/>
      <c r="AB42" s="173"/>
      <c r="AC42" s="18"/>
      <c r="AD42" s="18"/>
      <c r="AE42" s="14">
        <f t="shared" si="8"/>
        <v>-139.35483870967846</v>
      </c>
      <c r="AF42" s="91">
        <f t="shared" si="9"/>
        <v>0.95354838709677381</v>
      </c>
      <c r="AG42" s="184"/>
    </row>
    <row r="43" spans="1:33" ht="15.75" customHeight="1">
      <c r="A43" s="190" t="s">
        <v>1690</v>
      </c>
      <c r="B43" s="28" t="s">
        <v>1695</v>
      </c>
      <c r="C43" s="165"/>
      <c r="D43" s="166"/>
      <c r="E43" s="89"/>
      <c r="F43" s="88"/>
      <c r="G43" s="88"/>
      <c r="H43" s="88"/>
      <c r="I43" s="23">
        <v>9.5</v>
      </c>
      <c r="J43" s="13">
        <v>3000</v>
      </c>
      <c r="K43" s="12">
        <f t="shared" si="1"/>
        <v>315.78947368421052</v>
      </c>
      <c r="L43" s="23">
        <v>9.5</v>
      </c>
      <c r="M43" s="13">
        <f>AVERAGE(M37:M42)</f>
        <v>2876.1357404449295</v>
      </c>
      <c r="N43" s="12">
        <f t="shared" si="3"/>
        <v>302.75113057315048</v>
      </c>
      <c r="O43" s="14">
        <f t="shared" si="4"/>
        <v>0</v>
      </c>
      <c r="P43" s="15">
        <f t="shared" si="5"/>
        <v>-13.038343111060044</v>
      </c>
      <c r="Q43" s="91">
        <f t="shared" si="6"/>
        <v>0.9587119134816432</v>
      </c>
      <c r="R43" s="185"/>
      <c r="S43" s="21"/>
      <c r="T43" s="21"/>
      <c r="U43" s="88"/>
      <c r="V43" s="30"/>
      <c r="W43" s="16"/>
      <c r="X43" s="16"/>
      <c r="Y43" s="24">
        <f>SUM(Y37:Y42)</f>
        <v>0</v>
      </c>
      <c r="Z43" s="24">
        <f>SUM(Z37:Z42)</f>
        <v>0</v>
      </c>
      <c r="AA43" s="186"/>
      <c r="AB43" s="187"/>
      <c r="AC43" s="24">
        <v>6</v>
      </c>
      <c r="AD43" s="24">
        <f>SUM(AD37:AD42)</f>
        <v>0</v>
      </c>
      <c r="AE43" s="14">
        <f t="shared" si="8"/>
        <v>-123.86425955507048</v>
      </c>
      <c r="AF43" s="91">
        <f t="shared" si="9"/>
        <v>0.9587119134816432</v>
      </c>
      <c r="AG43" s="185"/>
    </row>
    <row r="44" spans="1:33" ht="15.75" customHeight="1">
      <c r="A44" s="181" t="s">
        <v>1696</v>
      </c>
      <c r="B44" s="28" t="s">
        <v>5</v>
      </c>
      <c r="C44" s="169" t="s">
        <v>41</v>
      </c>
      <c r="D44" s="169"/>
      <c r="E44" s="28">
        <v>51.75</v>
      </c>
      <c r="F44" s="29">
        <v>863</v>
      </c>
      <c r="G44" s="88">
        <f t="shared" ref="G44:G50" si="35">E44*F44</f>
        <v>44660.25</v>
      </c>
      <c r="H44" s="30" t="s">
        <v>53</v>
      </c>
      <c r="I44" s="95">
        <v>25</v>
      </c>
      <c r="J44" s="13">
        <v>2000</v>
      </c>
      <c r="K44" s="12">
        <f t="shared" si="1"/>
        <v>80</v>
      </c>
      <c r="L44" s="95">
        <v>25</v>
      </c>
      <c r="M44" s="13">
        <f t="shared" ref="M44" si="36">F44/V44*60</f>
        <v>1917.7777777777787</v>
      </c>
      <c r="N44" s="13">
        <f t="shared" si="3"/>
        <v>76.711111111111151</v>
      </c>
      <c r="O44" s="14">
        <f t="shared" si="4"/>
        <v>0</v>
      </c>
      <c r="P44" s="15">
        <f t="shared" si="5"/>
        <v>-3.2888888888888488</v>
      </c>
      <c r="Q44" s="91">
        <f t="shared" si="6"/>
        <v>0.95888888888888935</v>
      </c>
      <c r="R44" s="177">
        <f>Q51</f>
        <v>0.96026091294220606</v>
      </c>
      <c r="S44" s="21">
        <v>0.33333333333333331</v>
      </c>
      <c r="T44" s="21">
        <v>0.3520833333333333</v>
      </c>
      <c r="U44" s="21"/>
      <c r="V44" s="30">
        <f t="shared" ref="V44:V50" si="37">(T44-S44)*24*60</f>
        <v>26.999999999999986</v>
      </c>
      <c r="W44" s="21"/>
      <c r="X44" s="21"/>
      <c r="Y44" s="21"/>
      <c r="Z44" s="21"/>
      <c r="AA44" s="168"/>
      <c r="AB44" s="168"/>
      <c r="AC44" s="18">
        <v>7</v>
      </c>
      <c r="AD44" s="18"/>
      <c r="AE44" s="14">
        <f t="shared" si="8"/>
        <v>-82.222222222221262</v>
      </c>
      <c r="AF44" s="91">
        <f t="shared" si="9"/>
        <v>0.95888888888888935</v>
      </c>
      <c r="AG44" s="177">
        <f>AF51</f>
        <v>0.96026091294220617</v>
      </c>
    </row>
    <row r="45" spans="1:33" ht="15.75" customHeight="1">
      <c r="A45" s="181" t="s">
        <v>1697</v>
      </c>
      <c r="B45" s="28" t="s">
        <v>5</v>
      </c>
      <c r="C45" s="169" t="s">
        <v>40</v>
      </c>
      <c r="D45" s="169"/>
      <c r="E45" s="28">
        <v>56.43</v>
      </c>
      <c r="F45" s="29">
        <v>1265</v>
      </c>
      <c r="G45" s="88">
        <f t="shared" si="35"/>
        <v>71383.95</v>
      </c>
      <c r="H45" s="30" t="s">
        <v>53</v>
      </c>
      <c r="I45" s="95">
        <v>22</v>
      </c>
      <c r="J45" s="13">
        <v>2000</v>
      </c>
      <c r="K45" s="12">
        <f t="shared" si="1"/>
        <v>90.909090909090907</v>
      </c>
      <c r="L45" s="95">
        <v>22</v>
      </c>
      <c r="M45" s="13">
        <f>F45/V45*60</f>
        <v>1946.1538461538451</v>
      </c>
      <c r="N45" s="13">
        <f t="shared" si="3"/>
        <v>88.46153846153841</v>
      </c>
      <c r="O45" s="14">
        <f t="shared" si="4"/>
        <v>0</v>
      </c>
      <c r="P45" s="15">
        <f t="shared" si="5"/>
        <v>-2.4475524475524963</v>
      </c>
      <c r="Q45" s="91">
        <f t="shared" si="6"/>
        <v>0.97307692307692251</v>
      </c>
      <c r="R45" s="177"/>
      <c r="S45" s="21">
        <v>0.35624999999999996</v>
      </c>
      <c r="T45" s="21">
        <v>0.3833333333333333</v>
      </c>
      <c r="U45" s="88">
        <f t="shared" ref="U45:U50" si="38">IF(S45=TIME(17,0,0),"",(S45-T44)*24*60)</f>
        <v>5.9999999999999787</v>
      </c>
      <c r="V45" s="30">
        <f t="shared" si="37"/>
        <v>39.000000000000021</v>
      </c>
      <c r="W45" s="16"/>
      <c r="X45" s="16"/>
      <c r="Y45" s="16"/>
      <c r="Z45" s="16"/>
      <c r="AA45" s="168"/>
      <c r="AB45" s="168"/>
      <c r="AC45" s="18"/>
      <c r="AD45" s="18"/>
      <c r="AE45" s="14">
        <f t="shared" si="8"/>
        <v>-53.846153846154948</v>
      </c>
      <c r="AF45" s="91">
        <f t="shared" si="9"/>
        <v>0.97307692307692251</v>
      </c>
      <c r="AG45" s="177"/>
    </row>
    <row r="46" spans="1:33" ht="15.75" customHeight="1">
      <c r="A46" s="181" t="s">
        <v>1698</v>
      </c>
      <c r="B46" s="28" t="s">
        <v>9</v>
      </c>
      <c r="C46" s="170" t="s">
        <v>39</v>
      </c>
      <c r="D46" s="171"/>
      <c r="E46" s="28">
        <v>46</v>
      </c>
      <c r="F46" s="29">
        <v>2002</v>
      </c>
      <c r="G46" s="88">
        <f t="shared" si="35"/>
        <v>92092</v>
      </c>
      <c r="H46" s="30" t="s">
        <v>53</v>
      </c>
      <c r="I46" s="95">
        <v>17</v>
      </c>
      <c r="J46" s="13">
        <v>2000</v>
      </c>
      <c r="K46" s="12">
        <f t="shared" si="1"/>
        <v>117.64705882352941</v>
      </c>
      <c r="L46" s="95">
        <v>17</v>
      </c>
      <c r="M46" s="13">
        <f t="shared" ref="M46:M50" si="39">F46/V46*60</f>
        <v>1906.6666666666663</v>
      </c>
      <c r="N46" s="13">
        <f t="shared" si="3"/>
        <v>112.15686274509801</v>
      </c>
      <c r="O46" s="14">
        <f t="shared" si="4"/>
        <v>0</v>
      </c>
      <c r="P46" s="15">
        <f t="shared" si="5"/>
        <v>-5.4901960784313957</v>
      </c>
      <c r="Q46" s="91">
        <f t="shared" si="6"/>
        <v>0.95333333333333314</v>
      </c>
      <c r="R46" s="177"/>
      <c r="S46" s="21">
        <v>0.3881944444444444</v>
      </c>
      <c r="T46" s="21">
        <v>0.43194444444444441</v>
      </c>
      <c r="U46" s="88">
        <f t="shared" si="38"/>
        <v>6.9999999999999751</v>
      </c>
      <c r="V46" s="30">
        <f t="shared" si="37"/>
        <v>63.000000000000014</v>
      </c>
      <c r="W46" s="16"/>
      <c r="X46" s="16"/>
      <c r="Y46" s="19"/>
      <c r="Z46" s="19"/>
      <c r="AA46" s="168"/>
      <c r="AB46" s="168"/>
      <c r="AC46" s="18"/>
      <c r="AD46" s="18"/>
      <c r="AE46" s="14">
        <f t="shared" si="8"/>
        <v>-93.333333333333712</v>
      </c>
      <c r="AF46" s="91">
        <f t="shared" si="9"/>
        <v>0.95333333333333314</v>
      </c>
      <c r="AG46" s="177"/>
    </row>
    <row r="47" spans="1:33" ht="15.75" customHeight="1">
      <c r="A47" s="181" t="s">
        <v>371</v>
      </c>
      <c r="B47" s="28" t="s">
        <v>5</v>
      </c>
      <c r="C47" s="93" t="s">
        <v>42</v>
      </c>
      <c r="D47" s="94"/>
      <c r="E47" s="28">
        <v>57.73</v>
      </c>
      <c r="F47" s="29">
        <v>955</v>
      </c>
      <c r="G47" s="88">
        <f t="shared" si="35"/>
        <v>55132.149999999994</v>
      </c>
      <c r="H47" s="30" t="s">
        <v>53</v>
      </c>
      <c r="I47" s="95">
        <v>16</v>
      </c>
      <c r="J47" s="13">
        <v>1500</v>
      </c>
      <c r="K47" s="12">
        <f t="shared" si="1"/>
        <v>93.75</v>
      </c>
      <c r="L47" s="95">
        <v>16</v>
      </c>
      <c r="M47" s="13">
        <f t="shared" si="39"/>
        <v>1432.4999999999995</v>
      </c>
      <c r="N47" s="13">
        <f t="shared" si="3"/>
        <v>89.531249999999972</v>
      </c>
      <c r="O47" s="14">
        <f t="shared" si="4"/>
        <v>0</v>
      </c>
      <c r="P47" s="15">
        <f t="shared" si="5"/>
        <v>-4.2187500000000284</v>
      </c>
      <c r="Q47" s="91">
        <f t="shared" si="6"/>
        <v>0.95499999999999974</v>
      </c>
      <c r="R47" s="177"/>
      <c r="S47" s="21">
        <v>0.70833333333333337</v>
      </c>
      <c r="T47" s="21">
        <v>0.73611111111111116</v>
      </c>
      <c r="U47" s="88" t="str">
        <f t="shared" si="38"/>
        <v/>
      </c>
      <c r="V47" s="30">
        <f t="shared" si="37"/>
        <v>40.000000000000014</v>
      </c>
      <c r="W47" s="16"/>
      <c r="X47" s="16"/>
      <c r="Y47" s="19"/>
      <c r="Z47" s="19"/>
      <c r="AA47" s="168"/>
      <c r="AB47" s="168"/>
      <c r="AC47" s="18"/>
      <c r="AD47" s="18"/>
      <c r="AE47" s="14">
        <f t="shared" si="8"/>
        <v>-67.500000000000455</v>
      </c>
      <c r="AF47" s="91">
        <f t="shared" si="9"/>
        <v>0.95499999999999974</v>
      </c>
      <c r="AG47" s="177"/>
    </row>
    <row r="48" spans="1:33" ht="15.75" customHeight="1">
      <c r="A48" s="181" t="s">
        <v>1699</v>
      </c>
      <c r="B48" s="28" t="s">
        <v>5</v>
      </c>
      <c r="C48" s="93" t="s">
        <v>44</v>
      </c>
      <c r="D48" s="94"/>
      <c r="E48" s="28">
        <v>55.56</v>
      </c>
      <c r="F48" s="29">
        <v>1834</v>
      </c>
      <c r="G48" s="88">
        <f t="shared" si="35"/>
        <v>101897.04000000001</v>
      </c>
      <c r="H48" s="30" t="s">
        <v>53</v>
      </c>
      <c r="I48" s="95">
        <v>17</v>
      </c>
      <c r="J48" s="13">
        <v>2000</v>
      </c>
      <c r="K48" s="12">
        <f t="shared" si="1"/>
        <v>117.64705882352941</v>
      </c>
      <c r="L48" s="95">
        <v>17</v>
      </c>
      <c r="M48" s="13">
        <f t="shared" si="39"/>
        <v>1930.5263157894753</v>
      </c>
      <c r="N48" s="13">
        <f t="shared" si="3"/>
        <v>113.56037151702796</v>
      </c>
      <c r="O48" s="14">
        <f t="shared" si="4"/>
        <v>0</v>
      </c>
      <c r="P48" s="15">
        <f t="shared" si="5"/>
        <v>-4.086687306501446</v>
      </c>
      <c r="Q48" s="91">
        <f t="shared" si="6"/>
        <v>0.96526315789473771</v>
      </c>
      <c r="R48" s="177"/>
      <c r="S48" s="21">
        <v>0.74027777777777781</v>
      </c>
      <c r="T48" s="21">
        <v>0.77986111111111112</v>
      </c>
      <c r="U48" s="88">
        <f t="shared" si="38"/>
        <v>5.9999999999999787</v>
      </c>
      <c r="V48" s="30">
        <f t="shared" si="37"/>
        <v>56.999999999999957</v>
      </c>
      <c r="W48" s="16"/>
      <c r="X48" s="16"/>
      <c r="Y48" s="19"/>
      <c r="Z48" s="19"/>
      <c r="AA48" s="168"/>
      <c r="AB48" s="168"/>
      <c r="AC48" s="18"/>
      <c r="AD48" s="18"/>
      <c r="AE48" s="14">
        <f t="shared" si="8"/>
        <v>-69.473684210524652</v>
      </c>
      <c r="AF48" s="91">
        <f t="shared" si="9"/>
        <v>0.96526315789473771</v>
      </c>
      <c r="AG48" s="177"/>
    </row>
    <row r="49" spans="1:33" ht="15.75" customHeight="1">
      <c r="A49" s="181" t="s">
        <v>1699</v>
      </c>
      <c r="B49" s="28" t="s">
        <v>5</v>
      </c>
      <c r="C49" s="170" t="s">
        <v>45</v>
      </c>
      <c r="D49" s="171"/>
      <c r="E49" s="28">
        <v>55.32</v>
      </c>
      <c r="F49" s="29">
        <v>1317</v>
      </c>
      <c r="G49" s="88">
        <f t="shared" si="35"/>
        <v>72856.44</v>
      </c>
      <c r="H49" s="30" t="s">
        <v>53</v>
      </c>
      <c r="I49" s="95">
        <v>15</v>
      </c>
      <c r="J49" s="13">
        <v>2000</v>
      </c>
      <c r="K49" s="12">
        <f t="shared" si="1"/>
        <v>133.33333333333334</v>
      </c>
      <c r="L49" s="95">
        <v>15</v>
      </c>
      <c r="M49" s="13">
        <f t="shared" si="39"/>
        <v>1927.317073170731</v>
      </c>
      <c r="N49" s="13">
        <f t="shared" si="3"/>
        <v>128.48780487804873</v>
      </c>
      <c r="O49" s="14">
        <f t="shared" si="4"/>
        <v>0</v>
      </c>
      <c r="P49" s="15">
        <f t="shared" si="5"/>
        <v>-4.8455284552846081</v>
      </c>
      <c r="Q49" s="91">
        <f t="shared" si="6"/>
        <v>0.96365853658536549</v>
      </c>
      <c r="R49" s="177"/>
      <c r="S49" s="21">
        <v>0.78402777777777777</v>
      </c>
      <c r="T49" s="21">
        <v>0.8125</v>
      </c>
      <c r="U49" s="88">
        <f t="shared" si="38"/>
        <v>5.9999999999999787</v>
      </c>
      <c r="V49" s="30">
        <f t="shared" si="37"/>
        <v>41.000000000000014</v>
      </c>
      <c r="W49" s="16"/>
      <c r="X49" s="16"/>
      <c r="Y49" s="19"/>
      <c r="Z49" s="19"/>
      <c r="AA49" s="172"/>
      <c r="AB49" s="173"/>
      <c r="AC49" s="18"/>
      <c r="AD49" s="18"/>
      <c r="AE49" s="14">
        <f t="shared" si="8"/>
        <v>-72.682926829269036</v>
      </c>
      <c r="AF49" s="91">
        <f t="shared" si="9"/>
        <v>0.96365853658536549</v>
      </c>
      <c r="AG49" s="177"/>
    </row>
    <row r="50" spans="1:33" ht="15.75" customHeight="1">
      <c r="A50" s="181" t="s">
        <v>371</v>
      </c>
      <c r="B50" s="28" t="s">
        <v>5</v>
      </c>
      <c r="C50" s="170" t="s">
        <v>43</v>
      </c>
      <c r="D50" s="171"/>
      <c r="E50" s="28">
        <v>54.29</v>
      </c>
      <c r="F50" s="29">
        <v>983</v>
      </c>
      <c r="G50" s="88">
        <f t="shared" si="35"/>
        <v>53367.07</v>
      </c>
      <c r="H50" s="30" t="s">
        <v>53</v>
      </c>
      <c r="I50" s="95">
        <v>20</v>
      </c>
      <c r="J50" s="13">
        <v>2000</v>
      </c>
      <c r="K50" s="12">
        <f t="shared" si="1"/>
        <v>100</v>
      </c>
      <c r="L50" s="95">
        <v>20</v>
      </c>
      <c r="M50" s="13">
        <f t="shared" si="39"/>
        <v>1902.5806451612873</v>
      </c>
      <c r="N50" s="13">
        <f t="shared" si="3"/>
        <v>95.12903225806437</v>
      </c>
      <c r="O50" s="14">
        <f t="shared" si="4"/>
        <v>0</v>
      </c>
      <c r="P50" s="15">
        <f t="shared" si="5"/>
        <v>-4.8709677419356296</v>
      </c>
      <c r="Q50" s="91">
        <f t="shared" si="6"/>
        <v>0.95129032258064372</v>
      </c>
      <c r="R50" s="177"/>
      <c r="S50" s="21">
        <v>0.81597222222222221</v>
      </c>
      <c r="T50" s="21">
        <v>0.83750000000000002</v>
      </c>
      <c r="U50" s="88">
        <f t="shared" si="38"/>
        <v>4.9999999999999822</v>
      </c>
      <c r="V50" s="30">
        <f t="shared" si="37"/>
        <v>31.00000000000005</v>
      </c>
      <c r="W50" s="16"/>
      <c r="X50" s="16"/>
      <c r="Y50" s="19"/>
      <c r="Z50" s="19"/>
      <c r="AA50" s="172"/>
      <c r="AB50" s="173"/>
      <c r="AC50" s="18"/>
      <c r="AD50" s="18"/>
      <c r="AE50" s="14">
        <f t="shared" si="8"/>
        <v>-97.419354838712707</v>
      </c>
      <c r="AF50" s="91">
        <f t="shared" si="9"/>
        <v>0.95129032258064361</v>
      </c>
      <c r="AG50" s="177"/>
    </row>
    <row r="51" spans="1:33">
      <c r="A51" s="182" t="s">
        <v>1700</v>
      </c>
      <c r="B51" s="28" t="s">
        <v>1695</v>
      </c>
      <c r="C51" s="178"/>
      <c r="D51" s="178"/>
      <c r="E51" s="92"/>
      <c r="F51" s="12"/>
      <c r="G51" s="12"/>
      <c r="H51" s="88"/>
      <c r="I51" s="23">
        <v>18.857142857142858</v>
      </c>
      <c r="J51" s="13">
        <v>1928.5714285714287</v>
      </c>
      <c r="K51" s="12">
        <f t="shared" si="1"/>
        <v>102.27272727272728</v>
      </c>
      <c r="L51" s="23">
        <v>18.857142857142858</v>
      </c>
      <c r="M51" s="13">
        <f>AVERAGE(M44:M50)</f>
        <v>1851.9317606742547</v>
      </c>
      <c r="N51" s="12">
        <f t="shared" si="3"/>
        <v>98.208502459998357</v>
      </c>
      <c r="O51" s="14">
        <f t="shared" si="4"/>
        <v>0</v>
      </c>
      <c r="P51" s="15">
        <f t="shared" si="5"/>
        <v>-4.0642248127289236</v>
      </c>
      <c r="Q51" s="91">
        <f t="shared" si="6"/>
        <v>0.96026091294220606</v>
      </c>
      <c r="R51" s="177"/>
      <c r="S51" s="21"/>
      <c r="T51" s="21"/>
      <c r="U51" s="88"/>
      <c r="V51" s="30"/>
      <c r="W51" s="12"/>
      <c r="X51" s="12"/>
      <c r="Y51" s="24">
        <f>SUM(Y44:Y50)</f>
        <v>0</v>
      </c>
      <c r="Z51" s="24">
        <f>SUM(Z44:Z50)</f>
        <v>0</v>
      </c>
      <c r="AA51" s="167"/>
      <c r="AB51" s="167"/>
      <c r="AC51" s="24">
        <v>7</v>
      </c>
      <c r="AD51" s="24">
        <f>SUM(AD44:AD50)</f>
        <v>0</v>
      </c>
      <c r="AE51" s="14">
        <f>M51-J51</f>
        <v>-76.639667897173922</v>
      </c>
      <c r="AF51" s="91">
        <f t="shared" si="9"/>
        <v>0.96026091294220617</v>
      </c>
      <c r="AG51" s="177"/>
    </row>
    <row r="52" spans="1:33" ht="15.75" customHeight="1">
      <c r="A52" s="179" t="s">
        <v>375</v>
      </c>
      <c r="B52" s="88" t="s">
        <v>33</v>
      </c>
      <c r="C52" s="169" t="s">
        <v>46</v>
      </c>
      <c r="D52" s="169"/>
      <c r="E52" s="28">
        <v>37.85</v>
      </c>
      <c r="F52" s="29">
        <v>941</v>
      </c>
      <c r="G52" s="88">
        <f t="shared" ref="G52:G56" si="40">E52*F52</f>
        <v>35616.85</v>
      </c>
      <c r="H52" s="30" t="s">
        <v>53</v>
      </c>
      <c r="I52" s="95">
        <v>12</v>
      </c>
      <c r="J52" s="13">
        <v>2000</v>
      </c>
      <c r="K52" s="12">
        <f t="shared" si="1"/>
        <v>166.66666666666666</v>
      </c>
      <c r="L52" s="95">
        <v>12</v>
      </c>
      <c r="M52" s="13">
        <f t="shared" ref="M52:M56" si="41">F52/V52*60</f>
        <v>1946.8965517241368</v>
      </c>
      <c r="N52" s="12">
        <f t="shared" si="3"/>
        <v>162.24137931034474</v>
      </c>
      <c r="O52" s="14">
        <f t="shared" si="4"/>
        <v>0</v>
      </c>
      <c r="P52" s="15">
        <f t="shared" si="5"/>
        <v>-4.4252873563219168</v>
      </c>
      <c r="Q52" s="91">
        <f t="shared" si="6"/>
        <v>0.9734482758620685</v>
      </c>
      <c r="R52" s="177">
        <f>Q57</f>
        <v>0.97156475298100908</v>
      </c>
      <c r="S52" s="21">
        <v>0.20833333333333334</v>
      </c>
      <c r="T52" s="21">
        <v>0.22847222222222224</v>
      </c>
      <c r="U52" s="88"/>
      <c r="V52" s="30">
        <f t="shared" ref="V52:V56" si="42">(T52-S52)*24*60</f>
        <v>29.000000000000018</v>
      </c>
      <c r="W52" s="21"/>
      <c r="X52" s="21"/>
      <c r="Y52" s="21"/>
      <c r="Z52" s="21"/>
      <c r="AA52" s="168"/>
      <c r="AB52" s="168"/>
      <c r="AC52" s="18">
        <v>5</v>
      </c>
      <c r="AD52" s="18"/>
      <c r="AE52" s="14">
        <f t="shared" ref="AE52:AE63" si="43">M52-J52</f>
        <v>-53.103448275863229</v>
      </c>
      <c r="AF52" s="91">
        <f t="shared" si="9"/>
        <v>0.97344827586206839</v>
      </c>
      <c r="AG52" s="177">
        <f>AF57</f>
        <v>0.97156475298100908</v>
      </c>
    </row>
    <row r="53" spans="1:33" ht="15.75" customHeight="1">
      <c r="A53" s="179" t="s">
        <v>1701</v>
      </c>
      <c r="B53" s="88" t="s">
        <v>33</v>
      </c>
      <c r="C53" s="169" t="s">
        <v>47</v>
      </c>
      <c r="D53" s="169"/>
      <c r="E53" s="28">
        <v>34.36</v>
      </c>
      <c r="F53" s="29">
        <v>1891</v>
      </c>
      <c r="G53" s="88">
        <f t="shared" si="40"/>
        <v>64974.76</v>
      </c>
      <c r="H53" s="30" t="s">
        <v>53</v>
      </c>
      <c r="I53" s="95">
        <v>10</v>
      </c>
      <c r="J53" s="13">
        <v>3000</v>
      </c>
      <c r="K53" s="12">
        <f t="shared" si="1"/>
        <v>300</v>
      </c>
      <c r="L53" s="95">
        <v>10</v>
      </c>
      <c r="M53" s="13">
        <f t="shared" si="41"/>
        <v>2909.2307692307704</v>
      </c>
      <c r="N53" s="12">
        <f t="shared" si="3"/>
        <v>290.92307692307702</v>
      </c>
      <c r="O53" s="14">
        <f t="shared" si="4"/>
        <v>0</v>
      </c>
      <c r="P53" s="15">
        <f t="shared" si="5"/>
        <v>-9.0769230769229807</v>
      </c>
      <c r="Q53" s="91">
        <f t="shared" si="6"/>
        <v>0.9697435897435901</v>
      </c>
      <c r="R53" s="177"/>
      <c r="S53" s="21">
        <v>0.23333333333333336</v>
      </c>
      <c r="T53" s="21">
        <v>0.26041666666666669</v>
      </c>
      <c r="U53" s="88">
        <f t="shared" ref="U53:U56" si="44">(S53-T52)*24*60</f>
        <v>7.0000000000000151</v>
      </c>
      <c r="V53" s="30">
        <f t="shared" si="42"/>
        <v>38.999999999999979</v>
      </c>
      <c r="W53" s="88"/>
      <c r="X53" s="88"/>
      <c r="Y53" s="88"/>
      <c r="Z53" s="88"/>
      <c r="AA53" s="168"/>
      <c r="AB53" s="168"/>
      <c r="AC53" s="18"/>
      <c r="AD53" s="18"/>
      <c r="AE53" s="14">
        <f t="shared" si="43"/>
        <v>-90.76923076922958</v>
      </c>
      <c r="AF53" s="91">
        <f t="shared" si="9"/>
        <v>0.9697435897435901</v>
      </c>
      <c r="AG53" s="177"/>
    </row>
    <row r="54" spans="1:33" ht="15.75" customHeight="1">
      <c r="A54" s="179" t="s">
        <v>1702</v>
      </c>
      <c r="B54" s="88" t="s">
        <v>33</v>
      </c>
      <c r="C54" s="169" t="s">
        <v>34</v>
      </c>
      <c r="D54" s="169"/>
      <c r="E54" s="28">
        <v>34.36</v>
      </c>
      <c r="F54" s="29">
        <v>1061</v>
      </c>
      <c r="G54" s="88">
        <f t="shared" si="40"/>
        <v>36455.96</v>
      </c>
      <c r="H54" s="30" t="s">
        <v>53</v>
      </c>
      <c r="I54" s="95">
        <v>10</v>
      </c>
      <c r="J54" s="13">
        <v>3000</v>
      </c>
      <c r="K54" s="12">
        <f t="shared" si="1"/>
        <v>300</v>
      </c>
      <c r="L54" s="95">
        <v>10</v>
      </c>
      <c r="M54" s="13">
        <f t="shared" si="41"/>
        <v>2893.6363636363635</v>
      </c>
      <c r="N54" s="12">
        <f t="shared" si="3"/>
        <v>289.36363636363637</v>
      </c>
      <c r="O54" s="14">
        <f t="shared" si="4"/>
        <v>0</v>
      </c>
      <c r="P54" s="15">
        <f t="shared" si="5"/>
        <v>-10.636363636363626</v>
      </c>
      <c r="Q54" s="91">
        <f t="shared" si="6"/>
        <v>0.96454545454545459</v>
      </c>
      <c r="R54" s="177"/>
      <c r="S54" s="21">
        <v>0.26458333333333334</v>
      </c>
      <c r="T54" s="21">
        <v>0.27986111111111112</v>
      </c>
      <c r="U54" s="88">
        <f t="shared" si="44"/>
        <v>5.9999999999999787</v>
      </c>
      <c r="V54" s="30">
        <f t="shared" si="42"/>
        <v>22</v>
      </c>
      <c r="W54" s="88"/>
      <c r="X54" s="88"/>
      <c r="Y54" s="88"/>
      <c r="Z54" s="88"/>
      <c r="AA54" s="168"/>
      <c r="AB54" s="168"/>
      <c r="AC54" s="18"/>
      <c r="AD54" s="18"/>
      <c r="AE54" s="14">
        <f t="shared" si="43"/>
        <v>-106.36363636363649</v>
      </c>
      <c r="AF54" s="91">
        <f t="shared" si="9"/>
        <v>0.96454545454545448</v>
      </c>
      <c r="AG54" s="177"/>
    </row>
    <row r="55" spans="1:33" ht="15.75" customHeight="1">
      <c r="A55" s="179" t="s">
        <v>1701</v>
      </c>
      <c r="B55" s="88" t="s">
        <v>33</v>
      </c>
      <c r="C55" s="169" t="s">
        <v>35</v>
      </c>
      <c r="D55" s="169"/>
      <c r="E55" s="28">
        <v>26.78</v>
      </c>
      <c r="F55" s="29">
        <v>2042</v>
      </c>
      <c r="G55" s="88">
        <f t="shared" si="40"/>
        <v>54684.76</v>
      </c>
      <c r="H55" s="30" t="s">
        <v>53</v>
      </c>
      <c r="I55" s="95">
        <v>10</v>
      </c>
      <c r="J55" s="13">
        <v>3000</v>
      </c>
      <c r="K55" s="12">
        <f t="shared" si="1"/>
        <v>300</v>
      </c>
      <c r="L55" s="95">
        <v>10</v>
      </c>
      <c r="M55" s="13">
        <f t="shared" si="41"/>
        <v>2917.142857142856</v>
      </c>
      <c r="N55" s="12">
        <f t="shared" si="3"/>
        <v>291.71428571428561</v>
      </c>
      <c r="O55" s="14">
        <f t="shared" si="4"/>
        <v>0</v>
      </c>
      <c r="P55" s="15">
        <f t="shared" si="5"/>
        <v>-8.2857142857143913</v>
      </c>
      <c r="Q55" s="91">
        <f t="shared" si="6"/>
        <v>0.97238095238095201</v>
      </c>
      <c r="R55" s="177"/>
      <c r="S55" s="21">
        <v>0.28333333333333333</v>
      </c>
      <c r="T55" s="21">
        <v>0.3125</v>
      </c>
      <c r="U55" s="88">
        <f t="shared" si="44"/>
        <v>4.9999999999999822</v>
      </c>
      <c r="V55" s="30">
        <f t="shared" si="42"/>
        <v>42.000000000000014</v>
      </c>
      <c r="W55" s="88"/>
      <c r="X55" s="88"/>
      <c r="Y55" s="88"/>
      <c r="Z55" s="88"/>
      <c r="AA55" s="168"/>
      <c r="AB55" s="168"/>
      <c r="AC55" s="18"/>
      <c r="AD55" s="18"/>
      <c r="AE55" s="14">
        <f t="shared" si="43"/>
        <v>-82.857142857144026</v>
      </c>
      <c r="AF55" s="91">
        <f t="shared" si="9"/>
        <v>0.97238095238095201</v>
      </c>
      <c r="AG55" s="177"/>
    </row>
    <row r="56" spans="1:33">
      <c r="A56" s="180" t="s">
        <v>375</v>
      </c>
      <c r="B56" s="88" t="s">
        <v>33</v>
      </c>
      <c r="C56" s="169" t="s">
        <v>71</v>
      </c>
      <c r="D56" s="169"/>
      <c r="E56" s="28">
        <v>28.3</v>
      </c>
      <c r="F56" s="29">
        <v>1174</v>
      </c>
      <c r="G56" s="88">
        <f t="shared" si="40"/>
        <v>33224.200000000004</v>
      </c>
      <c r="H56" s="30" t="s">
        <v>53</v>
      </c>
      <c r="I56" s="95">
        <v>8</v>
      </c>
      <c r="J56" s="13">
        <v>3000</v>
      </c>
      <c r="K56" s="12">
        <f t="shared" si="1"/>
        <v>375</v>
      </c>
      <c r="L56" s="95">
        <v>8</v>
      </c>
      <c r="M56" s="13">
        <f t="shared" si="41"/>
        <v>2935.0000000000009</v>
      </c>
      <c r="N56" s="12">
        <f t="shared" si="3"/>
        <v>366.87500000000011</v>
      </c>
      <c r="O56" s="14">
        <f t="shared" si="4"/>
        <v>0</v>
      </c>
      <c r="P56" s="15">
        <f t="shared" si="5"/>
        <v>-8.1249999999998863</v>
      </c>
      <c r="Q56" s="91">
        <f t="shared" si="6"/>
        <v>0.97833333333333361</v>
      </c>
      <c r="R56" s="177"/>
      <c r="S56" s="21">
        <v>0.31736111111111109</v>
      </c>
      <c r="T56" s="21">
        <v>0.33402777777777776</v>
      </c>
      <c r="U56" s="88">
        <f t="shared" si="44"/>
        <v>6.9999999999999751</v>
      </c>
      <c r="V56" s="30">
        <f t="shared" si="42"/>
        <v>23.999999999999993</v>
      </c>
      <c r="W56" s="16"/>
      <c r="X56" s="16"/>
      <c r="Y56" s="16"/>
      <c r="Z56" s="16"/>
      <c r="AA56" s="168"/>
      <c r="AB56" s="168"/>
      <c r="AC56" s="18"/>
      <c r="AD56" s="18"/>
      <c r="AE56" s="14">
        <f t="shared" si="43"/>
        <v>-64.999999999999091</v>
      </c>
      <c r="AF56" s="91">
        <f t="shared" si="9"/>
        <v>0.97833333333333361</v>
      </c>
      <c r="AG56" s="177"/>
    </row>
    <row r="57" spans="1:33">
      <c r="A57" s="180" t="s">
        <v>375</v>
      </c>
      <c r="B57" s="28" t="s">
        <v>1695</v>
      </c>
      <c r="C57" s="178"/>
      <c r="D57" s="178"/>
      <c r="E57" s="92"/>
      <c r="F57" s="12"/>
      <c r="G57" s="12"/>
      <c r="H57" s="88"/>
      <c r="I57" s="23">
        <v>10</v>
      </c>
      <c r="J57" s="13">
        <v>2800</v>
      </c>
      <c r="K57" s="12">
        <f t="shared" si="1"/>
        <v>280</v>
      </c>
      <c r="L57" s="23">
        <v>10</v>
      </c>
      <c r="M57" s="13">
        <f>AVERAGE(M52:M56)</f>
        <v>2720.3813083468253</v>
      </c>
      <c r="N57" s="12">
        <f t="shared" si="3"/>
        <v>272.03813083468253</v>
      </c>
      <c r="O57" s="14">
        <f t="shared" si="4"/>
        <v>0</v>
      </c>
      <c r="P57" s="15">
        <f t="shared" si="5"/>
        <v>-7.9618691653174665</v>
      </c>
      <c r="Q57" s="91">
        <f t="shared" si="6"/>
        <v>0.97156475298100908</v>
      </c>
      <c r="R57" s="177"/>
      <c r="S57" s="21"/>
      <c r="T57" s="21"/>
      <c r="U57" s="12"/>
      <c r="V57" s="30"/>
      <c r="W57" s="12"/>
      <c r="X57" s="12"/>
      <c r="Y57" s="24">
        <f>SUM(Y52:Y56)</f>
        <v>0</v>
      </c>
      <c r="Z57" s="24">
        <f>SUM(Z52:Z56)</f>
        <v>0</v>
      </c>
      <c r="AA57" s="167"/>
      <c r="AB57" s="167"/>
      <c r="AC57" s="24">
        <v>5</v>
      </c>
      <c r="AD57" s="24">
        <f>SUM(AD52:AD56)</f>
        <v>0</v>
      </c>
      <c r="AE57" s="14">
        <f t="shared" si="43"/>
        <v>-79.618691653174665</v>
      </c>
      <c r="AF57" s="91">
        <f t="shared" si="9"/>
        <v>0.97156475298100908</v>
      </c>
      <c r="AG57" s="177"/>
    </row>
    <row r="58" spans="1:33" ht="15.75" customHeight="1">
      <c r="A58" s="174" t="s">
        <v>1703</v>
      </c>
      <c r="B58" s="88" t="s">
        <v>22</v>
      </c>
      <c r="C58" s="169" t="s">
        <v>29</v>
      </c>
      <c r="D58" s="169"/>
      <c r="E58" s="28">
        <v>20.52</v>
      </c>
      <c r="F58" s="88">
        <v>3320</v>
      </c>
      <c r="G58" s="88">
        <f t="shared" ref="G58:G62" si="45">E58*F58</f>
        <v>68126.399999999994</v>
      </c>
      <c r="H58" s="30" t="s">
        <v>53</v>
      </c>
      <c r="I58" s="95">
        <v>18</v>
      </c>
      <c r="J58" s="13">
        <v>2400</v>
      </c>
      <c r="K58" s="12">
        <f t="shared" si="1"/>
        <v>133.33333333333334</v>
      </c>
      <c r="L58" s="95">
        <v>18</v>
      </c>
      <c r="M58" s="13">
        <f t="shared" ref="M58:M62" si="46">F58/V58*60</f>
        <v>2289.6551724137935</v>
      </c>
      <c r="N58" s="12">
        <f t="shared" si="3"/>
        <v>127.20306513409963</v>
      </c>
      <c r="O58" s="14">
        <f t="shared" si="4"/>
        <v>0</v>
      </c>
      <c r="P58" s="15">
        <f t="shared" si="5"/>
        <v>-6.1302681992337114</v>
      </c>
      <c r="Q58" s="91">
        <f t="shared" si="6"/>
        <v>0.95402298850574718</v>
      </c>
      <c r="R58" s="177">
        <f>Q63</f>
        <v>0.95508531877605163</v>
      </c>
      <c r="S58" s="21">
        <v>8.3333333333333329E-2</v>
      </c>
      <c r="T58" s="21">
        <v>0.14374999999999999</v>
      </c>
      <c r="U58" s="21"/>
      <c r="V58" s="30">
        <f t="shared" ref="V58:V62" si="47">(T58-S58)*24*60</f>
        <v>86.999999999999986</v>
      </c>
      <c r="W58" s="16">
        <f>T58</f>
        <v>0.14374999999999999</v>
      </c>
      <c r="X58" s="16">
        <f>S59</f>
        <v>0.16111111111111107</v>
      </c>
      <c r="Y58" s="16"/>
      <c r="Z58" s="16"/>
      <c r="AA58" s="168"/>
      <c r="AB58" s="168"/>
      <c r="AC58" s="18">
        <v>5</v>
      </c>
      <c r="AD58" s="18"/>
      <c r="AE58" s="14">
        <f t="shared" si="43"/>
        <v>-110.34482758620652</v>
      </c>
      <c r="AF58" s="91">
        <f t="shared" si="9"/>
        <v>0.95402298850574729</v>
      </c>
      <c r="AG58" s="177">
        <f>AF63</f>
        <v>0.95508531877605152</v>
      </c>
    </row>
    <row r="59" spans="1:33" ht="15.75" customHeight="1">
      <c r="A59" s="175" t="s">
        <v>377</v>
      </c>
      <c r="B59" s="88" t="s">
        <v>22</v>
      </c>
      <c r="C59" s="169" t="s">
        <v>50</v>
      </c>
      <c r="D59" s="169"/>
      <c r="E59" s="28">
        <v>24.45</v>
      </c>
      <c r="F59" s="88">
        <v>2227</v>
      </c>
      <c r="G59" s="88">
        <f t="shared" si="45"/>
        <v>54450.15</v>
      </c>
      <c r="H59" s="30" t="s">
        <v>53</v>
      </c>
      <c r="I59" s="95">
        <v>19</v>
      </c>
      <c r="J59" s="13">
        <v>2400</v>
      </c>
      <c r="K59" s="12">
        <f t="shared" si="1"/>
        <v>126.31578947368421</v>
      </c>
      <c r="L59" s="95">
        <v>19</v>
      </c>
      <c r="M59" s="13">
        <f t="shared" si="46"/>
        <v>2303.7931034482763</v>
      </c>
      <c r="N59" s="12">
        <f t="shared" si="3"/>
        <v>121.25226860254085</v>
      </c>
      <c r="O59" s="14">
        <f t="shared" si="4"/>
        <v>0</v>
      </c>
      <c r="P59" s="15">
        <f t="shared" si="5"/>
        <v>-5.0635208711433535</v>
      </c>
      <c r="Q59" s="91">
        <f t="shared" si="6"/>
        <v>0.95991379310344849</v>
      </c>
      <c r="R59" s="177"/>
      <c r="S59" s="21">
        <v>0.16111111111111107</v>
      </c>
      <c r="T59" s="21">
        <v>0.20138888888888884</v>
      </c>
      <c r="U59" s="88">
        <f t="shared" ref="U59:U62" si="48">(S59-T58)*24*60</f>
        <v>24.99999999999995</v>
      </c>
      <c r="V59" s="30">
        <f t="shared" si="47"/>
        <v>57.999999999999993</v>
      </c>
      <c r="W59" s="16"/>
      <c r="X59" s="16"/>
      <c r="Y59" s="16"/>
      <c r="Z59" s="16"/>
      <c r="AA59" s="168"/>
      <c r="AB59" s="168"/>
      <c r="AC59" s="18"/>
      <c r="AD59" s="18"/>
      <c r="AE59" s="14">
        <f t="shared" si="43"/>
        <v>-96.20689655172373</v>
      </c>
      <c r="AF59" s="91">
        <f t="shared" si="9"/>
        <v>0.95991379310344849</v>
      </c>
      <c r="AG59" s="177"/>
    </row>
    <row r="60" spans="1:33" ht="15.75" customHeight="1">
      <c r="A60" s="175" t="s">
        <v>1703</v>
      </c>
      <c r="B60" s="88" t="s">
        <v>22</v>
      </c>
      <c r="C60" s="169" t="s">
        <v>31</v>
      </c>
      <c r="D60" s="169"/>
      <c r="E60" s="28">
        <v>20.21</v>
      </c>
      <c r="F60" s="88">
        <v>2446</v>
      </c>
      <c r="G60" s="88">
        <f t="shared" si="45"/>
        <v>49433.66</v>
      </c>
      <c r="H60" s="30" t="s">
        <v>53</v>
      </c>
      <c r="I60" s="95">
        <v>15</v>
      </c>
      <c r="J60" s="13">
        <v>2400</v>
      </c>
      <c r="K60" s="12">
        <f t="shared" si="1"/>
        <v>160</v>
      </c>
      <c r="L60" s="95">
        <v>15</v>
      </c>
      <c r="M60" s="13">
        <f t="shared" si="46"/>
        <v>2293.1249999999995</v>
      </c>
      <c r="N60" s="12">
        <f t="shared" si="3"/>
        <v>152.87499999999997</v>
      </c>
      <c r="O60" s="14">
        <f t="shared" si="4"/>
        <v>0</v>
      </c>
      <c r="P60" s="15">
        <f t="shared" si="5"/>
        <v>-7.1250000000000284</v>
      </c>
      <c r="Q60" s="91">
        <f t="shared" si="6"/>
        <v>0.95546874999999987</v>
      </c>
      <c r="R60" s="177"/>
      <c r="S60" s="21">
        <v>0.20486111111111105</v>
      </c>
      <c r="T60" s="21">
        <v>0.2493055555555555</v>
      </c>
      <c r="U60" s="88">
        <f t="shared" si="48"/>
        <v>4.9999999999999822</v>
      </c>
      <c r="V60" s="30">
        <f t="shared" si="47"/>
        <v>64.000000000000014</v>
      </c>
      <c r="W60" s="16"/>
      <c r="X60" s="16"/>
      <c r="Y60" s="16"/>
      <c r="Z60" s="16"/>
      <c r="AA60" s="168"/>
      <c r="AB60" s="168"/>
      <c r="AC60" s="18"/>
      <c r="AD60" s="18"/>
      <c r="AE60" s="14">
        <f t="shared" si="43"/>
        <v>-106.87500000000045</v>
      </c>
      <c r="AF60" s="91">
        <f t="shared" si="9"/>
        <v>0.95546874999999976</v>
      </c>
      <c r="AG60" s="177"/>
    </row>
    <row r="61" spans="1:33" ht="15.75" customHeight="1">
      <c r="A61" s="175" t="s">
        <v>1703</v>
      </c>
      <c r="B61" s="88" t="s">
        <v>22</v>
      </c>
      <c r="C61" s="169" t="s">
        <v>70</v>
      </c>
      <c r="D61" s="169"/>
      <c r="E61" s="28">
        <v>22.69</v>
      </c>
      <c r="F61" s="88">
        <v>4470</v>
      </c>
      <c r="G61" s="88">
        <f t="shared" si="45"/>
        <v>101424.3</v>
      </c>
      <c r="H61" s="30" t="s">
        <v>53</v>
      </c>
      <c r="I61" s="95">
        <v>15</v>
      </c>
      <c r="J61" s="13">
        <v>2400</v>
      </c>
      <c r="K61" s="12">
        <f t="shared" si="1"/>
        <v>160</v>
      </c>
      <c r="L61" s="95">
        <v>15</v>
      </c>
      <c r="M61" s="13">
        <f t="shared" si="46"/>
        <v>2292.3076923076928</v>
      </c>
      <c r="N61" s="12">
        <f t="shared" si="3"/>
        <v>152.82051282051285</v>
      </c>
      <c r="O61" s="14">
        <f t="shared" si="4"/>
        <v>0</v>
      </c>
      <c r="P61" s="15">
        <f t="shared" si="5"/>
        <v>-7.179487179487154</v>
      </c>
      <c r="Q61" s="91">
        <f t="shared" si="6"/>
        <v>0.95512820512820529</v>
      </c>
      <c r="R61" s="177"/>
      <c r="S61" s="21">
        <v>0.25347222222222215</v>
      </c>
      <c r="T61" s="21">
        <v>0.33472222222222214</v>
      </c>
      <c r="U61" s="88">
        <f t="shared" si="48"/>
        <v>5.9999999999999787</v>
      </c>
      <c r="V61" s="30">
        <f t="shared" si="47"/>
        <v>116.99999999999999</v>
      </c>
      <c r="W61" s="16"/>
      <c r="X61" s="16"/>
      <c r="Y61" s="16"/>
      <c r="Z61" s="16"/>
      <c r="AA61" s="168"/>
      <c r="AB61" s="168"/>
      <c r="AC61" s="18"/>
      <c r="AD61" s="18"/>
      <c r="AE61" s="14">
        <f t="shared" si="43"/>
        <v>-107.69230769230717</v>
      </c>
      <c r="AF61" s="91">
        <f t="shared" si="9"/>
        <v>0.9551282051282054</v>
      </c>
      <c r="AG61" s="177"/>
    </row>
    <row r="62" spans="1:33" ht="15.75" customHeight="1">
      <c r="A62" s="175" t="s">
        <v>377</v>
      </c>
      <c r="B62" s="88" t="s">
        <v>22</v>
      </c>
      <c r="C62" s="169" t="s">
        <v>52</v>
      </c>
      <c r="D62" s="169"/>
      <c r="E62" s="28">
        <v>19.02</v>
      </c>
      <c r="F62" s="88">
        <v>8520</v>
      </c>
      <c r="G62" s="88">
        <f t="shared" si="45"/>
        <v>162050.4</v>
      </c>
      <c r="H62" s="30" t="s">
        <v>53</v>
      </c>
      <c r="I62" s="95">
        <v>14</v>
      </c>
      <c r="J62" s="13">
        <v>2400</v>
      </c>
      <c r="K62" s="12">
        <f t="shared" si="1"/>
        <v>171.42857142857142</v>
      </c>
      <c r="L62" s="95">
        <v>14</v>
      </c>
      <c r="M62" s="13">
        <f t="shared" si="46"/>
        <v>2282.1428571428569</v>
      </c>
      <c r="N62" s="12">
        <f t="shared" si="3"/>
        <v>163.01020408163262</v>
      </c>
      <c r="O62" s="14">
        <f t="shared" si="4"/>
        <v>0</v>
      </c>
      <c r="P62" s="15">
        <f t="shared" si="5"/>
        <v>-8.4183673469387941</v>
      </c>
      <c r="Q62" s="91">
        <f t="shared" si="6"/>
        <v>0.95089285714285698</v>
      </c>
      <c r="R62" s="177"/>
      <c r="S62" s="21">
        <v>0.3388888888888888</v>
      </c>
      <c r="T62" s="21">
        <v>0.49444444444444435</v>
      </c>
      <c r="U62" s="88">
        <f t="shared" si="48"/>
        <v>5.9999999999999787</v>
      </c>
      <c r="V62" s="30">
        <f t="shared" si="47"/>
        <v>224</v>
      </c>
      <c r="W62" s="16"/>
      <c r="X62" s="16"/>
      <c r="Y62" s="16"/>
      <c r="Z62" s="16"/>
      <c r="AA62" s="168"/>
      <c r="AB62" s="168"/>
      <c r="AC62" s="18"/>
      <c r="AD62" s="18"/>
      <c r="AE62" s="14">
        <f t="shared" si="43"/>
        <v>-117.85714285714312</v>
      </c>
      <c r="AF62" s="91">
        <f t="shared" si="9"/>
        <v>0.95089285714285698</v>
      </c>
      <c r="AG62" s="177"/>
    </row>
    <row r="63" spans="1:33" ht="16.5" customHeight="1">
      <c r="A63" s="176" t="s">
        <v>1703</v>
      </c>
      <c r="B63" s="28" t="s">
        <v>1704</v>
      </c>
      <c r="C63" s="165"/>
      <c r="D63" s="166"/>
      <c r="E63" s="92"/>
      <c r="F63" s="12"/>
      <c r="G63" s="12"/>
      <c r="H63" s="88"/>
      <c r="I63" s="23">
        <v>16.2</v>
      </c>
      <c r="J63" s="13">
        <v>2400</v>
      </c>
      <c r="K63" s="12">
        <f t="shared" si="1"/>
        <v>148.14814814814815</v>
      </c>
      <c r="L63" s="23">
        <v>16.2</v>
      </c>
      <c r="M63" s="13">
        <f>AVERAGE(M58:M62)</f>
        <v>2292.2047650625236</v>
      </c>
      <c r="N63" s="12">
        <f t="shared" si="3"/>
        <v>141.4941213001558</v>
      </c>
      <c r="O63" s="14">
        <f t="shared" si="4"/>
        <v>0</v>
      </c>
      <c r="P63" s="15">
        <f t="shared" si="5"/>
        <v>-6.6540268479923554</v>
      </c>
      <c r="Q63" s="91">
        <f t="shared" si="6"/>
        <v>0.95508531877605163</v>
      </c>
      <c r="R63" s="177"/>
      <c r="S63" s="21"/>
      <c r="T63" s="21"/>
      <c r="U63" s="12"/>
      <c r="V63" s="30"/>
      <c r="W63" s="12"/>
      <c r="X63" s="12"/>
      <c r="Y63" s="24">
        <f>SUM(Y58:Y62)</f>
        <v>0</v>
      </c>
      <c r="Z63" s="24">
        <f>SUM(Z58:Z62)</f>
        <v>0</v>
      </c>
      <c r="AA63" s="167"/>
      <c r="AB63" s="167"/>
      <c r="AC63" s="24">
        <v>5</v>
      </c>
      <c r="AD63" s="24">
        <f>SUM(AD58:AD62)</f>
        <v>0</v>
      </c>
      <c r="AE63" s="14">
        <f t="shared" si="43"/>
        <v>-107.79523493747638</v>
      </c>
      <c r="AF63" s="91">
        <f t="shared" si="9"/>
        <v>0.95508531877605152</v>
      </c>
      <c r="AG63" s="177"/>
    </row>
    <row r="64" spans="1:33">
      <c r="D64" s="87"/>
      <c r="E64" s="87"/>
    </row>
  </sheetData>
  <mergeCells count="179">
    <mergeCell ref="AG58:AG63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C63:D63"/>
    <mergeCell ref="A58:A63"/>
    <mergeCell ref="C58:D58"/>
    <mergeCell ref="R58:R63"/>
    <mergeCell ref="AA58:AB58"/>
    <mergeCell ref="AA63:AB63"/>
    <mergeCell ref="A52:A57"/>
    <mergeCell ref="C52:D52"/>
    <mergeCell ref="R52:R57"/>
    <mergeCell ref="AA52:AB52"/>
    <mergeCell ref="AG52:AG57"/>
    <mergeCell ref="C53:D53"/>
    <mergeCell ref="AA53:AB53"/>
    <mergeCell ref="C54:D54"/>
    <mergeCell ref="AA54:AB54"/>
    <mergeCell ref="C55:D55"/>
    <mergeCell ref="AA48:AB48"/>
    <mergeCell ref="C49:D49"/>
    <mergeCell ref="AA49:AB49"/>
    <mergeCell ref="C50:D50"/>
    <mergeCell ref="AA50:AB50"/>
    <mergeCell ref="C51:D51"/>
    <mergeCell ref="AA51:AB51"/>
    <mergeCell ref="AA55:AB55"/>
    <mergeCell ref="C56:D56"/>
    <mergeCell ref="AA56:AB56"/>
    <mergeCell ref="C57:D57"/>
    <mergeCell ref="AA57:AB57"/>
    <mergeCell ref="AG37:AG43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A44:A51"/>
    <mergeCell ref="C44:D44"/>
    <mergeCell ref="R44:R51"/>
    <mergeCell ref="AA44:AB44"/>
    <mergeCell ref="AG44:AG51"/>
    <mergeCell ref="C45:D45"/>
    <mergeCell ref="AA45:AB45"/>
    <mergeCell ref="C46:D46"/>
    <mergeCell ref="AA46:AB46"/>
    <mergeCell ref="AA47:AB47"/>
    <mergeCell ref="AG31:AG36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37:A43"/>
    <mergeCell ref="C37:D37"/>
    <mergeCell ref="R37:R43"/>
    <mergeCell ref="AA37:AB37"/>
    <mergeCell ref="AG25:AG30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C30:D30"/>
    <mergeCell ref="AA30:AB30"/>
    <mergeCell ref="A31:A36"/>
    <mergeCell ref="C31:D31"/>
    <mergeCell ref="R31:R36"/>
    <mergeCell ref="AA31:AB31"/>
    <mergeCell ref="AA36:AB36"/>
    <mergeCell ref="A25:A30"/>
    <mergeCell ref="C25:D25"/>
    <mergeCell ref="R25:R30"/>
    <mergeCell ref="AA25:AB25"/>
    <mergeCell ref="AG18:AG24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18:A24"/>
    <mergeCell ref="C18:D18"/>
    <mergeCell ref="R18:R24"/>
    <mergeCell ref="AA18:AB18"/>
    <mergeCell ref="AA23:AB23"/>
    <mergeCell ref="C24:D24"/>
    <mergeCell ref="AA24:AB24"/>
    <mergeCell ref="A13:A17"/>
    <mergeCell ref="C13:D13"/>
    <mergeCell ref="R13:R17"/>
    <mergeCell ref="AA13:AB13"/>
    <mergeCell ref="AG13:AG17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:O63">
    <cfRule type="cellIs" dxfId="138" priority="9" operator="greaterThan">
      <formula>0</formula>
    </cfRule>
  </conditionalFormatting>
  <conditionalFormatting sqref="P5:P63">
    <cfRule type="cellIs" dxfId="137" priority="1" operator="lessThan">
      <formula>0</formula>
    </cfRule>
  </conditionalFormatting>
  <conditionalFormatting sqref="Q5:Q63 AF5:AF63">
    <cfRule type="cellIs" dxfId="136" priority="10" operator="greaterThan">
      <formula>1</formula>
    </cfRule>
    <cfRule type="cellIs" dxfId="135" priority="11" operator="lessThan">
      <formula>0.8</formula>
    </cfRule>
  </conditionalFormatting>
  <conditionalFormatting sqref="R5:R9 AG5:AG9">
    <cfRule type="cellIs" dxfId="134" priority="42" operator="lessThan">
      <formula>0.8</formula>
    </cfRule>
  </conditionalFormatting>
  <conditionalFormatting sqref="AE5:AE63">
    <cfRule type="cellIs" dxfId="133" priority="12" operator="lessThan">
      <formula>0</formula>
    </cfRule>
  </conditionalFormatting>
  <conditionalFormatting sqref="AG13:AG55 R13:R63">
    <cfRule type="cellIs" dxfId="132" priority="13" operator="lessThan">
      <formula>0.8</formula>
    </cfRule>
  </conditionalFormatting>
  <dataValidations count="1">
    <dataValidation type="list" allowBlank="1" showInputMessage="1" showErrorMessage="1" sqref="AB8 AA5:AB7 AB56 AA8:AA56 AB10:AB52 AA57:AB63" xr:uid="{00000000-0002-0000-1B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Q32"/>
  <sheetViews>
    <sheetView zoomScale="85" zoomScaleNormal="85" workbookViewId="0">
      <selection activeCell="G7" sqref="G7:H7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1487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1488</v>
      </c>
      <c r="C3" s="154" t="str">
        <f>TEXT('0416 4度C'!A2,"yyyy.mm.ddaaaa")</f>
        <v>2026.04.16星期四</v>
      </c>
      <c r="D3" s="155"/>
      <c r="E3" s="33" t="s">
        <v>1489</v>
      </c>
      <c r="F3" s="156">
        <f>'0416 4度C'!D1</f>
        <v>149174</v>
      </c>
      <c r="G3" s="157"/>
      <c r="H3" s="33" t="s">
        <v>1490</v>
      </c>
      <c r="I3" s="158">
        <f>'0416 4度C'!F1</f>
        <v>4889534.9799999986</v>
      </c>
      <c r="J3" s="159"/>
      <c r="K3" s="34"/>
      <c r="L3" s="35"/>
      <c r="M3" s="35"/>
      <c r="N3" s="35"/>
    </row>
    <row r="4" spans="2:17" ht="28.5" customHeight="1">
      <c r="B4" s="160" t="s">
        <v>79</v>
      </c>
      <c r="C4" s="146" t="s">
        <v>1491</v>
      </c>
      <c r="D4" s="147"/>
      <c r="E4" s="163" t="s">
        <v>1492</v>
      </c>
      <c r="F4" s="164"/>
      <c r="G4" s="163" t="s">
        <v>1493</v>
      </c>
      <c r="H4" s="164"/>
      <c r="I4" s="163" t="s">
        <v>1494</v>
      </c>
      <c r="J4" s="164"/>
      <c r="K4" s="144" t="s">
        <v>1495</v>
      </c>
      <c r="L4" s="145"/>
      <c r="M4" s="145" t="s">
        <v>1496</v>
      </c>
      <c r="N4" s="145"/>
    </row>
    <row r="5" spans="2:17" ht="28.5" customHeight="1">
      <c r="B5" s="161"/>
      <c r="C5" s="146" t="s">
        <v>1497</v>
      </c>
      <c r="D5" s="147"/>
      <c r="E5" s="146" t="s">
        <v>1498</v>
      </c>
      <c r="F5" s="147"/>
      <c r="G5" s="148" t="s">
        <v>1499</v>
      </c>
      <c r="H5" s="149"/>
      <c r="I5" s="150" t="s">
        <v>1500</v>
      </c>
      <c r="J5" s="151"/>
      <c r="K5" s="36" t="s">
        <v>1501</v>
      </c>
      <c r="L5" s="37" t="s">
        <v>1502</v>
      </c>
      <c r="M5" s="36" t="s">
        <v>1501</v>
      </c>
      <c r="N5" s="37" t="s">
        <v>1503</v>
      </c>
    </row>
    <row r="6" spans="2:17" ht="28.5" customHeight="1">
      <c r="B6" s="161"/>
      <c r="C6" s="146" t="s">
        <v>54</v>
      </c>
      <c r="D6" s="147"/>
      <c r="E6" s="138">
        <f>AVERAGE(D13:M13)</f>
        <v>155.25572786249523</v>
      </c>
      <c r="F6" s="139">
        <f>AVERAGE(D31:O31,D13:J13)</f>
        <v>161.27039567988641</v>
      </c>
      <c r="G6" s="140">
        <f>AVERAGE(D13:J13)</f>
        <v>161.27039567988641</v>
      </c>
      <c r="H6" s="141"/>
      <c r="I6" s="140">
        <f>AVERAGE(K13:M13)</f>
        <v>141.22150295524909</v>
      </c>
      <c r="J6" s="141"/>
      <c r="K6" s="142">
        <f>'0416 4度C'!Y2</f>
        <v>0</v>
      </c>
      <c r="L6" s="127">
        <f>'0416 4度C'!Z2</f>
        <v>0</v>
      </c>
      <c r="M6" s="143">
        <f>'0416 4度C'!AC2</f>
        <v>52</v>
      </c>
      <c r="N6" s="127">
        <f>'0416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148.76202997030205</v>
      </c>
      <c r="F7" s="131">
        <f>AVERAGE(D32:O32,D14:J14)</f>
        <v>154.69189063067992</v>
      </c>
      <c r="G7" s="132">
        <f>AVERAGE(D14:J14)</f>
        <v>154.69189063067992</v>
      </c>
      <c r="H7" s="133"/>
      <c r="I7" s="132">
        <f>AVERAGE(K14:M14)</f>
        <v>134.92568842942026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0.95837535112060213</v>
      </c>
      <c r="F8" s="135">
        <f>AVERAGE(D15:J15,D33:O33)</f>
        <v>0.95963387288188096</v>
      </c>
      <c r="G8" s="136">
        <f>AVERAGE(D15:J15)</f>
        <v>0.95963387288188096</v>
      </c>
      <c r="H8" s="137"/>
      <c r="I8" s="136">
        <f>AVERAGE(K15:M15)</f>
        <v>0.95543880034428474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1504</v>
      </c>
      <c r="N9" s="35"/>
      <c r="O9" s="35"/>
      <c r="P9" s="35"/>
      <c r="Q9" s="35"/>
    </row>
    <row r="10" spans="2:17" ht="30" customHeight="1">
      <c r="B10" s="110" t="s">
        <v>1505</v>
      </c>
      <c r="C10" s="111"/>
      <c r="D10" s="112" t="s">
        <v>1506</v>
      </c>
      <c r="E10" s="113"/>
      <c r="F10" s="113"/>
      <c r="G10" s="113"/>
      <c r="H10" s="113"/>
      <c r="I10" s="113"/>
      <c r="J10" s="114"/>
      <c r="K10" s="115" t="s">
        <v>1507</v>
      </c>
      <c r="L10" s="116"/>
      <c r="M10" s="117"/>
      <c r="P10" s="41"/>
      <c r="Q10" s="41"/>
    </row>
    <row r="11" spans="2:17" ht="17.25" customHeight="1">
      <c r="B11" s="118" t="s">
        <v>1508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1509</v>
      </c>
      <c r="C13" s="48" t="s">
        <v>98</v>
      </c>
      <c r="D13" s="49">
        <f>SUMIFS('0416 4度C'!$K:$K,'0416 4度C'!$A:$A,"新豐6線",'0416 4度C'!$B:$B,"平均")</f>
        <v>115.38461538461539</v>
      </c>
      <c r="E13" s="50">
        <f>SUMIFS('0416 4度C'!$K:$K,'0416 4度C'!$A:$A,"新豐2線",'0416 4度C'!$B:$B,"平均")</f>
        <v>84.905660377358487</v>
      </c>
      <c r="F13" s="51">
        <f>SUMIFS('0416 4度C'!$K:$K,'0416 4度C'!$A:$A,"新豐5線",'0416 4度C'!$B:$B,"平均")</f>
        <v>104.16666666666667</v>
      </c>
      <c r="G13" s="51">
        <f>SUMIFS('0416 4度C'!$K:$K,'0416 4度C'!$A:$A,"新豐7線",'0416 4度C'!$B:$B,"平均")</f>
        <v>126.37362637362638</v>
      </c>
      <c r="H13" s="51">
        <f>SUMIFS('0416 4度C'!$K:$K,'0416 4度C'!$A:$A,"新豐3線",'0416 4度C'!$B:$B,"平均")</f>
        <v>315.78947368421052</v>
      </c>
      <c r="I13" s="51">
        <f>SUMIFS('0416 4度C'!$K:$K,'0416 4度C'!$A:$A,"新豐1線",'0416 4度C'!$B:$B,"平均")</f>
        <v>102.27272727272728</v>
      </c>
      <c r="J13" s="52">
        <f>SUMIFS('0416 4度C'!$K:$K,'0416 4度C'!$A:$A,"新豐10線",'0416 4度C'!$B:$B,"平均")</f>
        <v>280</v>
      </c>
      <c r="K13" s="53">
        <f>SUMIFS('0416 4度C'!$K:$K,'0416 4度C'!$A:$A,"新豐8線",'0416 4度C'!$B:$B,"平均")</f>
        <v>130.90909090909091</v>
      </c>
      <c r="L13" s="54">
        <f>SUMIFS('0416 4度C'!$K:$K,'0416 4度C'!$A:$A,"新豐9線",'0416 4度C'!$B:$B,"平均")</f>
        <v>141.1764705882353</v>
      </c>
      <c r="M13" s="52">
        <f>SUMIFS('0416 4度C'!$K:$K,'0416 4度C'!$A:$A,"新豐4線",'0416 4度C'!$B:$B,"平均")</f>
        <v>151.57894736842104</v>
      </c>
    </row>
    <row r="14" spans="2:17" ht="39.6" customHeight="1">
      <c r="B14" s="123"/>
      <c r="C14" s="55" t="s">
        <v>1510</v>
      </c>
      <c r="D14" s="56">
        <f>SUMIFS('0416 4度C'!$N:$N,'0416 4度C'!$A:$A,"新豐6線",'0416 4度C'!$B:$B,"平均")</f>
        <v>111.7071690581508</v>
      </c>
      <c r="E14" s="57">
        <f>SUMIFS('0416 4度C'!$N:$N,'0416 4度C'!$A:$A,"新豐2線",'0416 4度C'!$B:$B,"平均")</f>
        <v>81.106106746545436</v>
      </c>
      <c r="F14" s="57">
        <f>SUMIFS('0416 4度C'!$N:$N,'0416 4度C'!$A:$A,"新豐5線",'0416 4度C'!$B:$B,"平均")</f>
        <v>99.69526888881731</v>
      </c>
      <c r="G14" s="57">
        <f>SUMIFS('0416 4度C'!$N:$N,'0416 4度C'!$A:$A,"新豐7線",'0416 4度C'!$B:$B,"平均")</f>
        <v>121.43627190123865</v>
      </c>
      <c r="H14" s="57">
        <f>SUMIFS('0416 4度C'!$N:$N,'0416 4度C'!$A:$A,"新豐3線",'0416 4度C'!$B:$B,"平均")</f>
        <v>301.61168638694198</v>
      </c>
      <c r="I14" s="57">
        <f>SUMIFS('0416 4度C'!$N:$N,'0416 4度C'!$A:$A,"新豐1線",'0416 4度C'!$B:$B,"平均")</f>
        <v>98.15940239618746</v>
      </c>
      <c r="J14" s="58">
        <f>SUMIFS('0416 4度C'!$N:$N,'0416 4度C'!$A:$A,"新豐10線",'0416 4度C'!$B:$B,"平均")</f>
        <v>269.12732903687782</v>
      </c>
      <c r="K14" s="59">
        <f>SUMIFS('0416 4度C'!$N:$N,'0416 4度C'!$A:$A,"新豐8線",'0416 4度C'!$B:$B,"平均")</f>
        <v>125.08325544379056</v>
      </c>
      <c r="L14" s="60">
        <f>SUMIFS('0416 4度C'!$N:$N,'0416 4度C'!$A:$A,"新豐9線",'0416 4度C'!$B:$B,"平均")</f>
        <v>134.98373440449555</v>
      </c>
      <c r="M14" s="58">
        <f>SUMIFS('0416 4度C'!$N:$N,'0416 4度C'!$A:$A,"新豐4線",'0416 4度C'!$B:$B,"平均")</f>
        <v>144.71007543997467</v>
      </c>
    </row>
    <row r="15" spans="2:17" ht="40.15" customHeight="1">
      <c r="B15" s="124"/>
      <c r="C15" s="61" t="s">
        <v>1511</v>
      </c>
      <c r="D15" s="62">
        <f t="shared" ref="D15:M15" si="0">D14/D13</f>
        <v>0.9681287985039736</v>
      </c>
      <c r="E15" s="63">
        <f t="shared" si="0"/>
        <v>0.95524970168153522</v>
      </c>
      <c r="F15" s="63">
        <f t="shared" si="0"/>
        <v>0.95707458133264611</v>
      </c>
      <c r="G15" s="63">
        <f t="shared" si="0"/>
        <v>0.96093049939241015</v>
      </c>
      <c r="H15" s="63">
        <f t="shared" si="0"/>
        <v>0.95510367355864967</v>
      </c>
      <c r="I15" s="63">
        <f t="shared" si="0"/>
        <v>0.95978082342938842</v>
      </c>
      <c r="J15" s="64">
        <f t="shared" si="0"/>
        <v>0.96116903227456363</v>
      </c>
      <c r="K15" s="62">
        <f t="shared" si="0"/>
        <v>0.95549709019562235</v>
      </c>
      <c r="L15" s="63">
        <f t="shared" si="0"/>
        <v>0.95613478536517671</v>
      </c>
      <c r="M15" s="64">
        <f t="shared" si="0"/>
        <v>0.95468452547205518</v>
      </c>
    </row>
    <row r="16" spans="2:17" ht="17.25" customHeight="1">
      <c r="B16" s="125" t="s">
        <v>1512</v>
      </c>
      <c r="C16" s="65" t="s">
        <v>1513</v>
      </c>
      <c r="D16" s="66">
        <f>VLOOKUP("新豐6線",'0416 4度C'!$A:$T,19,0)</f>
        <v>0.70833333333333337</v>
      </c>
      <c r="E16" s="67">
        <f>VLOOKUP("新豐2線",'0416 4度C'!$A:$T,19,0)</f>
        <v>0.20833333333333334</v>
      </c>
      <c r="F16" s="67">
        <f>VLOOKUP("新豐5線",'0416 4度C'!$A:$T,19,0)</f>
        <v>0.20833333333333334</v>
      </c>
      <c r="G16" s="67">
        <f>VLOOKUP("新豐7線",'0416 4度C'!$A:$T,19,0)</f>
        <v>0.29166666666666669</v>
      </c>
      <c r="H16" s="67">
        <f>VLOOKUP("新豐3線",'0416 4度C'!$A:$T,19,0)</f>
        <v>8.3333333333333329E-2</v>
      </c>
      <c r="I16" s="67">
        <f>VLOOKUP("新豐1線",'0416 4度C'!$A:$T,19,0)</f>
        <v>0.33333333333333331</v>
      </c>
      <c r="J16" s="68">
        <f>VLOOKUP("新豐10線",'0416 4度C'!$A:$T,19,0)</f>
        <v>0.20833333333333334</v>
      </c>
      <c r="K16" s="69">
        <f>VLOOKUP("新豐8線",'0416 4度C'!$A:$T,19,0)</f>
        <v>8.3333333333333329E-2</v>
      </c>
      <c r="L16" s="70">
        <f>VLOOKUP("新豐9線",'0416 4度C'!$A:$T,19,0)</f>
        <v>8.3333333333333329E-2</v>
      </c>
      <c r="M16" s="71">
        <f>VLOOKUP("新豐4線",'0416 4度C'!$A:$T,19,0)</f>
        <v>8.3333333333333329E-2</v>
      </c>
    </row>
    <row r="17" spans="2:13" ht="17.25" customHeight="1">
      <c r="B17" s="126"/>
      <c r="C17" s="65" t="s">
        <v>1514</v>
      </c>
      <c r="D17" s="69">
        <f>LOOKUP(2,1/(('0416 4度C'!$A:$A="新豐6線")*('0416 4度C'!$T:$T&lt;&gt;"")),'0416 4度C'!$T:$T)</f>
        <v>0.8125</v>
      </c>
      <c r="E17" s="67">
        <f>LOOKUP(2,1/(('0416 4度C'!$A:$A="新豐2線")*('0416 4度C'!$T:$T&lt;&gt;"")),'0416 4度C'!$T:$T)</f>
        <v>0.59305555555555545</v>
      </c>
      <c r="F17" s="67">
        <f>LOOKUP(2,1/(('0416 4度C'!$A:$A="新豐5線")*('0416 4度C'!$T:$T&lt;&gt;"")),'0416 4度C'!$T:$T)</f>
        <v>0.83194444444444438</v>
      </c>
      <c r="G17" s="67">
        <f>LOOKUP(2,1/(('0416 4度C'!$A:$A="新豐7線")*('0416 4度C'!$T:$T&lt;&gt;"")),'0416 4度C'!$T:$T)</f>
        <v>0.81527777777777777</v>
      </c>
      <c r="H17" s="67">
        <f>LOOKUP(2,1/(('0416 4度C'!$A:$A="新豐3線")*('0416 4度C'!$T:$T&lt;&gt;"")),'0416 4度C'!$T:$T)</f>
        <v>0.48819444444444438</v>
      </c>
      <c r="I17" s="67">
        <f>LOOKUP(2,1/(('0416 4度C'!$A:$A="新豐1線")*('0416 4度C'!$T:$T&lt;&gt;"")),'0416 4度C'!$T:$T)</f>
        <v>0.82916666666666672</v>
      </c>
      <c r="J17" s="68">
        <f>LOOKUP(2,1/(('0416 4度C'!$A:$A="新豐10線")*('0416 4度C'!$T:$T&lt;&gt;"")),'0416 4度C'!$T:$T)</f>
        <v>0.36736111111111108</v>
      </c>
      <c r="K17" s="66">
        <f>LOOKUP(2,1/(('0416 4度C'!$A:$A="新豐8線")*('0416 4度C'!$T:$T&lt;&gt;"")),'0416 4度C'!$T:$T)</f>
        <v>0.59861111111111098</v>
      </c>
      <c r="L17" s="67">
        <f>LOOKUP(2,1/(('0416 4度C'!$A:$A="新豐9線")*('0416 4度C'!$T:$T&lt;&gt;"")),'0416 4度C'!$T:$T)</f>
        <v>0.6020833333333333</v>
      </c>
      <c r="M17" s="68">
        <f>LOOKUP(2,1/(('0416 4度C'!$A:$A="新豐4線")*('0416 4度C'!$T:$T&lt;&gt;"")),'0416 4度C'!$T:$T)</f>
        <v>0.59027777777777768</v>
      </c>
    </row>
    <row r="18" spans="2:13" ht="17.25" customHeight="1">
      <c r="B18" s="104" t="s">
        <v>1515</v>
      </c>
      <c r="C18" s="72" t="s">
        <v>1516</v>
      </c>
      <c r="D18" s="73">
        <f>SUMIFS('0416 4度C'!$Y:$Y,'0416 4度C'!$A:$A,"新豐6線",'0416 4度C'!$B:$B,"平均")</f>
        <v>0</v>
      </c>
      <c r="E18" s="74">
        <f>SUMIFS('0416 4度C'!$Y:$Y,'0416 4度C'!$A:$A,"新豐2線",'0416 4度C'!$B:$B,"平均")</f>
        <v>0</v>
      </c>
      <c r="F18" s="74">
        <f>SUMIFS('0416 4度C'!$Y:$Y,'0416 4度C'!$A:$A,"新豐5線",'0416 4度C'!$B:$B,"平均")</f>
        <v>0</v>
      </c>
      <c r="G18" s="74">
        <f>SUMIFS('0416 4度C'!$Y:$Y,'0416 4度C'!$A:$A,"新豐7線",'0416 4度C'!$B:$B,"平均")</f>
        <v>0</v>
      </c>
      <c r="H18" s="74">
        <f>SUMIFS('0416 4度C'!$Y:$Y,'0416 4度C'!$A:$A,"新豐3線",'0416 4度C'!$B:$B,"平均")</f>
        <v>0</v>
      </c>
      <c r="I18" s="74">
        <f>SUMIFS('0416 4度C'!$Y:$Y,'0416 4度C'!$A:$A,"新豐1線",'0416 4度C'!$B:$B,"平均")</f>
        <v>0</v>
      </c>
      <c r="J18" s="75">
        <f>SUMIFS('0416 4度C'!$Y:$Y,'0416 4度C'!$A:$A,"新豐10線",'0416 4度C'!$B:$B,"平均")</f>
        <v>0</v>
      </c>
      <c r="K18" s="76">
        <f>SUMIFS('0416 4度C'!$Y:$Y,'0416 4度C'!$A:$A,"新豐8線",'0416 4度C'!$B:$B,"平均")</f>
        <v>0</v>
      </c>
      <c r="L18" s="74">
        <f>SUMIFS('0416 4度C'!$Y:$Y,'0416 4度C'!$A:$A,"新豐9線",'0416 4度C'!$B:$B,"平均")</f>
        <v>0</v>
      </c>
      <c r="M18" s="75">
        <f>SUMIFS('0416 4度C'!$Y:$Y,'0416 4度C'!$A:$A,"新豐4線",'0416 4度C'!$B:$B,"平均")</f>
        <v>0</v>
      </c>
    </row>
    <row r="19" spans="2:13" ht="17.25" customHeight="1">
      <c r="B19" s="105"/>
      <c r="C19" s="72" t="s">
        <v>1517</v>
      </c>
      <c r="D19" s="73">
        <f>SUMIFS('0416 4度C'!$Z:$Z,'0416 4度C'!$A:$A,"新豐6線",'0416 4度C'!$B:$B,"平均")</f>
        <v>0</v>
      </c>
      <c r="E19" s="74">
        <f>SUMIFS('0416 4度C'!$Z:$Z,'0416 4度C'!$A:$A,"新豐2線",'0416 4度C'!$B:$B,"平均")</f>
        <v>0</v>
      </c>
      <c r="F19" s="74">
        <f>SUMIFS('0416 4度C'!$Z:$Z,'0416 4度C'!$A:$A,"新豐5線",'0416 4度C'!$B:$B,"平均")</f>
        <v>0</v>
      </c>
      <c r="G19" s="74">
        <f>SUMIFS('0416 4度C'!$Z:$Z,'0416 4度C'!$A:$A,"新豐7線",'0416 4度C'!$B:$B,"平均")</f>
        <v>0</v>
      </c>
      <c r="H19" s="74">
        <f>SUMIFS('0416 4度C'!$Z:$Z,'0416 4度C'!$A:$A,"新豐3線",'0416 4度C'!$B:$B,"平均")</f>
        <v>0</v>
      </c>
      <c r="I19" s="74">
        <f>SUMIFS('0416 4度C'!$Z:$Z,'0416 4度C'!$A:$A,"新豐1線",'0416 4度C'!$B:$B,"平均")</f>
        <v>0</v>
      </c>
      <c r="J19" s="75">
        <f>SUMIFS('0416 4度C'!$Z:$Z,'0416 4度C'!$A:$A,"新豐10線",'0416 4度C'!$B:$B,"平均")</f>
        <v>0</v>
      </c>
      <c r="K19" s="76">
        <f>SUMIFS('0416 4度C'!$Z:$Z,'0416 4度C'!$A:$A,"新豐8線",'0416 4度C'!$B:$B,"平均")</f>
        <v>0</v>
      </c>
      <c r="L19" s="74">
        <f>SUMIFS('0416 4度C'!$Z:$Z,'0416 4度C'!$A:$A,"新豐9線",'0416 4度C'!$B:$B,"平均")</f>
        <v>0</v>
      </c>
      <c r="M19" s="75">
        <f>SUMIFS('0416 4度C'!$Z:$Z,'0416 4度C'!$A:$A,"新豐4線",'0416 4度C'!$B:$B,"平均")</f>
        <v>0</v>
      </c>
    </row>
    <row r="20" spans="2:13" ht="17.25" customHeight="1">
      <c r="B20" s="104" t="s">
        <v>1518</v>
      </c>
      <c r="C20" s="72" t="s">
        <v>1516</v>
      </c>
      <c r="D20" s="73">
        <f>SUMIFS('0416 4度C'!$AC:$AC,'0416 4度C'!$A:$A,"新豐6線",'0416 4度C'!$B:$B,"平均")</f>
        <v>3</v>
      </c>
      <c r="E20" s="74">
        <f>SUMIFS('0416 4度C'!$AC:$AC,'0416 4度C'!$A:$A,"新豐2線",'0416 4度C'!$B:$B,"平均")</f>
        <v>3</v>
      </c>
      <c r="F20" s="74">
        <f>SUMIFS('0416 4度C'!$AC:$AC,'0416 4度C'!$A:$A,"新豐5線",'0416 4度C'!$B:$B,"平均")</f>
        <v>4</v>
      </c>
      <c r="G20" s="74">
        <f>SUMIFS('0416 4度C'!$AC:$AC,'0416 4度C'!$A:$A,"新豐7線",'0416 4度C'!$B:$B,"平均")</f>
        <v>6</v>
      </c>
      <c r="H20" s="74">
        <f>SUMIFS('0416 4度C'!$AC:$AC,'0416 4度C'!$A:$A,"新豐3線",'0416 4度C'!$B:$B,"平均")</f>
        <v>6</v>
      </c>
      <c r="I20" s="74">
        <f>SUMIFS('0416 4度C'!$AC:$AC,'0416 4度C'!$A:$A,"新豐1線",'0416 4度C'!$B:$B,"平均")</f>
        <v>7</v>
      </c>
      <c r="J20" s="75">
        <f>SUMIFS('0416 4度C'!$AC:$AC,'0416 4度C'!$A:$A,"新豐10線",'0416 4度C'!$B:$B,"平均")</f>
        <v>5</v>
      </c>
      <c r="K20" s="76">
        <f>SUMIFS('0416 4度C'!$AC:$AC,'0416 4度C'!$A:$A,"新豐8線",'0416 4度C'!$B:$B,"平均")</f>
        <v>6</v>
      </c>
      <c r="L20" s="74">
        <f>SUMIFS('0416 4度C'!$AC:$AC,'0416 4度C'!$A:$A,"新豐9線",'0416 4度C'!$B:$B,"平均")</f>
        <v>6</v>
      </c>
      <c r="M20" s="75">
        <f>SUMIFS('0416 4度C'!$AC:$AC,'0416 4度C'!$A:$A,"新豐4線",'0416 4度C'!$B:$B,"平均")</f>
        <v>6</v>
      </c>
    </row>
    <row r="21" spans="2:13" ht="17.25" customHeight="1">
      <c r="B21" s="105"/>
      <c r="C21" s="72" t="s">
        <v>1519</v>
      </c>
      <c r="D21" s="73">
        <f>SUMIFS('0416 4度C'!$AD:$AD,'0416 4度C'!$A:$A,"新豐6線",'0416 4度C'!$B:$B,"平均")</f>
        <v>0</v>
      </c>
      <c r="E21" s="74">
        <f>SUMIFS('0416 4度C'!$AD:$AD,'0416 4度C'!$A:$A,"新豐2線",'0416 4度C'!$B:$B,"平均")</f>
        <v>0</v>
      </c>
      <c r="F21" s="74">
        <f>SUMIFS('0416 4度C'!$AD:$AD,'0416 4度C'!$A:$A,"新豐5線",'0416 4度C'!$B:$B,"平均")</f>
        <v>0</v>
      </c>
      <c r="G21" s="74">
        <f>SUMIFS('0416 4度C'!$AD:$AD,'0416 4度C'!$A:$A,"新豐7線",'0416 4度C'!$B:$B,"平均")</f>
        <v>0</v>
      </c>
      <c r="H21" s="74">
        <f>SUMIFS('0416 4度C'!$AD:$AD,'0416 4度C'!$A:$A,"新豐3線",'0416 4度C'!$B:$B,"平均")</f>
        <v>0</v>
      </c>
      <c r="I21" s="74">
        <f>SUMIFS('0416 4度C'!$AD:$AD,'0416 4度C'!$A:$A,"新豐1線",'0416 4度C'!$B:$B,"平均")</f>
        <v>0</v>
      </c>
      <c r="J21" s="75">
        <f>SUMIFS('0416 4度C'!$AD:$AD,'0416 4度C'!$A:$A,"新豐10線",'0416 4度C'!$B:$B,"平均")</f>
        <v>0</v>
      </c>
      <c r="K21" s="76">
        <f>SUMIFS('0416 4度C'!$AD:$AD,'0416 4度C'!$A:$A,"新豐8線",'0416 4度C'!$B:$B,"平均")</f>
        <v>0</v>
      </c>
      <c r="L21" s="74">
        <f>SUMIFS('0416 4度C'!$AD:$AD,'0416 4度C'!$A:$A,"新豐9線",'0416 4度C'!$B:$B,"平均")</f>
        <v>0</v>
      </c>
      <c r="M21" s="75">
        <f>SUMIFS('0416 4度C'!$AD:$AD,'0416 4度C'!$A:$A,"新豐4線",'0416 4度C'!$B:$B,"平均")</f>
        <v>0</v>
      </c>
    </row>
    <row r="22" spans="2:13" ht="17.25" customHeight="1">
      <c r="B22" s="106" t="s">
        <v>1520</v>
      </c>
      <c r="C22" s="107"/>
      <c r="D22" s="77">
        <f>SUMIFS('0416 4度C'!$I:$I,'0416 4度C'!$A:$A,"新豐6線",'0416 4度C'!$B:$B,"平均")</f>
        <v>17.333333333333332</v>
      </c>
      <c r="E22" s="78">
        <f>SUMIFS('0416 4度C'!$I:$I,'0416 4度C'!$A:$A,"新豐2線",'0416 4度C'!$B:$B,"平均")</f>
        <v>17.666666666666668</v>
      </c>
      <c r="F22" s="78">
        <f>SUMIFS('0416 4度C'!$I:$I,'0416 4度C'!$A:$A,"新豐5線",'0416 4度C'!$B:$B,"平均")</f>
        <v>18</v>
      </c>
      <c r="G22" s="78">
        <f>SUMIFS('0416 4度C'!$I:$I,'0416 4度C'!$A:$A,"新豐7線",'0416 4度C'!$B:$B,"平均")</f>
        <v>15.166666666666666</v>
      </c>
      <c r="H22" s="78">
        <f>SUMIFS('0416 4度C'!$I:$I,'0416 4度C'!$A:$A,"新豐3線",'0416 4度C'!$B:$B,"平均")</f>
        <v>9.5</v>
      </c>
      <c r="I22" s="78">
        <f>SUMIFS('0416 4度C'!$I:$I,'0416 4度C'!$A:$A,"新豐1線",'0416 4度C'!$B:$B,"平均")</f>
        <v>18.857142857142858</v>
      </c>
      <c r="J22" s="79">
        <f>SUMIFS('0416 4度C'!$I:$I,'0416 4度C'!$A:$A,"新豐10線",'0416 4度C'!$B:$B,"平均")</f>
        <v>10</v>
      </c>
      <c r="K22" s="77">
        <f>SUMIFS('0416 4度C'!$I:$I,'0416 4度C'!$A:$A,"新豐8線",'0416 4度C'!$B:$B,"平均")</f>
        <v>18.333333333333332</v>
      </c>
      <c r="L22" s="78">
        <f>SUMIFS('0416 4度C'!$I:$I,'0416 4度C'!$A:$A,"新豐9線",'0416 4度C'!$B:$B,"平均")</f>
        <v>17</v>
      </c>
      <c r="M22" s="79">
        <f>SUMIFS('0416 4度C'!$I:$I,'0416 4度C'!$A:$A,"新豐4線",'0416 4度C'!$B:$B,"平均")</f>
        <v>15.833333333333334</v>
      </c>
    </row>
    <row r="23" spans="2:13" ht="17.25" customHeight="1">
      <c r="B23" s="106" t="s">
        <v>1521</v>
      </c>
      <c r="C23" s="107"/>
      <c r="D23" s="80" t="s">
        <v>67</v>
      </c>
      <c r="E23" s="81" t="s">
        <v>68</v>
      </c>
      <c r="F23" s="81" t="s">
        <v>1522</v>
      </c>
      <c r="G23" s="81" t="s">
        <v>1522</v>
      </c>
      <c r="H23" s="81" t="s">
        <v>69</v>
      </c>
      <c r="I23" s="81" t="s">
        <v>67</v>
      </c>
      <c r="J23" s="82" t="s">
        <v>69</v>
      </c>
      <c r="K23" s="80" t="s">
        <v>1523</v>
      </c>
      <c r="L23" s="81" t="s">
        <v>1524</v>
      </c>
      <c r="M23" s="82" t="s">
        <v>1523</v>
      </c>
    </row>
    <row r="24" spans="2:13" ht="17.25" customHeight="1">
      <c r="B24" s="106" t="s">
        <v>1525</v>
      </c>
      <c r="C24" s="107"/>
      <c r="D24" s="80"/>
      <c r="E24" s="81"/>
      <c r="F24" s="81" t="s">
        <v>1526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1527</v>
      </c>
      <c r="C25" s="109"/>
      <c r="D25" s="83"/>
      <c r="E25" s="84" t="s">
        <v>1528</v>
      </c>
      <c r="F25" s="102" t="s">
        <v>1529</v>
      </c>
      <c r="G25" s="103"/>
      <c r="H25" s="84" t="s">
        <v>118</v>
      </c>
      <c r="I25" s="84" t="s">
        <v>119</v>
      </c>
      <c r="J25" s="85" t="s">
        <v>1530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3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13">
    <pageSetUpPr fitToPage="1"/>
  </sheetPr>
  <dimension ref="A1:AG67"/>
  <sheetViews>
    <sheetView zoomScale="80" zoomScaleNormal="80" workbookViewId="0">
      <pane ySplit="4" topLeftCell="A5" activePane="bottomLeft" state="frozen"/>
      <selection activeCell="G7" sqref="G7:H7"/>
      <selection pane="bottomLeft" activeCell="G7" sqref="G7:H7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1531</v>
      </c>
      <c r="B1" s="1"/>
      <c r="C1" s="2" t="s">
        <v>1532</v>
      </c>
      <c r="D1" s="3">
        <f>SUM(F5:F66)</f>
        <v>149174</v>
      </c>
      <c r="E1" s="88" t="s">
        <v>1533</v>
      </c>
      <c r="F1" s="1">
        <f>SUM(G5:G66)</f>
        <v>4889534.9799999986</v>
      </c>
      <c r="G1" s="1" t="s">
        <v>1534</v>
      </c>
      <c r="H1" s="4">
        <f>L8+L12+L45+L53+L17+L59+L31+L38+L24+L66</f>
        <v>157.6904761904762</v>
      </c>
      <c r="I1" s="215" t="s">
        <v>1535</v>
      </c>
      <c r="J1" s="215"/>
      <c r="K1" s="215"/>
      <c r="L1" s="215" t="s">
        <v>1536</v>
      </c>
      <c r="M1" s="215"/>
      <c r="N1" s="215"/>
      <c r="O1" s="215" t="s">
        <v>1537</v>
      </c>
      <c r="P1" s="215"/>
      <c r="Q1" s="215"/>
      <c r="R1" s="215"/>
      <c r="S1" s="215" t="s">
        <v>1538</v>
      </c>
      <c r="T1" s="215"/>
      <c r="U1" s="215"/>
      <c r="V1" s="215"/>
      <c r="W1" s="215"/>
      <c r="X1" s="215"/>
      <c r="Y1" s="5" t="s">
        <v>1539</v>
      </c>
      <c r="Z1" s="6" t="s">
        <v>1540</v>
      </c>
      <c r="AA1" s="216" t="s">
        <v>1541</v>
      </c>
      <c r="AB1" s="216"/>
      <c r="AC1" s="97" t="s">
        <v>1542</v>
      </c>
      <c r="AD1" s="6" t="s">
        <v>1543</v>
      </c>
      <c r="AE1" s="215" t="s">
        <v>1544</v>
      </c>
      <c r="AF1" s="217"/>
      <c r="AG1" s="217"/>
    </row>
    <row r="2" spans="1:33" ht="26.25" customHeight="1">
      <c r="A2" s="26">
        <v>46128</v>
      </c>
      <c r="B2" s="27" t="s">
        <v>236</v>
      </c>
      <c r="C2" s="2" t="s">
        <v>1545</v>
      </c>
      <c r="D2" s="8">
        <f>AVERAGE(N8,N12,N45,N53,N17,N59,N24,N31,N38,N66)</f>
        <v>148.762029970302</v>
      </c>
      <c r="E2" s="9" t="s">
        <v>0</v>
      </c>
      <c r="F2" s="10">
        <f>F1/D1</f>
        <v>32.777394049901446</v>
      </c>
      <c r="G2" s="1" t="s">
        <v>1546</v>
      </c>
      <c r="H2" s="96">
        <f>COUNT(H5:H66)</f>
        <v>4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SUM(Y8+Y12+Y17+Y24+Y31+Y38+Y45+Y53+Y59+Y66)</f>
        <v>0</v>
      </c>
      <c r="Z2" s="11">
        <f>SUM(Z8+Z12+Z17+Z24+Z31+Z38+Z45+Z53+Z59+Z66)</f>
        <v>0</v>
      </c>
      <c r="AA2" s="216"/>
      <c r="AB2" s="216"/>
      <c r="AC2" s="11">
        <f>SUM(AC8+AC12+AC17+AC24+AC31+AC38+AC45+AC53+AC59+AC66)</f>
        <v>52</v>
      </c>
      <c r="AD2" s="11">
        <f>SUM(AD8+AD12+AD17+AD24+AD31+AD38+AD45+AD53+AD59+AD66)</f>
        <v>0</v>
      </c>
      <c r="AE2" s="217"/>
      <c r="AF2" s="217"/>
      <c r="AG2" s="217"/>
    </row>
    <row r="3" spans="1:33" ht="40.5" customHeight="1">
      <c r="A3" s="168" t="s">
        <v>1547</v>
      </c>
      <c r="B3" s="168" t="s">
        <v>1548</v>
      </c>
      <c r="C3" s="168" t="s">
        <v>1549</v>
      </c>
      <c r="D3" s="168"/>
      <c r="E3" s="213" t="s">
        <v>1550</v>
      </c>
      <c r="F3" s="168" t="s">
        <v>1551</v>
      </c>
      <c r="G3" s="213" t="s">
        <v>1552</v>
      </c>
      <c r="H3" s="207" t="s">
        <v>1553</v>
      </c>
      <c r="I3" s="205" t="s">
        <v>1554</v>
      </c>
      <c r="J3" s="202" t="s">
        <v>1555</v>
      </c>
      <c r="K3" s="212" t="s">
        <v>1545</v>
      </c>
      <c r="L3" s="205" t="s">
        <v>1554</v>
      </c>
      <c r="M3" s="202" t="s">
        <v>1556</v>
      </c>
      <c r="N3" s="212" t="s">
        <v>1545</v>
      </c>
      <c r="O3" s="205" t="s">
        <v>1557</v>
      </c>
      <c r="P3" s="212" t="s">
        <v>1545</v>
      </c>
      <c r="Q3" s="203" t="s">
        <v>1558</v>
      </c>
      <c r="R3" s="181" t="s">
        <v>1559</v>
      </c>
      <c r="S3" s="168" t="s">
        <v>1</v>
      </c>
      <c r="T3" s="168"/>
      <c r="U3" s="207" t="s">
        <v>2</v>
      </c>
      <c r="V3" s="207" t="s">
        <v>1560</v>
      </c>
      <c r="W3" s="168" t="s">
        <v>1561</v>
      </c>
      <c r="X3" s="168"/>
      <c r="Y3" s="208" t="s">
        <v>1562</v>
      </c>
      <c r="Z3" s="167"/>
      <c r="AA3" s="209" t="s">
        <v>1563</v>
      </c>
      <c r="AB3" s="210"/>
      <c r="AC3" s="208" t="s">
        <v>1564</v>
      </c>
      <c r="AD3" s="167"/>
      <c r="AE3" s="202" t="s">
        <v>1555</v>
      </c>
      <c r="AF3" s="203" t="s">
        <v>1558</v>
      </c>
      <c r="AG3" s="181" t="s">
        <v>1565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1566</v>
      </c>
      <c r="X4" s="88" t="s">
        <v>1567</v>
      </c>
      <c r="Y4" s="90" t="s">
        <v>1568</v>
      </c>
      <c r="Z4" s="90" t="s">
        <v>1569</v>
      </c>
      <c r="AA4" s="211"/>
      <c r="AB4" s="210"/>
      <c r="AC4" s="90" t="s">
        <v>1570</v>
      </c>
      <c r="AD4" s="90" t="s">
        <v>1571</v>
      </c>
      <c r="AE4" s="202"/>
      <c r="AF4" s="203"/>
      <c r="AG4" s="181"/>
    </row>
    <row r="5" spans="1:33">
      <c r="A5" s="204" t="s">
        <v>1572</v>
      </c>
      <c r="B5" s="28" t="s">
        <v>5</v>
      </c>
      <c r="C5" s="206" t="s">
        <v>6</v>
      </c>
      <c r="D5" s="206"/>
      <c r="E5" s="28">
        <v>50.67</v>
      </c>
      <c r="F5" s="88">
        <v>1161</v>
      </c>
      <c r="G5" s="88">
        <f t="shared" ref="G5:G7" si="0">E5*F5</f>
        <v>58827.87</v>
      </c>
      <c r="H5" s="30" t="s">
        <v>53</v>
      </c>
      <c r="I5" s="95">
        <v>17</v>
      </c>
      <c r="J5" s="13">
        <v>2000</v>
      </c>
      <c r="K5" s="12">
        <f t="shared" ref="K5:K66" si="1">J5/I5</f>
        <v>117.64705882352941</v>
      </c>
      <c r="L5" s="95">
        <v>17</v>
      </c>
      <c r="M5" s="13">
        <f t="shared" ref="M5:M7" si="2">F5/V5*60</f>
        <v>1934.9999999999982</v>
      </c>
      <c r="N5" s="12">
        <f t="shared" ref="N5:N66" si="3">M5/L5</f>
        <v>113.8235294117646</v>
      </c>
      <c r="O5" s="14">
        <f t="shared" ref="O5:O66" si="4">L5-I5</f>
        <v>0</v>
      </c>
      <c r="P5" s="15">
        <f t="shared" ref="P5:P66" si="5">N5-K5</f>
        <v>-3.8235294117648095</v>
      </c>
      <c r="Q5" s="91">
        <f t="shared" ref="Q5:Q66" si="6">N5/K5</f>
        <v>0.96749999999999914</v>
      </c>
      <c r="R5" s="177">
        <f>Q8</f>
        <v>0.9681287985039736</v>
      </c>
      <c r="S5" s="21">
        <v>0.70833333333333337</v>
      </c>
      <c r="T5" s="21">
        <v>0.73333333333333339</v>
      </c>
      <c r="U5" s="88"/>
      <c r="V5" s="30">
        <f t="shared" ref="V5:V7" si="7">(T5-S5)*24*60</f>
        <v>36.000000000000028</v>
      </c>
      <c r="W5" s="16"/>
      <c r="X5" s="17"/>
      <c r="Y5" s="17"/>
      <c r="Z5" s="17"/>
      <c r="AA5" s="168"/>
      <c r="AB5" s="168"/>
      <c r="AC5" s="18">
        <v>3</v>
      </c>
      <c r="AD5" s="18"/>
      <c r="AE5" s="14">
        <f t="shared" ref="AE5:AE52" si="8">M5-J5</f>
        <v>-65.000000000001819</v>
      </c>
      <c r="AF5" s="91">
        <f t="shared" ref="AF5:AF66" si="9">M5/J5</f>
        <v>0.96749999999999914</v>
      </c>
      <c r="AG5" s="177">
        <f>AF8</f>
        <v>0.96812879850397349</v>
      </c>
    </row>
    <row r="6" spans="1:33">
      <c r="A6" s="205" t="s">
        <v>1572</v>
      </c>
      <c r="B6" s="28" t="s">
        <v>5</v>
      </c>
      <c r="C6" s="206" t="s">
        <v>7</v>
      </c>
      <c r="D6" s="206"/>
      <c r="E6" s="28">
        <v>54.09</v>
      </c>
      <c r="F6" s="88">
        <v>1009</v>
      </c>
      <c r="G6" s="88">
        <f t="shared" si="0"/>
        <v>54576.810000000005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1952.9032258064485</v>
      </c>
      <c r="N6" s="12">
        <f t="shared" si="3"/>
        <v>102.78438030560255</v>
      </c>
      <c r="O6" s="14">
        <f t="shared" si="4"/>
        <v>0</v>
      </c>
      <c r="P6" s="15">
        <f t="shared" si="5"/>
        <v>-2.4787775891342818</v>
      </c>
      <c r="Q6" s="91">
        <f t="shared" si="6"/>
        <v>0.97645161290322435</v>
      </c>
      <c r="R6" s="177"/>
      <c r="S6" s="21">
        <v>0.73888888888888893</v>
      </c>
      <c r="T6" s="21">
        <v>0.76041666666666674</v>
      </c>
      <c r="U6" s="88">
        <f t="shared" ref="U6:U7" si="10">IF(S6=TIME(17,0,0),"",(S6-T5)*24*60)</f>
        <v>7.9999999999999716</v>
      </c>
      <c r="V6" s="30">
        <f t="shared" si="7"/>
        <v>31.00000000000005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-47.096774193551482</v>
      </c>
      <c r="AF6" s="91">
        <f t="shared" si="9"/>
        <v>0.97645161290322424</v>
      </c>
      <c r="AG6" s="177"/>
    </row>
    <row r="7" spans="1:33">
      <c r="A7" s="205" t="s">
        <v>1572</v>
      </c>
      <c r="B7" s="28" t="s">
        <v>5</v>
      </c>
      <c r="C7" s="200" t="s">
        <v>1270</v>
      </c>
      <c r="D7" s="201"/>
      <c r="E7" s="28">
        <v>52.86</v>
      </c>
      <c r="F7" s="88">
        <v>2209</v>
      </c>
      <c r="G7" s="88">
        <f t="shared" si="0"/>
        <v>116767.74</v>
      </c>
      <c r="H7" s="30" t="s">
        <v>53</v>
      </c>
      <c r="I7" s="95">
        <v>16</v>
      </c>
      <c r="J7" s="13">
        <v>2000</v>
      </c>
      <c r="K7" s="12">
        <f t="shared" si="1"/>
        <v>125</v>
      </c>
      <c r="L7" s="95">
        <v>16</v>
      </c>
      <c r="M7" s="13">
        <f t="shared" si="2"/>
        <v>1920.8695652173938</v>
      </c>
      <c r="N7" s="12">
        <f t="shared" si="3"/>
        <v>120.05434782608711</v>
      </c>
      <c r="O7" s="14">
        <f t="shared" si="4"/>
        <v>0</v>
      </c>
      <c r="P7" s="15">
        <f t="shared" si="5"/>
        <v>-4.9456521739128902</v>
      </c>
      <c r="Q7" s="91">
        <f t="shared" si="6"/>
        <v>0.96043478260869686</v>
      </c>
      <c r="R7" s="177"/>
      <c r="S7" s="21">
        <v>0.76458333333333339</v>
      </c>
      <c r="T7" s="21">
        <v>0.8125</v>
      </c>
      <c r="U7" s="88">
        <f t="shared" si="10"/>
        <v>5.9999999999999787</v>
      </c>
      <c r="V7" s="30">
        <f t="shared" si="7"/>
        <v>68.999999999999915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-79.130434782606244</v>
      </c>
      <c r="AF7" s="91">
        <f t="shared" si="9"/>
        <v>0.96043478260869686</v>
      </c>
      <c r="AG7" s="177"/>
    </row>
    <row r="8" spans="1:33">
      <c r="A8" s="205" t="s">
        <v>1572</v>
      </c>
      <c r="B8" s="28" t="s">
        <v>1573</v>
      </c>
      <c r="C8" s="178"/>
      <c r="D8" s="178"/>
      <c r="E8" s="92"/>
      <c r="F8" s="12"/>
      <c r="G8" s="12"/>
      <c r="H8" s="88"/>
      <c r="I8" s="23">
        <v>17.333333333333332</v>
      </c>
      <c r="J8" s="13">
        <v>2000</v>
      </c>
      <c r="K8" s="12">
        <f t="shared" si="1"/>
        <v>115.38461538461539</v>
      </c>
      <c r="L8" s="23">
        <v>17.333333333333332</v>
      </c>
      <c r="M8" s="13">
        <f>AVERAGE(M5:M7)</f>
        <v>1936.257597007947</v>
      </c>
      <c r="N8" s="12">
        <f t="shared" si="3"/>
        <v>111.7071690581508</v>
      </c>
      <c r="O8" s="14">
        <f t="shared" si="4"/>
        <v>0</v>
      </c>
      <c r="P8" s="15">
        <f t="shared" si="5"/>
        <v>-3.6774463264645902</v>
      </c>
      <c r="Q8" s="91">
        <f t="shared" si="6"/>
        <v>0.9681287985039736</v>
      </c>
      <c r="R8" s="177"/>
      <c r="S8" s="21"/>
      <c r="T8" s="21"/>
      <c r="U8" s="88"/>
      <c r="V8" s="30"/>
      <c r="W8" s="12"/>
      <c r="X8" s="12"/>
      <c r="Y8" s="24">
        <f>SUM(Y5:Y7)</f>
        <v>0</v>
      </c>
      <c r="Z8" s="24">
        <f>SUM(Z5:Z7)</f>
        <v>0</v>
      </c>
      <c r="AA8" s="167"/>
      <c r="AB8" s="167"/>
      <c r="AC8" s="24">
        <f>SUM(AC5:AC7)</f>
        <v>3</v>
      </c>
      <c r="AD8" s="24">
        <f>SUM(AD5:AD7)</f>
        <v>0</v>
      </c>
      <c r="AE8" s="14">
        <f t="shared" si="8"/>
        <v>-63.74240299205303</v>
      </c>
      <c r="AF8" s="91">
        <f t="shared" si="9"/>
        <v>0.96812879850397349</v>
      </c>
      <c r="AG8" s="177"/>
    </row>
    <row r="9" spans="1:33" ht="15.75" customHeight="1">
      <c r="A9" s="199" t="s">
        <v>1574</v>
      </c>
      <c r="B9" s="28" t="s">
        <v>9</v>
      </c>
      <c r="C9" s="200" t="s">
        <v>10</v>
      </c>
      <c r="D9" s="201"/>
      <c r="E9" s="28">
        <v>39.619999999999997</v>
      </c>
      <c r="F9" s="88">
        <v>4560</v>
      </c>
      <c r="G9" s="88">
        <f t="shared" ref="G9:G11" si="11">E9*F9</f>
        <v>180667.19999999998</v>
      </c>
      <c r="H9" s="30" t="s">
        <v>53</v>
      </c>
      <c r="I9" s="95">
        <v>19</v>
      </c>
      <c r="J9" s="13">
        <v>1500</v>
      </c>
      <c r="K9" s="12">
        <f t="shared" si="1"/>
        <v>78.94736842105263</v>
      </c>
      <c r="L9" s="95">
        <v>19</v>
      </c>
      <c r="M9" s="13">
        <f t="shared" ref="M9:M11" si="12">F9/V9*60</f>
        <v>1432.4607329842931</v>
      </c>
      <c r="N9" s="12">
        <f t="shared" si="3"/>
        <v>75.392670157068054</v>
      </c>
      <c r="O9" s="14">
        <f t="shared" si="4"/>
        <v>0</v>
      </c>
      <c r="P9" s="15">
        <f t="shared" si="5"/>
        <v>-3.5546982639845766</v>
      </c>
      <c r="Q9" s="91">
        <f t="shared" si="6"/>
        <v>0.95497382198952874</v>
      </c>
      <c r="R9" s="177">
        <f>Q12</f>
        <v>0.95524970168153522</v>
      </c>
      <c r="S9" s="21">
        <v>0.20833333333333334</v>
      </c>
      <c r="T9" s="21">
        <v>0.34097222222222223</v>
      </c>
      <c r="U9" s="88"/>
      <c r="V9" s="30">
        <f t="shared" ref="V9:V11" si="13">(T9-S9)*24*60</f>
        <v>191</v>
      </c>
      <c r="W9" s="16"/>
      <c r="X9" s="16"/>
      <c r="Y9" s="16"/>
      <c r="Z9" s="16"/>
      <c r="AA9" s="168"/>
      <c r="AB9" s="168"/>
      <c r="AC9" s="18">
        <v>3</v>
      </c>
      <c r="AD9" s="18"/>
      <c r="AE9" s="14">
        <f t="shared" si="8"/>
        <v>-67.539267015706855</v>
      </c>
      <c r="AF9" s="91">
        <f t="shared" si="9"/>
        <v>0.95497382198952874</v>
      </c>
      <c r="AG9" s="177">
        <f>AF12</f>
        <v>0.95524970168153522</v>
      </c>
    </row>
    <row r="10" spans="1:33" ht="15.75" customHeight="1">
      <c r="A10" s="199" t="s">
        <v>1575</v>
      </c>
      <c r="B10" s="28" t="s">
        <v>9</v>
      </c>
      <c r="C10" s="200" t="s">
        <v>11</v>
      </c>
      <c r="D10" s="201"/>
      <c r="E10" s="28">
        <v>39.799999999999997</v>
      </c>
      <c r="F10" s="88">
        <v>4600</v>
      </c>
      <c r="G10" s="88">
        <f t="shared" si="11"/>
        <v>183080</v>
      </c>
      <c r="H10" s="30">
        <v>2</v>
      </c>
      <c r="I10" s="95">
        <v>17</v>
      </c>
      <c r="J10" s="13">
        <v>1500</v>
      </c>
      <c r="K10" s="12">
        <f t="shared" si="1"/>
        <v>88.235294117647058</v>
      </c>
      <c r="L10" s="95">
        <v>17</v>
      </c>
      <c r="M10" s="13">
        <f t="shared" si="12"/>
        <v>1430.051813471503</v>
      </c>
      <c r="N10" s="12">
        <f t="shared" si="3"/>
        <v>84.120694910088417</v>
      </c>
      <c r="O10" s="14">
        <f t="shared" si="4"/>
        <v>0</v>
      </c>
      <c r="P10" s="15">
        <f t="shared" si="5"/>
        <v>-4.1145992075586406</v>
      </c>
      <c r="Q10" s="91">
        <f t="shared" si="6"/>
        <v>0.95336787564766878</v>
      </c>
      <c r="R10" s="177"/>
      <c r="S10" s="21">
        <v>0.34583333333333333</v>
      </c>
      <c r="T10" s="21">
        <v>0.47986111111111107</v>
      </c>
      <c r="U10" s="88">
        <f t="shared" ref="U10:U11" si="14">IF(S10=TIME(17,0,0),"",(S10-T9)*24*60)</f>
        <v>6.9999999999999751</v>
      </c>
      <c r="V10" s="30">
        <f t="shared" si="13"/>
        <v>192.99999999999994</v>
      </c>
      <c r="W10" s="16">
        <f>T10</f>
        <v>0.47986111111111107</v>
      </c>
      <c r="X10" s="16">
        <f>S11</f>
        <v>0.51805555555555549</v>
      </c>
      <c r="Y10" s="16"/>
      <c r="Z10" s="16"/>
      <c r="AA10" s="168"/>
      <c r="AB10" s="168"/>
      <c r="AC10" s="18"/>
      <c r="AD10" s="18"/>
      <c r="AE10" s="14">
        <f t="shared" si="8"/>
        <v>-69.94818652849699</v>
      </c>
      <c r="AF10" s="91">
        <f t="shared" si="9"/>
        <v>0.95336787564766867</v>
      </c>
      <c r="AG10" s="177"/>
    </row>
    <row r="11" spans="1:33" ht="15.75" customHeight="1">
      <c r="A11" s="199" t="s">
        <v>1574</v>
      </c>
      <c r="B11" s="28" t="s">
        <v>9</v>
      </c>
      <c r="C11" s="200" t="s">
        <v>11</v>
      </c>
      <c r="D11" s="201"/>
      <c r="E11" s="28">
        <v>39.799999999999997</v>
      </c>
      <c r="F11" s="88">
        <v>2585</v>
      </c>
      <c r="G11" s="88">
        <f t="shared" si="11"/>
        <v>102882.99999999999</v>
      </c>
      <c r="H11" s="30" t="s">
        <v>53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1436.1111111111118</v>
      </c>
      <c r="N11" s="12">
        <f t="shared" si="3"/>
        <v>84.47712418300658</v>
      </c>
      <c r="O11" s="14">
        <f t="shared" si="4"/>
        <v>0</v>
      </c>
      <c r="P11" s="15">
        <f t="shared" si="5"/>
        <v>-3.7581699346404775</v>
      </c>
      <c r="Q11" s="91">
        <f t="shared" si="6"/>
        <v>0.95740740740740793</v>
      </c>
      <c r="R11" s="177"/>
      <c r="S11" s="21">
        <v>0.51805555555555549</v>
      </c>
      <c r="T11" s="21">
        <v>0.59305555555555545</v>
      </c>
      <c r="U11" s="88">
        <f t="shared" si="14"/>
        <v>54.999999999999964</v>
      </c>
      <c r="V11" s="30">
        <f t="shared" si="13"/>
        <v>107.99999999999994</v>
      </c>
      <c r="W11" s="16"/>
      <c r="X11" s="16"/>
      <c r="Y11" s="16"/>
      <c r="Z11" s="16"/>
      <c r="AA11" s="168"/>
      <c r="AB11" s="168"/>
      <c r="AC11" s="18"/>
      <c r="AD11" s="18"/>
      <c r="AE11" s="14">
        <f t="shared" si="8"/>
        <v>-63.888888888888232</v>
      </c>
      <c r="AF11" s="91">
        <f t="shared" si="9"/>
        <v>0.95740740740740782</v>
      </c>
      <c r="AG11" s="177"/>
    </row>
    <row r="12" spans="1:33" ht="16.5" customHeight="1">
      <c r="A12" s="199" t="s">
        <v>1574</v>
      </c>
      <c r="B12" s="28" t="s">
        <v>1573</v>
      </c>
      <c r="C12" s="178"/>
      <c r="D12" s="178"/>
      <c r="E12" s="92"/>
      <c r="F12" s="13"/>
      <c r="G12" s="13"/>
      <c r="H12" s="88"/>
      <c r="I12" s="23">
        <v>17.666666666666668</v>
      </c>
      <c r="J12" s="13">
        <v>1500</v>
      </c>
      <c r="K12" s="12">
        <f t="shared" si="1"/>
        <v>84.905660377358487</v>
      </c>
      <c r="L12" s="23">
        <v>17.666666666666668</v>
      </c>
      <c r="M12" s="13">
        <f>AVERAGE(M9:M11)</f>
        <v>1432.8745525223028</v>
      </c>
      <c r="N12" s="12">
        <f t="shared" si="3"/>
        <v>81.106106746545436</v>
      </c>
      <c r="O12" s="14">
        <f t="shared" si="4"/>
        <v>0</v>
      </c>
      <c r="P12" s="15">
        <f t="shared" si="5"/>
        <v>-3.7995536308130511</v>
      </c>
      <c r="Q12" s="91">
        <f t="shared" si="6"/>
        <v>0.95524970168153522</v>
      </c>
      <c r="R12" s="177"/>
      <c r="S12" s="21"/>
      <c r="T12" s="21"/>
      <c r="U12" s="12"/>
      <c r="V12" s="30"/>
      <c r="W12" s="12"/>
      <c r="X12" s="12"/>
      <c r="Y12" s="24">
        <f>SUM(Y9:Y11)</f>
        <v>0</v>
      </c>
      <c r="Z12" s="24">
        <f>SUM(Z9:Z11)</f>
        <v>0</v>
      </c>
      <c r="AA12" s="167"/>
      <c r="AB12" s="167"/>
      <c r="AC12" s="24">
        <f>SUM(AC9:AC11)</f>
        <v>3</v>
      </c>
      <c r="AD12" s="24">
        <f>SUM(AD9:AD11)</f>
        <v>0</v>
      </c>
      <c r="AE12" s="14">
        <f t="shared" si="8"/>
        <v>-67.125447477697207</v>
      </c>
      <c r="AF12" s="91">
        <f t="shared" si="9"/>
        <v>0.95524970168153522</v>
      </c>
      <c r="AG12" s="177"/>
    </row>
    <row r="13" spans="1:33" ht="16.5" customHeight="1">
      <c r="A13" s="197" t="s">
        <v>1576</v>
      </c>
      <c r="B13" s="88" t="s">
        <v>12</v>
      </c>
      <c r="C13" s="193" t="s">
        <v>13</v>
      </c>
      <c r="D13" s="193"/>
      <c r="E13" s="28">
        <v>41</v>
      </c>
      <c r="F13" s="88">
        <v>1845</v>
      </c>
      <c r="G13" s="88">
        <f t="shared" ref="G13:G16" si="15">E13*F13</f>
        <v>75645</v>
      </c>
      <c r="H13" s="30" t="s">
        <v>53</v>
      </c>
      <c r="I13" s="95">
        <v>26</v>
      </c>
      <c r="J13" s="13">
        <v>1500</v>
      </c>
      <c r="K13" s="12">
        <f t="shared" si="1"/>
        <v>57.692307692307693</v>
      </c>
      <c r="L13" s="95">
        <v>26</v>
      </c>
      <c r="M13" s="13">
        <f t="shared" ref="M13:M16" si="16">F13/V13*60</f>
        <v>1437.6623376623377</v>
      </c>
      <c r="N13" s="12">
        <f t="shared" si="3"/>
        <v>55.294705294705295</v>
      </c>
      <c r="O13" s="14">
        <f t="shared" si="4"/>
        <v>0</v>
      </c>
      <c r="P13" s="15">
        <f t="shared" si="5"/>
        <v>-2.3976023976023981</v>
      </c>
      <c r="Q13" s="91">
        <f t="shared" si="6"/>
        <v>0.95844155844155843</v>
      </c>
      <c r="R13" s="177">
        <f>Q17</f>
        <v>0.95707458133264611</v>
      </c>
      <c r="S13" s="21">
        <v>0.20833333333333334</v>
      </c>
      <c r="T13" s="21">
        <v>0.26180555555555557</v>
      </c>
      <c r="U13" s="88"/>
      <c r="V13" s="30">
        <f t="shared" ref="V13:V16" si="17">(T13-S13)*24*60</f>
        <v>77</v>
      </c>
      <c r="W13" s="21"/>
      <c r="X13" s="21"/>
      <c r="Y13" s="21"/>
      <c r="Z13" s="21"/>
      <c r="AA13" s="168"/>
      <c r="AB13" s="168"/>
      <c r="AC13" s="18">
        <v>4</v>
      </c>
      <c r="AD13" s="18"/>
      <c r="AE13" s="14">
        <f t="shared" si="8"/>
        <v>-62.337662337662323</v>
      </c>
      <c r="AF13" s="91">
        <f t="shared" si="9"/>
        <v>0.95844155844155843</v>
      </c>
      <c r="AG13" s="177">
        <f>AF17</f>
        <v>0.95707458133264611</v>
      </c>
    </row>
    <row r="14" spans="1:33" ht="16.5" customHeight="1">
      <c r="A14" s="198" t="s">
        <v>1577</v>
      </c>
      <c r="B14" s="88" t="s">
        <v>5</v>
      </c>
      <c r="C14" s="193" t="s">
        <v>14</v>
      </c>
      <c r="D14" s="193"/>
      <c r="E14" s="28">
        <v>50.98</v>
      </c>
      <c r="F14" s="88">
        <v>1986</v>
      </c>
      <c r="G14" s="88">
        <f t="shared" si="15"/>
        <v>101246.28</v>
      </c>
      <c r="H14" s="30" t="s">
        <v>53</v>
      </c>
      <c r="I14" s="95">
        <v>16</v>
      </c>
      <c r="J14" s="13">
        <v>2000</v>
      </c>
      <c r="K14" s="12">
        <f t="shared" si="1"/>
        <v>125</v>
      </c>
      <c r="L14" s="95">
        <v>16</v>
      </c>
      <c r="M14" s="13">
        <f t="shared" si="16"/>
        <v>1921.9354838709694</v>
      </c>
      <c r="N14" s="12">
        <f t="shared" si="3"/>
        <v>120.12096774193559</v>
      </c>
      <c r="O14" s="14">
        <f t="shared" si="4"/>
        <v>0</v>
      </c>
      <c r="P14" s="15">
        <f t="shared" si="5"/>
        <v>-4.879032258064413</v>
      </c>
      <c r="Q14" s="91">
        <f t="shared" si="6"/>
        <v>0.96096774193548473</v>
      </c>
      <c r="R14" s="177"/>
      <c r="S14" s="21">
        <v>0.70833333333333337</v>
      </c>
      <c r="T14" s="21">
        <v>0.75138888888888888</v>
      </c>
      <c r="U14" s="88" t="str">
        <f t="shared" ref="U14:U16" si="18">IF(S14=TIME(17,0,0),"",(S14-T13)*24*60)</f>
        <v/>
      </c>
      <c r="V14" s="30">
        <f t="shared" si="17"/>
        <v>61.999999999999943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8"/>
        <v>-78.064516129030608</v>
      </c>
      <c r="AF14" s="91">
        <f t="shared" si="9"/>
        <v>0.96096774193548473</v>
      </c>
      <c r="AG14" s="177"/>
    </row>
    <row r="15" spans="1:33" ht="16.5" customHeight="1">
      <c r="A15" s="198" t="s">
        <v>1577</v>
      </c>
      <c r="B15" s="88" t="s">
        <v>5</v>
      </c>
      <c r="C15" s="193" t="s">
        <v>15</v>
      </c>
      <c r="D15" s="193"/>
      <c r="E15" s="28">
        <v>50.92</v>
      </c>
      <c r="F15" s="88">
        <v>1995</v>
      </c>
      <c r="G15" s="88">
        <f t="shared" si="15"/>
        <v>101585.40000000001</v>
      </c>
      <c r="H15" s="30" t="s">
        <v>53</v>
      </c>
      <c r="I15" s="95">
        <v>15</v>
      </c>
      <c r="J15" s="13">
        <v>2000</v>
      </c>
      <c r="K15" s="12">
        <f t="shared" si="1"/>
        <v>133.33333333333334</v>
      </c>
      <c r="L15" s="95">
        <v>15</v>
      </c>
      <c r="M15" s="13">
        <f t="shared" si="16"/>
        <v>1900.000000000002</v>
      </c>
      <c r="N15" s="12">
        <f t="shared" si="3"/>
        <v>126.6666666666668</v>
      </c>
      <c r="O15" s="14">
        <f t="shared" si="4"/>
        <v>0</v>
      </c>
      <c r="P15" s="15">
        <f t="shared" si="5"/>
        <v>-6.6666666666665435</v>
      </c>
      <c r="Q15" s="91">
        <f t="shared" si="6"/>
        <v>0.95000000000000095</v>
      </c>
      <c r="R15" s="177"/>
      <c r="S15" s="21">
        <v>0.75624999999999998</v>
      </c>
      <c r="T15" s="21">
        <v>0.79999999999999993</v>
      </c>
      <c r="U15" s="88">
        <f t="shared" si="18"/>
        <v>6.9999999999999751</v>
      </c>
      <c r="V15" s="30">
        <f t="shared" si="17"/>
        <v>62.999999999999936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-99.999999999997954</v>
      </c>
      <c r="AF15" s="91">
        <f t="shared" si="9"/>
        <v>0.95000000000000107</v>
      </c>
      <c r="AG15" s="177"/>
    </row>
    <row r="16" spans="1:33" ht="16.5" customHeight="1">
      <c r="A16" s="198" t="s">
        <v>1577</v>
      </c>
      <c r="B16" s="88" t="s">
        <v>5</v>
      </c>
      <c r="C16" s="193" t="s">
        <v>16</v>
      </c>
      <c r="D16" s="193"/>
      <c r="E16" s="28">
        <v>50.67</v>
      </c>
      <c r="F16" s="88">
        <v>1247</v>
      </c>
      <c r="G16" s="88">
        <f t="shared" si="15"/>
        <v>63185.490000000005</v>
      </c>
      <c r="H16" s="30" t="s">
        <v>53</v>
      </c>
      <c r="I16" s="95">
        <v>15</v>
      </c>
      <c r="J16" s="13">
        <v>2000</v>
      </c>
      <c r="K16" s="12">
        <f t="shared" si="1"/>
        <v>133.33333333333334</v>
      </c>
      <c r="L16" s="95">
        <v>15</v>
      </c>
      <c r="M16" s="13">
        <f t="shared" si="16"/>
        <v>1918.4615384615374</v>
      </c>
      <c r="N16" s="12">
        <f t="shared" si="3"/>
        <v>127.89743589743583</v>
      </c>
      <c r="O16" s="14">
        <f t="shared" si="4"/>
        <v>0</v>
      </c>
      <c r="P16" s="15">
        <f t="shared" si="5"/>
        <v>-5.4358974358975161</v>
      </c>
      <c r="Q16" s="91">
        <f t="shared" si="6"/>
        <v>0.95923076923076867</v>
      </c>
      <c r="R16" s="177"/>
      <c r="S16" s="21">
        <v>0.80486111111111103</v>
      </c>
      <c r="T16" s="21">
        <v>0.83194444444444438</v>
      </c>
      <c r="U16" s="88">
        <f t="shared" si="18"/>
        <v>6.9999999999999751</v>
      </c>
      <c r="V16" s="30">
        <f t="shared" si="17"/>
        <v>39.000000000000021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-81.53846153846257</v>
      </c>
      <c r="AF16" s="91">
        <f t="shared" si="9"/>
        <v>0.95923076923076867</v>
      </c>
      <c r="AG16" s="177"/>
    </row>
    <row r="17" spans="1:33" ht="16.5" customHeight="1">
      <c r="A17" s="198" t="s">
        <v>1577</v>
      </c>
      <c r="B17" s="28" t="s">
        <v>1573</v>
      </c>
      <c r="C17" s="178"/>
      <c r="D17" s="178"/>
      <c r="E17" s="92"/>
      <c r="F17" s="12"/>
      <c r="G17" s="12"/>
      <c r="H17" s="88"/>
      <c r="I17" s="23">
        <v>18</v>
      </c>
      <c r="J17" s="13">
        <v>1875</v>
      </c>
      <c r="K17" s="12">
        <f t="shared" si="1"/>
        <v>104.16666666666667</v>
      </c>
      <c r="L17" s="23">
        <v>18</v>
      </c>
      <c r="M17" s="13">
        <f>AVERAGE(M13:M16)</f>
        <v>1794.5148399987115</v>
      </c>
      <c r="N17" s="12">
        <f t="shared" si="3"/>
        <v>99.69526888881731</v>
      </c>
      <c r="O17" s="14">
        <f t="shared" si="4"/>
        <v>0</v>
      </c>
      <c r="P17" s="15">
        <f t="shared" si="5"/>
        <v>-4.4713977778493614</v>
      </c>
      <c r="Q17" s="91">
        <f t="shared" si="6"/>
        <v>0.95707458133264611</v>
      </c>
      <c r="R17" s="177"/>
      <c r="S17" s="21"/>
      <c r="T17" s="21"/>
      <c r="U17" s="88"/>
      <c r="V17" s="30"/>
      <c r="W17" s="12"/>
      <c r="X17" s="12"/>
      <c r="Y17" s="24">
        <f>SUM(Y13:Y16)</f>
        <v>0</v>
      </c>
      <c r="Z17" s="24">
        <f>SUM(Z13:Z16)</f>
        <v>0</v>
      </c>
      <c r="AA17" s="167"/>
      <c r="AB17" s="167"/>
      <c r="AC17" s="24">
        <f>SUM(AC13:AC16)</f>
        <v>4</v>
      </c>
      <c r="AD17" s="24">
        <f>SUM(AD13:AD16)</f>
        <v>0</v>
      </c>
      <c r="AE17" s="14">
        <f t="shared" si="8"/>
        <v>-80.485160001288477</v>
      </c>
      <c r="AF17" s="91">
        <f t="shared" si="9"/>
        <v>0.95707458133264611</v>
      </c>
      <c r="AG17" s="177"/>
    </row>
    <row r="18" spans="1:33" ht="15.75" customHeight="1">
      <c r="A18" s="195" t="s">
        <v>1578</v>
      </c>
      <c r="B18" s="28" t="s">
        <v>5</v>
      </c>
      <c r="C18" s="193" t="s">
        <v>17</v>
      </c>
      <c r="D18" s="193"/>
      <c r="E18" s="28">
        <v>57.73</v>
      </c>
      <c r="F18" s="88">
        <v>2091</v>
      </c>
      <c r="G18" s="88">
        <f t="shared" ref="G18:G23" si="19">E18*F18</f>
        <v>120713.43</v>
      </c>
      <c r="H18" s="30" t="s">
        <v>53</v>
      </c>
      <c r="I18" s="95">
        <v>14</v>
      </c>
      <c r="J18" s="13">
        <v>2000</v>
      </c>
      <c r="K18" s="12">
        <f t="shared" si="1"/>
        <v>142.85714285714286</v>
      </c>
      <c r="L18" s="95">
        <v>14</v>
      </c>
      <c r="M18" s="13">
        <f t="shared" ref="M18:M23" si="20">F18/V18*60</f>
        <v>1930.153846153846</v>
      </c>
      <c r="N18" s="12">
        <f t="shared" si="3"/>
        <v>137.86813186813185</v>
      </c>
      <c r="O18" s="14">
        <f t="shared" si="4"/>
        <v>0</v>
      </c>
      <c r="P18" s="15">
        <f t="shared" si="5"/>
        <v>-4.9890109890110068</v>
      </c>
      <c r="Q18" s="91">
        <f t="shared" si="6"/>
        <v>0.96507692307692294</v>
      </c>
      <c r="R18" s="177">
        <f>Q24</f>
        <v>0.96093049939241015</v>
      </c>
      <c r="S18" s="21">
        <v>0.29166666666666669</v>
      </c>
      <c r="T18" s="21">
        <v>0.33680555555555558</v>
      </c>
      <c r="U18" s="88"/>
      <c r="V18" s="30">
        <f t="shared" ref="V18:V23" si="21">(T18-S18)*24*60</f>
        <v>65.000000000000014</v>
      </c>
      <c r="W18" s="21"/>
      <c r="X18" s="21"/>
      <c r="Y18" s="21"/>
      <c r="Z18" s="21"/>
      <c r="AA18" s="168"/>
      <c r="AB18" s="168"/>
      <c r="AC18" s="18">
        <v>6</v>
      </c>
      <c r="AD18" s="18"/>
      <c r="AE18" s="14">
        <f t="shared" si="8"/>
        <v>-69.846153846154039</v>
      </c>
      <c r="AF18" s="91">
        <f t="shared" si="9"/>
        <v>0.96507692307692294</v>
      </c>
      <c r="AG18" s="177">
        <f>AF24</f>
        <v>0.96093049939241015</v>
      </c>
    </row>
    <row r="19" spans="1:33" ht="15.75" customHeight="1">
      <c r="A19" s="196" t="s">
        <v>1578</v>
      </c>
      <c r="B19" s="28" t="s">
        <v>5</v>
      </c>
      <c r="C19" s="193" t="s">
        <v>18</v>
      </c>
      <c r="D19" s="193"/>
      <c r="E19" s="28">
        <v>53.68</v>
      </c>
      <c r="F19" s="88">
        <v>1219</v>
      </c>
      <c r="G19" s="88">
        <f t="shared" si="19"/>
        <v>65435.92</v>
      </c>
      <c r="H19" s="30" t="s">
        <v>53</v>
      </c>
      <c r="I19" s="95">
        <v>16</v>
      </c>
      <c r="J19" s="13">
        <v>2000</v>
      </c>
      <c r="K19" s="12">
        <f t="shared" si="1"/>
        <v>125</v>
      </c>
      <c r="L19" s="95">
        <v>16</v>
      </c>
      <c r="M19" s="13">
        <f t="shared" si="20"/>
        <v>1924.7368421052615</v>
      </c>
      <c r="N19" s="12">
        <f t="shared" si="3"/>
        <v>120.29605263157885</v>
      </c>
      <c r="O19" s="14">
        <f t="shared" si="4"/>
        <v>0</v>
      </c>
      <c r="P19" s="15">
        <f t="shared" si="5"/>
        <v>-4.7039473684211544</v>
      </c>
      <c r="Q19" s="91">
        <f t="shared" si="6"/>
        <v>0.96236842105263076</v>
      </c>
      <c r="R19" s="177"/>
      <c r="S19" s="21">
        <v>0.34097222222222223</v>
      </c>
      <c r="T19" s="21">
        <v>0.36736111111111114</v>
      </c>
      <c r="U19" s="88">
        <f t="shared" ref="U19:U23" si="22">IF(S19=TIME(17,0,0),"",(S19-T18)*24*60)</f>
        <v>5.9999999999999787</v>
      </c>
      <c r="V19" s="30">
        <f t="shared" si="21"/>
        <v>38.000000000000028</v>
      </c>
      <c r="W19" s="16"/>
      <c r="X19" s="88"/>
      <c r="Y19" s="88"/>
      <c r="Z19" s="88"/>
      <c r="AA19" s="168"/>
      <c r="AB19" s="168"/>
      <c r="AC19" s="18"/>
      <c r="AD19" s="18"/>
      <c r="AE19" s="14">
        <f t="shared" si="8"/>
        <v>-75.26315789473847</v>
      </c>
      <c r="AF19" s="91">
        <f t="shared" si="9"/>
        <v>0.96236842105263076</v>
      </c>
      <c r="AG19" s="177"/>
    </row>
    <row r="20" spans="1:33" ht="15.75" customHeight="1">
      <c r="A20" s="196" t="s">
        <v>1578</v>
      </c>
      <c r="B20" s="28" t="s">
        <v>5</v>
      </c>
      <c r="C20" s="193" t="s">
        <v>73</v>
      </c>
      <c r="D20" s="193"/>
      <c r="E20" s="28">
        <v>50.67</v>
      </c>
      <c r="F20" s="88">
        <v>2392</v>
      </c>
      <c r="G20" s="88">
        <f t="shared" si="19"/>
        <v>121202.64</v>
      </c>
      <c r="H20" s="30" t="s">
        <v>53</v>
      </c>
      <c r="I20" s="95">
        <v>17</v>
      </c>
      <c r="J20" s="13">
        <v>2000</v>
      </c>
      <c r="K20" s="12">
        <f t="shared" si="1"/>
        <v>117.64705882352941</v>
      </c>
      <c r="L20" s="95">
        <v>17</v>
      </c>
      <c r="M20" s="13">
        <f t="shared" si="20"/>
        <v>1913.6000000000008</v>
      </c>
      <c r="N20" s="12">
        <f t="shared" si="3"/>
        <v>112.564705882353</v>
      </c>
      <c r="O20" s="14">
        <f t="shared" si="4"/>
        <v>0</v>
      </c>
      <c r="P20" s="15">
        <f t="shared" si="5"/>
        <v>-5.0823529411764099</v>
      </c>
      <c r="Q20" s="91">
        <f t="shared" si="6"/>
        <v>0.95680000000000054</v>
      </c>
      <c r="R20" s="177"/>
      <c r="S20" s="21">
        <v>0.37222222222222223</v>
      </c>
      <c r="T20" s="21">
        <v>0.42430555555555555</v>
      </c>
      <c r="U20" s="88">
        <f t="shared" si="22"/>
        <v>6.9999999999999751</v>
      </c>
      <c r="V20" s="30">
        <f t="shared" si="21"/>
        <v>74.999999999999972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-86.399999999999181</v>
      </c>
      <c r="AF20" s="91">
        <f t="shared" si="9"/>
        <v>0.95680000000000043</v>
      </c>
      <c r="AG20" s="177"/>
    </row>
    <row r="21" spans="1:33" ht="15.75" customHeight="1">
      <c r="A21" s="196" t="s">
        <v>1578</v>
      </c>
      <c r="B21" s="28" t="s">
        <v>5</v>
      </c>
      <c r="C21" s="193" t="s">
        <v>21</v>
      </c>
      <c r="D21" s="193"/>
      <c r="E21" s="28">
        <v>57.3</v>
      </c>
      <c r="F21" s="88">
        <v>1311</v>
      </c>
      <c r="G21" s="88">
        <f t="shared" si="19"/>
        <v>75120.3</v>
      </c>
      <c r="H21" s="30" t="s">
        <v>53</v>
      </c>
      <c r="I21" s="95">
        <v>13</v>
      </c>
      <c r="J21" s="13">
        <v>2000</v>
      </c>
      <c r="K21" s="12">
        <f t="shared" si="1"/>
        <v>153.84615384615384</v>
      </c>
      <c r="L21" s="95">
        <v>13</v>
      </c>
      <c r="M21" s="13">
        <f t="shared" si="20"/>
        <v>1918.5365853658532</v>
      </c>
      <c r="N21" s="12">
        <f t="shared" si="3"/>
        <v>147.57973733583486</v>
      </c>
      <c r="O21" s="14">
        <f t="shared" si="4"/>
        <v>0</v>
      </c>
      <c r="P21" s="15">
        <f t="shared" si="5"/>
        <v>-6.266416510318976</v>
      </c>
      <c r="Q21" s="91">
        <f t="shared" si="6"/>
        <v>0.95926829268292668</v>
      </c>
      <c r="R21" s="177"/>
      <c r="S21" s="21">
        <v>0.70833333333333337</v>
      </c>
      <c r="T21" s="21">
        <v>0.7368055555555556</v>
      </c>
      <c r="U21" s="88" t="str">
        <f t="shared" si="22"/>
        <v/>
      </c>
      <c r="V21" s="30">
        <f t="shared" si="21"/>
        <v>41.000000000000014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8"/>
        <v>-81.463414634146829</v>
      </c>
      <c r="AF21" s="91">
        <f t="shared" si="9"/>
        <v>0.95926829268292657</v>
      </c>
      <c r="AG21" s="177"/>
    </row>
    <row r="22" spans="1:33" ht="15.75" customHeight="1">
      <c r="A22" s="196" t="s">
        <v>1579</v>
      </c>
      <c r="B22" s="28" t="s">
        <v>5</v>
      </c>
      <c r="C22" s="193" t="s">
        <v>20</v>
      </c>
      <c r="D22" s="193"/>
      <c r="E22" s="28">
        <v>53.68</v>
      </c>
      <c r="F22" s="88">
        <v>1174</v>
      </c>
      <c r="G22" s="88">
        <f t="shared" si="19"/>
        <v>63020.32</v>
      </c>
      <c r="H22" s="30" t="s">
        <v>53</v>
      </c>
      <c r="I22" s="95">
        <v>16</v>
      </c>
      <c r="J22" s="13">
        <v>1500</v>
      </c>
      <c r="K22" s="12">
        <f t="shared" si="1"/>
        <v>93.75</v>
      </c>
      <c r="L22" s="95">
        <v>16</v>
      </c>
      <c r="M22" s="13">
        <f t="shared" si="20"/>
        <v>1437.5510204081636</v>
      </c>
      <c r="N22" s="12">
        <f t="shared" si="3"/>
        <v>89.846938775510225</v>
      </c>
      <c r="O22" s="14">
        <f t="shared" si="4"/>
        <v>0</v>
      </c>
      <c r="P22" s="15">
        <f t="shared" si="5"/>
        <v>-3.9030612244897753</v>
      </c>
      <c r="Q22" s="91">
        <f t="shared" si="6"/>
        <v>0.95836734693877568</v>
      </c>
      <c r="R22" s="177"/>
      <c r="S22" s="21">
        <v>0.7416666666666667</v>
      </c>
      <c r="T22" s="21">
        <v>0.77569444444444446</v>
      </c>
      <c r="U22" s="88">
        <f t="shared" si="22"/>
        <v>6.9999999999999751</v>
      </c>
      <c r="V22" s="30">
        <f t="shared" si="21"/>
        <v>48.999999999999986</v>
      </c>
      <c r="W22" s="16"/>
      <c r="X22" s="16"/>
      <c r="Y22" s="88"/>
      <c r="Z22" s="88"/>
      <c r="AA22" s="168"/>
      <c r="AB22" s="168"/>
      <c r="AC22" s="18"/>
      <c r="AD22" s="18"/>
      <c r="AE22" s="14">
        <f t="shared" si="8"/>
        <v>-62.448979591836405</v>
      </c>
      <c r="AF22" s="91">
        <f t="shared" si="9"/>
        <v>0.95836734693877568</v>
      </c>
      <c r="AG22" s="177"/>
    </row>
    <row r="23" spans="1:33" ht="15.75" customHeight="1">
      <c r="A23" s="196" t="s">
        <v>1579</v>
      </c>
      <c r="B23" s="28" t="s">
        <v>5</v>
      </c>
      <c r="C23" s="193" t="s">
        <v>19</v>
      </c>
      <c r="D23" s="193"/>
      <c r="E23" s="28">
        <v>50.49</v>
      </c>
      <c r="F23" s="88">
        <v>1573</v>
      </c>
      <c r="G23" s="88">
        <f t="shared" si="19"/>
        <v>79420.77</v>
      </c>
      <c r="H23" s="30" t="s">
        <v>53</v>
      </c>
      <c r="I23" s="95">
        <v>15</v>
      </c>
      <c r="J23" s="13">
        <v>2000</v>
      </c>
      <c r="K23" s="12">
        <f t="shared" si="1"/>
        <v>133.33333333333334</v>
      </c>
      <c r="L23" s="95">
        <v>15</v>
      </c>
      <c r="M23" s="13">
        <f t="shared" si="20"/>
        <v>1926.1224489795925</v>
      </c>
      <c r="N23" s="12">
        <f t="shared" si="3"/>
        <v>128.40816326530617</v>
      </c>
      <c r="O23" s="14">
        <f t="shared" si="4"/>
        <v>0</v>
      </c>
      <c r="P23" s="15">
        <f t="shared" si="5"/>
        <v>-4.9251700680271711</v>
      </c>
      <c r="Q23" s="91">
        <f t="shared" si="6"/>
        <v>0.96306122448979625</v>
      </c>
      <c r="R23" s="177"/>
      <c r="S23" s="21">
        <v>0.78125</v>
      </c>
      <c r="T23" s="21">
        <v>0.81527777777777777</v>
      </c>
      <c r="U23" s="88">
        <f t="shared" si="22"/>
        <v>7.9999999999999716</v>
      </c>
      <c r="V23" s="30">
        <f t="shared" si="21"/>
        <v>48.999999999999986</v>
      </c>
      <c r="W23" s="16"/>
      <c r="X23" s="21"/>
      <c r="Y23" s="21"/>
      <c r="Z23" s="21"/>
      <c r="AA23" s="168"/>
      <c r="AB23" s="168"/>
      <c r="AC23" s="18"/>
      <c r="AD23" s="18"/>
      <c r="AE23" s="14">
        <f t="shared" si="8"/>
        <v>-73.877551020407509</v>
      </c>
      <c r="AF23" s="91">
        <f t="shared" si="9"/>
        <v>0.96306122448979625</v>
      </c>
      <c r="AG23" s="177"/>
    </row>
    <row r="24" spans="1:33" ht="15.75" customHeight="1">
      <c r="A24" s="196" t="s">
        <v>1580</v>
      </c>
      <c r="B24" s="28" t="s">
        <v>1573</v>
      </c>
      <c r="C24" s="178"/>
      <c r="D24" s="178"/>
      <c r="E24" s="92"/>
      <c r="F24" s="88"/>
      <c r="G24" s="88"/>
      <c r="H24" s="88"/>
      <c r="I24" s="23">
        <v>15.166666666666666</v>
      </c>
      <c r="J24" s="13">
        <v>1916.6666666666667</v>
      </c>
      <c r="K24" s="12">
        <f t="shared" si="1"/>
        <v>126.37362637362638</v>
      </c>
      <c r="L24" s="23">
        <v>15.166666666666666</v>
      </c>
      <c r="M24" s="13">
        <f>AVERAGE(M18:M23)</f>
        <v>1841.7834571687863</v>
      </c>
      <c r="N24" s="12">
        <f t="shared" si="3"/>
        <v>121.43627190123865</v>
      </c>
      <c r="O24" s="14">
        <f t="shared" si="4"/>
        <v>0</v>
      </c>
      <c r="P24" s="15">
        <f t="shared" si="5"/>
        <v>-4.9373544723877245</v>
      </c>
      <c r="Q24" s="91">
        <f t="shared" si="6"/>
        <v>0.96093049939241015</v>
      </c>
      <c r="R24" s="177"/>
      <c r="S24" s="21"/>
      <c r="T24" s="21"/>
      <c r="U24" s="12"/>
      <c r="V24" s="30"/>
      <c r="W24" s="12"/>
      <c r="X24" s="12"/>
      <c r="Y24" s="24">
        <f>SUM(Y18:Y23)</f>
        <v>0</v>
      </c>
      <c r="Z24" s="24">
        <f>SUM(Z18:Z23)</f>
        <v>0</v>
      </c>
      <c r="AA24" s="167"/>
      <c r="AB24" s="167"/>
      <c r="AC24" s="24">
        <f>SUM(AC18:AC23)</f>
        <v>6</v>
      </c>
      <c r="AD24" s="24">
        <f>SUM(AD18:AD23)</f>
        <v>0</v>
      </c>
      <c r="AE24" s="14">
        <f t="shared" si="8"/>
        <v>-74.883209497880443</v>
      </c>
      <c r="AF24" s="91">
        <f t="shared" si="9"/>
        <v>0.96093049939241015</v>
      </c>
      <c r="AG24" s="177"/>
    </row>
    <row r="25" spans="1:33" ht="15.75" customHeight="1">
      <c r="A25" s="194" t="s">
        <v>1581</v>
      </c>
      <c r="B25" s="28" t="s">
        <v>22</v>
      </c>
      <c r="C25" s="193" t="s">
        <v>23</v>
      </c>
      <c r="D25" s="193"/>
      <c r="E25" s="28">
        <v>31.29</v>
      </c>
      <c r="F25" s="88">
        <v>5400</v>
      </c>
      <c r="G25" s="88">
        <f t="shared" ref="G25:G30" si="23">E25*F25</f>
        <v>168966</v>
      </c>
      <c r="H25" s="30">
        <v>2</v>
      </c>
      <c r="I25" s="95">
        <v>18</v>
      </c>
      <c r="J25" s="13">
        <v>2400</v>
      </c>
      <c r="K25" s="12">
        <f t="shared" si="1"/>
        <v>133.33333333333334</v>
      </c>
      <c r="L25" s="95">
        <v>18</v>
      </c>
      <c r="M25" s="13">
        <f t="shared" ref="M25:M30" si="24">F25/V25*60</f>
        <v>2281.6901408450703</v>
      </c>
      <c r="N25" s="12">
        <f t="shared" si="3"/>
        <v>126.76056338028168</v>
      </c>
      <c r="O25" s="14">
        <f t="shared" si="4"/>
        <v>0</v>
      </c>
      <c r="P25" s="15">
        <f t="shared" si="5"/>
        <v>-6.5727699530516617</v>
      </c>
      <c r="Q25" s="91">
        <f t="shared" si="6"/>
        <v>0.95070422535211252</v>
      </c>
      <c r="R25" s="177">
        <f>Q31</f>
        <v>0.95549709019562235</v>
      </c>
      <c r="S25" s="21">
        <v>8.3333333333333329E-2</v>
      </c>
      <c r="T25" s="21">
        <v>0.18194444444444444</v>
      </c>
      <c r="U25" s="88"/>
      <c r="V25" s="30">
        <f t="shared" ref="V25:V30" si="25">(T25-S25)*24*60</f>
        <v>142</v>
      </c>
      <c r="W25" s="16">
        <f>T25</f>
        <v>0.18194444444444444</v>
      </c>
      <c r="X25" s="16">
        <f>S26</f>
        <v>0.20138888888888887</v>
      </c>
      <c r="Y25" s="16"/>
      <c r="Z25" s="16"/>
      <c r="AA25" s="168"/>
      <c r="AB25" s="168"/>
      <c r="AC25" s="18">
        <v>6</v>
      </c>
      <c r="AD25" s="18"/>
      <c r="AE25" s="14">
        <f t="shared" si="8"/>
        <v>-118.30985915492965</v>
      </c>
      <c r="AF25" s="91">
        <f t="shared" si="9"/>
        <v>0.95070422535211263</v>
      </c>
      <c r="AG25" s="177">
        <f>AF31</f>
        <v>0.95549709019562235</v>
      </c>
    </row>
    <row r="26" spans="1:33" ht="15.75" customHeight="1">
      <c r="A26" s="194" t="s">
        <v>1582</v>
      </c>
      <c r="B26" s="28" t="s">
        <v>22</v>
      </c>
      <c r="C26" s="193" t="s">
        <v>24</v>
      </c>
      <c r="D26" s="193"/>
      <c r="E26" s="28">
        <v>25.98</v>
      </c>
      <c r="F26" s="88">
        <v>3280</v>
      </c>
      <c r="G26" s="88">
        <f t="shared" si="23"/>
        <v>85214.399999999994</v>
      </c>
      <c r="H26" s="30" t="s">
        <v>53</v>
      </c>
      <c r="I26" s="95">
        <v>21</v>
      </c>
      <c r="J26" s="13">
        <v>2400</v>
      </c>
      <c r="K26" s="12">
        <f t="shared" si="1"/>
        <v>114.28571428571429</v>
      </c>
      <c r="L26" s="95">
        <v>21</v>
      </c>
      <c r="M26" s="13">
        <f t="shared" si="24"/>
        <v>2288.3720930232566</v>
      </c>
      <c r="N26" s="12">
        <f t="shared" si="3"/>
        <v>108.97009966777412</v>
      </c>
      <c r="O26" s="14">
        <f t="shared" si="4"/>
        <v>0</v>
      </c>
      <c r="P26" s="15">
        <f t="shared" si="5"/>
        <v>-5.3156146179401702</v>
      </c>
      <c r="Q26" s="91">
        <f t="shared" si="6"/>
        <v>0.95348837209302351</v>
      </c>
      <c r="R26" s="177"/>
      <c r="S26" s="21">
        <v>0.20138888888888887</v>
      </c>
      <c r="T26" s="21">
        <v>0.26111111111111107</v>
      </c>
      <c r="U26" s="88">
        <f t="shared" ref="U26:U30" si="26">(S26-T25)*24*60</f>
        <v>27.999999999999979</v>
      </c>
      <c r="V26" s="30">
        <f t="shared" si="25"/>
        <v>85.999999999999972</v>
      </c>
      <c r="W26" s="16"/>
      <c r="X26" s="16"/>
      <c r="Y26" s="16"/>
      <c r="Z26" s="16"/>
      <c r="AA26" s="168"/>
      <c r="AB26" s="168"/>
      <c r="AC26" s="18"/>
      <c r="AD26" s="18"/>
      <c r="AE26" s="14">
        <f t="shared" si="8"/>
        <v>-111.62790697674336</v>
      </c>
      <c r="AF26" s="91">
        <f t="shared" si="9"/>
        <v>0.95348837209302362</v>
      </c>
      <c r="AG26" s="177"/>
    </row>
    <row r="27" spans="1:33" ht="15.75" customHeight="1">
      <c r="A27" s="194" t="s">
        <v>1582</v>
      </c>
      <c r="B27" s="28" t="s">
        <v>22</v>
      </c>
      <c r="C27" s="193" t="s">
        <v>26</v>
      </c>
      <c r="D27" s="193"/>
      <c r="E27" s="28">
        <v>25.99</v>
      </c>
      <c r="F27" s="88">
        <v>4660</v>
      </c>
      <c r="G27" s="88">
        <f t="shared" si="23"/>
        <v>121113.4</v>
      </c>
      <c r="H27" s="30" t="s">
        <v>53</v>
      </c>
      <c r="I27" s="95">
        <v>14</v>
      </c>
      <c r="J27" s="13">
        <v>2400</v>
      </c>
      <c r="K27" s="12">
        <f t="shared" si="1"/>
        <v>171.42857142857142</v>
      </c>
      <c r="L27" s="95">
        <v>14</v>
      </c>
      <c r="M27" s="13">
        <f t="shared" si="24"/>
        <v>2291.8032786885251</v>
      </c>
      <c r="N27" s="12">
        <f t="shared" si="3"/>
        <v>163.7002341920375</v>
      </c>
      <c r="O27" s="14">
        <f t="shared" si="4"/>
        <v>0</v>
      </c>
      <c r="P27" s="15">
        <f t="shared" si="5"/>
        <v>-7.7283372365339176</v>
      </c>
      <c r="Q27" s="91">
        <f t="shared" si="6"/>
        <v>0.95491803278688547</v>
      </c>
      <c r="R27" s="177"/>
      <c r="S27" s="21">
        <v>0.26666666666666661</v>
      </c>
      <c r="T27" s="21">
        <v>0.35138888888888881</v>
      </c>
      <c r="U27" s="88">
        <f t="shared" si="26"/>
        <v>7.9999999999999716</v>
      </c>
      <c r="V27" s="30">
        <f t="shared" si="25"/>
        <v>121.99999999999997</v>
      </c>
      <c r="W27" s="16"/>
      <c r="X27" s="16"/>
      <c r="Y27" s="16"/>
      <c r="Z27" s="16"/>
      <c r="AA27" s="168"/>
      <c r="AB27" s="168"/>
      <c r="AC27" s="18"/>
      <c r="AD27" s="18"/>
      <c r="AE27" s="14">
        <f t="shared" si="8"/>
        <v>-108.1967213114749</v>
      </c>
      <c r="AF27" s="91">
        <f t="shared" si="9"/>
        <v>0.95491803278688547</v>
      </c>
      <c r="AG27" s="177"/>
    </row>
    <row r="28" spans="1:33" ht="15.75" customHeight="1">
      <c r="A28" s="194" t="s">
        <v>1582</v>
      </c>
      <c r="B28" s="28" t="s">
        <v>22</v>
      </c>
      <c r="C28" s="193" t="s">
        <v>27</v>
      </c>
      <c r="D28" s="193"/>
      <c r="E28" s="28">
        <v>26.18</v>
      </c>
      <c r="F28" s="88">
        <v>1663</v>
      </c>
      <c r="G28" s="88">
        <f t="shared" si="23"/>
        <v>43537.34</v>
      </c>
      <c r="H28" s="30" t="s">
        <v>53</v>
      </c>
      <c r="I28" s="95">
        <v>19</v>
      </c>
      <c r="J28" s="13">
        <v>2400</v>
      </c>
      <c r="K28" s="12">
        <f t="shared" si="1"/>
        <v>126.31578947368421</v>
      </c>
      <c r="L28" s="95">
        <v>19</v>
      </c>
      <c r="M28" s="13">
        <f t="shared" si="24"/>
        <v>2320.4651162790697</v>
      </c>
      <c r="N28" s="12">
        <f t="shared" si="3"/>
        <v>122.1297429620563</v>
      </c>
      <c r="O28" s="14">
        <f t="shared" si="4"/>
        <v>0</v>
      </c>
      <c r="P28" s="15">
        <f t="shared" si="5"/>
        <v>-4.1860465116279073</v>
      </c>
      <c r="Q28" s="91">
        <f t="shared" si="6"/>
        <v>0.9668604651162791</v>
      </c>
      <c r="R28" s="177"/>
      <c r="S28" s="21">
        <v>0.35555555555555546</v>
      </c>
      <c r="T28" s="21">
        <v>0.38541666666666657</v>
      </c>
      <c r="U28" s="88">
        <f t="shared" si="26"/>
        <v>5.9999999999999787</v>
      </c>
      <c r="V28" s="30">
        <f t="shared" si="25"/>
        <v>43.000000000000007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-79.534883720930338</v>
      </c>
      <c r="AF28" s="91">
        <f t="shared" si="9"/>
        <v>0.96686046511627899</v>
      </c>
      <c r="AG28" s="177"/>
    </row>
    <row r="29" spans="1:33" ht="15.75" customHeight="1">
      <c r="A29" s="194" t="s">
        <v>1582</v>
      </c>
      <c r="B29" s="28" t="s">
        <v>22</v>
      </c>
      <c r="C29" s="193" t="s">
        <v>25</v>
      </c>
      <c r="D29" s="193"/>
      <c r="E29" s="28">
        <v>26.2</v>
      </c>
      <c r="F29" s="88">
        <v>5378</v>
      </c>
      <c r="G29" s="88">
        <f t="shared" si="23"/>
        <v>140903.6</v>
      </c>
      <c r="H29" s="30" t="s">
        <v>53</v>
      </c>
      <c r="I29" s="95">
        <v>20</v>
      </c>
      <c r="J29" s="13">
        <v>2400</v>
      </c>
      <c r="K29" s="12">
        <f t="shared" si="1"/>
        <v>120</v>
      </c>
      <c r="L29" s="95">
        <v>20</v>
      </c>
      <c r="M29" s="13">
        <f t="shared" si="24"/>
        <v>2288.5106382978724</v>
      </c>
      <c r="N29" s="12">
        <f t="shared" si="3"/>
        <v>114.42553191489363</v>
      </c>
      <c r="O29" s="14">
        <f t="shared" si="4"/>
        <v>0</v>
      </c>
      <c r="P29" s="15">
        <f t="shared" si="5"/>
        <v>-5.5744680851063748</v>
      </c>
      <c r="Q29" s="91">
        <f t="shared" si="6"/>
        <v>0.95354609929078016</v>
      </c>
      <c r="R29" s="177"/>
      <c r="S29" s="21">
        <v>0.38958333333333323</v>
      </c>
      <c r="T29" s="21">
        <v>0.48749999999999988</v>
      </c>
      <c r="U29" s="88">
        <f t="shared" si="26"/>
        <v>5.9999999999999787</v>
      </c>
      <c r="V29" s="30">
        <f t="shared" si="25"/>
        <v>140.99999999999997</v>
      </c>
      <c r="W29" s="16">
        <f>T29</f>
        <v>0.48749999999999988</v>
      </c>
      <c r="X29" s="16">
        <f>S30</f>
        <v>0.52847222222222212</v>
      </c>
      <c r="Y29" s="16"/>
      <c r="Z29" s="16"/>
      <c r="AA29" s="168"/>
      <c r="AB29" s="168"/>
      <c r="AC29" s="18"/>
      <c r="AD29" s="18"/>
      <c r="AE29" s="14">
        <f t="shared" si="8"/>
        <v>-111.48936170212755</v>
      </c>
      <c r="AF29" s="91">
        <f t="shared" si="9"/>
        <v>0.95354609929078016</v>
      </c>
      <c r="AG29" s="177"/>
    </row>
    <row r="30" spans="1:33" ht="15.75" customHeight="1">
      <c r="A30" s="194" t="s">
        <v>1582</v>
      </c>
      <c r="B30" s="28" t="s">
        <v>22</v>
      </c>
      <c r="C30" s="193" t="s">
        <v>23</v>
      </c>
      <c r="D30" s="193"/>
      <c r="E30" s="28">
        <v>31.29</v>
      </c>
      <c r="F30" s="88">
        <v>3852</v>
      </c>
      <c r="G30" s="88">
        <f t="shared" si="23"/>
        <v>120529.08</v>
      </c>
      <c r="H30" s="30" t="s">
        <v>53</v>
      </c>
      <c r="I30" s="95">
        <v>18</v>
      </c>
      <c r="J30" s="13">
        <v>2400</v>
      </c>
      <c r="K30" s="12">
        <f t="shared" si="1"/>
        <v>133.33333333333334</v>
      </c>
      <c r="L30" s="95">
        <v>18</v>
      </c>
      <c r="M30" s="13">
        <f t="shared" si="24"/>
        <v>2288.3168316831693</v>
      </c>
      <c r="N30" s="12">
        <f t="shared" si="3"/>
        <v>127.12871287128718</v>
      </c>
      <c r="O30" s="14">
        <f t="shared" si="4"/>
        <v>0</v>
      </c>
      <c r="P30" s="15">
        <f t="shared" si="5"/>
        <v>-6.2046204620461651</v>
      </c>
      <c r="Q30" s="91">
        <f t="shared" si="6"/>
        <v>0.95346534653465376</v>
      </c>
      <c r="R30" s="177"/>
      <c r="S30" s="21">
        <v>0.52847222222222212</v>
      </c>
      <c r="T30" s="21">
        <v>0.59861111111111098</v>
      </c>
      <c r="U30" s="88">
        <f t="shared" si="26"/>
        <v>59.000000000000028</v>
      </c>
      <c r="V30" s="30">
        <f t="shared" si="25"/>
        <v>100.99999999999996</v>
      </c>
      <c r="W30" s="16"/>
      <c r="X30" s="16"/>
      <c r="Y30" s="16"/>
      <c r="Z30" s="16"/>
      <c r="AA30" s="168"/>
      <c r="AB30" s="168"/>
      <c r="AC30" s="18"/>
      <c r="AD30" s="18"/>
      <c r="AE30" s="14">
        <f t="shared" si="8"/>
        <v>-111.68316831683069</v>
      </c>
      <c r="AF30" s="91">
        <f t="shared" si="9"/>
        <v>0.95346534653465387</v>
      </c>
      <c r="AG30" s="177"/>
    </row>
    <row r="31" spans="1:33" ht="15.75" customHeight="1">
      <c r="A31" s="194" t="s">
        <v>1582</v>
      </c>
      <c r="B31" s="28" t="s">
        <v>1573</v>
      </c>
      <c r="C31" s="178"/>
      <c r="D31" s="178"/>
      <c r="E31" s="92"/>
      <c r="F31" s="88"/>
      <c r="G31" s="88"/>
      <c r="H31" s="88"/>
      <c r="I31" s="23">
        <v>18.333333333333332</v>
      </c>
      <c r="J31" s="13">
        <v>2400</v>
      </c>
      <c r="K31" s="12">
        <f t="shared" si="1"/>
        <v>130.90909090909091</v>
      </c>
      <c r="L31" s="23">
        <v>18.333333333333332</v>
      </c>
      <c r="M31" s="13">
        <f>AVERAGE(M25:M30)</f>
        <v>2293.1930164694936</v>
      </c>
      <c r="N31" s="12">
        <f t="shared" si="3"/>
        <v>125.08325544379056</v>
      </c>
      <c r="O31" s="14">
        <f t="shared" si="4"/>
        <v>0</v>
      </c>
      <c r="P31" s="15">
        <f t="shared" si="5"/>
        <v>-5.8258354653003437</v>
      </c>
      <c r="Q31" s="91">
        <f t="shared" si="6"/>
        <v>0.95549709019562235</v>
      </c>
      <c r="R31" s="177"/>
      <c r="S31" s="21"/>
      <c r="T31" s="21"/>
      <c r="U31" s="88"/>
      <c r="V31" s="30"/>
      <c r="W31" s="88"/>
      <c r="X31" s="88"/>
      <c r="Y31" s="24">
        <f>SUM(Y25:Y30)</f>
        <v>0</v>
      </c>
      <c r="Z31" s="24">
        <f>SUM(Z25:Z30)</f>
        <v>0</v>
      </c>
      <c r="AA31" s="167"/>
      <c r="AB31" s="167"/>
      <c r="AC31" s="24">
        <f>SUM(AC25:AC30)</f>
        <v>6</v>
      </c>
      <c r="AD31" s="24">
        <f>SUM(AD25:AD30)</f>
        <v>0</v>
      </c>
      <c r="AE31" s="14">
        <f t="shared" si="8"/>
        <v>-106.80698353050639</v>
      </c>
      <c r="AF31" s="91">
        <f t="shared" si="9"/>
        <v>0.95549709019562235</v>
      </c>
      <c r="AG31" s="177"/>
    </row>
    <row r="32" spans="1:33" ht="15.75" customHeight="1">
      <c r="A32" s="191" t="s">
        <v>1583</v>
      </c>
      <c r="B32" s="28" t="s">
        <v>22</v>
      </c>
      <c r="C32" s="169" t="s">
        <v>28</v>
      </c>
      <c r="D32" s="169"/>
      <c r="E32" s="28">
        <v>26.2</v>
      </c>
      <c r="F32" s="88">
        <v>4000</v>
      </c>
      <c r="G32" s="88">
        <f t="shared" ref="G32:G37" si="27">E32*F32</f>
        <v>104800</v>
      </c>
      <c r="H32" s="30">
        <v>2</v>
      </c>
      <c r="I32" s="95">
        <v>18</v>
      </c>
      <c r="J32" s="13">
        <v>2400</v>
      </c>
      <c r="K32" s="12">
        <f t="shared" si="1"/>
        <v>133.33333333333334</v>
      </c>
      <c r="L32" s="95">
        <v>18</v>
      </c>
      <c r="M32" s="13">
        <f t="shared" ref="M32:M37" si="28">F32/V32*60</f>
        <v>2285.7142857142858</v>
      </c>
      <c r="N32" s="12">
        <f t="shared" si="3"/>
        <v>126.98412698412699</v>
      </c>
      <c r="O32" s="14">
        <f t="shared" si="4"/>
        <v>0</v>
      </c>
      <c r="P32" s="15">
        <f t="shared" si="5"/>
        <v>-6.3492063492063551</v>
      </c>
      <c r="Q32" s="91">
        <f t="shared" si="6"/>
        <v>0.95238095238095233</v>
      </c>
      <c r="R32" s="177">
        <f>Q38</f>
        <v>0.95613478536517671</v>
      </c>
      <c r="S32" s="21">
        <v>8.3333333333333329E-2</v>
      </c>
      <c r="T32" s="21">
        <v>0.15625</v>
      </c>
      <c r="U32" s="88"/>
      <c r="V32" s="30">
        <f t="shared" ref="V32:V37" si="29">(T32-S32)*24*60</f>
        <v>105</v>
      </c>
      <c r="W32" s="21">
        <f>T32</f>
        <v>0.15625</v>
      </c>
      <c r="X32" s="21">
        <f>S33</f>
        <v>0.17500000000000002</v>
      </c>
      <c r="Y32" s="21"/>
      <c r="Z32" s="21"/>
      <c r="AA32" s="168"/>
      <c r="AB32" s="168"/>
      <c r="AC32" s="18">
        <v>6</v>
      </c>
      <c r="AD32" s="18"/>
      <c r="AE32" s="14">
        <f t="shared" si="8"/>
        <v>-114.28571428571422</v>
      </c>
      <c r="AF32" s="91">
        <f t="shared" si="9"/>
        <v>0.95238095238095244</v>
      </c>
      <c r="AG32" s="177">
        <f>AF38</f>
        <v>0.95613478536517671</v>
      </c>
    </row>
    <row r="33" spans="1:33" ht="15.75" customHeight="1">
      <c r="A33" s="191" t="s">
        <v>1583</v>
      </c>
      <c r="B33" s="28" t="s">
        <v>22</v>
      </c>
      <c r="C33" s="169" t="s">
        <v>49</v>
      </c>
      <c r="D33" s="169"/>
      <c r="E33" s="28">
        <v>20.2</v>
      </c>
      <c r="F33" s="88">
        <v>2150</v>
      </c>
      <c r="G33" s="88">
        <f t="shared" si="27"/>
        <v>43430</v>
      </c>
      <c r="H33" s="30" t="s">
        <v>53</v>
      </c>
      <c r="I33" s="95">
        <v>15</v>
      </c>
      <c r="J33" s="13">
        <v>2400</v>
      </c>
      <c r="K33" s="12">
        <f t="shared" si="1"/>
        <v>160</v>
      </c>
      <c r="L33" s="95">
        <v>15</v>
      </c>
      <c r="M33" s="13">
        <f t="shared" si="28"/>
        <v>2303.5714285714289</v>
      </c>
      <c r="N33" s="12">
        <f t="shared" si="3"/>
        <v>153.57142857142858</v>
      </c>
      <c r="O33" s="14">
        <f t="shared" si="4"/>
        <v>0</v>
      </c>
      <c r="P33" s="15">
        <f t="shared" si="5"/>
        <v>-6.4285714285714164</v>
      </c>
      <c r="Q33" s="91">
        <f t="shared" si="6"/>
        <v>0.9598214285714286</v>
      </c>
      <c r="R33" s="177"/>
      <c r="S33" s="21">
        <v>0.17500000000000002</v>
      </c>
      <c r="T33" s="21">
        <v>0.21388888888888891</v>
      </c>
      <c r="U33" s="88">
        <f t="shared" ref="U33:U37" si="30">(S33-T32)*24*60</f>
        <v>27.000000000000025</v>
      </c>
      <c r="V33" s="30">
        <f t="shared" si="29"/>
        <v>56</v>
      </c>
      <c r="W33" s="88"/>
      <c r="X33" s="88"/>
      <c r="Y33" s="88"/>
      <c r="Z33" s="88"/>
      <c r="AA33" s="168"/>
      <c r="AB33" s="168"/>
      <c r="AC33" s="18"/>
      <c r="AD33" s="18"/>
      <c r="AE33" s="14">
        <f t="shared" si="8"/>
        <v>-96.428571428571104</v>
      </c>
      <c r="AF33" s="91">
        <f t="shared" si="9"/>
        <v>0.95982142857142871</v>
      </c>
      <c r="AG33" s="177"/>
    </row>
    <row r="34" spans="1:33">
      <c r="A34" s="192" t="s">
        <v>1583</v>
      </c>
      <c r="B34" s="28" t="s">
        <v>22</v>
      </c>
      <c r="C34" s="169" t="s">
        <v>32</v>
      </c>
      <c r="D34" s="169"/>
      <c r="E34" s="28">
        <v>20.52</v>
      </c>
      <c r="F34" s="88">
        <v>2980</v>
      </c>
      <c r="G34" s="88">
        <f t="shared" si="27"/>
        <v>61149.599999999999</v>
      </c>
      <c r="H34" s="30" t="s">
        <v>53</v>
      </c>
      <c r="I34" s="95">
        <v>18</v>
      </c>
      <c r="J34" s="13">
        <v>2400</v>
      </c>
      <c r="K34" s="12">
        <f t="shared" si="1"/>
        <v>133.33333333333334</v>
      </c>
      <c r="L34" s="95">
        <v>18</v>
      </c>
      <c r="M34" s="13">
        <f t="shared" si="28"/>
        <v>2292.3076923076924</v>
      </c>
      <c r="N34" s="12">
        <f t="shared" si="3"/>
        <v>127.35042735042735</v>
      </c>
      <c r="O34" s="14">
        <f t="shared" si="4"/>
        <v>0</v>
      </c>
      <c r="P34" s="15">
        <f t="shared" si="5"/>
        <v>-5.9829059829059901</v>
      </c>
      <c r="Q34" s="91">
        <f t="shared" si="6"/>
        <v>0.95512820512820507</v>
      </c>
      <c r="R34" s="177"/>
      <c r="S34" s="21">
        <v>0.21944444444444447</v>
      </c>
      <c r="T34" s="21">
        <v>0.27361111111111114</v>
      </c>
      <c r="U34" s="88">
        <f t="shared" si="30"/>
        <v>8.0000000000000107</v>
      </c>
      <c r="V34" s="30">
        <f t="shared" si="29"/>
        <v>78</v>
      </c>
      <c r="W34" s="88"/>
      <c r="X34" s="88"/>
      <c r="Y34" s="88"/>
      <c r="Z34" s="88"/>
      <c r="AA34" s="168"/>
      <c r="AB34" s="168"/>
      <c r="AC34" s="18"/>
      <c r="AD34" s="18"/>
      <c r="AE34" s="14">
        <f t="shared" si="8"/>
        <v>-107.69230769230762</v>
      </c>
      <c r="AF34" s="91">
        <f t="shared" si="9"/>
        <v>0.95512820512820518</v>
      </c>
      <c r="AG34" s="177"/>
    </row>
    <row r="35" spans="1:33">
      <c r="A35" s="192" t="s">
        <v>1583</v>
      </c>
      <c r="B35" s="28" t="s">
        <v>22</v>
      </c>
      <c r="C35" s="169" t="s">
        <v>30</v>
      </c>
      <c r="D35" s="169"/>
      <c r="E35" s="28">
        <v>26.39</v>
      </c>
      <c r="F35" s="88">
        <v>5916</v>
      </c>
      <c r="G35" s="88">
        <f t="shared" si="27"/>
        <v>156123.24</v>
      </c>
      <c r="H35" s="30" t="s">
        <v>53</v>
      </c>
      <c r="I35" s="95">
        <v>19</v>
      </c>
      <c r="J35" s="13">
        <v>2400</v>
      </c>
      <c r="K35" s="12">
        <f t="shared" si="1"/>
        <v>126.31578947368421</v>
      </c>
      <c r="L35" s="95">
        <v>19</v>
      </c>
      <c r="M35" s="13">
        <f t="shared" si="28"/>
        <v>2290.0645161290322</v>
      </c>
      <c r="N35" s="12">
        <f t="shared" si="3"/>
        <v>120.52971137521222</v>
      </c>
      <c r="O35" s="14">
        <f t="shared" si="4"/>
        <v>0</v>
      </c>
      <c r="P35" s="15">
        <f t="shared" si="5"/>
        <v>-5.7860780984719895</v>
      </c>
      <c r="Q35" s="91">
        <f t="shared" si="6"/>
        <v>0.9541935483870968</v>
      </c>
      <c r="R35" s="177"/>
      <c r="S35" s="21">
        <v>0.27847222222222223</v>
      </c>
      <c r="T35" s="21">
        <v>0.38611111111111113</v>
      </c>
      <c r="U35" s="88">
        <f t="shared" si="30"/>
        <v>6.9999999999999751</v>
      </c>
      <c r="V35" s="30">
        <f t="shared" si="29"/>
        <v>155</v>
      </c>
      <c r="W35" s="16"/>
      <c r="X35" s="16"/>
      <c r="Y35" s="16"/>
      <c r="Z35" s="16"/>
      <c r="AA35" s="168"/>
      <c r="AB35" s="168"/>
      <c r="AC35" s="18"/>
      <c r="AD35" s="18"/>
      <c r="AE35" s="14">
        <f t="shared" si="8"/>
        <v>-109.9354838709678</v>
      </c>
      <c r="AF35" s="91">
        <f t="shared" si="9"/>
        <v>0.9541935483870968</v>
      </c>
      <c r="AG35" s="177"/>
    </row>
    <row r="36" spans="1:33">
      <c r="A36" s="192" t="s">
        <v>1583</v>
      </c>
      <c r="B36" s="28" t="s">
        <v>22</v>
      </c>
      <c r="C36" s="169" t="s">
        <v>51</v>
      </c>
      <c r="D36" s="169"/>
      <c r="E36" s="28">
        <v>24.43</v>
      </c>
      <c r="F36" s="88">
        <v>6571</v>
      </c>
      <c r="G36" s="88">
        <f t="shared" si="27"/>
        <v>160529.53</v>
      </c>
      <c r="H36" s="30" t="s">
        <v>53</v>
      </c>
      <c r="I36" s="95">
        <v>14</v>
      </c>
      <c r="J36" s="13">
        <v>2400</v>
      </c>
      <c r="K36" s="12">
        <f t="shared" si="1"/>
        <v>171.42857142857142</v>
      </c>
      <c r="L36" s="95">
        <v>14</v>
      </c>
      <c r="M36" s="13">
        <f t="shared" si="28"/>
        <v>2292.209302325582</v>
      </c>
      <c r="N36" s="12">
        <f t="shared" si="3"/>
        <v>163.7292358803987</v>
      </c>
      <c r="O36" s="14">
        <f t="shared" si="4"/>
        <v>0</v>
      </c>
      <c r="P36" s="15">
        <f t="shared" si="5"/>
        <v>-7.6993355481727122</v>
      </c>
      <c r="Q36" s="91">
        <f t="shared" si="6"/>
        <v>0.95508720930232582</v>
      </c>
      <c r="R36" s="177"/>
      <c r="S36" s="21">
        <v>0.38958333333333334</v>
      </c>
      <c r="T36" s="21">
        <v>0.50902777777777775</v>
      </c>
      <c r="U36" s="88">
        <f t="shared" si="30"/>
        <v>4.9999999999999822</v>
      </c>
      <c r="V36" s="30">
        <f t="shared" si="29"/>
        <v>171.99999999999994</v>
      </c>
      <c r="W36" s="16">
        <f>T36</f>
        <v>0.50902777777777775</v>
      </c>
      <c r="X36" s="16">
        <f>S37</f>
        <v>0.54930555555555549</v>
      </c>
      <c r="Y36" s="16"/>
      <c r="Z36" s="16"/>
      <c r="AA36" s="168"/>
      <c r="AB36" s="168"/>
      <c r="AC36" s="18"/>
      <c r="AD36" s="18"/>
      <c r="AE36" s="14">
        <f t="shared" si="8"/>
        <v>-107.79069767441797</v>
      </c>
      <c r="AF36" s="91">
        <f t="shared" si="9"/>
        <v>0.95508720930232582</v>
      </c>
      <c r="AG36" s="177"/>
    </row>
    <row r="37" spans="1:33">
      <c r="A37" s="192" t="s">
        <v>1583</v>
      </c>
      <c r="B37" s="28" t="s">
        <v>22</v>
      </c>
      <c r="C37" s="169" t="s">
        <v>28</v>
      </c>
      <c r="D37" s="169"/>
      <c r="E37" s="28">
        <v>26.2</v>
      </c>
      <c r="F37" s="88">
        <v>2919</v>
      </c>
      <c r="G37" s="88">
        <f t="shared" si="27"/>
        <v>76477.8</v>
      </c>
      <c r="H37" s="30" t="s">
        <v>53</v>
      </c>
      <c r="I37" s="95">
        <v>18</v>
      </c>
      <c r="J37" s="13">
        <v>2400</v>
      </c>
      <c r="K37" s="12">
        <f t="shared" si="1"/>
        <v>133.33333333333334</v>
      </c>
      <c r="L37" s="95">
        <v>18</v>
      </c>
      <c r="M37" s="13">
        <f t="shared" si="28"/>
        <v>2304.4736842105244</v>
      </c>
      <c r="N37" s="12">
        <f t="shared" si="3"/>
        <v>128.02631578947359</v>
      </c>
      <c r="O37" s="14">
        <f t="shared" si="4"/>
        <v>0</v>
      </c>
      <c r="P37" s="15">
        <f t="shared" si="5"/>
        <v>-5.3070175438597573</v>
      </c>
      <c r="Q37" s="91">
        <f t="shared" si="6"/>
        <v>0.96019736842105186</v>
      </c>
      <c r="R37" s="177"/>
      <c r="S37" s="21">
        <v>0.54930555555555549</v>
      </c>
      <c r="T37" s="21">
        <v>0.6020833333333333</v>
      </c>
      <c r="U37" s="88">
        <f t="shared" si="30"/>
        <v>57.999999999999957</v>
      </c>
      <c r="V37" s="30">
        <f t="shared" si="29"/>
        <v>76.000000000000057</v>
      </c>
      <c r="W37" s="16"/>
      <c r="X37" s="16"/>
      <c r="Y37" s="16"/>
      <c r="Z37" s="16"/>
      <c r="AA37" s="168"/>
      <c r="AB37" s="168"/>
      <c r="AC37" s="18"/>
      <c r="AD37" s="18"/>
      <c r="AE37" s="14">
        <f t="shared" si="8"/>
        <v>-95.526315789475575</v>
      </c>
      <c r="AF37" s="91">
        <f t="shared" si="9"/>
        <v>0.96019736842105186</v>
      </c>
      <c r="AG37" s="177"/>
    </row>
    <row r="38" spans="1:33">
      <c r="A38" s="192" t="s">
        <v>1583</v>
      </c>
      <c r="B38" s="12" t="s">
        <v>1573</v>
      </c>
      <c r="C38" s="178"/>
      <c r="D38" s="178"/>
      <c r="E38" s="92"/>
      <c r="F38" s="12"/>
      <c r="G38" s="12"/>
      <c r="H38" s="88"/>
      <c r="I38" s="23">
        <v>17</v>
      </c>
      <c r="J38" s="13">
        <v>2400</v>
      </c>
      <c r="K38" s="12">
        <f t="shared" si="1"/>
        <v>141.1764705882353</v>
      </c>
      <c r="L38" s="23">
        <v>17</v>
      </c>
      <c r="M38" s="13">
        <f>AVERAGE(M32:M37)</f>
        <v>2294.7234848764242</v>
      </c>
      <c r="N38" s="12">
        <f t="shared" si="3"/>
        <v>134.98373440449555</v>
      </c>
      <c r="O38" s="14">
        <f t="shared" si="4"/>
        <v>0</v>
      </c>
      <c r="P38" s="15">
        <f t="shared" si="5"/>
        <v>-6.1927361837397541</v>
      </c>
      <c r="Q38" s="91">
        <f t="shared" si="6"/>
        <v>0.95613478536517671</v>
      </c>
      <c r="R38" s="177"/>
      <c r="S38" s="21"/>
      <c r="T38" s="21"/>
      <c r="U38" s="12"/>
      <c r="V38" s="30"/>
      <c r="W38" s="12"/>
      <c r="X38" s="12"/>
      <c r="Y38" s="24">
        <f>SUM(Y32:Y37)</f>
        <v>0</v>
      </c>
      <c r="Z38" s="24">
        <f>SUM(Z32:Z37)</f>
        <v>0</v>
      </c>
      <c r="AA38" s="167"/>
      <c r="AB38" s="167"/>
      <c r="AC38" s="24">
        <f>SUM(AC32:AC37)</f>
        <v>6</v>
      </c>
      <c r="AD38" s="24">
        <f>SUM(AD32:AD37)</f>
        <v>0</v>
      </c>
      <c r="AE38" s="14">
        <f t="shared" si="8"/>
        <v>-105.27651512357579</v>
      </c>
      <c r="AF38" s="91">
        <f t="shared" si="9"/>
        <v>0.95613478536517671</v>
      </c>
      <c r="AG38" s="177"/>
    </row>
    <row r="39" spans="1:33" ht="15.75" customHeight="1">
      <c r="A39" s="188" t="s">
        <v>1584</v>
      </c>
      <c r="B39" s="28" t="s">
        <v>33</v>
      </c>
      <c r="C39" s="170" t="s">
        <v>72</v>
      </c>
      <c r="D39" s="171"/>
      <c r="E39" s="28">
        <v>34.35</v>
      </c>
      <c r="F39" s="88">
        <v>2678</v>
      </c>
      <c r="G39" s="88">
        <f t="shared" ref="G39:G44" si="31">E39*F39</f>
        <v>91989.3</v>
      </c>
      <c r="H39" s="30" t="s">
        <v>53</v>
      </c>
      <c r="I39" s="95">
        <v>8</v>
      </c>
      <c r="J39" s="13">
        <v>3000</v>
      </c>
      <c r="K39" s="12">
        <f t="shared" si="1"/>
        <v>375</v>
      </c>
      <c r="L39" s="95">
        <v>8</v>
      </c>
      <c r="M39" s="13">
        <f t="shared" ref="M39:M44" si="32">F39/V39*60</f>
        <v>2869.2857142857142</v>
      </c>
      <c r="N39" s="13">
        <f t="shared" si="3"/>
        <v>358.66071428571428</v>
      </c>
      <c r="O39" s="14">
        <f t="shared" si="4"/>
        <v>0</v>
      </c>
      <c r="P39" s="15">
        <f t="shared" si="5"/>
        <v>-16.339285714285722</v>
      </c>
      <c r="Q39" s="91">
        <f t="shared" si="6"/>
        <v>0.95642857142857141</v>
      </c>
      <c r="R39" s="183">
        <f>Q45</f>
        <v>0.95510367355864967</v>
      </c>
      <c r="S39" s="21">
        <v>8.3333333333333329E-2</v>
      </c>
      <c r="T39" s="21">
        <v>0.12222222222222222</v>
      </c>
      <c r="U39" s="21"/>
      <c r="V39" s="30">
        <f t="shared" ref="V39:V44" si="33">(T39-S39)*24*60</f>
        <v>56</v>
      </c>
      <c r="W39" s="16">
        <f>T39</f>
        <v>0.12222222222222222</v>
      </c>
      <c r="X39" s="16">
        <f>S40</f>
        <v>0.14166666666666666</v>
      </c>
      <c r="Y39" s="19"/>
      <c r="Z39" s="19"/>
      <c r="AA39" s="172"/>
      <c r="AB39" s="173"/>
      <c r="AC39" s="18">
        <v>6</v>
      </c>
      <c r="AD39" s="18"/>
      <c r="AE39" s="14">
        <f t="shared" si="8"/>
        <v>-130.71428571428578</v>
      </c>
      <c r="AF39" s="91">
        <f t="shared" si="9"/>
        <v>0.95642857142857141</v>
      </c>
      <c r="AG39" s="183">
        <f>AF45</f>
        <v>0.95510367355864967</v>
      </c>
    </row>
    <row r="40" spans="1:33" ht="15.75" customHeight="1">
      <c r="A40" s="189" t="s">
        <v>1584</v>
      </c>
      <c r="B40" s="28" t="s">
        <v>33</v>
      </c>
      <c r="C40" s="170" t="s">
        <v>48</v>
      </c>
      <c r="D40" s="171"/>
      <c r="E40" s="28">
        <v>35.119999999999997</v>
      </c>
      <c r="F40" s="88">
        <v>4916</v>
      </c>
      <c r="G40" s="88">
        <f t="shared" si="31"/>
        <v>172649.91999999998</v>
      </c>
      <c r="H40" s="30" t="s">
        <v>53</v>
      </c>
      <c r="I40" s="95">
        <v>10</v>
      </c>
      <c r="J40" s="13">
        <v>3000</v>
      </c>
      <c r="K40" s="12">
        <f t="shared" si="1"/>
        <v>300</v>
      </c>
      <c r="L40" s="95">
        <v>10</v>
      </c>
      <c r="M40" s="13">
        <f t="shared" si="32"/>
        <v>2863.6893203883492</v>
      </c>
      <c r="N40" s="13">
        <f t="shared" si="3"/>
        <v>286.36893203883494</v>
      </c>
      <c r="O40" s="14">
        <f t="shared" si="4"/>
        <v>0</v>
      </c>
      <c r="P40" s="15">
        <f t="shared" si="5"/>
        <v>-13.631067961165058</v>
      </c>
      <c r="Q40" s="91">
        <f t="shared" si="6"/>
        <v>0.95456310679611645</v>
      </c>
      <c r="R40" s="184"/>
      <c r="S40" s="21">
        <v>0.14166666666666666</v>
      </c>
      <c r="T40" s="21">
        <v>0.21319444444444444</v>
      </c>
      <c r="U40" s="88">
        <f t="shared" ref="U40:U44" si="34">(S40-T39)*24*60</f>
        <v>28</v>
      </c>
      <c r="V40" s="30">
        <f t="shared" si="33"/>
        <v>103</v>
      </c>
      <c r="W40" s="16"/>
      <c r="X40" s="16"/>
      <c r="Y40" s="19"/>
      <c r="Z40" s="19"/>
      <c r="AA40" s="172"/>
      <c r="AB40" s="173"/>
      <c r="AC40" s="18"/>
      <c r="AD40" s="18"/>
      <c r="AE40" s="14">
        <f t="shared" si="8"/>
        <v>-136.31067961165081</v>
      </c>
      <c r="AF40" s="91">
        <f t="shared" si="9"/>
        <v>0.95456310679611645</v>
      </c>
      <c r="AG40" s="184"/>
    </row>
    <row r="41" spans="1:33" ht="15.75" customHeight="1">
      <c r="A41" s="189" t="s">
        <v>1584</v>
      </c>
      <c r="B41" s="28" t="s">
        <v>33</v>
      </c>
      <c r="C41" s="170" t="s">
        <v>36</v>
      </c>
      <c r="D41" s="171"/>
      <c r="E41" s="28">
        <v>21.13</v>
      </c>
      <c r="F41" s="88">
        <v>5060</v>
      </c>
      <c r="G41" s="88">
        <f t="shared" si="31"/>
        <v>106917.79999999999</v>
      </c>
      <c r="H41" s="30" t="s">
        <v>53</v>
      </c>
      <c r="I41" s="95">
        <v>10</v>
      </c>
      <c r="J41" s="13">
        <v>3000</v>
      </c>
      <c r="K41" s="12">
        <f t="shared" si="1"/>
        <v>300</v>
      </c>
      <c r="L41" s="95">
        <v>10</v>
      </c>
      <c r="M41" s="13">
        <f t="shared" si="32"/>
        <v>2864.1509433962256</v>
      </c>
      <c r="N41" s="13">
        <f t="shared" si="3"/>
        <v>286.41509433962256</v>
      </c>
      <c r="O41" s="14">
        <f t="shared" si="4"/>
        <v>0</v>
      </c>
      <c r="P41" s="15">
        <f t="shared" si="5"/>
        <v>-13.584905660377444</v>
      </c>
      <c r="Q41" s="91">
        <f t="shared" si="6"/>
        <v>0.95471698113207515</v>
      </c>
      <c r="R41" s="184"/>
      <c r="S41" s="21">
        <v>0.21736111111111112</v>
      </c>
      <c r="T41" s="21">
        <v>0.29097222222222224</v>
      </c>
      <c r="U41" s="88">
        <f t="shared" si="34"/>
        <v>6.0000000000000187</v>
      </c>
      <c r="V41" s="30">
        <f t="shared" si="33"/>
        <v>106.00000000000003</v>
      </c>
      <c r="W41" s="16"/>
      <c r="X41" s="16"/>
      <c r="Y41" s="19"/>
      <c r="Z41" s="19"/>
      <c r="AA41" s="172"/>
      <c r="AB41" s="173"/>
      <c r="AC41" s="18"/>
      <c r="AD41" s="18"/>
      <c r="AE41" s="14">
        <f t="shared" si="8"/>
        <v>-135.84905660377444</v>
      </c>
      <c r="AF41" s="91">
        <f t="shared" si="9"/>
        <v>0.95471698113207515</v>
      </c>
      <c r="AG41" s="184"/>
    </row>
    <row r="42" spans="1:33" ht="15.75" customHeight="1">
      <c r="A42" s="189" t="s">
        <v>1584</v>
      </c>
      <c r="B42" s="28" t="s">
        <v>33</v>
      </c>
      <c r="C42" s="170" t="s">
        <v>38</v>
      </c>
      <c r="D42" s="171"/>
      <c r="E42" s="28">
        <v>35.869999999999997</v>
      </c>
      <c r="F42" s="88">
        <v>3589</v>
      </c>
      <c r="G42" s="88">
        <f t="shared" si="31"/>
        <v>128737.43</v>
      </c>
      <c r="H42" s="30" t="s">
        <v>53</v>
      </c>
      <c r="I42" s="95">
        <v>9</v>
      </c>
      <c r="J42" s="13">
        <v>3000</v>
      </c>
      <c r="K42" s="12">
        <f t="shared" si="1"/>
        <v>333.33333333333331</v>
      </c>
      <c r="L42" s="95">
        <v>9</v>
      </c>
      <c r="M42" s="13">
        <f t="shared" si="32"/>
        <v>2871.2000000000012</v>
      </c>
      <c r="N42" s="13">
        <f t="shared" si="3"/>
        <v>319.02222222222235</v>
      </c>
      <c r="O42" s="14">
        <f t="shared" si="4"/>
        <v>0</v>
      </c>
      <c r="P42" s="15">
        <f t="shared" si="5"/>
        <v>-14.311111111110961</v>
      </c>
      <c r="Q42" s="91">
        <f t="shared" si="6"/>
        <v>0.95706666666666707</v>
      </c>
      <c r="R42" s="184"/>
      <c r="S42" s="21">
        <v>0.29652777777777778</v>
      </c>
      <c r="T42" s="21">
        <v>0.34861111111111109</v>
      </c>
      <c r="U42" s="88">
        <f t="shared" si="34"/>
        <v>7.9999999999999716</v>
      </c>
      <c r="V42" s="30">
        <f t="shared" si="33"/>
        <v>74.999999999999972</v>
      </c>
      <c r="W42" s="16"/>
      <c r="X42" s="16"/>
      <c r="Y42" s="19"/>
      <c r="Z42" s="19"/>
      <c r="AA42" s="172"/>
      <c r="AB42" s="173"/>
      <c r="AC42" s="18"/>
      <c r="AD42" s="18"/>
      <c r="AE42" s="14">
        <f t="shared" si="8"/>
        <v>-128.79999999999882</v>
      </c>
      <c r="AF42" s="91">
        <f t="shared" si="9"/>
        <v>0.95706666666666707</v>
      </c>
      <c r="AG42" s="184"/>
    </row>
    <row r="43" spans="1:33" ht="15.75" customHeight="1">
      <c r="A43" s="189" t="s">
        <v>1584</v>
      </c>
      <c r="B43" s="28" t="s">
        <v>33</v>
      </c>
      <c r="C43" s="170" t="s">
        <v>756</v>
      </c>
      <c r="D43" s="171"/>
      <c r="E43" s="28">
        <v>37.880000000000003</v>
      </c>
      <c r="F43" s="88">
        <v>2483</v>
      </c>
      <c r="G43" s="88">
        <f t="shared" si="31"/>
        <v>94056.040000000008</v>
      </c>
      <c r="H43" s="30" t="s">
        <v>53</v>
      </c>
      <c r="I43" s="95">
        <v>10</v>
      </c>
      <c r="J43" s="13">
        <v>3000</v>
      </c>
      <c r="K43" s="12">
        <f t="shared" si="1"/>
        <v>300</v>
      </c>
      <c r="L43" s="95">
        <v>10</v>
      </c>
      <c r="M43" s="13">
        <f t="shared" si="32"/>
        <v>2865.0000000000018</v>
      </c>
      <c r="N43" s="13">
        <f t="shared" si="3"/>
        <v>286.50000000000017</v>
      </c>
      <c r="O43" s="14">
        <f t="shared" si="4"/>
        <v>0</v>
      </c>
      <c r="P43" s="15">
        <f t="shared" si="5"/>
        <v>-13.499999999999829</v>
      </c>
      <c r="Q43" s="91">
        <f t="shared" si="6"/>
        <v>0.95500000000000052</v>
      </c>
      <c r="R43" s="184"/>
      <c r="S43" s="21">
        <v>0.35277777777777775</v>
      </c>
      <c r="T43" s="21">
        <v>0.38888888888888884</v>
      </c>
      <c r="U43" s="88">
        <f t="shared" si="34"/>
        <v>5.9999999999999787</v>
      </c>
      <c r="V43" s="30">
        <f t="shared" si="33"/>
        <v>51.999999999999972</v>
      </c>
      <c r="W43" s="16"/>
      <c r="X43" s="16"/>
      <c r="Y43" s="19"/>
      <c r="Z43" s="19"/>
      <c r="AA43" s="172"/>
      <c r="AB43" s="173"/>
      <c r="AC43" s="18"/>
      <c r="AD43" s="18"/>
      <c r="AE43" s="14">
        <f t="shared" si="8"/>
        <v>-134.99999999999818</v>
      </c>
      <c r="AF43" s="91">
        <f t="shared" si="9"/>
        <v>0.95500000000000063</v>
      </c>
      <c r="AG43" s="184"/>
    </row>
    <row r="44" spans="1:33" ht="15.75" customHeight="1">
      <c r="A44" s="189" t="s">
        <v>1584</v>
      </c>
      <c r="B44" s="28" t="s">
        <v>33</v>
      </c>
      <c r="C44" s="170" t="s">
        <v>37</v>
      </c>
      <c r="D44" s="171"/>
      <c r="E44" s="28">
        <v>27.17</v>
      </c>
      <c r="F44" s="88">
        <v>6527</v>
      </c>
      <c r="G44" s="88">
        <f t="shared" si="31"/>
        <v>177338.59000000003</v>
      </c>
      <c r="H44" s="30" t="s">
        <v>53</v>
      </c>
      <c r="I44" s="95">
        <v>10</v>
      </c>
      <c r="J44" s="13">
        <v>3000</v>
      </c>
      <c r="K44" s="12">
        <f t="shared" si="1"/>
        <v>300</v>
      </c>
      <c r="L44" s="95">
        <v>10</v>
      </c>
      <c r="M44" s="13">
        <f t="shared" si="32"/>
        <v>2858.5401459854015</v>
      </c>
      <c r="N44" s="13">
        <f t="shared" si="3"/>
        <v>285.85401459854018</v>
      </c>
      <c r="O44" s="14">
        <f t="shared" si="4"/>
        <v>0</v>
      </c>
      <c r="P44" s="15">
        <f t="shared" si="5"/>
        <v>-14.145985401459825</v>
      </c>
      <c r="Q44" s="91">
        <f t="shared" si="6"/>
        <v>0.95284671532846721</v>
      </c>
      <c r="R44" s="184"/>
      <c r="S44" s="21">
        <v>0.39305555555555549</v>
      </c>
      <c r="T44" s="21">
        <v>0.48819444444444438</v>
      </c>
      <c r="U44" s="88">
        <f t="shared" si="34"/>
        <v>5.9999999999999787</v>
      </c>
      <c r="V44" s="30">
        <f t="shared" si="33"/>
        <v>137</v>
      </c>
      <c r="W44" s="16"/>
      <c r="X44" s="16"/>
      <c r="Y44" s="19"/>
      <c r="Z44" s="19"/>
      <c r="AA44" s="172"/>
      <c r="AB44" s="173"/>
      <c r="AC44" s="18"/>
      <c r="AD44" s="18"/>
      <c r="AE44" s="14">
        <f t="shared" si="8"/>
        <v>-141.45985401459848</v>
      </c>
      <c r="AF44" s="91">
        <f t="shared" si="9"/>
        <v>0.95284671532846721</v>
      </c>
      <c r="AG44" s="184"/>
    </row>
    <row r="45" spans="1:33" ht="15.75" customHeight="1">
      <c r="A45" s="190" t="s">
        <v>1584</v>
      </c>
      <c r="B45" s="28" t="s">
        <v>1573</v>
      </c>
      <c r="C45" s="165"/>
      <c r="D45" s="166"/>
      <c r="E45" s="89"/>
      <c r="F45" s="88"/>
      <c r="G45" s="88"/>
      <c r="H45" s="88"/>
      <c r="I45" s="23">
        <v>9.5</v>
      </c>
      <c r="J45" s="13">
        <v>3000</v>
      </c>
      <c r="K45" s="12">
        <f t="shared" si="1"/>
        <v>315.78947368421052</v>
      </c>
      <c r="L45" s="23">
        <v>9.5</v>
      </c>
      <c r="M45" s="13">
        <f>AVERAGE(M39:M44)</f>
        <v>2865.3110206759488</v>
      </c>
      <c r="N45" s="12">
        <f t="shared" si="3"/>
        <v>301.61168638694198</v>
      </c>
      <c r="O45" s="14">
        <f t="shared" si="4"/>
        <v>0</v>
      </c>
      <c r="P45" s="15">
        <f t="shared" si="5"/>
        <v>-14.177787297268537</v>
      </c>
      <c r="Q45" s="91">
        <f t="shared" si="6"/>
        <v>0.95510367355864967</v>
      </c>
      <c r="R45" s="185"/>
      <c r="S45" s="21"/>
      <c r="T45" s="21"/>
      <c r="U45" s="88"/>
      <c r="V45" s="30"/>
      <c r="W45" s="16"/>
      <c r="X45" s="16"/>
      <c r="Y45" s="24">
        <f>SUM(Y39:Y44)</f>
        <v>0</v>
      </c>
      <c r="Z45" s="24">
        <f>SUM(Z39:Z44)</f>
        <v>0</v>
      </c>
      <c r="AA45" s="186"/>
      <c r="AB45" s="187"/>
      <c r="AC45" s="24">
        <f>SUM(AC39:AC44)</f>
        <v>6</v>
      </c>
      <c r="AD45" s="24">
        <f>SUM(AD39:AD44)</f>
        <v>0</v>
      </c>
      <c r="AE45" s="14">
        <f t="shared" si="8"/>
        <v>-134.68897932405116</v>
      </c>
      <c r="AF45" s="91">
        <f t="shared" si="9"/>
        <v>0.95510367355864967</v>
      </c>
      <c r="AG45" s="185"/>
    </row>
    <row r="46" spans="1:33" ht="15.75" customHeight="1">
      <c r="A46" s="181" t="s">
        <v>1585</v>
      </c>
      <c r="B46" s="28" t="s">
        <v>5</v>
      </c>
      <c r="C46" s="169" t="s">
        <v>41</v>
      </c>
      <c r="D46" s="169"/>
      <c r="E46" s="28">
        <v>51.75</v>
      </c>
      <c r="F46" s="29">
        <v>928</v>
      </c>
      <c r="G46" s="88">
        <f t="shared" ref="G46:G52" si="35">E46*F46</f>
        <v>48024</v>
      </c>
      <c r="H46" s="30" t="s">
        <v>53</v>
      </c>
      <c r="I46" s="95">
        <v>25</v>
      </c>
      <c r="J46" s="13">
        <v>2000</v>
      </c>
      <c r="K46" s="12">
        <f t="shared" si="1"/>
        <v>80</v>
      </c>
      <c r="L46" s="95">
        <v>25</v>
      </c>
      <c r="M46" s="13">
        <f t="shared" ref="M46" si="36">F46/V46*60</f>
        <v>1920.0000000000014</v>
      </c>
      <c r="N46" s="13">
        <f t="shared" si="3"/>
        <v>76.800000000000054</v>
      </c>
      <c r="O46" s="14">
        <f t="shared" si="4"/>
        <v>0</v>
      </c>
      <c r="P46" s="15">
        <f t="shared" si="5"/>
        <v>-3.199999999999946</v>
      </c>
      <c r="Q46" s="91">
        <f t="shared" si="6"/>
        <v>0.96000000000000063</v>
      </c>
      <c r="R46" s="177">
        <f>Q53</f>
        <v>0.95978082342938842</v>
      </c>
      <c r="S46" s="21">
        <v>0.33333333333333331</v>
      </c>
      <c r="T46" s="21">
        <v>0.35347222222222219</v>
      </c>
      <c r="U46" s="21"/>
      <c r="V46" s="30">
        <f t="shared" ref="V46:V52" si="37">(T46-S46)*24*60</f>
        <v>28.999999999999979</v>
      </c>
      <c r="W46" s="21"/>
      <c r="X46" s="21"/>
      <c r="Y46" s="21"/>
      <c r="Z46" s="21"/>
      <c r="AA46" s="168"/>
      <c r="AB46" s="168"/>
      <c r="AC46" s="18">
        <v>7</v>
      </c>
      <c r="AD46" s="18"/>
      <c r="AE46" s="14">
        <f t="shared" si="8"/>
        <v>-79.999999999998636</v>
      </c>
      <c r="AF46" s="91">
        <f t="shared" si="9"/>
        <v>0.96000000000000063</v>
      </c>
      <c r="AG46" s="177">
        <f>AF53</f>
        <v>0.95978082342938842</v>
      </c>
    </row>
    <row r="47" spans="1:33" ht="15.75" customHeight="1">
      <c r="A47" s="181" t="s">
        <v>1585</v>
      </c>
      <c r="B47" s="28" t="s">
        <v>5</v>
      </c>
      <c r="C47" s="169" t="s">
        <v>40</v>
      </c>
      <c r="D47" s="169"/>
      <c r="E47" s="28">
        <v>56.43</v>
      </c>
      <c r="F47" s="29">
        <v>1425</v>
      </c>
      <c r="G47" s="88">
        <f t="shared" si="35"/>
        <v>80412.75</v>
      </c>
      <c r="H47" s="30" t="s">
        <v>53</v>
      </c>
      <c r="I47" s="95">
        <v>22</v>
      </c>
      <c r="J47" s="13">
        <v>2000</v>
      </c>
      <c r="K47" s="12">
        <f t="shared" si="1"/>
        <v>90.909090909090907</v>
      </c>
      <c r="L47" s="95">
        <v>22</v>
      </c>
      <c r="M47" s="13">
        <f>F47/V47*60</f>
        <v>1943.181818181818</v>
      </c>
      <c r="N47" s="13">
        <f t="shared" si="3"/>
        <v>88.326446280991732</v>
      </c>
      <c r="O47" s="14">
        <f t="shared" si="4"/>
        <v>0</v>
      </c>
      <c r="P47" s="15">
        <f t="shared" si="5"/>
        <v>-2.5826446280991746</v>
      </c>
      <c r="Q47" s="91">
        <f t="shared" si="6"/>
        <v>0.97159090909090906</v>
      </c>
      <c r="R47" s="177"/>
      <c r="S47" s="21">
        <v>0.3569444444444444</v>
      </c>
      <c r="T47" s="21">
        <v>0.38749999999999996</v>
      </c>
      <c r="U47" s="88">
        <f t="shared" ref="U47:U52" si="38">IF(S47=TIME(17,0,0),"",(S47-T46)*24*60)</f>
        <v>4.9999999999999822</v>
      </c>
      <c r="V47" s="30">
        <f t="shared" si="37"/>
        <v>44</v>
      </c>
      <c r="W47" s="16"/>
      <c r="X47" s="16"/>
      <c r="Y47" s="16"/>
      <c r="Z47" s="16"/>
      <c r="AA47" s="168"/>
      <c r="AB47" s="168"/>
      <c r="AC47" s="18"/>
      <c r="AD47" s="18"/>
      <c r="AE47" s="14">
        <f t="shared" si="8"/>
        <v>-56.818181818181984</v>
      </c>
      <c r="AF47" s="91">
        <f t="shared" si="9"/>
        <v>0.97159090909090906</v>
      </c>
      <c r="AG47" s="177"/>
    </row>
    <row r="48" spans="1:33" ht="15.75" customHeight="1">
      <c r="A48" s="181" t="s">
        <v>1585</v>
      </c>
      <c r="B48" s="28" t="s">
        <v>9</v>
      </c>
      <c r="C48" s="170" t="s">
        <v>39</v>
      </c>
      <c r="D48" s="171"/>
      <c r="E48" s="28">
        <v>46</v>
      </c>
      <c r="F48" s="29">
        <v>2326</v>
      </c>
      <c r="G48" s="88">
        <f t="shared" si="35"/>
        <v>106996</v>
      </c>
      <c r="H48" s="30" t="s">
        <v>53</v>
      </c>
      <c r="I48" s="95">
        <v>17</v>
      </c>
      <c r="J48" s="13">
        <v>2000</v>
      </c>
      <c r="K48" s="12">
        <f t="shared" si="1"/>
        <v>117.64705882352941</v>
      </c>
      <c r="L48" s="95">
        <v>17</v>
      </c>
      <c r="M48" s="13">
        <f t="shared" ref="M48:M52" si="39">F48/V48*60</f>
        <v>1911.7808219178087</v>
      </c>
      <c r="N48" s="13">
        <f t="shared" si="3"/>
        <v>112.45769540692993</v>
      </c>
      <c r="O48" s="14">
        <f t="shared" si="4"/>
        <v>0</v>
      </c>
      <c r="P48" s="15">
        <f t="shared" si="5"/>
        <v>-5.1893634165994769</v>
      </c>
      <c r="Q48" s="91">
        <f t="shared" si="6"/>
        <v>0.95589041095890448</v>
      </c>
      <c r="R48" s="177"/>
      <c r="S48" s="21">
        <v>0.39305555555555549</v>
      </c>
      <c r="T48" s="21">
        <v>0.44374999999999992</v>
      </c>
      <c r="U48" s="88">
        <f t="shared" si="38"/>
        <v>7.9999999999999716</v>
      </c>
      <c r="V48" s="30">
        <f t="shared" si="37"/>
        <v>72.999999999999986</v>
      </c>
      <c r="W48" s="16"/>
      <c r="X48" s="16"/>
      <c r="Y48" s="19"/>
      <c r="Z48" s="19"/>
      <c r="AA48" s="168"/>
      <c r="AB48" s="168"/>
      <c r="AC48" s="18"/>
      <c r="AD48" s="18"/>
      <c r="AE48" s="14">
        <f t="shared" si="8"/>
        <v>-88.21917808219132</v>
      </c>
      <c r="AF48" s="91">
        <f t="shared" si="9"/>
        <v>0.95589041095890437</v>
      </c>
      <c r="AG48" s="177"/>
    </row>
    <row r="49" spans="1:33" ht="15.75" customHeight="1">
      <c r="A49" s="181" t="s">
        <v>1585</v>
      </c>
      <c r="B49" s="28" t="s">
        <v>5</v>
      </c>
      <c r="C49" s="93" t="s">
        <v>42</v>
      </c>
      <c r="D49" s="94"/>
      <c r="E49" s="28">
        <v>57.73</v>
      </c>
      <c r="F49" s="29">
        <v>765</v>
      </c>
      <c r="G49" s="88">
        <f t="shared" si="35"/>
        <v>44163.45</v>
      </c>
      <c r="H49" s="30" t="s">
        <v>53</v>
      </c>
      <c r="I49" s="95">
        <v>16</v>
      </c>
      <c r="J49" s="13">
        <v>1500</v>
      </c>
      <c r="K49" s="12">
        <f t="shared" si="1"/>
        <v>93.75</v>
      </c>
      <c r="L49" s="95">
        <v>16</v>
      </c>
      <c r="M49" s="13">
        <f t="shared" si="39"/>
        <v>1434.3749999999982</v>
      </c>
      <c r="N49" s="13">
        <f t="shared" si="3"/>
        <v>89.648437499999886</v>
      </c>
      <c r="O49" s="14">
        <f t="shared" si="4"/>
        <v>0</v>
      </c>
      <c r="P49" s="15">
        <f t="shared" si="5"/>
        <v>-4.1015625000001137</v>
      </c>
      <c r="Q49" s="91">
        <f t="shared" si="6"/>
        <v>0.95624999999999882</v>
      </c>
      <c r="R49" s="177"/>
      <c r="S49" s="21">
        <v>0.70833333333333337</v>
      </c>
      <c r="T49" s="21">
        <v>0.73055555555555562</v>
      </c>
      <c r="U49" s="88" t="str">
        <f t="shared" si="38"/>
        <v/>
      </c>
      <c r="V49" s="30">
        <f t="shared" si="37"/>
        <v>32.000000000000043</v>
      </c>
      <c r="W49" s="16"/>
      <c r="X49" s="16"/>
      <c r="Y49" s="19"/>
      <c r="Z49" s="19"/>
      <c r="AA49" s="168"/>
      <c r="AB49" s="168"/>
      <c r="AC49" s="18"/>
      <c r="AD49" s="18"/>
      <c r="AE49" s="14">
        <f t="shared" si="8"/>
        <v>-65.625000000001819</v>
      </c>
      <c r="AF49" s="91">
        <f t="shared" si="9"/>
        <v>0.95624999999999882</v>
      </c>
      <c r="AG49" s="177"/>
    </row>
    <row r="50" spans="1:33" ht="15.75" customHeight="1">
      <c r="A50" s="181" t="s">
        <v>275</v>
      </c>
      <c r="B50" s="28" t="s">
        <v>5</v>
      </c>
      <c r="C50" s="93" t="s">
        <v>44</v>
      </c>
      <c r="D50" s="94"/>
      <c r="E50" s="28">
        <v>55.56</v>
      </c>
      <c r="F50" s="29">
        <v>1670</v>
      </c>
      <c r="G50" s="88">
        <f t="shared" si="35"/>
        <v>92785.2</v>
      </c>
      <c r="H50" s="30" t="s">
        <v>53</v>
      </c>
      <c r="I50" s="95">
        <v>17</v>
      </c>
      <c r="J50" s="13">
        <v>2000</v>
      </c>
      <c r="K50" s="12">
        <f t="shared" si="1"/>
        <v>117.64705882352941</v>
      </c>
      <c r="L50" s="95">
        <v>17</v>
      </c>
      <c r="M50" s="13">
        <f t="shared" si="39"/>
        <v>1926.923076923078</v>
      </c>
      <c r="N50" s="13">
        <f t="shared" si="3"/>
        <v>113.34841628959282</v>
      </c>
      <c r="O50" s="14">
        <f t="shared" si="4"/>
        <v>0</v>
      </c>
      <c r="P50" s="15">
        <f t="shared" si="5"/>
        <v>-4.2986425339365866</v>
      </c>
      <c r="Q50" s="91">
        <f t="shared" si="6"/>
        <v>0.96346153846153904</v>
      </c>
      <c r="R50" s="177"/>
      <c r="S50" s="21">
        <v>0.73611111111111116</v>
      </c>
      <c r="T50" s="21">
        <v>0.77222222222222225</v>
      </c>
      <c r="U50" s="88">
        <f t="shared" si="38"/>
        <v>7.9999999999999716</v>
      </c>
      <c r="V50" s="30">
        <f t="shared" si="37"/>
        <v>51.999999999999972</v>
      </c>
      <c r="W50" s="16"/>
      <c r="X50" s="16"/>
      <c r="Y50" s="19"/>
      <c r="Z50" s="19"/>
      <c r="AA50" s="168"/>
      <c r="AB50" s="168"/>
      <c r="AC50" s="18"/>
      <c r="AD50" s="18"/>
      <c r="AE50" s="14">
        <f t="shared" si="8"/>
        <v>-73.076923076921958</v>
      </c>
      <c r="AF50" s="91">
        <f t="shared" si="9"/>
        <v>0.96346153846153904</v>
      </c>
      <c r="AG50" s="177"/>
    </row>
    <row r="51" spans="1:33" ht="15.75" customHeight="1">
      <c r="A51" s="181" t="s">
        <v>1585</v>
      </c>
      <c r="B51" s="28" t="s">
        <v>5</v>
      </c>
      <c r="C51" s="170" t="s">
        <v>45</v>
      </c>
      <c r="D51" s="171"/>
      <c r="E51" s="28">
        <v>55.32</v>
      </c>
      <c r="F51" s="29">
        <v>1213</v>
      </c>
      <c r="G51" s="88">
        <f t="shared" si="35"/>
        <v>67103.16</v>
      </c>
      <c r="H51" s="30" t="s">
        <v>53</v>
      </c>
      <c r="I51" s="95">
        <v>15</v>
      </c>
      <c r="J51" s="13">
        <v>2000</v>
      </c>
      <c r="K51" s="12">
        <f t="shared" si="1"/>
        <v>133.33333333333334</v>
      </c>
      <c r="L51" s="95">
        <v>15</v>
      </c>
      <c r="M51" s="13">
        <f t="shared" si="39"/>
        <v>1915.2631578947355</v>
      </c>
      <c r="N51" s="13">
        <f t="shared" si="3"/>
        <v>127.6842105263157</v>
      </c>
      <c r="O51" s="14">
        <f t="shared" si="4"/>
        <v>0</v>
      </c>
      <c r="P51" s="15">
        <f t="shared" si="5"/>
        <v>-5.6491228070176476</v>
      </c>
      <c r="Q51" s="91">
        <f t="shared" si="6"/>
        <v>0.95763157894736761</v>
      </c>
      <c r="R51" s="177"/>
      <c r="S51" s="21">
        <v>0.77777777777777779</v>
      </c>
      <c r="T51" s="21">
        <v>0.8041666666666667</v>
      </c>
      <c r="U51" s="88">
        <f t="shared" si="38"/>
        <v>7.9999999999999716</v>
      </c>
      <c r="V51" s="30">
        <f t="shared" si="37"/>
        <v>38.000000000000028</v>
      </c>
      <c r="W51" s="16"/>
      <c r="X51" s="16"/>
      <c r="Y51" s="19"/>
      <c r="Z51" s="19"/>
      <c r="AA51" s="172"/>
      <c r="AB51" s="173"/>
      <c r="AC51" s="18"/>
      <c r="AD51" s="18"/>
      <c r="AE51" s="14">
        <f t="shared" si="8"/>
        <v>-84.736842105264486</v>
      </c>
      <c r="AF51" s="91">
        <f t="shared" si="9"/>
        <v>0.95763157894736772</v>
      </c>
      <c r="AG51" s="177"/>
    </row>
    <row r="52" spans="1:33" ht="15.75" customHeight="1">
      <c r="A52" s="181" t="s">
        <v>1585</v>
      </c>
      <c r="B52" s="28" t="s">
        <v>5</v>
      </c>
      <c r="C52" s="170" t="s">
        <v>43</v>
      </c>
      <c r="D52" s="171"/>
      <c r="E52" s="28">
        <v>54.29</v>
      </c>
      <c r="F52" s="29">
        <v>921</v>
      </c>
      <c r="G52" s="88">
        <f t="shared" si="35"/>
        <v>50001.09</v>
      </c>
      <c r="H52" s="30" t="s">
        <v>53</v>
      </c>
      <c r="I52" s="95">
        <v>20</v>
      </c>
      <c r="J52" s="13">
        <v>2000</v>
      </c>
      <c r="K52" s="12">
        <f t="shared" si="1"/>
        <v>100</v>
      </c>
      <c r="L52" s="95">
        <v>20</v>
      </c>
      <c r="M52" s="13">
        <f t="shared" si="39"/>
        <v>1905.5172413793066</v>
      </c>
      <c r="N52" s="13">
        <f t="shared" si="3"/>
        <v>95.275862068965324</v>
      </c>
      <c r="O52" s="14">
        <f t="shared" si="4"/>
        <v>0</v>
      </c>
      <c r="P52" s="15">
        <f t="shared" si="5"/>
        <v>-4.7241379310346758</v>
      </c>
      <c r="Q52" s="91">
        <f t="shared" si="6"/>
        <v>0.95275862068965322</v>
      </c>
      <c r="R52" s="177"/>
      <c r="S52" s="21">
        <v>0.80902777777777779</v>
      </c>
      <c r="T52" s="21">
        <v>0.82916666666666672</v>
      </c>
      <c r="U52" s="88">
        <f t="shared" si="38"/>
        <v>6.9999999999999751</v>
      </c>
      <c r="V52" s="30">
        <f t="shared" si="37"/>
        <v>29.000000000000057</v>
      </c>
      <c r="W52" s="16"/>
      <c r="X52" s="16"/>
      <c r="Y52" s="19"/>
      <c r="Z52" s="19"/>
      <c r="AA52" s="172"/>
      <c r="AB52" s="173"/>
      <c r="AC52" s="18"/>
      <c r="AD52" s="18"/>
      <c r="AE52" s="14">
        <f t="shared" si="8"/>
        <v>-94.482758620693403</v>
      </c>
      <c r="AF52" s="91">
        <f t="shared" si="9"/>
        <v>0.95275862068965333</v>
      </c>
      <c r="AG52" s="177"/>
    </row>
    <row r="53" spans="1:33">
      <c r="A53" s="182" t="s">
        <v>275</v>
      </c>
      <c r="B53" s="28" t="s">
        <v>1573</v>
      </c>
      <c r="C53" s="178"/>
      <c r="D53" s="178"/>
      <c r="E53" s="92"/>
      <c r="F53" s="12"/>
      <c r="G53" s="12"/>
      <c r="H53" s="88"/>
      <c r="I53" s="23">
        <v>18.857142857142858</v>
      </c>
      <c r="J53" s="13">
        <v>1928.5714285714287</v>
      </c>
      <c r="K53" s="12">
        <f t="shared" si="1"/>
        <v>102.27272727272728</v>
      </c>
      <c r="L53" s="23">
        <v>18.857142857142858</v>
      </c>
      <c r="M53" s="13">
        <f>AVERAGE(M46:M52)</f>
        <v>1851.0058737566778</v>
      </c>
      <c r="N53" s="12">
        <f t="shared" si="3"/>
        <v>98.15940239618746</v>
      </c>
      <c r="O53" s="14">
        <f t="shared" si="4"/>
        <v>0</v>
      </c>
      <c r="P53" s="15">
        <f t="shared" si="5"/>
        <v>-4.1133248765398207</v>
      </c>
      <c r="Q53" s="91">
        <f t="shared" si="6"/>
        <v>0.95978082342938842</v>
      </c>
      <c r="R53" s="177"/>
      <c r="S53" s="21"/>
      <c r="T53" s="21"/>
      <c r="U53" s="88"/>
      <c r="V53" s="30"/>
      <c r="W53" s="12"/>
      <c r="X53" s="12"/>
      <c r="Y53" s="24">
        <f>SUM(Y46:Y52)</f>
        <v>0</v>
      </c>
      <c r="Z53" s="24">
        <f>SUM(Z46:Z52)</f>
        <v>0</v>
      </c>
      <c r="AA53" s="167"/>
      <c r="AB53" s="167"/>
      <c r="AC53" s="24">
        <f>SUM(AC46:AC52)</f>
        <v>7</v>
      </c>
      <c r="AD53" s="24">
        <f>SUM(AD46:AD52)</f>
        <v>0</v>
      </c>
      <c r="AE53" s="14">
        <f>M53-J53</f>
        <v>-77.56555481475084</v>
      </c>
      <c r="AF53" s="91">
        <f t="shared" si="9"/>
        <v>0.95978082342938842</v>
      </c>
      <c r="AG53" s="177"/>
    </row>
    <row r="54" spans="1:33" ht="15.75" customHeight="1">
      <c r="A54" s="179" t="s">
        <v>1586</v>
      </c>
      <c r="B54" s="88" t="s">
        <v>33</v>
      </c>
      <c r="C54" s="169" t="s">
        <v>46</v>
      </c>
      <c r="D54" s="169"/>
      <c r="E54" s="28">
        <v>37.85</v>
      </c>
      <c r="F54" s="29">
        <v>1229</v>
      </c>
      <c r="G54" s="88">
        <f t="shared" ref="G54:G58" si="40">E54*F54</f>
        <v>46517.65</v>
      </c>
      <c r="H54" s="30" t="s">
        <v>53</v>
      </c>
      <c r="I54" s="95">
        <v>12</v>
      </c>
      <c r="J54" s="13">
        <v>2000</v>
      </c>
      <c r="K54" s="12">
        <f t="shared" si="1"/>
        <v>166.66666666666666</v>
      </c>
      <c r="L54" s="95">
        <v>12</v>
      </c>
      <c r="M54" s="13">
        <f t="shared" ref="M54:M58" si="41">F54/V54*60</f>
        <v>1940.5263157894742</v>
      </c>
      <c r="N54" s="12">
        <f t="shared" si="3"/>
        <v>161.71052631578951</v>
      </c>
      <c r="O54" s="14">
        <f t="shared" si="4"/>
        <v>0</v>
      </c>
      <c r="P54" s="15">
        <f t="shared" si="5"/>
        <v>-4.9561403508771491</v>
      </c>
      <c r="Q54" s="91">
        <f t="shared" si="6"/>
        <v>0.97026315789473705</v>
      </c>
      <c r="R54" s="177">
        <f>Q59</f>
        <v>0.96116903227456363</v>
      </c>
      <c r="S54" s="21">
        <v>0.20833333333333334</v>
      </c>
      <c r="T54" s="21">
        <v>0.23472222222222222</v>
      </c>
      <c r="U54" s="88"/>
      <c r="V54" s="30">
        <f t="shared" ref="V54:V58" si="42">(T54-S54)*24*60</f>
        <v>37.999999999999986</v>
      </c>
      <c r="W54" s="21"/>
      <c r="X54" s="21"/>
      <c r="Y54" s="21"/>
      <c r="Z54" s="21"/>
      <c r="AA54" s="168"/>
      <c r="AB54" s="168"/>
      <c r="AC54" s="18">
        <v>5</v>
      </c>
      <c r="AD54" s="18"/>
      <c r="AE54" s="14">
        <f t="shared" ref="AE54:AE66" si="43">M54-J54</f>
        <v>-59.473684210525789</v>
      </c>
      <c r="AF54" s="91">
        <f t="shared" si="9"/>
        <v>0.97026315789473716</v>
      </c>
      <c r="AG54" s="177">
        <f>AF59</f>
        <v>0.96116903227456374</v>
      </c>
    </row>
    <row r="55" spans="1:33" ht="15.75" customHeight="1">
      <c r="A55" s="179" t="s">
        <v>1586</v>
      </c>
      <c r="B55" s="88" t="s">
        <v>33</v>
      </c>
      <c r="C55" s="169" t="s">
        <v>47</v>
      </c>
      <c r="D55" s="169"/>
      <c r="E55" s="28">
        <v>34.36</v>
      </c>
      <c r="F55" s="29">
        <v>2171</v>
      </c>
      <c r="G55" s="88">
        <f t="shared" si="40"/>
        <v>74595.56</v>
      </c>
      <c r="H55" s="30" t="s">
        <v>53</v>
      </c>
      <c r="I55" s="95">
        <v>10</v>
      </c>
      <c r="J55" s="13">
        <v>3000</v>
      </c>
      <c r="K55" s="12">
        <f t="shared" si="1"/>
        <v>300</v>
      </c>
      <c r="L55" s="95">
        <v>10</v>
      </c>
      <c r="M55" s="13">
        <f t="shared" si="41"/>
        <v>2894.6666666666638</v>
      </c>
      <c r="N55" s="12">
        <f t="shared" si="3"/>
        <v>289.46666666666636</v>
      </c>
      <c r="O55" s="14">
        <f t="shared" si="4"/>
        <v>0</v>
      </c>
      <c r="P55" s="15">
        <f t="shared" si="5"/>
        <v>-10.533333333333644</v>
      </c>
      <c r="Q55" s="91">
        <f t="shared" si="6"/>
        <v>0.96488888888888791</v>
      </c>
      <c r="R55" s="177"/>
      <c r="S55" s="21">
        <v>0.23958333333333334</v>
      </c>
      <c r="T55" s="21">
        <v>0.27083333333333337</v>
      </c>
      <c r="U55" s="88">
        <f t="shared" ref="U55:U58" si="44">(S55-T54)*24*60</f>
        <v>7.0000000000000151</v>
      </c>
      <c r="V55" s="30">
        <f t="shared" si="42"/>
        <v>45.000000000000043</v>
      </c>
      <c r="W55" s="88"/>
      <c r="X55" s="88"/>
      <c r="Y55" s="88"/>
      <c r="Z55" s="88"/>
      <c r="AA55" s="168"/>
      <c r="AB55" s="168"/>
      <c r="AC55" s="18"/>
      <c r="AD55" s="18"/>
      <c r="AE55" s="14">
        <f t="shared" si="43"/>
        <v>-105.33333333333621</v>
      </c>
      <c r="AF55" s="91">
        <f t="shared" si="9"/>
        <v>0.96488888888888791</v>
      </c>
      <c r="AG55" s="177"/>
    </row>
    <row r="56" spans="1:33" ht="15.75" customHeight="1">
      <c r="A56" s="179" t="s">
        <v>1586</v>
      </c>
      <c r="B56" s="88" t="s">
        <v>33</v>
      </c>
      <c r="C56" s="169" t="s">
        <v>34</v>
      </c>
      <c r="D56" s="169"/>
      <c r="E56" s="28">
        <v>34.36</v>
      </c>
      <c r="F56" s="29">
        <v>1524</v>
      </c>
      <c r="G56" s="88">
        <f t="shared" si="40"/>
        <v>52364.639999999999</v>
      </c>
      <c r="H56" s="30" t="s">
        <v>53</v>
      </c>
      <c r="I56" s="95">
        <v>10</v>
      </c>
      <c r="J56" s="13">
        <v>3000</v>
      </c>
      <c r="K56" s="12">
        <f t="shared" si="1"/>
        <v>300</v>
      </c>
      <c r="L56" s="95">
        <v>10</v>
      </c>
      <c r="M56" s="13">
        <f t="shared" si="41"/>
        <v>2857.5000000000032</v>
      </c>
      <c r="N56" s="12">
        <f t="shared" si="3"/>
        <v>285.75000000000034</v>
      </c>
      <c r="O56" s="14">
        <f t="shared" si="4"/>
        <v>0</v>
      </c>
      <c r="P56" s="15">
        <f t="shared" si="5"/>
        <v>-14.249999999999659</v>
      </c>
      <c r="Q56" s="91">
        <f t="shared" si="6"/>
        <v>0.95250000000000112</v>
      </c>
      <c r="R56" s="177"/>
      <c r="S56" s="21">
        <v>0.27638888888888891</v>
      </c>
      <c r="T56" s="21">
        <v>0.2986111111111111</v>
      </c>
      <c r="U56" s="88">
        <f t="shared" si="44"/>
        <v>7.9999999999999716</v>
      </c>
      <c r="V56" s="30">
        <f t="shared" si="42"/>
        <v>31.999999999999964</v>
      </c>
      <c r="W56" s="88"/>
      <c r="X56" s="88"/>
      <c r="Y56" s="88"/>
      <c r="Z56" s="88"/>
      <c r="AA56" s="168"/>
      <c r="AB56" s="168"/>
      <c r="AC56" s="18"/>
      <c r="AD56" s="18"/>
      <c r="AE56" s="14">
        <f t="shared" si="43"/>
        <v>-142.49999999999682</v>
      </c>
      <c r="AF56" s="91">
        <f t="shared" si="9"/>
        <v>0.95250000000000101</v>
      </c>
      <c r="AG56" s="177"/>
    </row>
    <row r="57" spans="1:33" ht="15.75" customHeight="1">
      <c r="A57" s="179" t="s">
        <v>1586</v>
      </c>
      <c r="B57" s="88" t="s">
        <v>33</v>
      </c>
      <c r="C57" s="169" t="s">
        <v>35</v>
      </c>
      <c r="D57" s="169"/>
      <c r="E57" s="28">
        <v>26.78</v>
      </c>
      <c r="F57" s="29">
        <v>2355</v>
      </c>
      <c r="G57" s="88">
        <f t="shared" si="40"/>
        <v>63066.9</v>
      </c>
      <c r="H57" s="30" t="s">
        <v>53</v>
      </c>
      <c r="I57" s="95">
        <v>10</v>
      </c>
      <c r="J57" s="13">
        <v>3000</v>
      </c>
      <c r="K57" s="12">
        <f t="shared" si="1"/>
        <v>300</v>
      </c>
      <c r="L57" s="95">
        <v>10</v>
      </c>
      <c r="M57" s="13">
        <f t="shared" si="41"/>
        <v>2883.6734693877561</v>
      </c>
      <c r="N57" s="12">
        <f t="shared" si="3"/>
        <v>288.3673469387756</v>
      </c>
      <c r="O57" s="14">
        <f t="shared" si="4"/>
        <v>0</v>
      </c>
      <c r="P57" s="15">
        <f t="shared" si="5"/>
        <v>-11.632653061224403</v>
      </c>
      <c r="Q57" s="91">
        <f t="shared" si="6"/>
        <v>0.96122448979591868</v>
      </c>
      <c r="R57" s="177"/>
      <c r="S57" s="21">
        <v>0.30416666666666664</v>
      </c>
      <c r="T57" s="21">
        <v>0.33819444444444441</v>
      </c>
      <c r="U57" s="88">
        <f t="shared" si="44"/>
        <v>7.9999999999999716</v>
      </c>
      <c r="V57" s="30">
        <f t="shared" si="42"/>
        <v>48.999999999999986</v>
      </c>
      <c r="W57" s="88"/>
      <c r="X57" s="88"/>
      <c r="Y57" s="88"/>
      <c r="Z57" s="88"/>
      <c r="AA57" s="168"/>
      <c r="AB57" s="168"/>
      <c r="AC57" s="18"/>
      <c r="AD57" s="18"/>
      <c r="AE57" s="14">
        <f t="shared" si="43"/>
        <v>-116.32653061224391</v>
      </c>
      <c r="AF57" s="91">
        <f t="shared" si="9"/>
        <v>0.96122448979591868</v>
      </c>
      <c r="AG57" s="177"/>
    </row>
    <row r="58" spans="1:33">
      <c r="A58" s="180" t="s">
        <v>1586</v>
      </c>
      <c r="B58" s="88" t="s">
        <v>33</v>
      </c>
      <c r="C58" s="169" t="s">
        <v>71</v>
      </c>
      <c r="D58" s="169"/>
      <c r="E58" s="28">
        <v>28.3</v>
      </c>
      <c r="F58" s="29">
        <v>1680</v>
      </c>
      <c r="G58" s="88">
        <f t="shared" si="40"/>
        <v>47544</v>
      </c>
      <c r="H58" s="30" t="s">
        <v>53</v>
      </c>
      <c r="I58" s="95">
        <v>8</v>
      </c>
      <c r="J58" s="13">
        <v>3000</v>
      </c>
      <c r="K58" s="12">
        <f t="shared" si="1"/>
        <v>375</v>
      </c>
      <c r="L58" s="95">
        <v>8</v>
      </c>
      <c r="M58" s="13">
        <f t="shared" si="41"/>
        <v>2879.9999999999968</v>
      </c>
      <c r="N58" s="12">
        <f t="shared" si="3"/>
        <v>359.9999999999996</v>
      </c>
      <c r="O58" s="14">
        <f t="shared" si="4"/>
        <v>0</v>
      </c>
      <c r="P58" s="15">
        <f t="shared" si="5"/>
        <v>-15.000000000000398</v>
      </c>
      <c r="Q58" s="91">
        <f t="shared" si="6"/>
        <v>0.95999999999999897</v>
      </c>
      <c r="R58" s="177"/>
      <c r="S58" s="21">
        <v>0.3430555555555555</v>
      </c>
      <c r="T58" s="21">
        <v>0.36736111111111108</v>
      </c>
      <c r="U58" s="88">
        <f t="shared" si="44"/>
        <v>6.9999999999999751</v>
      </c>
      <c r="V58" s="30">
        <f t="shared" si="42"/>
        <v>35.000000000000036</v>
      </c>
      <c r="W58" s="16"/>
      <c r="X58" s="16"/>
      <c r="Y58" s="16"/>
      <c r="Z58" s="16"/>
      <c r="AA58" s="168"/>
      <c r="AB58" s="168"/>
      <c r="AC58" s="18"/>
      <c r="AD58" s="18"/>
      <c r="AE58" s="14">
        <f t="shared" si="43"/>
        <v>-120.00000000000318</v>
      </c>
      <c r="AF58" s="91">
        <f t="shared" si="9"/>
        <v>0.95999999999999897</v>
      </c>
      <c r="AG58" s="177"/>
    </row>
    <row r="59" spans="1:33">
      <c r="A59" s="180" t="s">
        <v>175</v>
      </c>
      <c r="B59" s="28" t="s">
        <v>1573</v>
      </c>
      <c r="C59" s="178"/>
      <c r="D59" s="178"/>
      <c r="E59" s="92"/>
      <c r="F59" s="12"/>
      <c r="G59" s="12"/>
      <c r="H59" s="88"/>
      <c r="I59" s="23">
        <v>10</v>
      </c>
      <c r="J59" s="13">
        <v>2800</v>
      </c>
      <c r="K59" s="12">
        <f t="shared" si="1"/>
        <v>280</v>
      </c>
      <c r="L59" s="23">
        <v>10</v>
      </c>
      <c r="M59" s="13">
        <f>AVERAGE(M54:M58)</f>
        <v>2691.2732903687784</v>
      </c>
      <c r="N59" s="12">
        <f t="shared" si="3"/>
        <v>269.12732903687782</v>
      </c>
      <c r="O59" s="14">
        <f t="shared" si="4"/>
        <v>0</v>
      </c>
      <c r="P59" s="15">
        <f t="shared" si="5"/>
        <v>-10.872670963122175</v>
      </c>
      <c r="Q59" s="91">
        <f t="shared" si="6"/>
        <v>0.96116903227456363</v>
      </c>
      <c r="R59" s="177"/>
      <c r="S59" s="21"/>
      <c r="T59" s="21"/>
      <c r="U59" s="12"/>
      <c r="V59" s="30"/>
      <c r="W59" s="12"/>
      <c r="X59" s="12"/>
      <c r="Y59" s="24">
        <f>SUM(Y54:Y58)</f>
        <v>0</v>
      </c>
      <c r="Z59" s="24">
        <f>SUM(Z54:Z58)</f>
        <v>0</v>
      </c>
      <c r="AA59" s="167"/>
      <c r="AB59" s="167"/>
      <c r="AC59" s="24">
        <f>SUM(AC54:AC58)</f>
        <v>5</v>
      </c>
      <c r="AD59" s="24">
        <f>SUM(AD54:AD58)</f>
        <v>0</v>
      </c>
      <c r="AE59" s="14">
        <f t="shared" si="43"/>
        <v>-108.72670963122164</v>
      </c>
      <c r="AF59" s="91">
        <f t="shared" si="9"/>
        <v>0.96116903227456374</v>
      </c>
      <c r="AG59" s="177"/>
    </row>
    <row r="60" spans="1:33" ht="15.75" customHeight="1">
      <c r="A60" s="174" t="s">
        <v>176</v>
      </c>
      <c r="B60" s="88" t="s">
        <v>22</v>
      </c>
      <c r="C60" s="169" t="s">
        <v>29</v>
      </c>
      <c r="D60" s="169"/>
      <c r="E60" s="28">
        <v>20.52</v>
      </c>
      <c r="F60" s="88">
        <v>3988</v>
      </c>
      <c r="G60" s="88">
        <f t="shared" ref="G60:G65" si="45">E60*F60</f>
        <v>81833.759999999995</v>
      </c>
      <c r="H60" s="30" t="s">
        <v>53</v>
      </c>
      <c r="I60" s="95">
        <v>18</v>
      </c>
      <c r="J60" s="13">
        <v>2400</v>
      </c>
      <c r="K60" s="12">
        <f t="shared" si="1"/>
        <v>133.33333333333334</v>
      </c>
      <c r="L60" s="95">
        <v>18</v>
      </c>
      <c r="M60" s="13">
        <f t="shared" ref="M60:M65" si="46">F60/V60*60</f>
        <v>2300.7692307692309</v>
      </c>
      <c r="N60" s="12">
        <f t="shared" si="3"/>
        <v>127.82051282051283</v>
      </c>
      <c r="O60" s="14">
        <f t="shared" si="4"/>
        <v>0</v>
      </c>
      <c r="P60" s="15">
        <f t="shared" si="5"/>
        <v>-5.512820512820511</v>
      </c>
      <c r="Q60" s="91">
        <f t="shared" si="6"/>
        <v>0.95865384615384619</v>
      </c>
      <c r="R60" s="177">
        <f>Q66</f>
        <v>0.95468452547205518</v>
      </c>
      <c r="S60" s="21">
        <v>8.3333333333333329E-2</v>
      </c>
      <c r="T60" s="21">
        <v>0.15555555555555556</v>
      </c>
      <c r="U60" s="21"/>
      <c r="V60" s="30">
        <f t="shared" ref="V60:V65" si="47">(T60-S60)*24*60</f>
        <v>104</v>
      </c>
      <c r="W60" s="16">
        <f>T60</f>
        <v>0.15555555555555556</v>
      </c>
      <c r="X60" s="16">
        <f>S61</f>
        <v>0.17500000000000002</v>
      </c>
      <c r="Y60" s="16"/>
      <c r="Z60" s="16"/>
      <c r="AA60" s="168"/>
      <c r="AB60" s="168"/>
      <c r="AC60" s="18">
        <v>6</v>
      </c>
      <c r="AD60" s="18"/>
      <c r="AE60" s="14">
        <f t="shared" si="43"/>
        <v>-99.230769230769056</v>
      </c>
      <c r="AF60" s="91">
        <f t="shared" si="9"/>
        <v>0.95865384615384619</v>
      </c>
      <c r="AG60" s="177">
        <f>AF66</f>
        <v>0.95468452547205518</v>
      </c>
    </row>
    <row r="61" spans="1:33" ht="15.75" customHeight="1">
      <c r="A61" s="175" t="s">
        <v>1587</v>
      </c>
      <c r="B61" s="88" t="s">
        <v>22</v>
      </c>
      <c r="C61" s="169" t="s">
        <v>50</v>
      </c>
      <c r="D61" s="169"/>
      <c r="E61" s="28">
        <v>24.45</v>
      </c>
      <c r="F61" s="88">
        <v>2588</v>
      </c>
      <c r="G61" s="88">
        <f t="shared" si="45"/>
        <v>63276.6</v>
      </c>
      <c r="H61" s="30" t="s">
        <v>53</v>
      </c>
      <c r="I61" s="95">
        <v>19</v>
      </c>
      <c r="J61" s="13">
        <v>2400</v>
      </c>
      <c r="K61" s="12">
        <f t="shared" si="1"/>
        <v>126.31578947368421</v>
      </c>
      <c r="L61" s="95">
        <v>19</v>
      </c>
      <c r="M61" s="13">
        <f t="shared" si="46"/>
        <v>2283.5294117647063</v>
      </c>
      <c r="N61" s="12">
        <f t="shared" si="3"/>
        <v>120.18575851393192</v>
      </c>
      <c r="O61" s="14">
        <f t="shared" si="4"/>
        <v>0</v>
      </c>
      <c r="P61" s="15">
        <f t="shared" si="5"/>
        <v>-6.1300309597522897</v>
      </c>
      <c r="Q61" s="91">
        <f t="shared" si="6"/>
        <v>0.9514705882352944</v>
      </c>
      <c r="R61" s="177"/>
      <c r="S61" s="21">
        <v>0.17500000000000002</v>
      </c>
      <c r="T61" s="21">
        <v>0.22222222222222224</v>
      </c>
      <c r="U61" s="88">
        <f t="shared" ref="U61:U65" si="48">(S61-T60)*24*60</f>
        <v>28.000000000000021</v>
      </c>
      <c r="V61" s="30">
        <f t="shared" si="47"/>
        <v>68</v>
      </c>
      <c r="W61" s="16"/>
      <c r="X61" s="16"/>
      <c r="Y61" s="16"/>
      <c r="Z61" s="16"/>
      <c r="AA61" s="168"/>
      <c r="AB61" s="168"/>
      <c r="AC61" s="18"/>
      <c r="AD61" s="18"/>
      <c r="AE61" s="14">
        <f t="shared" si="43"/>
        <v>-116.47058823529369</v>
      </c>
      <c r="AF61" s="91">
        <f t="shared" si="9"/>
        <v>0.95147058823529429</v>
      </c>
      <c r="AG61" s="177"/>
    </row>
    <row r="62" spans="1:33" ht="15.75" customHeight="1">
      <c r="A62" s="175" t="s">
        <v>1587</v>
      </c>
      <c r="B62" s="88" t="s">
        <v>22</v>
      </c>
      <c r="C62" s="169" t="s">
        <v>31</v>
      </c>
      <c r="D62" s="169"/>
      <c r="E62" s="28">
        <v>20.21</v>
      </c>
      <c r="F62" s="88">
        <v>2902</v>
      </c>
      <c r="G62" s="88">
        <f t="shared" si="45"/>
        <v>58649.420000000006</v>
      </c>
      <c r="H62" s="30" t="s">
        <v>53</v>
      </c>
      <c r="I62" s="95">
        <v>15</v>
      </c>
      <c r="J62" s="13">
        <v>2400</v>
      </c>
      <c r="K62" s="12">
        <f t="shared" si="1"/>
        <v>160</v>
      </c>
      <c r="L62" s="95">
        <v>15</v>
      </c>
      <c r="M62" s="13">
        <f t="shared" si="46"/>
        <v>2291.0526315789466</v>
      </c>
      <c r="N62" s="12">
        <f t="shared" si="3"/>
        <v>152.73684210526309</v>
      </c>
      <c r="O62" s="14">
        <f t="shared" si="4"/>
        <v>0</v>
      </c>
      <c r="P62" s="15">
        <f t="shared" si="5"/>
        <v>-7.2631578947369064</v>
      </c>
      <c r="Q62" s="91">
        <f t="shared" si="6"/>
        <v>0.95460526315789429</v>
      </c>
      <c r="R62" s="177"/>
      <c r="S62" s="21">
        <v>0.22569444444444445</v>
      </c>
      <c r="T62" s="21">
        <v>0.27847222222222223</v>
      </c>
      <c r="U62" s="88">
        <f t="shared" si="48"/>
        <v>4.9999999999999822</v>
      </c>
      <c r="V62" s="30">
        <f t="shared" si="47"/>
        <v>76.000000000000014</v>
      </c>
      <c r="W62" s="16"/>
      <c r="X62" s="16"/>
      <c r="Y62" s="16"/>
      <c r="Z62" s="16"/>
      <c r="AA62" s="168"/>
      <c r="AB62" s="168"/>
      <c r="AC62" s="18"/>
      <c r="AD62" s="18"/>
      <c r="AE62" s="14">
        <f t="shared" si="43"/>
        <v>-108.9473684210534</v>
      </c>
      <c r="AF62" s="91">
        <f t="shared" si="9"/>
        <v>0.9546052631578944</v>
      </c>
      <c r="AG62" s="177"/>
    </row>
    <row r="63" spans="1:33" ht="15.75" customHeight="1">
      <c r="A63" s="175" t="s">
        <v>1587</v>
      </c>
      <c r="B63" s="88" t="s">
        <v>22</v>
      </c>
      <c r="C63" s="169" t="s">
        <v>70</v>
      </c>
      <c r="D63" s="169"/>
      <c r="E63" s="28">
        <v>22.69</v>
      </c>
      <c r="F63" s="88">
        <v>5008</v>
      </c>
      <c r="G63" s="88">
        <f t="shared" si="45"/>
        <v>113631.52</v>
      </c>
      <c r="H63" s="30" t="s">
        <v>53</v>
      </c>
      <c r="I63" s="95">
        <v>15</v>
      </c>
      <c r="J63" s="13">
        <v>2400</v>
      </c>
      <c r="K63" s="12">
        <f t="shared" si="1"/>
        <v>160</v>
      </c>
      <c r="L63" s="95">
        <v>15</v>
      </c>
      <c r="M63" s="13">
        <f t="shared" si="46"/>
        <v>2293.740458015267</v>
      </c>
      <c r="N63" s="12">
        <f t="shared" si="3"/>
        <v>152.91603053435114</v>
      </c>
      <c r="O63" s="14">
        <f t="shared" si="4"/>
        <v>0</v>
      </c>
      <c r="P63" s="15">
        <f t="shared" si="5"/>
        <v>-7.0839694656488632</v>
      </c>
      <c r="Q63" s="91">
        <f t="shared" si="6"/>
        <v>0.95572519083969465</v>
      </c>
      <c r="R63" s="177"/>
      <c r="S63" s="21">
        <v>0.28194444444444444</v>
      </c>
      <c r="T63" s="21">
        <v>0.37291666666666667</v>
      </c>
      <c r="U63" s="88">
        <f t="shared" si="48"/>
        <v>4.9999999999999822</v>
      </c>
      <c r="V63" s="30">
        <f t="shared" si="47"/>
        <v>131</v>
      </c>
      <c r="W63" s="16"/>
      <c r="X63" s="16"/>
      <c r="Y63" s="16"/>
      <c r="Z63" s="16"/>
      <c r="AA63" s="168"/>
      <c r="AB63" s="168"/>
      <c r="AC63" s="18"/>
      <c r="AD63" s="18"/>
      <c r="AE63" s="14">
        <f t="shared" si="43"/>
        <v>-106.259541984733</v>
      </c>
      <c r="AF63" s="91">
        <f t="shared" si="9"/>
        <v>0.95572519083969454</v>
      </c>
      <c r="AG63" s="177"/>
    </row>
    <row r="64" spans="1:33" ht="15.75" customHeight="1">
      <c r="A64" s="175" t="s">
        <v>1587</v>
      </c>
      <c r="B64" s="88" t="s">
        <v>22</v>
      </c>
      <c r="C64" s="169" t="s">
        <v>52</v>
      </c>
      <c r="D64" s="169"/>
      <c r="E64" s="28">
        <v>19.02</v>
      </c>
      <c r="F64" s="88">
        <v>5200</v>
      </c>
      <c r="G64" s="88">
        <f t="shared" si="45"/>
        <v>98904</v>
      </c>
      <c r="H64" s="30">
        <v>2</v>
      </c>
      <c r="I64" s="95">
        <v>14</v>
      </c>
      <c r="J64" s="13">
        <v>2400</v>
      </c>
      <c r="K64" s="12">
        <f t="shared" si="1"/>
        <v>171.42857142857142</v>
      </c>
      <c r="L64" s="95">
        <v>14</v>
      </c>
      <c r="M64" s="13">
        <f t="shared" si="46"/>
        <v>2294.1176470588234</v>
      </c>
      <c r="N64" s="12">
        <f t="shared" si="3"/>
        <v>163.8655462184874</v>
      </c>
      <c r="O64" s="14">
        <f t="shared" si="4"/>
        <v>0</v>
      </c>
      <c r="P64" s="15">
        <f t="shared" si="5"/>
        <v>-7.563025210084021</v>
      </c>
      <c r="Q64" s="91">
        <f t="shared" si="6"/>
        <v>0.95588235294117652</v>
      </c>
      <c r="R64" s="177"/>
      <c r="S64" s="21">
        <v>0.37847222222222221</v>
      </c>
      <c r="T64" s="21">
        <v>0.47291666666666665</v>
      </c>
      <c r="U64" s="88">
        <f t="shared" si="48"/>
        <v>7.9999999999999716</v>
      </c>
      <c r="V64" s="30">
        <f t="shared" si="47"/>
        <v>136</v>
      </c>
      <c r="W64" s="16">
        <f>T64</f>
        <v>0.47291666666666665</v>
      </c>
      <c r="X64" s="16">
        <f>S65</f>
        <v>0.51180555555555551</v>
      </c>
      <c r="Y64" s="16"/>
      <c r="Z64" s="16"/>
      <c r="AA64" s="168"/>
      <c r="AB64" s="168"/>
      <c r="AC64" s="18"/>
      <c r="AD64" s="18"/>
      <c r="AE64" s="14">
        <f t="shared" si="43"/>
        <v>-105.88235294117658</v>
      </c>
      <c r="AF64" s="91">
        <f t="shared" si="9"/>
        <v>0.95588235294117641</v>
      </c>
      <c r="AG64" s="177"/>
    </row>
    <row r="65" spans="1:33" ht="15.75" customHeight="1">
      <c r="A65" s="175" t="s">
        <v>1587</v>
      </c>
      <c r="B65" s="88" t="s">
        <v>22</v>
      </c>
      <c r="C65" s="169" t="s">
        <v>52</v>
      </c>
      <c r="D65" s="169"/>
      <c r="E65" s="28">
        <v>19.02</v>
      </c>
      <c r="F65" s="88">
        <v>4302</v>
      </c>
      <c r="G65" s="88">
        <f t="shared" si="45"/>
        <v>81824.039999999994</v>
      </c>
      <c r="H65" s="30" t="s">
        <v>53</v>
      </c>
      <c r="I65" s="95">
        <v>14</v>
      </c>
      <c r="J65" s="13">
        <v>2400</v>
      </c>
      <c r="K65" s="12">
        <f t="shared" si="1"/>
        <v>171.42857142857142</v>
      </c>
      <c r="L65" s="95">
        <v>14</v>
      </c>
      <c r="M65" s="13">
        <f t="shared" si="46"/>
        <v>2284.2477876106213</v>
      </c>
      <c r="N65" s="12">
        <f t="shared" si="3"/>
        <v>163.16055625790153</v>
      </c>
      <c r="O65" s="14">
        <f t="shared" si="4"/>
        <v>0</v>
      </c>
      <c r="P65" s="15">
        <f t="shared" si="5"/>
        <v>-8.2680151706698837</v>
      </c>
      <c r="Q65" s="91">
        <f t="shared" si="6"/>
        <v>0.95176991150442569</v>
      </c>
      <c r="R65" s="177"/>
      <c r="S65" s="21">
        <v>0.51180555555555551</v>
      </c>
      <c r="T65" s="21">
        <v>0.59027777777777768</v>
      </c>
      <c r="U65" s="88">
        <f t="shared" si="48"/>
        <v>55.999999999999957</v>
      </c>
      <c r="V65" s="30">
        <f t="shared" si="47"/>
        <v>112.99999999999991</v>
      </c>
      <c r="W65" s="16"/>
      <c r="X65" s="16"/>
      <c r="Y65" s="16"/>
      <c r="Z65" s="16"/>
      <c r="AA65" s="168"/>
      <c r="AB65" s="168"/>
      <c r="AC65" s="18"/>
      <c r="AD65" s="18"/>
      <c r="AE65" s="14">
        <f t="shared" si="43"/>
        <v>-115.75221238937866</v>
      </c>
      <c r="AF65" s="91">
        <f t="shared" si="9"/>
        <v>0.95176991150442558</v>
      </c>
      <c r="AG65" s="177"/>
    </row>
    <row r="66" spans="1:33" ht="16.5" customHeight="1">
      <c r="A66" s="176" t="s">
        <v>1587</v>
      </c>
      <c r="B66" s="28" t="s">
        <v>1573</v>
      </c>
      <c r="C66" s="165"/>
      <c r="D66" s="166"/>
      <c r="E66" s="92"/>
      <c r="F66" s="12"/>
      <c r="G66" s="12"/>
      <c r="H66" s="88"/>
      <c r="I66" s="23">
        <v>15.833333333333334</v>
      </c>
      <c r="J66" s="13">
        <v>2400</v>
      </c>
      <c r="K66" s="12">
        <f t="shared" si="1"/>
        <v>151.57894736842104</v>
      </c>
      <c r="L66" s="23">
        <v>15.833333333333334</v>
      </c>
      <c r="M66" s="13">
        <f>AVERAGE(M60:M65)</f>
        <v>2291.2428611329324</v>
      </c>
      <c r="N66" s="12">
        <f t="shared" si="3"/>
        <v>144.71007543997467</v>
      </c>
      <c r="O66" s="14">
        <f t="shared" si="4"/>
        <v>0</v>
      </c>
      <c r="P66" s="15">
        <f t="shared" si="5"/>
        <v>-6.8688719284463673</v>
      </c>
      <c r="Q66" s="91">
        <f t="shared" si="6"/>
        <v>0.95468452547205518</v>
      </c>
      <c r="R66" s="177"/>
      <c r="S66" s="21"/>
      <c r="T66" s="21"/>
      <c r="U66" s="12"/>
      <c r="V66" s="30"/>
      <c r="W66" s="12"/>
      <c r="X66" s="12"/>
      <c r="Y66" s="24">
        <f>SUM(Y60:Y65)</f>
        <v>0</v>
      </c>
      <c r="Z66" s="24">
        <f>SUM(Z60:Z65)</f>
        <v>0</v>
      </c>
      <c r="AA66" s="167"/>
      <c r="AB66" s="167"/>
      <c r="AC66" s="24">
        <f>SUM(AC60:AC65)</f>
        <v>6</v>
      </c>
      <c r="AD66" s="24">
        <f>SUM(AD60:AD65)</f>
        <v>0</v>
      </c>
      <c r="AE66" s="14">
        <f t="shared" si="43"/>
        <v>-108.75713886706762</v>
      </c>
      <c r="AF66" s="91">
        <f t="shared" si="9"/>
        <v>0.95468452547205518</v>
      </c>
      <c r="AG66" s="177"/>
    </row>
    <row r="67" spans="1:33">
      <c r="D67" s="87"/>
      <c r="E67" s="87"/>
    </row>
  </sheetData>
  <mergeCells count="185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A13:A17"/>
    <mergeCell ref="C13:D13"/>
    <mergeCell ref="R13:R17"/>
    <mergeCell ref="AA13:AB13"/>
    <mergeCell ref="AG13:AG17"/>
    <mergeCell ref="C14:D14"/>
    <mergeCell ref="AA14:AB14"/>
    <mergeCell ref="C15:D15"/>
    <mergeCell ref="AA15:AB15"/>
    <mergeCell ref="C16:D16"/>
    <mergeCell ref="A18:A24"/>
    <mergeCell ref="C18:D18"/>
    <mergeCell ref="R18:R24"/>
    <mergeCell ref="AA18:AB18"/>
    <mergeCell ref="AA23:AB23"/>
    <mergeCell ref="C24:D24"/>
    <mergeCell ref="AA24:AB24"/>
    <mergeCell ref="A25:A31"/>
    <mergeCell ref="C25:D25"/>
    <mergeCell ref="R25:R31"/>
    <mergeCell ref="AA25:AB25"/>
    <mergeCell ref="C38:D38"/>
    <mergeCell ref="AA38:AB38"/>
    <mergeCell ref="AG18:AG24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A30:AB30"/>
    <mergeCell ref="C31:D31"/>
    <mergeCell ref="AA31:AB31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A39:A45"/>
    <mergeCell ref="C39:D39"/>
    <mergeCell ref="R39:R45"/>
    <mergeCell ref="AA39:AB39"/>
    <mergeCell ref="A46:A53"/>
    <mergeCell ref="C46:D46"/>
    <mergeCell ref="R46:R53"/>
    <mergeCell ref="AA46:AB46"/>
    <mergeCell ref="AG25:AG31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C30:D30"/>
    <mergeCell ref="A32:A38"/>
    <mergeCell ref="C32:D32"/>
    <mergeCell ref="R32:R38"/>
    <mergeCell ref="AA32:AB32"/>
    <mergeCell ref="AG32:AG38"/>
    <mergeCell ref="C33:D33"/>
    <mergeCell ref="AG39:AG45"/>
    <mergeCell ref="C40:D40"/>
    <mergeCell ref="AA40:AB40"/>
    <mergeCell ref="C41:D41"/>
    <mergeCell ref="AA41:AB41"/>
    <mergeCell ref="C42:D42"/>
    <mergeCell ref="C44:D44"/>
    <mergeCell ref="AA44:AB44"/>
    <mergeCell ref="C45:D45"/>
    <mergeCell ref="AA45:AB45"/>
    <mergeCell ref="AA42:AB42"/>
    <mergeCell ref="C43:D43"/>
    <mergeCell ref="AA43:AB43"/>
    <mergeCell ref="AG54:AG59"/>
    <mergeCell ref="C55:D55"/>
    <mergeCell ref="AA55:AB55"/>
    <mergeCell ref="C56:D56"/>
    <mergeCell ref="AA56:AB56"/>
    <mergeCell ref="C57:D57"/>
    <mergeCell ref="AA50:AB50"/>
    <mergeCell ref="C51:D51"/>
    <mergeCell ref="AA51:AB51"/>
    <mergeCell ref="C52:D52"/>
    <mergeCell ref="AA52:AB52"/>
    <mergeCell ref="C53:D53"/>
    <mergeCell ref="AA53:AB53"/>
    <mergeCell ref="AA57:AB57"/>
    <mergeCell ref="C58:D58"/>
    <mergeCell ref="AA58:AB58"/>
    <mergeCell ref="C59:D59"/>
    <mergeCell ref="AA59:AB59"/>
    <mergeCell ref="AG46:AG53"/>
    <mergeCell ref="C47:D47"/>
    <mergeCell ref="AA47:AB47"/>
    <mergeCell ref="C48:D48"/>
    <mergeCell ref="AA48:AB48"/>
    <mergeCell ref="AA49:AB49"/>
    <mergeCell ref="A60:A66"/>
    <mergeCell ref="C60:D60"/>
    <mergeCell ref="R60:R66"/>
    <mergeCell ref="AA60:AB60"/>
    <mergeCell ref="AA65:AB65"/>
    <mergeCell ref="A54:A59"/>
    <mergeCell ref="C54:D54"/>
    <mergeCell ref="R54:R59"/>
    <mergeCell ref="AA54:AB54"/>
    <mergeCell ref="C66:D66"/>
    <mergeCell ref="AA66:AB66"/>
    <mergeCell ref="AG60:AG66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</mergeCells>
  <phoneticPr fontId="3" type="noConversion"/>
  <conditionalFormatting sqref="O5:O66">
    <cfRule type="cellIs" dxfId="130" priority="9" operator="greaterThan">
      <formula>0</formula>
    </cfRule>
  </conditionalFormatting>
  <conditionalFormatting sqref="P5:P66">
    <cfRule type="cellIs" dxfId="129" priority="1" operator="lessThan">
      <formula>0</formula>
    </cfRule>
  </conditionalFormatting>
  <conditionalFormatting sqref="Q5:Q66 AF5:AF66">
    <cfRule type="cellIs" dxfId="128" priority="10" operator="greaterThan">
      <formula>1</formula>
    </cfRule>
    <cfRule type="cellIs" dxfId="127" priority="11" operator="lessThan">
      <formula>0.8</formula>
    </cfRule>
  </conditionalFormatting>
  <conditionalFormatting sqref="R5:R9 AG5:AG9">
    <cfRule type="cellIs" dxfId="126" priority="42" operator="lessThan">
      <formula>0.8</formula>
    </cfRule>
  </conditionalFormatting>
  <conditionalFormatting sqref="AE5:AE66">
    <cfRule type="cellIs" dxfId="125" priority="12" operator="lessThan">
      <formula>0</formula>
    </cfRule>
  </conditionalFormatting>
  <conditionalFormatting sqref="AG13:AG57 R13:R66">
    <cfRule type="cellIs" dxfId="124" priority="13" operator="lessThan">
      <formula>0.8</formula>
    </cfRule>
  </conditionalFormatting>
  <dataValidations count="1">
    <dataValidation type="list" allowBlank="1" showInputMessage="1" showErrorMessage="1" sqref="AB8 AA5:AB7 AB58 AA8:AA58 AB10:AB54 AA59:AB66" xr:uid="{00000000-0002-0000-1D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Q32"/>
  <sheetViews>
    <sheetView zoomScale="85" zoomScaleNormal="85" workbookViewId="0">
      <selection activeCell="G9" sqref="G9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1387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1388</v>
      </c>
      <c r="C3" s="154" t="str">
        <f>TEXT('0415 4度C'!A2,"yyyy.mm.ddaaaa")</f>
        <v>2026.04.15星期三</v>
      </c>
      <c r="D3" s="155"/>
      <c r="E3" s="33" t="s">
        <v>1389</v>
      </c>
      <c r="F3" s="156">
        <f>'0415 4度C'!D1</f>
        <v>163806</v>
      </c>
      <c r="G3" s="157"/>
      <c r="H3" s="33" t="s">
        <v>1390</v>
      </c>
      <c r="I3" s="158">
        <f>'0415 4度C'!F1</f>
        <v>5472905.2299999995</v>
      </c>
      <c r="J3" s="159"/>
      <c r="K3" s="34"/>
      <c r="L3" s="35"/>
      <c r="M3" s="35"/>
      <c r="N3" s="35"/>
    </row>
    <row r="4" spans="2:17" ht="28.5" customHeight="1">
      <c r="B4" s="160" t="s">
        <v>1391</v>
      </c>
      <c r="C4" s="146" t="s">
        <v>1392</v>
      </c>
      <c r="D4" s="147"/>
      <c r="E4" s="163" t="s">
        <v>1393</v>
      </c>
      <c r="F4" s="164"/>
      <c r="G4" s="163" t="s">
        <v>1394</v>
      </c>
      <c r="H4" s="164"/>
      <c r="I4" s="163" t="s">
        <v>1395</v>
      </c>
      <c r="J4" s="164"/>
      <c r="K4" s="144" t="s">
        <v>1396</v>
      </c>
      <c r="L4" s="145"/>
      <c r="M4" s="145" t="s">
        <v>1397</v>
      </c>
      <c r="N4" s="145"/>
    </row>
    <row r="5" spans="2:17" ht="28.5" customHeight="1">
      <c r="B5" s="161"/>
      <c r="C5" s="146" t="s">
        <v>1398</v>
      </c>
      <c r="D5" s="147"/>
      <c r="E5" s="146" t="s">
        <v>1399</v>
      </c>
      <c r="F5" s="147"/>
      <c r="G5" s="148" t="s">
        <v>1400</v>
      </c>
      <c r="H5" s="149"/>
      <c r="I5" s="150" t="s">
        <v>1401</v>
      </c>
      <c r="J5" s="151"/>
      <c r="K5" s="36" t="s">
        <v>1402</v>
      </c>
      <c r="L5" s="37" t="s">
        <v>1403</v>
      </c>
      <c r="M5" s="36" t="s">
        <v>1404</v>
      </c>
      <c r="N5" s="37" t="s">
        <v>1405</v>
      </c>
    </row>
    <row r="6" spans="2:17" ht="28.5" customHeight="1">
      <c r="B6" s="161"/>
      <c r="C6" s="146" t="s">
        <v>54</v>
      </c>
      <c r="D6" s="147"/>
      <c r="E6" s="138">
        <f>AVERAGE(D13:M13)</f>
        <v>156.15659587062814</v>
      </c>
      <c r="F6" s="139">
        <f>AVERAGE(D31:O31,D13:J13)</f>
        <v>161.89759006049331</v>
      </c>
      <c r="G6" s="140">
        <f>AVERAGE(D13:J13)</f>
        <v>161.89759006049331</v>
      </c>
      <c r="H6" s="141"/>
      <c r="I6" s="140">
        <f>AVERAGE(K13:M13)</f>
        <v>142.76094276094275</v>
      </c>
      <c r="J6" s="141"/>
      <c r="K6" s="142">
        <f>'0415 4度C'!Y2</f>
        <v>0</v>
      </c>
      <c r="L6" s="127">
        <f>'0415 4度C'!Z2</f>
        <v>0</v>
      </c>
      <c r="M6" s="143">
        <f>'0415 4度C'!AC2</f>
        <v>61</v>
      </c>
      <c r="N6" s="127">
        <f>'0415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149.72881767161735</v>
      </c>
      <c r="F7" s="131">
        <f>AVERAGE(D32:O32,D14:J14)</f>
        <v>155.27216141342328</v>
      </c>
      <c r="G7" s="132">
        <f>AVERAGE(D14:J14)</f>
        <v>155.27216141342328</v>
      </c>
      <c r="H7" s="133"/>
      <c r="I7" s="132">
        <f>AVERAGE(K14:M14)</f>
        <v>136.79434894073677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0.95910252359094927</v>
      </c>
      <c r="F8" s="135">
        <f>AVERAGE(D15:J15,D33:O33)</f>
        <v>0.95947990645102188</v>
      </c>
      <c r="G8" s="136">
        <f>AVERAGE(D15:J15)</f>
        <v>0.95947990645102188</v>
      </c>
      <c r="H8" s="137"/>
      <c r="I8" s="136">
        <f>AVERAGE(K15:M15)</f>
        <v>0.95822196358411338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1406</v>
      </c>
      <c r="N9" s="35"/>
      <c r="O9" s="35"/>
      <c r="P9" s="35"/>
      <c r="Q9" s="35"/>
    </row>
    <row r="10" spans="2:17" ht="30" customHeight="1">
      <c r="B10" s="110" t="s">
        <v>1407</v>
      </c>
      <c r="C10" s="111"/>
      <c r="D10" s="112" t="s">
        <v>1408</v>
      </c>
      <c r="E10" s="113"/>
      <c r="F10" s="113"/>
      <c r="G10" s="113"/>
      <c r="H10" s="113"/>
      <c r="I10" s="113"/>
      <c r="J10" s="114"/>
      <c r="K10" s="115" t="s">
        <v>1409</v>
      </c>
      <c r="L10" s="116"/>
      <c r="M10" s="117"/>
      <c r="P10" s="41"/>
      <c r="Q10" s="41"/>
    </row>
    <row r="11" spans="2:17" ht="17.25" customHeight="1">
      <c r="B11" s="118" t="s">
        <v>1410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1411</v>
      </c>
      <c r="C13" s="48" t="s">
        <v>1412</v>
      </c>
      <c r="D13" s="49">
        <f>SUMIFS('0415 4度C'!$K:$K,'0415 4度C'!$A:$A,"新豐6線",'0415 4度C'!$B:$B,"平均")</f>
        <v>119.40298507462687</v>
      </c>
      <c r="E13" s="50">
        <f>SUMIFS('0415 4度C'!$K:$K,'0415 4度C'!$A:$A,"新豐2線",'0415 4度C'!$B:$B,"平均")</f>
        <v>84.905660377358487</v>
      </c>
      <c r="F13" s="51">
        <f>SUMIFS('0415 4度C'!$K:$K,'0415 4度C'!$A:$A,"新豐5線",'0415 4度C'!$B:$B,"平均")</f>
        <v>105.50458715596331</v>
      </c>
      <c r="G13" s="51">
        <f>SUMIFS('0415 4度C'!$K:$K,'0415 4度C'!$A:$A,"新豐7線",'0415 4度C'!$B:$B,"平均")</f>
        <v>127.35849056603774</v>
      </c>
      <c r="H13" s="51">
        <f>SUMIFS('0415 4度C'!$K:$K,'0415 4度C'!$A:$A,"新豐3線",'0415 4度C'!$B:$B,"平均")</f>
        <v>313.43283582089555</v>
      </c>
      <c r="I13" s="51">
        <f>SUMIFS('0415 4度C'!$K:$K,'0415 4度C'!$A:$A,"新豐1線",'0415 4度C'!$B:$B,"平均")</f>
        <v>102.67857142857143</v>
      </c>
      <c r="J13" s="52">
        <f>SUMIFS('0415 4度C'!$K:$K,'0415 4度C'!$A:$A,"新豐10線",'0415 4度C'!$B:$B,"平均")</f>
        <v>280</v>
      </c>
      <c r="K13" s="53">
        <f>SUMIFS('0415 4度C'!$K:$K,'0415 4度C'!$A:$A,"新豐8線",'0415 4度C'!$B:$B,"平均")</f>
        <v>133.33333333333334</v>
      </c>
      <c r="L13" s="54">
        <f>SUMIFS('0415 4度C'!$K:$K,'0415 4度C'!$A:$A,"新豐9線",'0415 4度C'!$B:$B,"平均")</f>
        <v>142.22222222222223</v>
      </c>
      <c r="M13" s="52">
        <f>SUMIFS('0415 4度C'!$K:$K,'0415 4度C'!$A:$A,"新豐4線",'0415 4度C'!$B:$B,"平均")</f>
        <v>152.72727272727275</v>
      </c>
    </row>
    <row r="14" spans="2:17" ht="39.6" customHeight="1">
      <c r="B14" s="123"/>
      <c r="C14" s="55" t="s">
        <v>1413</v>
      </c>
      <c r="D14" s="56">
        <f>SUMIFS('0415 4度C'!$N:$N,'0415 4度C'!$A:$A,"新豐6線",'0415 4度C'!$B:$B,"平均")</f>
        <v>114.92238661294374</v>
      </c>
      <c r="E14" s="57">
        <f>SUMIFS('0415 4度C'!$N:$N,'0415 4度C'!$A:$A,"新豐2線",'0415 4度C'!$B:$B,"平均")</f>
        <v>81.040592897513392</v>
      </c>
      <c r="F14" s="57">
        <f>SUMIFS('0415 4度C'!$N:$N,'0415 4度C'!$A:$A,"新豐5線",'0415 4度C'!$B:$B,"平均")</f>
        <v>101.4709559604288</v>
      </c>
      <c r="G14" s="57">
        <f>SUMIFS('0415 4度C'!$N:$N,'0415 4度C'!$A:$A,"新豐7線",'0415 4度C'!$B:$B,"平均")</f>
        <v>121.94688029019096</v>
      </c>
      <c r="H14" s="57">
        <f>SUMIFS('0415 4度C'!$N:$N,'0415 4度C'!$A:$A,"新豐3線",'0415 4度C'!$B:$B,"平均")</f>
        <v>299.3366727907611</v>
      </c>
      <c r="I14" s="57">
        <f>SUMIFS('0415 4度C'!$N:$N,'0415 4度C'!$A:$A,"新豐1線",'0415 4度C'!$B:$B,"平均")</f>
        <v>98.926124858608574</v>
      </c>
      <c r="J14" s="58">
        <f>SUMIFS('0415 4度C'!$N:$N,'0415 4度C'!$A:$A,"新豐10線",'0415 4度C'!$B:$B,"平均")</f>
        <v>269.26151648351646</v>
      </c>
      <c r="K14" s="59">
        <f>SUMIFS('0415 4度C'!$N:$N,'0415 4度C'!$A:$A,"新豐8線",'0415 4度C'!$B:$B,"平均")</f>
        <v>127.73613712481455</v>
      </c>
      <c r="L14" s="60">
        <f>SUMIFS('0415 4度C'!$N:$N,'0415 4度C'!$A:$A,"新豐9線",'0415 4度C'!$B:$B,"平均")</f>
        <v>136.42752248604904</v>
      </c>
      <c r="M14" s="58">
        <f>SUMIFS('0415 4度C'!$N:$N,'0415 4度C'!$A:$A,"新豐4線",'0415 4度C'!$B:$B,"平均")</f>
        <v>146.21938721134671</v>
      </c>
    </row>
    <row r="15" spans="2:17" ht="40.15" customHeight="1">
      <c r="B15" s="124"/>
      <c r="C15" s="61" t="s">
        <v>1414</v>
      </c>
      <c r="D15" s="62">
        <f t="shared" ref="D15:M15" si="0">D14/D13</f>
        <v>0.9624749878834038</v>
      </c>
      <c r="E15" s="63">
        <f t="shared" si="0"/>
        <v>0.95447809412626883</v>
      </c>
      <c r="F15" s="63">
        <f t="shared" si="0"/>
        <v>0.96176819127710766</v>
      </c>
      <c r="G15" s="63">
        <f t="shared" si="0"/>
        <v>0.95750883783409191</v>
      </c>
      <c r="H15" s="63">
        <f t="shared" si="0"/>
        <v>0.95502652747528538</v>
      </c>
      <c r="I15" s="63">
        <f t="shared" si="0"/>
        <v>0.96345443340557912</v>
      </c>
      <c r="J15" s="64">
        <f t="shared" si="0"/>
        <v>0.9616482731554159</v>
      </c>
      <c r="K15" s="62">
        <f t="shared" si="0"/>
        <v>0.95802102843610903</v>
      </c>
      <c r="L15" s="63">
        <f t="shared" si="0"/>
        <v>0.95925601748003231</v>
      </c>
      <c r="M15" s="64">
        <f t="shared" si="0"/>
        <v>0.95738884483619857</v>
      </c>
    </row>
    <row r="16" spans="2:17" ht="17.25" customHeight="1">
      <c r="B16" s="125" t="s">
        <v>1415</v>
      </c>
      <c r="C16" s="65" t="s">
        <v>1416</v>
      </c>
      <c r="D16" s="66">
        <f>VLOOKUP("新豐6線",'0415 4度C'!$A:$T,19,0)</f>
        <v>0.70833333333333337</v>
      </c>
      <c r="E16" s="67">
        <f>VLOOKUP("新豐2線",'0415 4度C'!$A:$T,19,0)</f>
        <v>0.20833333333333334</v>
      </c>
      <c r="F16" s="67">
        <f>VLOOKUP("新豐5線",'0415 4度C'!$A:$T,19,0)</f>
        <v>0.20833333333333334</v>
      </c>
      <c r="G16" s="67">
        <f>VLOOKUP("新豐7線",'0415 4度C'!$A:$T,19,0)</f>
        <v>0.3125</v>
      </c>
      <c r="H16" s="67">
        <f>VLOOKUP("新豐3線",'0415 4度C'!$A:$T,19,0)</f>
        <v>8.3333333333333329E-2</v>
      </c>
      <c r="I16" s="67">
        <f>VLOOKUP("新豐1線",'0415 4度C'!$A:$T,19,0)</f>
        <v>0.33333333333333331</v>
      </c>
      <c r="J16" s="68">
        <f>VLOOKUP("新豐10線",'0415 4度C'!$A:$T,19,0)</f>
        <v>0.20833333333333334</v>
      </c>
      <c r="K16" s="69">
        <f>VLOOKUP("新豐8線",'0415 4度C'!$A:$T,19,0)</f>
        <v>8.3333333333333329E-2</v>
      </c>
      <c r="L16" s="70">
        <f>VLOOKUP("新豐9線",'0415 4度C'!$A:$T,19,0)</f>
        <v>8.3333333333333329E-2</v>
      </c>
      <c r="M16" s="71">
        <f>VLOOKUP("新豐4線",'0415 4度C'!$A:$T,19,0)</f>
        <v>8.3333333333333329E-2</v>
      </c>
    </row>
    <row r="17" spans="2:13" ht="17.25" customHeight="1">
      <c r="B17" s="126"/>
      <c r="C17" s="65" t="s">
        <v>1417</v>
      </c>
      <c r="D17" s="69">
        <f>LOOKUP(2,1/(('0415 4度C'!$A:$A="新豐6線")*('0415 4度C'!$T:$T&lt;&gt;"")),'0415 4度C'!$T:$T)</f>
        <v>0.92222222222222217</v>
      </c>
      <c r="E17" s="67">
        <f>LOOKUP(2,1/(('0415 4度C'!$A:$A="新豐2線")*('0415 4度C'!$T:$T&lt;&gt;"")),'0415 4度C'!$T:$T)</f>
        <v>0.61319444444444438</v>
      </c>
      <c r="F17" s="67">
        <f>LOOKUP(2,1/(('0415 4度C'!$A:$A="新豐5線")*('0415 4度C'!$T:$T&lt;&gt;"")),'0415 4度C'!$T:$T)</f>
        <v>0.89166666666666672</v>
      </c>
      <c r="G17" s="67">
        <f>LOOKUP(2,1/(('0415 4度C'!$A:$A="新豐7線")*('0415 4度C'!$T:$T&lt;&gt;"")),'0415 4度C'!$T:$T)</f>
        <v>0.90347222222222212</v>
      </c>
      <c r="H17" s="67">
        <f>LOOKUP(2,1/(('0415 4度C'!$A:$A="新豐3線")*('0415 4度C'!$T:$T&lt;&gt;"")),'0415 4度C'!$T:$T)</f>
        <v>0.55694444444444435</v>
      </c>
      <c r="I17" s="67">
        <f>LOOKUP(2,1/(('0415 4度C'!$A:$A="新豐1線")*('0415 4度C'!$T:$T&lt;&gt;"")),'0415 4度C'!$T:$T)</f>
        <v>0.81805555555555554</v>
      </c>
      <c r="J17" s="68">
        <f>LOOKUP(2,1/(('0415 4度C'!$A:$A="新豐10線")*('0415 4度C'!$T:$T&lt;&gt;"")),'0415 4度C'!$T:$T)</f>
        <v>0.36736111111111108</v>
      </c>
      <c r="K17" s="66">
        <f>LOOKUP(2,1/(('0415 4度C'!$A:$A="新豐8線")*('0415 4度C'!$T:$T&lt;&gt;"")),'0415 4度C'!$T:$T)</f>
        <v>0.63749999999999984</v>
      </c>
      <c r="L17" s="67">
        <f>LOOKUP(2,1/(('0415 4度C'!$A:$A="新豐9線")*('0415 4度C'!$T:$T&lt;&gt;"")),'0415 4度C'!$T:$T)</f>
        <v>0.64027777777777761</v>
      </c>
      <c r="M17" s="68">
        <f>LOOKUP(2,1/(('0415 4度C'!$A:$A="新豐4線")*('0415 4度C'!$T:$T&lt;&gt;"")),'0415 4度C'!$T:$T)</f>
        <v>0.61388888888888882</v>
      </c>
    </row>
    <row r="18" spans="2:13" ht="17.25" customHeight="1">
      <c r="B18" s="104" t="s">
        <v>1418</v>
      </c>
      <c r="C18" s="72" t="s">
        <v>1419</v>
      </c>
      <c r="D18" s="73">
        <f>SUMIFS('0415 4度C'!$Y:$Y,'0415 4度C'!$A:$A,"新豐6線",'0415 4度C'!$B:$B,"平均")</f>
        <v>0</v>
      </c>
      <c r="E18" s="74">
        <f>SUMIFS('0415 4度C'!$Y:$Y,'0415 4度C'!$A:$A,"新豐2線",'0415 4度C'!$B:$B,"平均")</f>
        <v>0</v>
      </c>
      <c r="F18" s="74">
        <f>SUMIFS('0415 4度C'!$Y:$Y,'0415 4度C'!$A:$A,"新豐5線",'0415 4度C'!$B:$B,"平均")</f>
        <v>0</v>
      </c>
      <c r="G18" s="74">
        <f>SUMIFS('0415 4度C'!$Y:$Y,'0415 4度C'!$A:$A,"新豐7線",'0415 4度C'!$B:$B,"平均")</f>
        <v>0</v>
      </c>
      <c r="H18" s="74">
        <f>SUMIFS('0415 4度C'!$Y:$Y,'0415 4度C'!$A:$A,"新豐3線",'0415 4度C'!$B:$B,"平均")</f>
        <v>0</v>
      </c>
      <c r="I18" s="74">
        <f>SUMIFS('0415 4度C'!$Y:$Y,'0415 4度C'!$A:$A,"新豐1線",'0415 4度C'!$B:$B,"平均")</f>
        <v>0</v>
      </c>
      <c r="J18" s="75">
        <f>SUMIFS('0415 4度C'!$Y:$Y,'0415 4度C'!$A:$A,"新豐10線",'0415 4度C'!$B:$B,"平均")</f>
        <v>0</v>
      </c>
      <c r="K18" s="76">
        <f>SUMIFS('0415 4度C'!$Y:$Y,'0415 4度C'!$A:$A,"新豐8線",'0415 4度C'!$B:$B,"平均")</f>
        <v>0</v>
      </c>
      <c r="L18" s="74">
        <f>SUMIFS('0415 4度C'!$Y:$Y,'0415 4度C'!$A:$A,"新豐9線",'0415 4度C'!$B:$B,"平均")</f>
        <v>0</v>
      </c>
      <c r="M18" s="75">
        <f>SUMIFS('0415 4度C'!$Y:$Y,'0415 4度C'!$A:$A,"新豐4線",'0415 4度C'!$B:$B,"平均")</f>
        <v>0</v>
      </c>
    </row>
    <row r="19" spans="2:13" ht="17.25" customHeight="1">
      <c r="B19" s="105"/>
      <c r="C19" s="72" t="s">
        <v>1420</v>
      </c>
      <c r="D19" s="73">
        <f>SUMIFS('0415 4度C'!$Z:$Z,'0415 4度C'!$A:$A,"新豐6線",'0415 4度C'!$B:$B,"平均")</f>
        <v>0</v>
      </c>
      <c r="E19" s="74">
        <f>SUMIFS('0415 4度C'!$Z:$Z,'0415 4度C'!$A:$A,"新豐2線",'0415 4度C'!$B:$B,"平均")</f>
        <v>0</v>
      </c>
      <c r="F19" s="74">
        <f>SUMIFS('0415 4度C'!$Z:$Z,'0415 4度C'!$A:$A,"新豐5線",'0415 4度C'!$B:$B,"平均")</f>
        <v>0</v>
      </c>
      <c r="G19" s="74">
        <f>SUMIFS('0415 4度C'!$Z:$Z,'0415 4度C'!$A:$A,"新豐7線",'0415 4度C'!$B:$B,"平均")</f>
        <v>0</v>
      </c>
      <c r="H19" s="74">
        <f>SUMIFS('0415 4度C'!$Z:$Z,'0415 4度C'!$A:$A,"新豐3線",'0415 4度C'!$B:$B,"平均")</f>
        <v>0</v>
      </c>
      <c r="I19" s="74">
        <f>SUMIFS('0415 4度C'!$Z:$Z,'0415 4度C'!$A:$A,"新豐1線",'0415 4度C'!$B:$B,"平均")</f>
        <v>0</v>
      </c>
      <c r="J19" s="75">
        <f>SUMIFS('0415 4度C'!$Z:$Z,'0415 4度C'!$A:$A,"新豐10線",'0415 4度C'!$B:$B,"平均")</f>
        <v>0</v>
      </c>
      <c r="K19" s="76">
        <f>SUMIFS('0415 4度C'!$Z:$Z,'0415 4度C'!$A:$A,"新豐8線",'0415 4度C'!$B:$B,"平均")</f>
        <v>0</v>
      </c>
      <c r="L19" s="74">
        <f>SUMIFS('0415 4度C'!$Z:$Z,'0415 4度C'!$A:$A,"新豐9線",'0415 4度C'!$B:$B,"平均")</f>
        <v>0</v>
      </c>
      <c r="M19" s="75">
        <f>SUMIFS('0415 4度C'!$Z:$Z,'0415 4度C'!$A:$A,"新豐4線",'0415 4度C'!$B:$B,"平均")</f>
        <v>0</v>
      </c>
    </row>
    <row r="20" spans="2:13" ht="17.25" customHeight="1">
      <c r="B20" s="104" t="s">
        <v>1421</v>
      </c>
      <c r="C20" s="72" t="s">
        <v>1419</v>
      </c>
      <c r="D20" s="73">
        <f>SUMIFS('0415 4度C'!$AC:$AC,'0415 4度C'!$A:$A,"新豐6線",'0415 4度C'!$B:$B,"平均")</f>
        <v>4</v>
      </c>
      <c r="E20" s="74">
        <f>SUMIFS('0415 4度C'!$AC:$AC,'0415 4度C'!$A:$A,"新豐2線",'0415 4度C'!$B:$B,"平均")</f>
        <v>3</v>
      </c>
      <c r="F20" s="74">
        <f>SUMIFS('0415 4度C'!$AC:$AC,'0415 4度C'!$A:$A,"新豐5線",'0415 4度C'!$B:$B,"平均")</f>
        <v>6</v>
      </c>
      <c r="G20" s="74">
        <f>SUMIFS('0415 4度C'!$AC:$AC,'0415 4度C'!$A:$A,"新豐7線",'0415 4度C'!$B:$B,"平均")</f>
        <v>7</v>
      </c>
      <c r="H20" s="74">
        <f>SUMIFS('0415 4度C'!$AC:$AC,'0415 4度C'!$A:$A,"新豐3線",'0415 4度C'!$B:$B,"平均")</f>
        <v>7</v>
      </c>
      <c r="I20" s="74">
        <f>SUMIFS('0415 4度C'!$AC:$AC,'0415 4度C'!$A:$A,"新豐1線",'0415 4度C'!$B:$B,"平均")</f>
        <v>6</v>
      </c>
      <c r="J20" s="75">
        <f>SUMIFS('0415 4度C'!$AC:$AC,'0415 4度C'!$A:$A,"新豐10線",'0415 4度C'!$B:$B,"平均")</f>
        <v>5</v>
      </c>
      <c r="K20" s="76">
        <f>SUMIFS('0415 4度C'!$AC:$AC,'0415 4度C'!$A:$A,"新豐8線",'0415 4度C'!$B:$B,"平均")</f>
        <v>8</v>
      </c>
      <c r="L20" s="74">
        <f>SUMIFS('0415 4度C'!$AC:$AC,'0415 4度C'!$A:$A,"新豐9線",'0415 4度C'!$B:$B,"平均")</f>
        <v>8</v>
      </c>
      <c r="M20" s="75">
        <f>SUMIFS('0415 4度C'!$AC:$AC,'0415 4度C'!$A:$A,"新豐4線",'0415 4度C'!$B:$B,"平均")</f>
        <v>7</v>
      </c>
    </row>
    <row r="21" spans="2:13" ht="17.25" customHeight="1">
      <c r="B21" s="105"/>
      <c r="C21" s="72" t="s">
        <v>1422</v>
      </c>
      <c r="D21" s="73">
        <f>SUMIFS('0415 4度C'!$AD:$AD,'0415 4度C'!$A:$A,"新豐6線",'0415 4度C'!$B:$B,"平均")</f>
        <v>0</v>
      </c>
      <c r="E21" s="74">
        <f>SUMIFS('0415 4度C'!$AD:$AD,'0415 4度C'!$A:$A,"新豐2線",'0415 4度C'!$B:$B,"平均")</f>
        <v>0</v>
      </c>
      <c r="F21" s="74">
        <f>SUMIFS('0415 4度C'!$AD:$AD,'0415 4度C'!$A:$A,"新豐5線",'0415 4度C'!$B:$B,"平均")</f>
        <v>0</v>
      </c>
      <c r="G21" s="74">
        <f>SUMIFS('0415 4度C'!$AD:$AD,'0415 4度C'!$A:$A,"新豐7線",'0415 4度C'!$B:$B,"平均")</f>
        <v>0</v>
      </c>
      <c r="H21" s="74">
        <f>SUMIFS('0415 4度C'!$AD:$AD,'0415 4度C'!$A:$A,"新豐3線",'0415 4度C'!$B:$B,"平均")</f>
        <v>0</v>
      </c>
      <c r="I21" s="74">
        <f>SUMIFS('0415 4度C'!$AD:$AD,'0415 4度C'!$A:$A,"新豐1線",'0415 4度C'!$B:$B,"平均")</f>
        <v>0</v>
      </c>
      <c r="J21" s="75">
        <f>SUMIFS('0415 4度C'!$AD:$AD,'0415 4度C'!$A:$A,"新豐10線",'0415 4度C'!$B:$B,"平均")</f>
        <v>0</v>
      </c>
      <c r="K21" s="76">
        <f>SUMIFS('0415 4度C'!$AD:$AD,'0415 4度C'!$A:$A,"新豐8線",'0415 4度C'!$B:$B,"平均")</f>
        <v>0</v>
      </c>
      <c r="L21" s="74">
        <f>SUMIFS('0415 4度C'!$AD:$AD,'0415 4度C'!$A:$A,"新豐9線",'0415 4度C'!$B:$B,"平均")</f>
        <v>0</v>
      </c>
      <c r="M21" s="75">
        <f>SUMIFS('0415 4度C'!$AD:$AD,'0415 4度C'!$A:$A,"新豐4線",'0415 4度C'!$B:$B,"平均")</f>
        <v>0</v>
      </c>
    </row>
    <row r="22" spans="2:13" ht="17.25" customHeight="1">
      <c r="B22" s="106" t="s">
        <v>1423</v>
      </c>
      <c r="C22" s="107"/>
      <c r="D22" s="77">
        <f>SUMIFS('0415 4度C'!$I:$I,'0415 4度C'!$A:$A,"新豐6線",'0415 4度C'!$B:$B,"平均")</f>
        <v>16.75</v>
      </c>
      <c r="E22" s="78">
        <f>SUMIFS('0415 4度C'!$I:$I,'0415 4度C'!$A:$A,"新豐2線",'0415 4度C'!$B:$B,"平均")</f>
        <v>17.666666666666668</v>
      </c>
      <c r="F22" s="78">
        <f>SUMIFS('0415 4度C'!$I:$I,'0415 4度C'!$A:$A,"新豐5線",'0415 4度C'!$B:$B,"平均")</f>
        <v>18.166666666666668</v>
      </c>
      <c r="G22" s="78">
        <f>SUMIFS('0415 4度C'!$I:$I,'0415 4度C'!$A:$A,"新豐7線",'0415 4度C'!$B:$B,"平均")</f>
        <v>15.142857142857142</v>
      </c>
      <c r="H22" s="78">
        <f>SUMIFS('0415 4度C'!$I:$I,'0415 4度C'!$A:$A,"新豐3線",'0415 4度C'!$B:$B,"平均")</f>
        <v>9.5714285714285712</v>
      </c>
      <c r="I22" s="78">
        <f>SUMIFS('0415 4度C'!$I:$I,'0415 4度C'!$A:$A,"新豐1線",'0415 4度C'!$B:$B,"平均")</f>
        <v>18.666666666666668</v>
      </c>
      <c r="J22" s="79">
        <f>SUMIFS('0415 4度C'!$I:$I,'0415 4度C'!$A:$A,"新豐10線",'0415 4度C'!$B:$B,"平均")</f>
        <v>10</v>
      </c>
      <c r="K22" s="77">
        <f>SUMIFS('0415 4度C'!$I:$I,'0415 4度C'!$A:$A,"新豐8線",'0415 4度C'!$B:$B,"平均")</f>
        <v>18</v>
      </c>
      <c r="L22" s="78">
        <f>SUMIFS('0415 4度C'!$I:$I,'0415 4度C'!$A:$A,"新豐9線",'0415 4度C'!$B:$B,"平均")</f>
        <v>16.875</v>
      </c>
      <c r="M22" s="79">
        <f>SUMIFS('0415 4度C'!$I:$I,'0415 4度C'!$A:$A,"新豐4線",'0415 4度C'!$B:$B,"平均")</f>
        <v>15.714285714285714</v>
      </c>
    </row>
    <row r="23" spans="2:13" ht="17.25" customHeight="1">
      <c r="B23" s="106" t="s">
        <v>1424</v>
      </c>
      <c r="C23" s="107"/>
      <c r="D23" s="80" t="s">
        <v>67</v>
      </c>
      <c r="E23" s="81" t="s">
        <v>68</v>
      </c>
      <c r="F23" s="81" t="s">
        <v>1425</v>
      </c>
      <c r="G23" s="81" t="s">
        <v>1426</v>
      </c>
      <c r="H23" s="81" t="s">
        <v>69</v>
      </c>
      <c r="I23" s="81" t="s">
        <v>67</v>
      </c>
      <c r="J23" s="82" t="s">
        <v>69</v>
      </c>
      <c r="K23" s="80" t="s">
        <v>1427</v>
      </c>
      <c r="L23" s="81" t="s">
        <v>1428</v>
      </c>
      <c r="M23" s="82" t="s">
        <v>1428</v>
      </c>
    </row>
    <row r="24" spans="2:13" ht="17.25" customHeight="1">
      <c r="B24" s="106" t="s">
        <v>1429</v>
      </c>
      <c r="C24" s="107"/>
      <c r="D24" s="80"/>
      <c r="E24" s="81"/>
      <c r="F24" s="81" t="s">
        <v>1430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1431</v>
      </c>
      <c r="C25" s="109"/>
      <c r="D25" s="83"/>
      <c r="E25" s="84" t="s">
        <v>1432</v>
      </c>
      <c r="F25" s="102" t="s">
        <v>1433</v>
      </c>
      <c r="G25" s="103"/>
      <c r="H25" s="84" t="s">
        <v>1434</v>
      </c>
      <c r="I25" s="84" t="s">
        <v>1435</v>
      </c>
      <c r="J25" s="85" t="s">
        <v>1436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2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工作表13">
    <pageSetUpPr fitToPage="1"/>
  </sheetPr>
  <dimension ref="A1:AG76"/>
  <sheetViews>
    <sheetView zoomScale="80" zoomScaleNormal="80" workbookViewId="0">
      <pane ySplit="4" topLeftCell="A5" activePane="bottomLeft" state="frozen"/>
      <selection activeCell="G9" sqref="G9"/>
      <selection pane="bottomLeft" activeCell="G9" sqref="G9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1437</v>
      </c>
      <c r="B1" s="1"/>
      <c r="C1" s="2" t="s">
        <v>1438</v>
      </c>
      <c r="D1" s="3">
        <f>SUM(F5:F75)</f>
        <v>163806</v>
      </c>
      <c r="E1" s="88" t="s">
        <v>1439</v>
      </c>
      <c r="F1" s="1">
        <f>SUM(G5:G75)</f>
        <v>5472905.2299999995</v>
      </c>
      <c r="G1" s="1" t="s">
        <v>1440</v>
      </c>
      <c r="H1" s="4">
        <f>L9+L13+L54+L61+L20+L67+L37+L46+L28+L75</f>
        <v>156.55357142857144</v>
      </c>
      <c r="I1" s="215" t="s">
        <v>1441</v>
      </c>
      <c r="J1" s="215"/>
      <c r="K1" s="215"/>
      <c r="L1" s="215" t="s">
        <v>1442</v>
      </c>
      <c r="M1" s="215"/>
      <c r="N1" s="215"/>
      <c r="O1" s="215" t="s">
        <v>1443</v>
      </c>
      <c r="P1" s="215"/>
      <c r="Q1" s="215"/>
      <c r="R1" s="215"/>
      <c r="S1" s="215" t="s">
        <v>1444</v>
      </c>
      <c r="T1" s="215"/>
      <c r="U1" s="215"/>
      <c r="V1" s="215"/>
      <c r="W1" s="215"/>
      <c r="X1" s="215"/>
      <c r="Y1" s="5" t="s">
        <v>1445</v>
      </c>
      <c r="Z1" s="6" t="s">
        <v>1446</v>
      </c>
      <c r="AA1" s="216" t="s">
        <v>1447</v>
      </c>
      <c r="AB1" s="216"/>
      <c r="AC1" s="97" t="s">
        <v>1445</v>
      </c>
      <c r="AD1" s="6" t="s">
        <v>1448</v>
      </c>
      <c r="AE1" s="215" t="s">
        <v>1449</v>
      </c>
      <c r="AF1" s="217"/>
      <c r="AG1" s="217"/>
    </row>
    <row r="2" spans="1:33" ht="26.25" customHeight="1">
      <c r="A2" s="26">
        <v>46127</v>
      </c>
      <c r="B2" s="27" t="s">
        <v>133</v>
      </c>
      <c r="C2" s="2" t="s">
        <v>1450</v>
      </c>
      <c r="D2" s="8">
        <f>AVERAGE(N9,N13,N54,N61,N20,N67,N28,N37,N46,N75)</f>
        <v>149.72881767161735</v>
      </c>
      <c r="E2" s="9" t="s">
        <v>0</v>
      </c>
      <c r="F2" s="10">
        <f>F1/D1</f>
        <v>33.410895998925554</v>
      </c>
      <c r="G2" s="1" t="s">
        <v>1451</v>
      </c>
      <c r="H2" s="96">
        <f>COUNT(H5:H75)</f>
        <v>13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SUM(Y9+Y13+Y20+Y28+Y37+Y46+Y54+Y61+Y67+Y75)</f>
        <v>0</v>
      </c>
      <c r="Z2" s="11">
        <f>SUM(Z9+Z13+Z20+Z28+Z37+Z46+Z54+Z61+Z67+Z75)</f>
        <v>0</v>
      </c>
      <c r="AA2" s="216"/>
      <c r="AB2" s="216"/>
      <c r="AC2" s="11">
        <f>SUM(AC9+AC13+AC20+AC28+AC37+AC46+AC54+AC61+AC67+AC75)</f>
        <v>61</v>
      </c>
      <c r="AD2" s="11">
        <f>SUM(AD9+AD13+AD20+AD28+AD37+AD46+AD54+AD61+AD67+AD75)</f>
        <v>0</v>
      </c>
      <c r="AE2" s="217"/>
      <c r="AF2" s="217"/>
      <c r="AG2" s="217"/>
    </row>
    <row r="3" spans="1:33" ht="40.5" customHeight="1">
      <c r="A3" s="168" t="s">
        <v>1452</v>
      </c>
      <c r="B3" s="168" t="s">
        <v>1453</v>
      </c>
      <c r="C3" s="168" t="s">
        <v>1454</v>
      </c>
      <c r="D3" s="168"/>
      <c r="E3" s="213" t="s">
        <v>1455</v>
      </c>
      <c r="F3" s="168" t="s">
        <v>1456</v>
      </c>
      <c r="G3" s="213" t="s">
        <v>1457</v>
      </c>
      <c r="H3" s="207" t="s">
        <v>1458</v>
      </c>
      <c r="I3" s="205" t="s">
        <v>1459</v>
      </c>
      <c r="J3" s="202" t="s">
        <v>1460</v>
      </c>
      <c r="K3" s="212" t="s">
        <v>1450</v>
      </c>
      <c r="L3" s="205" t="s">
        <v>1459</v>
      </c>
      <c r="M3" s="202" t="s">
        <v>1460</v>
      </c>
      <c r="N3" s="212" t="s">
        <v>1450</v>
      </c>
      <c r="O3" s="205" t="s">
        <v>1459</v>
      </c>
      <c r="P3" s="212" t="s">
        <v>1450</v>
      </c>
      <c r="Q3" s="203" t="s">
        <v>1461</v>
      </c>
      <c r="R3" s="181" t="s">
        <v>1462</v>
      </c>
      <c r="S3" s="168" t="s">
        <v>1</v>
      </c>
      <c r="T3" s="168"/>
      <c r="U3" s="207" t="s">
        <v>2</v>
      </c>
      <c r="V3" s="207" t="s">
        <v>1463</v>
      </c>
      <c r="W3" s="168" t="s">
        <v>1464</v>
      </c>
      <c r="X3" s="168"/>
      <c r="Y3" s="208" t="s">
        <v>1465</v>
      </c>
      <c r="Z3" s="167"/>
      <c r="AA3" s="209" t="s">
        <v>1466</v>
      </c>
      <c r="AB3" s="210"/>
      <c r="AC3" s="208" t="s">
        <v>1467</v>
      </c>
      <c r="AD3" s="167"/>
      <c r="AE3" s="202" t="s">
        <v>1460</v>
      </c>
      <c r="AF3" s="203" t="s">
        <v>1468</v>
      </c>
      <c r="AG3" s="181" t="s">
        <v>1462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1469</v>
      </c>
      <c r="X4" s="88" t="s">
        <v>1470</v>
      </c>
      <c r="Y4" s="90" t="s">
        <v>1471</v>
      </c>
      <c r="Z4" s="90" t="s">
        <v>1472</v>
      </c>
      <c r="AA4" s="211"/>
      <c r="AB4" s="210"/>
      <c r="AC4" s="90" t="s">
        <v>1473</v>
      </c>
      <c r="AD4" s="90" t="s">
        <v>1474</v>
      </c>
      <c r="AE4" s="202"/>
      <c r="AF4" s="203"/>
      <c r="AG4" s="181"/>
    </row>
    <row r="5" spans="1:33">
      <c r="A5" s="204" t="s">
        <v>1475</v>
      </c>
      <c r="B5" s="28" t="s">
        <v>5</v>
      </c>
      <c r="C5" s="206" t="s">
        <v>6</v>
      </c>
      <c r="D5" s="206"/>
      <c r="E5" s="28">
        <v>50.67</v>
      </c>
      <c r="F5" s="88">
        <v>1424</v>
      </c>
      <c r="G5" s="88">
        <f t="shared" ref="G5:G8" si="0">E5*F5</f>
        <v>72154.080000000002</v>
      </c>
      <c r="H5" s="30" t="s">
        <v>53</v>
      </c>
      <c r="I5" s="95">
        <v>17</v>
      </c>
      <c r="J5" s="13">
        <v>2000</v>
      </c>
      <c r="K5" s="12">
        <f t="shared" ref="K5:K68" si="1">J5/I5</f>
        <v>117.64705882352941</v>
      </c>
      <c r="L5" s="95">
        <v>17</v>
      </c>
      <c r="M5" s="13">
        <f t="shared" ref="M5:M8" si="2">F5/V5*60</f>
        <v>1941.818181818182</v>
      </c>
      <c r="N5" s="12">
        <f t="shared" ref="N5:N68" si="3">M5/L5</f>
        <v>114.22459893048129</v>
      </c>
      <c r="O5" s="14">
        <f t="shared" ref="O5:O68" si="4">L5-I5</f>
        <v>0</v>
      </c>
      <c r="P5" s="15">
        <f t="shared" ref="P5:P68" si="5">N5-K5</f>
        <v>-3.4224598930481136</v>
      </c>
      <c r="Q5" s="91">
        <f t="shared" ref="Q5:Q68" si="6">N5/K5</f>
        <v>0.97090909090909105</v>
      </c>
      <c r="R5" s="177">
        <f>Q9</f>
        <v>0.9624749878834038</v>
      </c>
      <c r="S5" s="21">
        <v>0.70833333333333337</v>
      </c>
      <c r="T5" s="21">
        <v>0.73888888888888893</v>
      </c>
      <c r="U5" s="88"/>
      <c r="V5" s="30">
        <f t="shared" ref="V5:V8" si="7">(T5-S5)*24*60</f>
        <v>44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60" si="8">M5-J5</f>
        <v>-58.181818181818016</v>
      </c>
      <c r="AF5" s="91">
        <f t="shared" ref="AF5:AF68" si="9">M5/J5</f>
        <v>0.97090909090909094</v>
      </c>
      <c r="AG5" s="177">
        <f>AF9</f>
        <v>0.96247498788340391</v>
      </c>
    </row>
    <row r="6" spans="1:33">
      <c r="A6" s="205" t="s">
        <v>1476</v>
      </c>
      <c r="B6" s="28" t="s">
        <v>5</v>
      </c>
      <c r="C6" s="206" t="s">
        <v>7</v>
      </c>
      <c r="D6" s="206"/>
      <c r="E6" s="28">
        <v>54.09</v>
      </c>
      <c r="F6" s="88">
        <v>1250</v>
      </c>
      <c r="G6" s="88">
        <f t="shared" si="0"/>
        <v>67612.5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1923.0769230769222</v>
      </c>
      <c r="N6" s="12">
        <f t="shared" si="3"/>
        <v>101.21457489878537</v>
      </c>
      <c r="O6" s="14">
        <f t="shared" si="4"/>
        <v>0</v>
      </c>
      <c r="P6" s="15">
        <f t="shared" si="5"/>
        <v>-4.0485829959514632</v>
      </c>
      <c r="Q6" s="91">
        <f t="shared" si="6"/>
        <v>0.96153846153846112</v>
      </c>
      <c r="R6" s="177"/>
      <c r="S6" s="21">
        <v>0.74444444444444446</v>
      </c>
      <c r="T6" s="21">
        <v>0.77152777777777781</v>
      </c>
      <c r="U6" s="88">
        <f t="shared" ref="U6:U8" si="10">IF(S6=TIME(17,0,0),"",(S6-T5)*24*60)</f>
        <v>7.9999999999999716</v>
      </c>
      <c r="V6" s="30">
        <f t="shared" si="7"/>
        <v>39.000000000000021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-76.923076923077815</v>
      </c>
      <c r="AF6" s="91">
        <f t="shared" si="9"/>
        <v>0.96153846153846112</v>
      </c>
      <c r="AG6" s="177"/>
    </row>
    <row r="7" spans="1:33">
      <c r="A7" s="205" t="s">
        <v>1476</v>
      </c>
      <c r="B7" s="28" t="s">
        <v>5</v>
      </c>
      <c r="C7" s="200" t="s">
        <v>16</v>
      </c>
      <c r="D7" s="201"/>
      <c r="E7" s="28">
        <v>50.67</v>
      </c>
      <c r="F7" s="88">
        <v>1674</v>
      </c>
      <c r="G7" s="88">
        <f t="shared" si="0"/>
        <v>84821.58</v>
      </c>
      <c r="H7" s="30" t="s">
        <v>53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1931.5384615384623</v>
      </c>
      <c r="N7" s="12">
        <f t="shared" si="3"/>
        <v>128.76923076923083</v>
      </c>
      <c r="O7" s="14">
        <f t="shared" si="4"/>
        <v>0</v>
      </c>
      <c r="P7" s="15">
        <f t="shared" si="5"/>
        <v>-4.5641025641025124</v>
      </c>
      <c r="Q7" s="91">
        <f t="shared" si="6"/>
        <v>0.96576923076923116</v>
      </c>
      <c r="R7" s="177"/>
      <c r="S7" s="21">
        <v>0.77638888888888891</v>
      </c>
      <c r="T7" s="21">
        <v>0.8125</v>
      </c>
      <c r="U7" s="88">
        <f t="shared" si="10"/>
        <v>6.9999999999999751</v>
      </c>
      <c r="V7" s="30">
        <f t="shared" si="7"/>
        <v>51.999999999999972</v>
      </c>
      <c r="W7" s="16">
        <f>T7</f>
        <v>0.8125</v>
      </c>
      <c r="X7" s="16">
        <f>S8</f>
        <v>0.8520833333333333</v>
      </c>
      <c r="Y7" s="19"/>
      <c r="Z7" s="19"/>
      <c r="AA7" s="172"/>
      <c r="AB7" s="173"/>
      <c r="AC7" s="18"/>
      <c r="AD7" s="20"/>
      <c r="AE7" s="14">
        <f t="shared" si="8"/>
        <v>-68.461538461537657</v>
      </c>
      <c r="AF7" s="91">
        <f t="shared" si="9"/>
        <v>0.96576923076923116</v>
      </c>
      <c r="AG7" s="177"/>
    </row>
    <row r="8" spans="1:33">
      <c r="A8" s="205" t="s">
        <v>1476</v>
      </c>
      <c r="B8" s="28" t="s">
        <v>5</v>
      </c>
      <c r="C8" s="200" t="s">
        <v>1270</v>
      </c>
      <c r="D8" s="201"/>
      <c r="E8" s="28">
        <v>52.86</v>
      </c>
      <c r="F8" s="88">
        <v>3204</v>
      </c>
      <c r="G8" s="88">
        <f t="shared" si="0"/>
        <v>169363.44</v>
      </c>
      <c r="H8" s="30" t="s">
        <v>53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1903.3663366336641</v>
      </c>
      <c r="N8" s="12">
        <f t="shared" si="3"/>
        <v>118.96039603960401</v>
      </c>
      <c r="O8" s="14">
        <f t="shared" si="4"/>
        <v>0</v>
      </c>
      <c r="P8" s="15">
        <f t="shared" si="5"/>
        <v>-6.0396039603959935</v>
      </c>
      <c r="Q8" s="91">
        <f t="shared" si="6"/>
        <v>0.95168316831683208</v>
      </c>
      <c r="R8" s="177"/>
      <c r="S8" s="21">
        <v>0.8520833333333333</v>
      </c>
      <c r="T8" s="21">
        <v>0.92222222222222217</v>
      </c>
      <c r="U8" s="88">
        <f t="shared" si="10"/>
        <v>56.999999999999957</v>
      </c>
      <c r="V8" s="30">
        <f t="shared" si="7"/>
        <v>100.99999999999996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-96.633663366335895</v>
      </c>
      <c r="AF8" s="91">
        <f t="shared" si="9"/>
        <v>0.95168316831683208</v>
      </c>
      <c r="AG8" s="177"/>
    </row>
    <row r="9" spans="1:33">
      <c r="A9" s="205" t="s">
        <v>1476</v>
      </c>
      <c r="B9" s="28" t="s">
        <v>1477</v>
      </c>
      <c r="C9" s="178"/>
      <c r="D9" s="178"/>
      <c r="E9" s="92"/>
      <c r="F9" s="12"/>
      <c r="G9" s="12"/>
      <c r="H9" s="88"/>
      <c r="I9" s="23">
        <v>16.75</v>
      </c>
      <c r="J9" s="13">
        <v>2000</v>
      </c>
      <c r="K9" s="12">
        <f t="shared" si="1"/>
        <v>119.40298507462687</v>
      </c>
      <c r="L9" s="23">
        <v>16.75</v>
      </c>
      <c r="M9" s="13">
        <f>AVERAGE(M5:M8)</f>
        <v>1924.9499757668077</v>
      </c>
      <c r="N9" s="12">
        <f t="shared" si="3"/>
        <v>114.92238661294374</v>
      </c>
      <c r="O9" s="14">
        <f t="shared" si="4"/>
        <v>0</v>
      </c>
      <c r="P9" s="15">
        <f t="shared" si="5"/>
        <v>-4.4805984616831296</v>
      </c>
      <c r="Q9" s="91">
        <f t="shared" si="6"/>
        <v>0.9624749878834038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f>SUM(AC5:AC8)</f>
        <v>4</v>
      </c>
      <c r="AD9" s="24">
        <f>SUM(AD5:AD8)</f>
        <v>0</v>
      </c>
      <c r="AE9" s="14">
        <f t="shared" si="8"/>
        <v>-75.050024233192289</v>
      </c>
      <c r="AF9" s="91">
        <f t="shared" si="9"/>
        <v>0.96247498788340391</v>
      </c>
      <c r="AG9" s="177"/>
    </row>
    <row r="10" spans="1:33" ht="15.75" customHeight="1">
      <c r="A10" s="199" t="s">
        <v>1478</v>
      </c>
      <c r="B10" s="28" t="s">
        <v>9</v>
      </c>
      <c r="C10" s="200" t="s">
        <v>10</v>
      </c>
      <c r="D10" s="201"/>
      <c r="E10" s="28">
        <v>39.619999999999997</v>
      </c>
      <c r="F10" s="88">
        <v>4553</v>
      </c>
      <c r="G10" s="88">
        <f t="shared" ref="G10:G12" si="11">E10*F10</f>
        <v>180389.86</v>
      </c>
      <c r="H10" s="30" t="s">
        <v>53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2" si="12">F10/V10*60</f>
        <v>1430.261780104712</v>
      </c>
      <c r="N10" s="12">
        <f t="shared" si="3"/>
        <v>75.276935794984837</v>
      </c>
      <c r="O10" s="14">
        <f t="shared" si="4"/>
        <v>0</v>
      </c>
      <c r="P10" s="15">
        <f t="shared" si="5"/>
        <v>-3.6704326260677931</v>
      </c>
      <c r="Q10" s="91">
        <f t="shared" si="6"/>
        <v>0.95350785340314126</v>
      </c>
      <c r="R10" s="177">
        <f>Q13</f>
        <v>0.95447809412626883</v>
      </c>
      <c r="S10" s="21">
        <v>0.20833333333333334</v>
      </c>
      <c r="T10" s="21">
        <v>0.34097222222222223</v>
      </c>
      <c r="U10" s="88"/>
      <c r="V10" s="30">
        <f t="shared" ref="V10:V12" si="13">(T10-S10)*24*60</f>
        <v>191</v>
      </c>
      <c r="W10" s="16"/>
      <c r="X10" s="16"/>
      <c r="Y10" s="16"/>
      <c r="Z10" s="16"/>
      <c r="AA10" s="168"/>
      <c r="AB10" s="168"/>
      <c r="AC10" s="18">
        <v>3</v>
      </c>
      <c r="AD10" s="18"/>
      <c r="AE10" s="14">
        <f t="shared" si="8"/>
        <v>-69.738219895288012</v>
      </c>
      <c r="AF10" s="91">
        <f t="shared" si="9"/>
        <v>0.95350785340314137</v>
      </c>
      <c r="AG10" s="177">
        <f>AF13</f>
        <v>0.95447809412626883</v>
      </c>
    </row>
    <row r="11" spans="1:33" ht="15.75" customHeight="1">
      <c r="A11" s="199" t="s">
        <v>1478</v>
      </c>
      <c r="B11" s="28" t="s">
        <v>9</v>
      </c>
      <c r="C11" s="200" t="s">
        <v>11</v>
      </c>
      <c r="D11" s="201"/>
      <c r="E11" s="28">
        <v>39.799999999999997</v>
      </c>
      <c r="F11" s="88">
        <v>3700</v>
      </c>
      <c r="G11" s="88">
        <f t="shared" si="11"/>
        <v>147260</v>
      </c>
      <c r="H11" s="30">
        <v>2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1432.258064516129</v>
      </c>
      <c r="N11" s="12">
        <f t="shared" si="3"/>
        <v>84.250474383301707</v>
      </c>
      <c r="O11" s="14">
        <f t="shared" si="4"/>
        <v>0</v>
      </c>
      <c r="P11" s="15">
        <f t="shared" si="5"/>
        <v>-3.9848197343453506</v>
      </c>
      <c r="Q11" s="91">
        <f t="shared" si="6"/>
        <v>0.95483870967741935</v>
      </c>
      <c r="R11" s="177"/>
      <c r="S11" s="21">
        <v>0.34583333333333333</v>
      </c>
      <c r="T11" s="21">
        <v>0.45347222222222222</v>
      </c>
      <c r="U11" s="88">
        <f t="shared" ref="U11:U12" si="14">IF(S11=TIME(17,0,0),"",(S11-T10)*24*60)</f>
        <v>6.9999999999999751</v>
      </c>
      <c r="V11" s="30">
        <f t="shared" si="13"/>
        <v>155</v>
      </c>
      <c r="W11" s="16">
        <f>T11</f>
        <v>0.45347222222222222</v>
      </c>
      <c r="X11" s="16">
        <f>S12</f>
        <v>0.49444444444444441</v>
      </c>
      <c r="Y11" s="16"/>
      <c r="Z11" s="16"/>
      <c r="AA11" s="168"/>
      <c r="AB11" s="168"/>
      <c r="AC11" s="18"/>
      <c r="AD11" s="18"/>
      <c r="AE11" s="14">
        <f t="shared" si="8"/>
        <v>-67.741935483870975</v>
      </c>
      <c r="AF11" s="91">
        <f t="shared" si="9"/>
        <v>0.95483870967741935</v>
      </c>
      <c r="AG11" s="177"/>
    </row>
    <row r="12" spans="1:33" ht="15.75" customHeight="1">
      <c r="A12" s="199" t="s">
        <v>1478</v>
      </c>
      <c r="B12" s="28" t="s">
        <v>9</v>
      </c>
      <c r="C12" s="200" t="s">
        <v>11</v>
      </c>
      <c r="D12" s="201"/>
      <c r="E12" s="28">
        <v>39.799999999999997</v>
      </c>
      <c r="F12" s="88">
        <v>4083</v>
      </c>
      <c r="G12" s="88">
        <f t="shared" si="11"/>
        <v>162503.4</v>
      </c>
      <c r="H12" s="30" t="s">
        <v>53</v>
      </c>
      <c r="I12" s="95">
        <v>17</v>
      </c>
      <c r="J12" s="13">
        <v>1500</v>
      </c>
      <c r="K12" s="12">
        <f t="shared" si="1"/>
        <v>88.235294117647058</v>
      </c>
      <c r="L12" s="95">
        <v>17</v>
      </c>
      <c r="M12" s="13">
        <f t="shared" si="12"/>
        <v>1432.6315789473688</v>
      </c>
      <c r="N12" s="12">
        <f t="shared" si="3"/>
        <v>84.272445820433461</v>
      </c>
      <c r="O12" s="14">
        <f t="shared" si="4"/>
        <v>0</v>
      </c>
      <c r="P12" s="15">
        <f t="shared" si="5"/>
        <v>-3.962848297213597</v>
      </c>
      <c r="Q12" s="91">
        <f t="shared" si="6"/>
        <v>0.95508771929824587</v>
      </c>
      <c r="R12" s="177"/>
      <c r="S12" s="21">
        <v>0.49444444444444441</v>
      </c>
      <c r="T12" s="21">
        <v>0.61319444444444438</v>
      </c>
      <c r="U12" s="88">
        <f t="shared" si="14"/>
        <v>58.99999999999995</v>
      </c>
      <c r="V12" s="30">
        <f t="shared" si="13"/>
        <v>170.99999999999994</v>
      </c>
      <c r="W12" s="16"/>
      <c r="X12" s="16"/>
      <c r="Y12" s="16"/>
      <c r="Z12" s="16"/>
      <c r="AA12" s="168"/>
      <c r="AB12" s="168"/>
      <c r="AC12" s="18"/>
      <c r="AD12" s="18"/>
      <c r="AE12" s="14">
        <f t="shared" si="8"/>
        <v>-67.36842105263122</v>
      </c>
      <c r="AF12" s="91">
        <f t="shared" si="9"/>
        <v>0.95508771929824587</v>
      </c>
      <c r="AG12" s="177"/>
    </row>
    <row r="13" spans="1:33" ht="16.5" customHeight="1">
      <c r="A13" s="199" t="s">
        <v>1478</v>
      </c>
      <c r="B13" s="28" t="s">
        <v>1477</v>
      </c>
      <c r="C13" s="178"/>
      <c r="D13" s="178"/>
      <c r="E13" s="92"/>
      <c r="F13" s="13"/>
      <c r="G13" s="13"/>
      <c r="H13" s="88"/>
      <c r="I13" s="23">
        <v>17.666666666666668</v>
      </c>
      <c r="J13" s="13">
        <v>1500</v>
      </c>
      <c r="K13" s="12">
        <f t="shared" si="1"/>
        <v>84.905660377358487</v>
      </c>
      <c r="L13" s="23">
        <v>17.666666666666668</v>
      </c>
      <c r="M13" s="13">
        <f>AVERAGE(M10:M12)</f>
        <v>1431.7171411894033</v>
      </c>
      <c r="N13" s="12">
        <f t="shared" si="3"/>
        <v>81.040592897513392</v>
      </c>
      <c r="O13" s="14">
        <f t="shared" si="4"/>
        <v>0</v>
      </c>
      <c r="P13" s="15">
        <f t="shared" si="5"/>
        <v>-3.865067479845095</v>
      </c>
      <c r="Q13" s="91">
        <f t="shared" si="6"/>
        <v>0.95447809412626883</v>
      </c>
      <c r="R13" s="177"/>
      <c r="S13" s="21"/>
      <c r="T13" s="21"/>
      <c r="U13" s="12"/>
      <c r="V13" s="30"/>
      <c r="W13" s="12"/>
      <c r="X13" s="12"/>
      <c r="Y13" s="24">
        <f>SUM(Y10:Y12)</f>
        <v>0</v>
      </c>
      <c r="Z13" s="24">
        <f>SUM(Z10:Z12)</f>
        <v>0</v>
      </c>
      <c r="AA13" s="167"/>
      <c r="AB13" s="167"/>
      <c r="AC13" s="24">
        <f>SUM(AC10:AC12)</f>
        <v>3</v>
      </c>
      <c r="AD13" s="24">
        <f>SUM(AD10:AD12)</f>
        <v>0</v>
      </c>
      <c r="AE13" s="14">
        <f t="shared" si="8"/>
        <v>-68.282858810596736</v>
      </c>
      <c r="AF13" s="91">
        <f t="shared" si="9"/>
        <v>0.95447809412626883</v>
      </c>
      <c r="AG13" s="177"/>
    </row>
    <row r="14" spans="1:33" ht="16.5" customHeight="1">
      <c r="A14" s="197" t="s">
        <v>1479</v>
      </c>
      <c r="B14" s="88" t="s">
        <v>12</v>
      </c>
      <c r="C14" s="193" t="s">
        <v>13</v>
      </c>
      <c r="D14" s="193"/>
      <c r="E14" s="28">
        <v>41</v>
      </c>
      <c r="F14" s="88">
        <v>1818</v>
      </c>
      <c r="G14" s="88">
        <f t="shared" ref="G14:G19" si="15">E14*F14</f>
        <v>74538</v>
      </c>
      <c r="H14" s="30" t="s">
        <v>53</v>
      </c>
      <c r="I14" s="95">
        <v>26</v>
      </c>
      <c r="J14" s="13">
        <v>1500</v>
      </c>
      <c r="K14" s="12">
        <f t="shared" si="1"/>
        <v>57.692307692307693</v>
      </c>
      <c r="L14" s="95">
        <v>26</v>
      </c>
      <c r="M14" s="13">
        <f t="shared" ref="M14:M19" si="16">F14/V14*60</f>
        <v>1435.2631578947364</v>
      </c>
      <c r="N14" s="12">
        <f t="shared" si="3"/>
        <v>55.202429149797553</v>
      </c>
      <c r="O14" s="14">
        <f t="shared" si="4"/>
        <v>0</v>
      </c>
      <c r="P14" s="15">
        <f t="shared" si="5"/>
        <v>-2.4898785425101408</v>
      </c>
      <c r="Q14" s="91">
        <f t="shared" si="6"/>
        <v>0.95684210526315761</v>
      </c>
      <c r="R14" s="177">
        <f>Q20</f>
        <v>0.96176819127710766</v>
      </c>
      <c r="S14" s="21">
        <v>0.20833333333333334</v>
      </c>
      <c r="T14" s="21">
        <v>0.26111111111111113</v>
      </c>
      <c r="U14" s="88"/>
      <c r="V14" s="30">
        <f t="shared" ref="V14:V19" si="17">(T14-S14)*24*60</f>
        <v>76.000000000000014</v>
      </c>
      <c r="W14" s="21"/>
      <c r="X14" s="21"/>
      <c r="Y14" s="21"/>
      <c r="Z14" s="21"/>
      <c r="AA14" s="168"/>
      <c r="AB14" s="168"/>
      <c r="AC14" s="18">
        <v>6</v>
      </c>
      <c r="AD14" s="18"/>
      <c r="AE14" s="14">
        <f t="shared" si="8"/>
        <v>-64.736842105263577</v>
      </c>
      <c r="AF14" s="91">
        <f t="shared" si="9"/>
        <v>0.95684210526315761</v>
      </c>
      <c r="AG14" s="177">
        <f>AF20</f>
        <v>0.96176819127710766</v>
      </c>
    </row>
    <row r="15" spans="1:33" ht="16.5" customHeight="1">
      <c r="A15" s="198" t="s">
        <v>1479</v>
      </c>
      <c r="B15" s="88" t="s">
        <v>5</v>
      </c>
      <c r="C15" s="193" t="s">
        <v>14</v>
      </c>
      <c r="D15" s="193"/>
      <c r="E15" s="28">
        <v>50.98</v>
      </c>
      <c r="F15" s="88">
        <v>1000</v>
      </c>
      <c r="G15" s="88">
        <f t="shared" si="15"/>
        <v>50980</v>
      </c>
      <c r="H15" s="30">
        <v>2</v>
      </c>
      <c r="I15" s="95">
        <v>16</v>
      </c>
      <c r="J15" s="13">
        <v>2000</v>
      </c>
      <c r="K15" s="12">
        <f t="shared" si="1"/>
        <v>125</v>
      </c>
      <c r="L15" s="95">
        <v>16</v>
      </c>
      <c r="M15" s="13">
        <f t="shared" si="16"/>
        <v>1935.483870967739</v>
      </c>
      <c r="N15" s="12">
        <f t="shared" si="3"/>
        <v>120.96774193548369</v>
      </c>
      <c r="O15" s="14">
        <f t="shared" si="4"/>
        <v>0</v>
      </c>
      <c r="P15" s="15">
        <f t="shared" si="5"/>
        <v>-4.0322580645163129</v>
      </c>
      <c r="Q15" s="91">
        <f t="shared" si="6"/>
        <v>0.96774193548386944</v>
      </c>
      <c r="R15" s="177"/>
      <c r="S15" s="21">
        <v>0.70833333333333337</v>
      </c>
      <c r="T15" s="21">
        <v>0.72986111111111118</v>
      </c>
      <c r="U15" s="88" t="str">
        <f t="shared" ref="U15:U19" si="18">IF(S15=TIME(17,0,0),"",(S15-T14)*24*60)</f>
        <v/>
      </c>
      <c r="V15" s="30">
        <f t="shared" si="17"/>
        <v>31.00000000000005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-64.516129032261006</v>
      </c>
      <c r="AF15" s="91">
        <f t="shared" si="9"/>
        <v>0.96774193548386944</v>
      </c>
      <c r="AG15" s="177"/>
    </row>
    <row r="16" spans="1:33" ht="16.5" customHeight="1">
      <c r="A16" s="198" t="s">
        <v>1479</v>
      </c>
      <c r="B16" s="88" t="s">
        <v>5</v>
      </c>
      <c r="C16" s="193" t="s">
        <v>15</v>
      </c>
      <c r="D16" s="193"/>
      <c r="E16" s="28">
        <v>50.92</v>
      </c>
      <c r="F16" s="88">
        <v>1000</v>
      </c>
      <c r="G16" s="88">
        <f t="shared" si="15"/>
        <v>50920</v>
      </c>
      <c r="H16" s="30">
        <v>2</v>
      </c>
      <c r="I16" s="95">
        <v>15</v>
      </c>
      <c r="J16" s="13">
        <v>2000</v>
      </c>
      <c r="K16" s="12">
        <f t="shared" si="1"/>
        <v>133.33333333333334</v>
      </c>
      <c r="L16" s="95">
        <v>15</v>
      </c>
      <c r="M16" s="13">
        <f t="shared" si="16"/>
        <v>1935.483870967739</v>
      </c>
      <c r="N16" s="12">
        <f t="shared" si="3"/>
        <v>129.03225806451593</v>
      </c>
      <c r="O16" s="14">
        <f t="shared" si="4"/>
        <v>0</v>
      </c>
      <c r="P16" s="15">
        <f t="shared" si="5"/>
        <v>-4.3010752688174136</v>
      </c>
      <c r="Q16" s="91">
        <f t="shared" si="6"/>
        <v>0.96774193548386944</v>
      </c>
      <c r="R16" s="177"/>
      <c r="S16" s="21">
        <v>0.73333333333333339</v>
      </c>
      <c r="T16" s="21">
        <v>0.7548611111111112</v>
      </c>
      <c r="U16" s="88">
        <f t="shared" si="18"/>
        <v>4.9999999999999822</v>
      </c>
      <c r="V16" s="30">
        <f t="shared" si="17"/>
        <v>31.00000000000005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-64.516129032261006</v>
      </c>
      <c r="AF16" s="91">
        <f t="shared" si="9"/>
        <v>0.96774193548386944</v>
      </c>
      <c r="AG16" s="177"/>
    </row>
    <row r="17" spans="1:33" ht="16.5" customHeight="1">
      <c r="A17" s="198" t="s">
        <v>1479</v>
      </c>
      <c r="B17" s="88" t="s">
        <v>5</v>
      </c>
      <c r="C17" s="193" t="s">
        <v>43</v>
      </c>
      <c r="D17" s="193"/>
      <c r="E17" s="28">
        <v>54.29</v>
      </c>
      <c r="F17" s="88">
        <v>1083</v>
      </c>
      <c r="G17" s="88">
        <f t="shared" si="15"/>
        <v>58796.07</v>
      </c>
      <c r="H17" s="30" t="s">
        <v>53</v>
      </c>
      <c r="I17" s="95">
        <v>20</v>
      </c>
      <c r="J17" s="13">
        <v>2000</v>
      </c>
      <c r="K17" s="12">
        <f t="shared" si="1"/>
        <v>100</v>
      </c>
      <c r="L17" s="95">
        <v>20</v>
      </c>
      <c r="M17" s="13">
        <f t="shared" si="16"/>
        <v>1911.1764705882329</v>
      </c>
      <c r="N17" s="12">
        <f t="shared" si="3"/>
        <v>95.55882352941164</v>
      </c>
      <c r="O17" s="14">
        <f t="shared" si="4"/>
        <v>0</v>
      </c>
      <c r="P17" s="15">
        <f t="shared" si="5"/>
        <v>-4.4411764705883598</v>
      </c>
      <c r="Q17" s="91">
        <f t="shared" si="6"/>
        <v>0.95558823529411641</v>
      </c>
      <c r="R17" s="177"/>
      <c r="S17" s="21">
        <v>0.76041666666666674</v>
      </c>
      <c r="T17" s="21">
        <v>0.78402777777777788</v>
      </c>
      <c r="U17" s="88">
        <f t="shared" si="18"/>
        <v>7.9999999999999716</v>
      </c>
      <c r="V17" s="30">
        <f t="shared" si="17"/>
        <v>34.000000000000043</v>
      </c>
      <c r="W17" s="16"/>
      <c r="X17" s="16"/>
      <c r="Y17" s="16"/>
      <c r="Z17" s="16"/>
      <c r="AA17" s="168"/>
      <c r="AB17" s="168"/>
      <c r="AC17" s="18"/>
      <c r="AD17" s="18"/>
      <c r="AE17" s="14">
        <f t="shared" si="8"/>
        <v>-88.82352941176714</v>
      </c>
      <c r="AF17" s="91">
        <f t="shared" si="9"/>
        <v>0.95558823529411641</v>
      </c>
      <c r="AG17" s="177"/>
    </row>
    <row r="18" spans="1:33" ht="16.5" customHeight="1">
      <c r="A18" s="198" t="s">
        <v>1479</v>
      </c>
      <c r="B18" s="88" t="s">
        <v>5</v>
      </c>
      <c r="C18" s="193" t="s">
        <v>1270</v>
      </c>
      <c r="D18" s="193"/>
      <c r="E18" s="28">
        <v>52.86</v>
      </c>
      <c r="F18" s="88">
        <v>1600</v>
      </c>
      <c r="G18" s="88">
        <f t="shared" si="15"/>
        <v>84576</v>
      </c>
      <c r="H18" s="30">
        <v>2</v>
      </c>
      <c r="I18" s="95">
        <v>16</v>
      </c>
      <c r="J18" s="13">
        <v>2000</v>
      </c>
      <c r="K18" s="12">
        <f t="shared" si="1"/>
        <v>125</v>
      </c>
      <c r="L18" s="95">
        <v>16</v>
      </c>
      <c r="M18" s="13">
        <f t="shared" si="16"/>
        <v>1920.0000000000005</v>
      </c>
      <c r="N18" s="12">
        <f t="shared" si="3"/>
        <v>120.00000000000003</v>
      </c>
      <c r="O18" s="14">
        <f t="shared" si="4"/>
        <v>0</v>
      </c>
      <c r="P18" s="15">
        <f t="shared" si="5"/>
        <v>-4.9999999999999716</v>
      </c>
      <c r="Q18" s="91">
        <f t="shared" si="6"/>
        <v>0.96000000000000019</v>
      </c>
      <c r="R18" s="177"/>
      <c r="S18" s="21">
        <v>0.78819444444444453</v>
      </c>
      <c r="T18" s="21">
        <v>0.82291666666666674</v>
      </c>
      <c r="U18" s="88">
        <f t="shared" si="18"/>
        <v>5.9999999999999787</v>
      </c>
      <c r="V18" s="30">
        <f t="shared" si="17"/>
        <v>49.999999999999986</v>
      </c>
      <c r="W18" s="16">
        <f>T18</f>
        <v>0.82291666666666674</v>
      </c>
      <c r="X18" s="16">
        <f>S19</f>
        <v>0.86319444444444449</v>
      </c>
      <c r="Y18" s="16"/>
      <c r="Z18" s="16"/>
      <c r="AA18" s="168"/>
      <c r="AB18" s="168"/>
      <c r="AC18" s="18"/>
      <c r="AD18" s="18"/>
      <c r="AE18" s="14">
        <f t="shared" si="8"/>
        <v>-79.999999999999545</v>
      </c>
      <c r="AF18" s="91">
        <f t="shared" si="9"/>
        <v>0.96000000000000019</v>
      </c>
      <c r="AG18" s="177"/>
    </row>
    <row r="19" spans="1:33" ht="16.5" customHeight="1">
      <c r="A19" s="198" t="s">
        <v>1479</v>
      </c>
      <c r="B19" s="88" t="s">
        <v>5</v>
      </c>
      <c r="C19" s="100" t="s">
        <v>14</v>
      </c>
      <c r="D19" s="101"/>
      <c r="E19" s="28">
        <v>50.98</v>
      </c>
      <c r="F19" s="88">
        <v>1314</v>
      </c>
      <c r="G19" s="88">
        <f t="shared" si="15"/>
        <v>66987.72</v>
      </c>
      <c r="H19" s="30" t="s">
        <v>53</v>
      </c>
      <c r="I19" s="95">
        <v>16</v>
      </c>
      <c r="J19" s="13">
        <v>2000</v>
      </c>
      <c r="K19" s="12">
        <f t="shared" si="1"/>
        <v>125</v>
      </c>
      <c r="L19" s="95">
        <v>16</v>
      </c>
      <c r="M19" s="13">
        <f t="shared" si="16"/>
        <v>1922.9268292682921</v>
      </c>
      <c r="N19" s="12">
        <f t="shared" si="3"/>
        <v>120.18292682926825</v>
      </c>
      <c r="O19" s="14">
        <f t="shared" si="4"/>
        <v>0</v>
      </c>
      <c r="P19" s="15">
        <f t="shared" si="5"/>
        <v>-4.8170731707317458</v>
      </c>
      <c r="Q19" s="91">
        <f t="shared" si="6"/>
        <v>0.96146341463414609</v>
      </c>
      <c r="R19" s="177"/>
      <c r="S19" s="21">
        <v>0.86319444444444449</v>
      </c>
      <c r="T19" s="21">
        <v>0.89166666666666672</v>
      </c>
      <c r="U19" s="88">
        <f t="shared" si="18"/>
        <v>57.999999999999957</v>
      </c>
      <c r="V19" s="30">
        <f t="shared" si="17"/>
        <v>41.000000000000014</v>
      </c>
      <c r="W19" s="16"/>
      <c r="X19" s="16"/>
      <c r="Y19" s="19"/>
      <c r="Z19" s="19"/>
      <c r="AA19" s="98"/>
      <c r="AB19" s="99"/>
      <c r="AC19" s="18"/>
      <c r="AD19" s="18"/>
      <c r="AE19" s="14">
        <f t="shared" si="8"/>
        <v>-77.073170731707933</v>
      </c>
      <c r="AF19" s="91">
        <f t="shared" si="9"/>
        <v>0.96146341463414609</v>
      </c>
      <c r="AG19" s="177"/>
    </row>
    <row r="20" spans="1:33" ht="16.5" customHeight="1">
      <c r="A20" s="198" t="s">
        <v>1479</v>
      </c>
      <c r="B20" s="28" t="s">
        <v>1477</v>
      </c>
      <c r="C20" s="178"/>
      <c r="D20" s="178"/>
      <c r="E20" s="92"/>
      <c r="F20" s="12"/>
      <c r="G20" s="12"/>
      <c r="H20" s="88"/>
      <c r="I20" s="23">
        <v>18.166666666666668</v>
      </c>
      <c r="J20" s="13">
        <v>1916.6666666666667</v>
      </c>
      <c r="K20" s="12">
        <f t="shared" si="1"/>
        <v>105.50458715596331</v>
      </c>
      <c r="L20" s="23">
        <v>18.166666666666668</v>
      </c>
      <c r="M20" s="13">
        <f>AVERAGE(M14:M19)</f>
        <v>1843.3890332811231</v>
      </c>
      <c r="N20" s="12">
        <f t="shared" si="3"/>
        <v>101.4709559604288</v>
      </c>
      <c r="O20" s="14">
        <f t="shared" si="4"/>
        <v>0</v>
      </c>
      <c r="P20" s="15">
        <f t="shared" si="5"/>
        <v>-4.033631195534511</v>
      </c>
      <c r="Q20" s="91">
        <f t="shared" si="6"/>
        <v>0.96176819127710766</v>
      </c>
      <c r="R20" s="177"/>
      <c r="S20" s="21"/>
      <c r="T20" s="21"/>
      <c r="U20" s="88"/>
      <c r="V20" s="30"/>
      <c r="W20" s="12"/>
      <c r="X20" s="12"/>
      <c r="Y20" s="24">
        <f>SUM(Y14:Y19)</f>
        <v>0</v>
      </c>
      <c r="Z20" s="24">
        <f>SUM(Z14:Z19)</f>
        <v>0</v>
      </c>
      <c r="AA20" s="167"/>
      <c r="AB20" s="167"/>
      <c r="AC20" s="24">
        <f>SUM(AC14:AC19)</f>
        <v>6</v>
      </c>
      <c r="AD20" s="24">
        <f>SUM(AD14:AD19)</f>
        <v>0</v>
      </c>
      <c r="AE20" s="14">
        <f t="shared" si="8"/>
        <v>-73.277633385543595</v>
      </c>
      <c r="AF20" s="91">
        <f t="shared" si="9"/>
        <v>0.96176819127710766</v>
      </c>
      <c r="AG20" s="177"/>
    </row>
    <row r="21" spans="1:33" ht="15.75" customHeight="1">
      <c r="A21" s="195" t="s">
        <v>1480</v>
      </c>
      <c r="B21" s="28" t="s">
        <v>5</v>
      </c>
      <c r="C21" s="193" t="s">
        <v>17</v>
      </c>
      <c r="D21" s="193"/>
      <c r="E21" s="28">
        <v>57.73</v>
      </c>
      <c r="F21" s="88">
        <v>2459</v>
      </c>
      <c r="G21" s="88">
        <f t="shared" ref="G21:G27" si="19">E21*F21</f>
        <v>141958.06999999998</v>
      </c>
      <c r="H21" s="30" t="s">
        <v>53</v>
      </c>
      <c r="I21" s="95">
        <v>14</v>
      </c>
      <c r="J21" s="13">
        <v>2000</v>
      </c>
      <c r="K21" s="12">
        <f t="shared" si="1"/>
        <v>142.85714285714286</v>
      </c>
      <c r="L21" s="95">
        <v>14</v>
      </c>
      <c r="M21" s="13">
        <f t="shared" ref="M21:M27" si="20">F21/V21*60</f>
        <v>1916.1038961038951</v>
      </c>
      <c r="N21" s="12">
        <f t="shared" si="3"/>
        <v>136.86456400742108</v>
      </c>
      <c r="O21" s="14">
        <f t="shared" si="4"/>
        <v>0</v>
      </c>
      <c r="P21" s="15">
        <f t="shared" si="5"/>
        <v>-5.9925788497217809</v>
      </c>
      <c r="Q21" s="91">
        <f t="shared" si="6"/>
        <v>0.95805194805194749</v>
      </c>
      <c r="R21" s="177">
        <f>Q28</f>
        <v>0.95750883783409191</v>
      </c>
      <c r="S21" s="21">
        <v>0.3125</v>
      </c>
      <c r="T21" s="21">
        <v>0.36597222222222225</v>
      </c>
      <c r="U21" s="88"/>
      <c r="V21" s="30">
        <f t="shared" ref="V21:V27" si="21">(T21-S21)*24*60</f>
        <v>77.000000000000043</v>
      </c>
      <c r="W21" s="21"/>
      <c r="X21" s="21"/>
      <c r="Y21" s="21"/>
      <c r="Z21" s="21"/>
      <c r="AA21" s="168"/>
      <c r="AB21" s="168"/>
      <c r="AC21" s="18">
        <v>7</v>
      </c>
      <c r="AD21" s="18"/>
      <c r="AE21" s="14">
        <f t="shared" si="8"/>
        <v>-83.896103896104933</v>
      </c>
      <c r="AF21" s="91">
        <f t="shared" si="9"/>
        <v>0.95805194805194749</v>
      </c>
      <c r="AG21" s="177">
        <f>AF28</f>
        <v>0.95750883783409191</v>
      </c>
    </row>
    <row r="22" spans="1:33" ht="15.75" customHeight="1">
      <c r="A22" s="196" t="s">
        <v>1480</v>
      </c>
      <c r="B22" s="28" t="s">
        <v>5</v>
      </c>
      <c r="C22" s="193" t="s">
        <v>18</v>
      </c>
      <c r="D22" s="193"/>
      <c r="E22" s="28">
        <v>53.68</v>
      </c>
      <c r="F22" s="88">
        <v>1323</v>
      </c>
      <c r="G22" s="88">
        <f t="shared" si="19"/>
        <v>71018.64</v>
      </c>
      <c r="H22" s="30" t="s">
        <v>53</v>
      </c>
      <c r="I22" s="95">
        <v>16</v>
      </c>
      <c r="J22" s="13">
        <v>2000</v>
      </c>
      <c r="K22" s="12">
        <f t="shared" si="1"/>
        <v>125</v>
      </c>
      <c r="L22" s="95">
        <v>16</v>
      </c>
      <c r="M22" s="13">
        <f t="shared" si="20"/>
        <v>1936.0975609756092</v>
      </c>
      <c r="N22" s="12">
        <f t="shared" si="3"/>
        <v>121.00609756097558</v>
      </c>
      <c r="O22" s="14">
        <f t="shared" si="4"/>
        <v>0</v>
      </c>
      <c r="P22" s="15">
        <f t="shared" si="5"/>
        <v>-3.9939024390244242</v>
      </c>
      <c r="Q22" s="91">
        <f t="shared" si="6"/>
        <v>0.96804878048780463</v>
      </c>
      <c r="R22" s="177"/>
      <c r="S22" s="21">
        <v>0.36944444444444446</v>
      </c>
      <c r="T22" s="21">
        <v>0.3979166666666667</v>
      </c>
      <c r="U22" s="88">
        <f t="shared" ref="U22:U27" si="22">IF(S22=TIME(17,0,0),"",(S22-T21)*24*60)</f>
        <v>4.9999999999999822</v>
      </c>
      <c r="V22" s="30">
        <f t="shared" si="21"/>
        <v>41.000000000000014</v>
      </c>
      <c r="W22" s="16"/>
      <c r="X22" s="88"/>
      <c r="Y22" s="88"/>
      <c r="Z22" s="88"/>
      <c r="AA22" s="168"/>
      <c r="AB22" s="168"/>
      <c r="AC22" s="18"/>
      <c r="AD22" s="18"/>
      <c r="AE22" s="14">
        <f t="shared" si="8"/>
        <v>-63.902439024390787</v>
      </c>
      <c r="AF22" s="91">
        <f t="shared" si="9"/>
        <v>0.96804878048780463</v>
      </c>
      <c r="AG22" s="177"/>
    </row>
    <row r="23" spans="1:33" ht="15.75" customHeight="1">
      <c r="A23" s="196" t="s">
        <v>1480</v>
      </c>
      <c r="B23" s="28" t="s">
        <v>5</v>
      </c>
      <c r="C23" s="193" t="s">
        <v>73</v>
      </c>
      <c r="D23" s="193"/>
      <c r="E23" s="28">
        <v>50.67</v>
      </c>
      <c r="F23" s="88">
        <v>2659</v>
      </c>
      <c r="G23" s="88">
        <f t="shared" si="19"/>
        <v>134731.53</v>
      </c>
      <c r="H23" s="30" t="s">
        <v>53</v>
      </c>
      <c r="I23" s="95">
        <v>17</v>
      </c>
      <c r="J23" s="13">
        <v>2000</v>
      </c>
      <c r="K23" s="12">
        <f t="shared" si="1"/>
        <v>117.64705882352941</v>
      </c>
      <c r="L23" s="95">
        <v>17</v>
      </c>
      <c r="M23" s="13">
        <f t="shared" si="20"/>
        <v>1922.1686746987943</v>
      </c>
      <c r="N23" s="12">
        <f t="shared" si="3"/>
        <v>113.06874557051731</v>
      </c>
      <c r="O23" s="14">
        <f t="shared" si="4"/>
        <v>0</v>
      </c>
      <c r="P23" s="15">
        <f t="shared" si="5"/>
        <v>-4.578313253012098</v>
      </c>
      <c r="Q23" s="91">
        <f t="shared" si="6"/>
        <v>0.96108433734939713</v>
      </c>
      <c r="R23" s="177"/>
      <c r="S23" s="21">
        <v>0.40347222222222223</v>
      </c>
      <c r="T23" s="21">
        <v>0.46111111111111114</v>
      </c>
      <c r="U23" s="88">
        <f t="shared" si="22"/>
        <v>7.9999999999999716</v>
      </c>
      <c r="V23" s="30">
        <f t="shared" si="21"/>
        <v>83.000000000000028</v>
      </c>
      <c r="W23" s="16"/>
      <c r="X23" s="88"/>
      <c r="Y23" s="88"/>
      <c r="Z23" s="88"/>
      <c r="AA23" s="168"/>
      <c r="AB23" s="168"/>
      <c r="AC23" s="18"/>
      <c r="AD23" s="18"/>
      <c r="AE23" s="14">
        <f t="shared" si="8"/>
        <v>-77.831325301205652</v>
      </c>
      <c r="AF23" s="91">
        <f t="shared" si="9"/>
        <v>0.96108433734939713</v>
      </c>
      <c r="AG23" s="177"/>
    </row>
    <row r="24" spans="1:33" ht="15.75" customHeight="1">
      <c r="A24" s="196" t="s">
        <v>1480</v>
      </c>
      <c r="B24" s="28" t="s">
        <v>5</v>
      </c>
      <c r="C24" s="193" t="s">
        <v>21</v>
      </c>
      <c r="D24" s="193"/>
      <c r="E24" s="28">
        <v>57.3</v>
      </c>
      <c r="F24" s="88">
        <v>1651</v>
      </c>
      <c r="G24" s="88">
        <f t="shared" si="19"/>
        <v>94602.299999999988</v>
      </c>
      <c r="H24" s="30" t="s">
        <v>53</v>
      </c>
      <c r="I24" s="95">
        <v>13</v>
      </c>
      <c r="J24" s="13">
        <v>2000</v>
      </c>
      <c r="K24" s="12">
        <f t="shared" si="1"/>
        <v>153.84615384615384</v>
      </c>
      <c r="L24" s="95">
        <v>13</v>
      </c>
      <c r="M24" s="13">
        <f t="shared" si="20"/>
        <v>1905.0000000000011</v>
      </c>
      <c r="N24" s="12">
        <f t="shared" si="3"/>
        <v>146.53846153846163</v>
      </c>
      <c r="O24" s="14">
        <f t="shared" si="4"/>
        <v>0</v>
      </c>
      <c r="P24" s="15">
        <f t="shared" si="5"/>
        <v>-7.3076923076922071</v>
      </c>
      <c r="Q24" s="91">
        <f t="shared" si="6"/>
        <v>0.95250000000000068</v>
      </c>
      <c r="R24" s="177"/>
      <c r="S24" s="21">
        <v>0.70833333333333337</v>
      </c>
      <c r="T24" s="21">
        <v>0.74444444444444446</v>
      </c>
      <c r="U24" s="88" t="str">
        <f t="shared" si="22"/>
        <v/>
      </c>
      <c r="V24" s="30">
        <f t="shared" si="21"/>
        <v>51.999999999999972</v>
      </c>
      <c r="W24" s="16"/>
      <c r="X24" s="88"/>
      <c r="Y24" s="88"/>
      <c r="Z24" s="88"/>
      <c r="AA24" s="168"/>
      <c r="AB24" s="168"/>
      <c r="AC24" s="18"/>
      <c r="AD24" s="18"/>
      <c r="AE24" s="14">
        <f t="shared" si="8"/>
        <v>-94.999999999998863</v>
      </c>
      <c r="AF24" s="91">
        <f t="shared" si="9"/>
        <v>0.95250000000000057</v>
      </c>
      <c r="AG24" s="177"/>
    </row>
    <row r="25" spans="1:33" ht="15.75" customHeight="1">
      <c r="A25" s="196" t="s">
        <v>1480</v>
      </c>
      <c r="B25" s="28" t="s">
        <v>5</v>
      </c>
      <c r="C25" s="193" t="s">
        <v>20</v>
      </c>
      <c r="D25" s="193"/>
      <c r="E25" s="28">
        <v>53.68</v>
      </c>
      <c r="F25" s="88">
        <v>1383</v>
      </c>
      <c r="G25" s="88">
        <f t="shared" si="19"/>
        <v>74239.44</v>
      </c>
      <c r="H25" s="30" t="s">
        <v>53</v>
      </c>
      <c r="I25" s="95">
        <v>16</v>
      </c>
      <c r="J25" s="13">
        <v>1500</v>
      </c>
      <c r="K25" s="12">
        <f t="shared" si="1"/>
        <v>93.75</v>
      </c>
      <c r="L25" s="95">
        <v>16</v>
      </c>
      <c r="M25" s="13">
        <f t="shared" si="20"/>
        <v>1430.6896551724149</v>
      </c>
      <c r="N25" s="12">
        <f t="shared" si="3"/>
        <v>89.418103448275929</v>
      </c>
      <c r="O25" s="14">
        <f t="shared" si="4"/>
        <v>0</v>
      </c>
      <c r="P25" s="15">
        <f t="shared" si="5"/>
        <v>-4.3318965517240713</v>
      </c>
      <c r="Q25" s="91">
        <f t="shared" si="6"/>
        <v>0.95379310344827661</v>
      </c>
      <c r="R25" s="177"/>
      <c r="S25" s="21">
        <v>0.74791666666666667</v>
      </c>
      <c r="T25" s="21">
        <v>0.78819444444444442</v>
      </c>
      <c r="U25" s="88">
        <f t="shared" si="22"/>
        <v>4.9999999999999822</v>
      </c>
      <c r="V25" s="30">
        <f t="shared" si="21"/>
        <v>57.999999999999957</v>
      </c>
      <c r="W25" s="16"/>
      <c r="X25" s="16"/>
      <c r="Y25" s="88"/>
      <c r="Z25" s="88"/>
      <c r="AA25" s="168"/>
      <c r="AB25" s="168"/>
      <c r="AC25" s="18"/>
      <c r="AD25" s="18"/>
      <c r="AE25" s="14">
        <f t="shared" si="8"/>
        <v>-69.310344827585141</v>
      </c>
      <c r="AF25" s="91">
        <f t="shared" si="9"/>
        <v>0.95379310344827661</v>
      </c>
      <c r="AG25" s="177"/>
    </row>
    <row r="26" spans="1:33" ht="15.75" customHeight="1">
      <c r="A26" s="196" t="s">
        <v>1480</v>
      </c>
      <c r="B26" s="28" t="s">
        <v>5</v>
      </c>
      <c r="C26" s="193" t="s">
        <v>19</v>
      </c>
      <c r="D26" s="193"/>
      <c r="E26" s="28">
        <v>50.49</v>
      </c>
      <c r="F26" s="88">
        <v>1999</v>
      </c>
      <c r="G26" s="88">
        <f t="shared" si="19"/>
        <v>100929.51000000001</v>
      </c>
      <c r="H26" s="30" t="s">
        <v>53</v>
      </c>
      <c r="I26" s="95">
        <v>15</v>
      </c>
      <c r="J26" s="13">
        <v>2000</v>
      </c>
      <c r="K26" s="12">
        <f t="shared" si="1"/>
        <v>133.33333333333334</v>
      </c>
      <c r="L26" s="95">
        <v>15</v>
      </c>
      <c r="M26" s="13">
        <f t="shared" si="20"/>
        <v>1903.8095238095257</v>
      </c>
      <c r="N26" s="12">
        <f t="shared" si="3"/>
        <v>126.92063492063504</v>
      </c>
      <c r="O26" s="14">
        <f t="shared" si="4"/>
        <v>0</v>
      </c>
      <c r="P26" s="15">
        <f t="shared" si="5"/>
        <v>-6.4126984126983047</v>
      </c>
      <c r="Q26" s="91">
        <f t="shared" si="6"/>
        <v>0.9519047619047627</v>
      </c>
      <c r="R26" s="177"/>
      <c r="S26" s="21">
        <v>0.79236111111111107</v>
      </c>
      <c r="T26" s="21">
        <v>0.83611111111111103</v>
      </c>
      <c r="U26" s="88">
        <f t="shared" si="22"/>
        <v>5.9999999999999787</v>
      </c>
      <c r="V26" s="30">
        <f t="shared" si="21"/>
        <v>62.999999999999936</v>
      </c>
      <c r="W26" s="16">
        <f>T26</f>
        <v>0.83611111111111103</v>
      </c>
      <c r="X26" s="16">
        <f>S27</f>
        <v>0.87569444444444433</v>
      </c>
      <c r="Y26" s="21"/>
      <c r="Z26" s="21"/>
      <c r="AA26" s="168"/>
      <c r="AB26" s="168"/>
      <c r="AC26" s="18"/>
      <c r="AD26" s="18"/>
      <c r="AE26" s="14">
        <f t="shared" si="8"/>
        <v>-96.190476190474328</v>
      </c>
      <c r="AF26" s="91">
        <f t="shared" si="9"/>
        <v>0.95190476190476281</v>
      </c>
      <c r="AG26" s="177"/>
    </row>
    <row r="27" spans="1:33" ht="15.75" customHeight="1">
      <c r="A27" s="196" t="s">
        <v>1480</v>
      </c>
      <c r="B27" s="28" t="s">
        <v>5</v>
      </c>
      <c r="C27" s="218" t="s">
        <v>15</v>
      </c>
      <c r="D27" s="219"/>
      <c r="E27" s="28">
        <v>50.92</v>
      </c>
      <c r="F27" s="88">
        <v>1275</v>
      </c>
      <c r="G27" s="88">
        <f t="shared" si="19"/>
        <v>64923</v>
      </c>
      <c r="H27" s="30" t="s">
        <v>53</v>
      </c>
      <c r="I27" s="95">
        <v>15</v>
      </c>
      <c r="J27" s="13">
        <v>2000</v>
      </c>
      <c r="K27" s="12">
        <f t="shared" si="1"/>
        <v>133.33333333333334</v>
      </c>
      <c r="L27" s="95">
        <v>15</v>
      </c>
      <c r="M27" s="13">
        <f t="shared" si="20"/>
        <v>1912.4999999999993</v>
      </c>
      <c r="N27" s="12">
        <f t="shared" si="3"/>
        <v>127.49999999999996</v>
      </c>
      <c r="O27" s="14">
        <f t="shared" si="4"/>
        <v>0</v>
      </c>
      <c r="P27" s="15">
        <f t="shared" si="5"/>
        <v>-5.8333333333333854</v>
      </c>
      <c r="Q27" s="91">
        <f t="shared" si="6"/>
        <v>0.9562499999999996</v>
      </c>
      <c r="R27" s="177"/>
      <c r="S27" s="21">
        <v>0.87569444444444433</v>
      </c>
      <c r="T27" s="21">
        <v>0.90347222222222212</v>
      </c>
      <c r="U27" s="88">
        <f t="shared" si="22"/>
        <v>56.999999999999957</v>
      </c>
      <c r="V27" s="30">
        <f t="shared" si="21"/>
        <v>40.000000000000014</v>
      </c>
      <c r="W27" s="16"/>
      <c r="X27" s="21"/>
      <c r="Y27" s="22"/>
      <c r="Z27" s="22"/>
      <c r="AA27" s="172"/>
      <c r="AB27" s="173"/>
      <c r="AC27" s="18"/>
      <c r="AD27" s="18"/>
      <c r="AE27" s="14">
        <f t="shared" si="8"/>
        <v>-87.500000000000682</v>
      </c>
      <c r="AF27" s="91">
        <f t="shared" si="9"/>
        <v>0.95624999999999971</v>
      </c>
      <c r="AG27" s="177"/>
    </row>
    <row r="28" spans="1:33" ht="15.75" customHeight="1">
      <c r="A28" s="196" t="s">
        <v>1480</v>
      </c>
      <c r="B28" s="28" t="s">
        <v>1477</v>
      </c>
      <c r="C28" s="178"/>
      <c r="D28" s="178"/>
      <c r="E28" s="92"/>
      <c r="F28" s="88"/>
      <c r="G28" s="88"/>
      <c r="H28" s="88"/>
      <c r="I28" s="23">
        <v>15.142857142857142</v>
      </c>
      <c r="J28" s="13">
        <v>1928.5714285714287</v>
      </c>
      <c r="K28" s="12">
        <f t="shared" si="1"/>
        <v>127.35849056603774</v>
      </c>
      <c r="L28" s="23">
        <v>15.142857142857142</v>
      </c>
      <c r="M28" s="13">
        <f>AVERAGE(M21:M27)</f>
        <v>1846.6241872514631</v>
      </c>
      <c r="N28" s="12">
        <f t="shared" si="3"/>
        <v>121.94688029019096</v>
      </c>
      <c r="O28" s="14">
        <f t="shared" si="4"/>
        <v>0</v>
      </c>
      <c r="P28" s="15">
        <f t="shared" si="5"/>
        <v>-5.4116102758467832</v>
      </c>
      <c r="Q28" s="91">
        <f t="shared" si="6"/>
        <v>0.95750883783409191</v>
      </c>
      <c r="R28" s="177"/>
      <c r="S28" s="21"/>
      <c r="T28" s="21"/>
      <c r="U28" s="12"/>
      <c r="V28" s="30"/>
      <c r="W28" s="12"/>
      <c r="X28" s="12"/>
      <c r="Y28" s="24">
        <f>SUM(Y21:Y27)</f>
        <v>0</v>
      </c>
      <c r="Z28" s="24">
        <f>SUM(Z21:Z27)</f>
        <v>0</v>
      </c>
      <c r="AA28" s="167"/>
      <c r="AB28" s="167"/>
      <c r="AC28" s="24">
        <f>SUM(AC21:AC27)</f>
        <v>7</v>
      </c>
      <c r="AD28" s="24">
        <f>SUM(AD21:AD27)</f>
        <v>0</v>
      </c>
      <c r="AE28" s="14">
        <f t="shared" si="8"/>
        <v>-81.947241319965542</v>
      </c>
      <c r="AF28" s="91">
        <f t="shared" si="9"/>
        <v>0.95750883783409191</v>
      </c>
      <c r="AG28" s="177"/>
    </row>
    <row r="29" spans="1:33" ht="15.75" customHeight="1">
      <c r="A29" s="194" t="s">
        <v>1481</v>
      </c>
      <c r="B29" s="28" t="s">
        <v>22</v>
      </c>
      <c r="C29" s="193" t="s">
        <v>23</v>
      </c>
      <c r="D29" s="193"/>
      <c r="E29" s="28">
        <v>31.29</v>
      </c>
      <c r="F29" s="88">
        <v>6400</v>
      </c>
      <c r="G29" s="88">
        <f t="shared" ref="G29:G36" si="23">E29*F29</f>
        <v>200256</v>
      </c>
      <c r="H29" s="30">
        <v>2</v>
      </c>
      <c r="I29" s="95">
        <v>18</v>
      </c>
      <c r="J29" s="13">
        <v>2400</v>
      </c>
      <c r="K29" s="12">
        <f t="shared" si="1"/>
        <v>133.33333333333334</v>
      </c>
      <c r="L29" s="95">
        <v>18</v>
      </c>
      <c r="M29" s="13">
        <f t="shared" ref="M29:M36" si="24">F29/V29*60</f>
        <v>2285.7142857142858</v>
      </c>
      <c r="N29" s="12">
        <f t="shared" si="3"/>
        <v>126.98412698412699</v>
      </c>
      <c r="O29" s="14">
        <f t="shared" si="4"/>
        <v>0</v>
      </c>
      <c r="P29" s="15">
        <f t="shared" si="5"/>
        <v>-6.3492063492063551</v>
      </c>
      <c r="Q29" s="91">
        <f t="shared" si="6"/>
        <v>0.95238095238095233</v>
      </c>
      <c r="R29" s="177">
        <f>Q37</f>
        <v>0.95802102843610903</v>
      </c>
      <c r="S29" s="21">
        <v>8.3333333333333329E-2</v>
      </c>
      <c r="T29" s="21">
        <v>0.19999999999999998</v>
      </c>
      <c r="U29" s="88"/>
      <c r="V29" s="30">
        <f t="shared" ref="V29:V36" si="25">(T29-S29)*24*60</f>
        <v>168</v>
      </c>
      <c r="W29" s="16">
        <f>T29</f>
        <v>0.19999999999999998</v>
      </c>
      <c r="X29" s="16">
        <f>S30</f>
        <v>0.22152777777777777</v>
      </c>
      <c r="Y29" s="16"/>
      <c r="Z29" s="16"/>
      <c r="AA29" s="168"/>
      <c r="AB29" s="168"/>
      <c r="AC29" s="18">
        <v>8</v>
      </c>
      <c r="AD29" s="18"/>
      <c r="AE29" s="14">
        <f t="shared" si="8"/>
        <v>-114.28571428571422</v>
      </c>
      <c r="AF29" s="91">
        <f t="shared" si="9"/>
        <v>0.95238095238095244</v>
      </c>
      <c r="AG29" s="177">
        <f>AF37</f>
        <v>0.95802102843610915</v>
      </c>
    </row>
    <row r="30" spans="1:33" ht="15.75" customHeight="1">
      <c r="A30" s="194" t="s">
        <v>1481</v>
      </c>
      <c r="B30" s="28" t="s">
        <v>22</v>
      </c>
      <c r="C30" s="193" t="s">
        <v>24</v>
      </c>
      <c r="D30" s="193"/>
      <c r="E30" s="28">
        <v>25.98</v>
      </c>
      <c r="F30" s="88">
        <v>3383</v>
      </c>
      <c r="G30" s="88">
        <f t="shared" si="23"/>
        <v>87890.34</v>
      </c>
      <c r="H30" s="30" t="s">
        <v>53</v>
      </c>
      <c r="I30" s="95">
        <v>21</v>
      </c>
      <c r="J30" s="13">
        <v>2400</v>
      </c>
      <c r="K30" s="12">
        <f t="shared" si="1"/>
        <v>114.28571428571429</v>
      </c>
      <c r="L30" s="95">
        <v>21</v>
      </c>
      <c r="M30" s="13">
        <f t="shared" si="24"/>
        <v>2280.6741573033705</v>
      </c>
      <c r="N30" s="12">
        <f t="shared" si="3"/>
        <v>108.6035313001605</v>
      </c>
      <c r="O30" s="14">
        <f t="shared" si="4"/>
        <v>0</v>
      </c>
      <c r="P30" s="15">
        <f t="shared" si="5"/>
        <v>-5.6821829855537942</v>
      </c>
      <c r="Q30" s="91">
        <f t="shared" si="6"/>
        <v>0.95028089887640432</v>
      </c>
      <c r="R30" s="177"/>
      <c r="S30" s="21">
        <v>0.22152777777777777</v>
      </c>
      <c r="T30" s="21">
        <v>0.28333333333333333</v>
      </c>
      <c r="U30" s="88">
        <f t="shared" ref="U30:U36" si="26">(S30-T29)*24*60</f>
        <v>31.000000000000011</v>
      </c>
      <c r="V30" s="30">
        <f t="shared" si="25"/>
        <v>89</v>
      </c>
      <c r="W30" s="16"/>
      <c r="X30" s="16"/>
      <c r="Y30" s="16"/>
      <c r="Z30" s="16"/>
      <c r="AA30" s="168"/>
      <c r="AB30" s="168"/>
      <c r="AC30" s="18"/>
      <c r="AD30" s="18"/>
      <c r="AE30" s="14">
        <f t="shared" si="8"/>
        <v>-119.32584269662948</v>
      </c>
      <c r="AF30" s="91">
        <f t="shared" si="9"/>
        <v>0.95028089887640443</v>
      </c>
      <c r="AG30" s="177"/>
    </row>
    <row r="31" spans="1:33" ht="15.75" customHeight="1">
      <c r="A31" s="194" t="s">
        <v>1481</v>
      </c>
      <c r="B31" s="28" t="s">
        <v>22</v>
      </c>
      <c r="C31" s="193" t="s">
        <v>26</v>
      </c>
      <c r="D31" s="193"/>
      <c r="E31" s="28">
        <v>25.99</v>
      </c>
      <c r="F31" s="88">
        <v>3000</v>
      </c>
      <c r="G31" s="88">
        <f t="shared" si="23"/>
        <v>77970</v>
      </c>
      <c r="H31" s="30">
        <v>2</v>
      </c>
      <c r="I31" s="95">
        <v>14</v>
      </c>
      <c r="J31" s="13">
        <v>2400</v>
      </c>
      <c r="K31" s="12">
        <f t="shared" si="1"/>
        <v>171.42857142857142</v>
      </c>
      <c r="L31" s="95">
        <v>14</v>
      </c>
      <c r="M31" s="13">
        <f t="shared" si="24"/>
        <v>2307.6923076923063</v>
      </c>
      <c r="N31" s="12">
        <f t="shared" si="3"/>
        <v>164.83516483516473</v>
      </c>
      <c r="O31" s="14">
        <f t="shared" si="4"/>
        <v>0</v>
      </c>
      <c r="P31" s="15">
        <f t="shared" si="5"/>
        <v>-6.5934065934066837</v>
      </c>
      <c r="Q31" s="91">
        <f t="shared" si="6"/>
        <v>0.96153846153846101</v>
      </c>
      <c r="R31" s="177"/>
      <c r="S31" s="21">
        <v>0.28680555555555554</v>
      </c>
      <c r="T31" s="21">
        <v>0.34097222222222223</v>
      </c>
      <c r="U31" s="88">
        <f t="shared" si="26"/>
        <v>4.9999999999999822</v>
      </c>
      <c r="V31" s="30">
        <f t="shared" si="25"/>
        <v>78.000000000000043</v>
      </c>
      <c r="W31" s="16"/>
      <c r="X31" s="16"/>
      <c r="Y31" s="16"/>
      <c r="Z31" s="16"/>
      <c r="AA31" s="168"/>
      <c r="AB31" s="168"/>
      <c r="AC31" s="18"/>
      <c r="AD31" s="18"/>
      <c r="AE31" s="14">
        <f t="shared" si="8"/>
        <v>-92.307692307693742</v>
      </c>
      <c r="AF31" s="91">
        <f t="shared" si="9"/>
        <v>0.9615384615384609</v>
      </c>
      <c r="AG31" s="177"/>
    </row>
    <row r="32" spans="1:33" ht="15.75" customHeight="1">
      <c r="A32" s="194" t="s">
        <v>1481</v>
      </c>
      <c r="B32" s="28" t="s">
        <v>22</v>
      </c>
      <c r="C32" s="193" t="s">
        <v>27</v>
      </c>
      <c r="D32" s="193"/>
      <c r="E32" s="28">
        <v>26.18</v>
      </c>
      <c r="F32" s="88">
        <v>1779</v>
      </c>
      <c r="G32" s="88">
        <f t="shared" si="23"/>
        <v>46574.22</v>
      </c>
      <c r="H32" s="30" t="s">
        <v>53</v>
      </c>
      <c r="I32" s="95">
        <v>19</v>
      </c>
      <c r="J32" s="13">
        <v>2400</v>
      </c>
      <c r="K32" s="12">
        <f t="shared" si="1"/>
        <v>126.31578947368421</v>
      </c>
      <c r="L32" s="95">
        <v>19</v>
      </c>
      <c r="M32" s="13">
        <f t="shared" si="24"/>
        <v>2320.4347826086955</v>
      </c>
      <c r="N32" s="12">
        <f t="shared" si="3"/>
        <v>122.12814645308924</v>
      </c>
      <c r="O32" s="14">
        <f t="shared" si="4"/>
        <v>0</v>
      </c>
      <c r="P32" s="15">
        <f t="shared" si="5"/>
        <v>-4.1876430205949617</v>
      </c>
      <c r="Q32" s="91">
        <f t="shared" si="6"/>
        <v>0.96684782608695652</v>
      </c>
      <c r="R32" s="177"/>
      <c r="S32" s="21">
        <v>0.34652777777777777</v>
      </c>
      <c r="T32" s="21">
        <v>0.37847222222222221</v>
      </c>
      <c r="U32" s="88">
        <f t="shared" si="26"/>
        <v>7.9999999999999716</v>
      </c>
      <c r="V32" s="30">
        <f t="shared" si="25"/>
        <v>46</v>
      </c>
      <c r="W32" s="16"/>
      <c r="X32" s="16"/>
      <c r="Y32" s="16"/>
      <c r="Z32" s="16"/>
      <c r="AA32" s="168"/>
      <c r="AB32" s="168"/>
      <c r="AC32" s="18"/>
      <c r="AD32" s="18"/>
      <c r="AE32" s="14">
        <f t="shared" si="8"/>
        <v>-79.565217391304486</v>
      </c>
      <c r="AF32" s="91">
        <f t="shared" si="9"/>
        <v>0.96684782608695652</v>
      </c>
      <c r="AG32" s="177"/>
    </row>
    <row r="33" spans="1:33" ht="15.75" customHeight="1">
      <c r="A33" s="194" t="s">
        <v>1481</v>
      </c>
      <c r="B33" s="28" t="s">
        <v>22</v>
      </c>
      <c r="C33" s="193" t="s">
        <v>25</v>
      </c>
      <c r="D33" s="193"/>
      <c r="E33" s="28">
        <v>26.2</v>
      </c>
      <c r="F33" s="88">
        <v>3800</v>
      </c>
      <c r="G33" s="88">
        <f t="shared" si="23"/>
        <v>99560</v>
      </c>
      <c r="H33" s="30">
        <v>2</v>
      </c>
      <c r="I33" s="95">
        <v>20</v>
      </c>
      <c r="J33" s="13">
        <v>2400</v>
      </c>
      <c r="K33" s="12">
        <f t="shared" si="1"/>
        <v>120</v>
      </c>
      <c r="L33" s="95">
        <v>20</v>
      </c>
      <c r="M33" s="13">
        <f t="shared" si="24"/>
        <v>2303.0303030303039</v>
      </c>
      <c r="N33" s="12">
        <f t="shared" si="3"/>
        <v>115.1515151515152</v>
      </c>
      <c r="O33" s="14">
        <f t="shared" si="4"/>
        <v>0</v>
      </c>
      <c r="P33" s="15">
        <f t="shared" si="5"/>
        <v>-4.8484848484848015</v>
      </c>
      <c r="Q33" s="91">
        <f t="shared" si="6"/>
        <v>0.95959595959596</v>
      </c>
      <c r="R33" s="177"/>
      <c r="S33" s="21">
        <v>0.38194444444444442</v>
      </c>
      <c r="T33" s="21">
        <v>0.4506944444444444</v>
      </c>
      <c r="U33" s="88">
        <f t="shared" si="26"/>
        <v>4.9999999999999822</v>
      </c>
      <c r="V33" s="30">
        <f t="shared" si="25"/>
        <v>98.999999999999972</v>
      </c>
      <c r="W33" s="16">
        <f>T33</f>
        <v>0.4506944444444444</v>
      </c>
      <c r="X33" s="16">
        <f>S34</f>
        <v>0.48958333333333326</v>
      </c>
      <c r="Y33" s="16"/>
      <c r="Z33" s="16"/>
      <c r="AA33" s="168"/>
      <c r="AB33" s="168"/>
      <c r="AC33" s="18"/>
      <c r="AD33" s="18"/>
      <c r="AE33" s="14">
        <f t="shared" si="8"/>
        <v>-96.969696969696088</v>
      </c>
      <c r="AF33" s="91">
        <f t="shared" si="9"/>
        <v>0.95959595959596</v>
      </c>
      <c r="AG33" s="177"/>
    </row>
    <row r="34" spans="1:33" ht="15.75" customHeight="1">
      <c r="A34" s="194" t="s">
        <v>1481</v>
      </c>
      <c r="B34" s="28" t="s">
        <v>22</v>
      </c>
      <c r="C34" s="193" t="s">
        <v>23</v>
      </c>
      <c r="D34" s="193"/>
      <c r="E34" s="28">
        <v>31.29</v>
      </c>
      <c r="F34" s="88">
        <v>3714</v>
      </c>
      <c r="G34" s="88">
        <f t="shared" si="23"/>
        <v>116211.06</v>
      </c>
      <c r="H34" s="30" t="s">
        <v>53</v>
      </c>
      <c r="I34" s="95">
        <v>18</v>
      </c>
      <c r="J34" s="13">
        <v>2400</v>
      </c>
      <c r="K34" s="12">
        <f t="shared" si="1"/>
        <v>133.33333333333334</v>
      </c>
      <c r="L34" s="95">
        <v>18</v>
      </c>
      <c r="M34" s="13">
        <f t="shared" si="24"/>
        <v>2297.3195876288669</v>
      </c>
      <c r="N34" s="12">
        <f t="shared" si="3"/>
        <v>127.62886597938149</v>
      </c>
      <c r="O34" s="14">
        <f t="shared" si="4"/>
        <v>0</v>
      </c>
      <c r="P34" s="15">
        <f t="shared" si="5"/>
        <v>-5.7044673539518556</v>
      </c>
      <c r="Q34" s="91">
        <f t="shared" si="6"/>
        <v>0.95721649484536109</v>
      </c>
      <c r="R34" s="177"/>
      <c r="S34" s="21">
        <v>0.48958333333333326</v>
      </c>
      <c r="T34" s="21">
        <v>0.55694444444444435</v>
      </c>
      <c r="U34" s="88">
        <f t="shared" si="26"/>
        <v>55.999999999999957</v>
      </c>
      <c r="V34" s="30">
        <f t="shared" si="25"/>
        <v>96.999999999999972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8"/>
        <v>-102.68041237113312</v>
      </c>
      <c r="AF34" s="91">
        <f t="shared" si="9"/>
        <v>0.9572164948453612</v>
      </c>
      <c r="AG34" s="177"/>
    </row>
    <row r="35" spans="1:33" ht="15.75" customHeight="1">
      <c r="A35" s="194" t="s">
        <v>1481</v>
      </c>
      <c r="B35" s="28" t="s">
        <v>22</v>
      </c>
      <c r="C35" s="193" t="s">
        <v>25</v>
      </c>
      <c r="D35" s="193"/>
      <c r="E35" s="28">
        <v>26.2</v>
      </c>
      <c r="F35" s="88">
        <v>1874</v>
      </c>
      <c r="G35" s="88">
        <f t="shared" si="23"/>
        <v>49098.799999999996</v>
      </c>
      <c r="H35" s="30" t="s">
        <v>53</v>
      </c>
      <c r="I35" s="95">
        <v>20</v>
      </c>
      <c r="J35" s="13">
        <v>2400</v>
      </c>
      <c r="K35" s="12">
        <f t="shared" si="1"/>
        <v>120</v>
      </c>
      <c r="L35" s="95">
        <v>20</v>
      </c>
      <c r="M35" s="13">
        <f t="shared" si="24"/>
        <v>2294.6938775510207</v>
      </c>
      <c r="N35" s="12">
        <f t="shared" si="3"/>
        <v>114.73469387755104</v>
      </c>
      <c r="O35" s="14">
        <f t="shared" si="4"/>
        <v>0</v>
      </c>
      <c r="P35" s="15">
        <f t="shared" si="5"/>
        <v>-5.2653061224489619</v>
      </c>
      <c r="Q35" s="91">
        <f t="shared" si="6"/>
        <v>0.95612244897959198</v>
      </c>
      <c r="R35" s="177"/>
      <c r="S35" s="21">
        <v>0.56041666666666656</v>
      </c>
      <c r="T35" s="21">
        <v>0.59444444444444433</v>
      </c>
      <c r="U35" s="88">
        <f t="shared" si="26"/>
        <v>4.9999999999999822</v>
      </c>
      <c r="V35" s="30">
        <f t="shared" si="25"/>
        <v>48.999999999999986</v>
      </c>
      <c r="W35" s="16"/>
      <c r="X35" s="16"/>
      <c r="Y35" s="16"/>
      <c r="Z35" s="16"/>
      <c r="AA35" s="168"/>
      <c r="AB35" s="168"/>
      <c r="AC35" s="18"/>
      <c r="AD35" s="18"/>
      <c r="AE35" s="14">
        <f t="shared" si="8"/>
        <v>-105.30612244897929</v>
      </c>
      <c r="AF35" s="91">
        <f t="shared" si="9"/>
        <v>0.95612244897959198</v>
      </c>
      <c r="AG35" s="177"/>
    </row>
    <row r="36" spans="1:33" ht="15.75" customHeight="1">
      <c r="A36" s="194" t="s">
        <v>1481</v>
      </c>
      <c r="B36" s="28" t="s">
        <v>22</v>
      </c>
      <c r="C36" s="100" t="s">
        <v>26</v>
      </c>
      <c r="D36" s="101"/>
      <c r="E36" s="28">
        <v>25.99</v>
      </c>
      <c r="F36" s="88">
        <v>2074</v>
      </c>
      <c r="G36" s="88">
        <f t="shared" si="23"/>
        <v>53903.259999999995</v>
      </c>
      <c r="H36" s="30" t="s">
        <v>53</v>
      </c>
      <c r="I36" s="95">
        <v>14</v>
      </c>
      <c r="J36" s="13">
        <v>2400</v>
      </c>
      <c r="K36" s="12">
        <f t="shared" si="1"/>
        <v>171.42857142857142</v>
      </c>
      <c r="L36" s="95">
        <v>14</v>
      </c>
      <c r="M36" s="13">
        <f t="shared" si="24"/>
        <v>2304.4444444444457</v>
      </c>
      <c r="N36" s="12">
        <f t="shared" si="3"/>
        <v>164.60317460317469</v>
      </c>
      <c r="O36" s="14">
        <f t="shared" si="4"/>
        <v>0</v>
      </c>
      <c r="P36" s="15">
        <f t="shared" si="5"/>
        <v>-6.825396825396723</v>
      </c>
      <c r="Q36" s="91">
        <f t="shared" si="6"/>
        <v>0.96018518518518581</v>
      </c>
      <c r="R36" s="177"/>
      <c r="S36" s="21">
        <v>0.59999999999999987</v>
      </c>
      <c r="T36" s="21">
        <v>0.63749999999999984</v>
      </c>
      <c r="U36" s="88">
        <f t="shared" si="26"/>
        <v>7.9999999999999716</v>
      </c>
      <c r="V36" s="30">
        <f t="shared" si="25"/>
        <v>53.999999999999972</v>
      </c>
      <c r="W36" s="16"/>
      <c r="X36" s="16"/>
      <c r="Y36" s="16"/>
      <c r="Z36" s="16"/>
      <c r="AA36" s="98"/>
      <c r="AB36" s="99"/>
      <c r="AC36" s="18"/>
      <c r="AD36" s="18"/>
      <c r="AE36" s="14">
        <f t="shared" si="8"/>
        <v>-95.555555555554292</v>
      </c>
      <c r="AF36" s="91">
        <f t="shared" si="9"/>
        <v>0.9601851851851857</v>
      </c>
      <c r="AG36" s="177"/>
    </row>
    <row r="37" spans="1:33" ht="15.75" customHeight="1">
      <c r="A37" s="194" t="s">
        <v>1481</v>
      </c>
      <c r="B37" s="28" t="s">
        <v>1477</v>
      </c>
      <c r="C37" s="178"/>
      <c r="D37" s="178"/>
      <c r="E37" s="92"/>
      <c r="F37" s="88"/>
      <c r="G37" s="88"/>
      <c r="H37" s="88"/>
      <c r="I37" s="23">
        <v>18</v>
      </c>
      <c r="J37" s="13">
        <v>2400</v>
      </c>
      <c r="K37" s="12">
        <f t="shared" si="1"/>
        <v>133.33333333333334</v>
      </c>
      <c r="L37" s="23">
        <v>18</v>
      </c>
      <c r="M37" s="13">
        <f>AVERAGE(M29:M36)</f>
        <v>2299.250468246662</v>
      </c>
      <c r="N37" s="12">
        <f t="shared" si="3"/>
        <v>127.73613712481455</v>
      </c>
      <c r="O37" s="14">
        <f t="shared" si="4"/>
        <v>0</v>
      </c>
      <c r="P37" s="15">
        <f t="shared" si="5"/>
        <v>-5.5971962085187954</v>
      </c>
      <c r="Q37" s="91">
        <f t="shared" si="6"/>
        <v>0.95802102843610903</v>
      </c>
      <c r="R37" s="177"/>
      <c r="S37" s="21"/>
      <c r="T37" s="21"/>
      <c r="U37" s="88"/>
      <c r="V37" s="30"/>
      <c r="W37" s="88"/>
      <c r="X37" s="88"/>
      <c r="Y37" s="24">
        <f>SUM(Y29:Y36)</f>
        <v>0</v>
      </c>
      <c r="Z37" s="24">
        <f>SUM(Z29:Z36)</f>
        <v>0</v>
      </c>
      <c r="AA37" s="167"/>
      <c r="AB37" s="167"/>
      <c r="AC37" s="24">
        <f>SUM(AC29:AC36)</f>
        <v>8</v>
      </c>
      <c r="AD37" s="24">
        <f>SUM(AD29:AD36)</f>
        <v>0</v>
      </c>
      <c r="AE37" s="14">
        <f t="shared" si="8"/>
        <v>-100.74953175333803</v>
      </c>
      <c r="AF37" s="91">
        <f t="shared" si="9"/>
        <v>0.95802102843610915</v>
      </c>
      <c r="AG37" s="177"/>
    </row>
    <row r="38" spans="1:33" ht="15.75" customHeight="1">
      <c r="A38" s="191" t="s">
        <v>1482</v>
      </c>
      <c r="B38" s="28" t="s">
        <v>22</v>
      </c>
      <c r="C38" s="169" t="s">
        <v>28</v>
      </c>
      <c r="D38" s="169"/>
      <c r="E38" s="28">
        <v>26.2</v>
      </c>
      <c r="F38" s="88">
        <v>4300</v>
      </c>
      <c r="G38" s="88">
        <f t="shared" ref="G38:G45" si="27">E38*F38</f>
        <v>112660</v>
      </c>
      <c r="H38" s="30">
        <v>2</v>
      </c>
      <c r="I38" s="95">
        <v>18</v>
      </c>
      <c r="J38" s="13">
        <v>2400</v>
      </c>
      <c r="K38" s="12">
        <f t="shared" si="1"/>
        <v>133.33333333333334</v>
      </c>
      <c r="L38" s="95">
        <v>18</v>
      </c>
      <c r="M38" s="13">
        <f t="shared" ref="M38:M45" si="28">F38/V38*60</f>
        <v>2303.5714285714294</v>
      </c>
      <c r="N38" s="12">
        <f t="shared" si="3"/>
        <v>127.97619047619052</v>
      </c>
      <c r="O38" s="14">
        <f t="shared" si="4"/>
        <v>0</v>
      </c>
      <c r="P38" s="15">
        <f t="shared" si="5"/>
        <v>-5.3571428571428186</v>
      </c>
      <c r="Q38" s="91">
        <f t="shared" si="6"/>
        <v>0.95982142857142883</v>
      </c>
      <c r="R38" s="177">
        <f>Q46</f>
        <v>0.95925601748003231</v>
      </c>
      <c r="S38" s="21">
        <v>8.3333333333333329E-2</v>
      </c>
      <c r="T38" s="21">
        <v>0.16111111111111109</v>
      </c>
      <c r="U38" s="88"/>
      <c r="V38" s="30">
        <f t="shared" ref="V38:V45" si="29">(T38-S38)*24*60</f>
        <v>111.99999999999997</v>
      </c>
      <c r="W38" s="21">
        <f>T38</f>
        <v>0.16111111111111109</v>
      </c>
      <c r="X38" s="21">
        <f>S39</f>
        <v>0.17916666666666664</v>
      </c>
      <c r="Y38" s="21"/>
      <c r="Z38" s="21"/>
      <c r="AA38" s="168"/>
      <c r="AB38" s="168"/>
      <c r="AC38" s="18">
        <v>8</v>
      </c>
      <c r="AD38" s="18"/>
      <c r="AE38" s="14">
        <f t="shared" si="8"/>
        <v>-96.428571428570649</v>
      </c>
      <c r="AF38" s="91">
        <f t="shared" si="9"/>
        <v>0.95982142857142894</v>
      </c>
      <c r="AG38" s="177">
        <f>AF46</f>
        <v>0.95925601748003242</v>
      </c>
    </row>
    <row r="39" spans="1:33" ht="15.75" customHeight="1">
      <c r="A39" s="191" t="s">
        <v>1482</v>
      </c>
      <c r="B39" s="28" t="s">
        <v>22</v>
      </c>
      <c r="C39" s="169" t="s">
        <v>49</v>
      </c>
      <c r="D39" s="169"/>
      <c r="E39" s="28">
        <v>20.2</v>
      </c>
      <c r="F39" s="88">
        <v>2266</v>
      </c>
      <c r="G39" s="88">
        <f t="shared" si="27"/>
        <v>45773.2</v>
      </c>
      <c r="H39" s="30" t="s">
        <v>53</v>
      </c>
      <c r="I39" s="95">
        <v>15</v>
      </c>
      <c r="J39" s="13">
        <v>2400</v>
      </c>
      <c r="K39" s="12">
        <f t="shared" si="1"/>
        <v>160</v>
      </c>
      <c r="L39" s="95">
        <v>15</v>
      </c>
      <c r="M39" s="13">
        <f t="shared" si="28"/>
        <v>2304.4067796610175</v>
      </c>
      <c r="N39" s="12">
        <f t="shared" si="3"/>
        <v>153.62711864406782</v>
      </c>
      <c r="O39" s="14">
        <f t="shared" si="4"/>
        <v>0</v>
      </c>
      <c r="P39" s="15">
        <f t="shared" si="5"/>
        <v>-6.3728813559321793</v>
      </c>
      <c r="Q39" s="91">
        <f t="shared" si="6"/>
        <v>0.96016949152542386</v>
      </c>
      <c r="R39" s="177"/>
      <c r="S39" s="21">
        <v>0.17916666666666664</v>
      </c>
      <c r="T39" s="21">
        <v>0.22013888888888886</v>
      </c>
      <c r="U39" s="88">
        <f t="shared" ref="U39:U45" si="30">(S39-T38)*24*60</f>
        <v>25.999999999999986</v>
      </c>
      <c r="V39" s="30">
        <f t="shared" si="29"/>
        <v>58.999999999999993</v>
      </c>
      <c r="W39" s="88"/>
      <c r="X39" s="88"/>
      <c r="Y39" s="88"/>
      <c r="Z39" s="88"/>
      <c r="AA39" s="168"/>
      <c r="AB39" s="168"/>
      <c r="AC39" s="18"/>
      <c r="AD39" s="18"/>
      <c r="AE39" s="14">
        <f t="shared" si="8"/>
        <v>-95.593220338982519</v>
      </c>
      <c r="AF39" s="91">
        <f t="shared" si="9"/>
        <v>0.96016949152542397</v>
      </c>
      <c r="AG39" s="177"/>
    </row>
    <row r="40" spans="1:33">
      <c r="A40" s="192" t="s">
        <v>1482</v>
      </c>
      <c r="B40" s="28" t="s">
        <v>22</v>
      </c>
      <c r="C40" s="169" t="s">
        <v>32</v>
      </c>
      <c r="D40" s="169"/>
      <c r="E40" s="28">
        <v>20.52</v>
      </c>
      <c r="F40" s="88">
        <v>3114</v>
      </c>
      <c r="G40" s="88">
        <f t="shared" si="27"/>
        <v>63899.28</v>
      </c>
      <c r="H40" s="30" t="s">
        <v>53</v>
      </c>
      <c r="I40" s="95">
        <v>18</v>
      </c>
      <c r="J40" s="13">
        <v>2400</v>
      </c>
      <c r="K40" s="12">
        <f t="shared" si="1"/>
        <v>133.33333333333334</v>
      </c>
      <c r="L40" s="95">
        <v>18</v>
      </c>
      <c r="M40" s="13">
        <f t="shared" si="28"/>
        <v>2306.6666666666656</v>
      </c>
      <c r="N40" s="12">
        <f t="shared" si="3"/>
        <v>128.1481481481481</v>
      </c>
      <c r="O40" s="14">
        <f t="shared" si="4"/>
        <v>0</v>
      </c>
      <c r="P40" s="15">
        <f t="shared" si="5"/>
        <v>-5.1851851851852473</v>
      </c>
      <c r="Q40" s="91">
        <f t="shared" si="6"/>
        <v>0.96111111111111069</v>
      </c>
      <c r="R40" s="177"/>
      <c r="S40" s="21">
        <v>0.22430555555555554</v>
      </c>
      <c r="T40" s="21">
        <v>0.28055555555555556</v>
      </c>
      <c r="U40" s="88">
        <f t="shared" si="30"/>
        <v>6.0000000000000187</v>
      </c>
      <c r="V40" s="30">
        <f t="shared" si="29"/>
        <v>81.000000000000028</v>
      </c>
      <c r="W40" s="88"/>
      <c r="X40" s="88"/>
      <c r="Y40" s="88"/>
      <c r="Z40" s="88"/>
      <c r="AA40" s="168"/>
      <c r="AB40" s="168"/>
      <c r="AC40" s="18"/>
      <c r="AD40" s="18"/>
      <c r="AE40" s="14">
        <f t="shared" si="8"/>
        <v>-93.333333333334394</v>
      </c>
      <c r="AF40" s="91">
        <f t="shared" si="9"/>
        <v>0.96111111111111069</v>
      </c>
      <c r="AG40" s="177"/>
    </row>
    <row r="41" spans="1:33">
      <c r="A41" s="192" t="s">
        <v>1482</v>
      </c>
      <c r="B41" s="28" t="s">
        <v>22</v>
      </c>
      <c r="C41" s="169" t="s">
        <v>30</v>
      </c>
      <c r="D41" s="169"/>
      <c r="E41" s="28">
        <v>26.39</v>
      </c>
      <c r="F41" s="88">
        <v>3600</v>
      </c>
      <c r="G41" s="88">
        <f t="shared" si="27"/>
        <v>95004</v>
      </c>
      <c r="H41" s="30">
        <v>2</v>
      </c>
      <c r="I41" s="95">
        <v>19</v>
      </c>
      <c r="J41" s="13">
        <v>2400</v>
      </c>
      <c r="K41" s="12">
        <f t="shared" si="1"/>
        <v>126.31578947368421</v>
      </c>
      <c r="L41" s="95">
        <v>19</v>
      </c>
      <c r="M41" s="13">
        <f t="shared" si="28"/>
        <v>2297.872340425532</v>
      </c>
      <c r="N41" s="12">
        <f t="shared" si="3"/>
        <v>120.94064949608064</v>
      </c>
      <c r="O41" s="14">
        <f t="shared" si="4"/>
        <v>0</v>
      </c>
      <c r="P41" s="15">
        <f t="shared" si="5"/>
        <v>-5.3751399776035669</v>
      </c>
      <c r="Q41" s="91">
        <f t="shared" si="6"/>
        <v>0.95744680851063846</v>
      </c>
      <c r="R41" s="177"/>
      <c r="S41" s="21">
        <v>0.28472222222222221</v>
      </c>
      <c r="T41" s="21">
        <v>0.35</v>
      </c>
      <c r="U41" s="88">
        <f t="shared" si="30"/>
        <v>5.9999999999999787</v>
      </c>
      <c r="V41" s="30">
        <f t="shared" si="29"/>
        <v>93.999999999999986</v>
      </c>
      <c r="W41" s="16"/>
      <c r="X41" s="16"/>
      <c r="Y41" s="16"/>
      <c r="Z41" s="16"/>
      <c r="AA41" s="168"/>
      <c r="AB41" s="168"/>
      <c r="AC41" s="18"/>
      <c r="AD41" s="18"/>
      <c r="AE41" s="14">
        <f t="shared" si="8"/>
        <v>-102.127659574468</v>
      </c>
      <c r="AF41" s="91">
        <f t="shared" si="9"/>
        <v>0.95744680851063835</v>
      </c>
      <c r="AG41" s="177"/>
    </row>
    <row r="42" spans="1:33">
      <c r="A42" s="192" t="s">
        <v>1482</v>
      </c>
      <c r="B42" s="28" t="s">
        <v>22</v>
      </c>
      <c r="C42" s="169" t="s">
        <v>51</v>
      </c>
      <c r="D42" s="169"/>
      <c r="E42" s="28">
        <v>24.43</v>
      </c>
      <c r="F42" s="88">
        <v>5500</v>
      </c>
      <c r="G42" s="88">
        <f t="shared" si="27"/>
        <v>134365</v>
      </c>
      <c r="H42" s="30">
        <v>2</v>
      </c>
      <c r="I42" s="95">
        <v>14</v>
      </c>
      <c r="J42" s="13">
        <v>2400</v>
      </c>
      <c r="K42" s="12">
        <f t="shared" si="1"/>
        <v>171.42857142857142</v>
      </c>
      <c r="L42" s="95">
        <v>14</v>
      </c>
      <c r="M42" s="13">
        <f t="shared" si="28"/>
        <v>2291.666666666667</v>
      </c>
      <c r="N42" s="12">
        <f t="shared" si="3"/>
        <v>163.6904761904762</v>
      </c>
      <c r="O42" s="14">
        <f t="shared" si="4"/>
        <v>0</v>
      </c>
      <c r="P42" s="15">
        <f t="shared" si="5"/>
        <v>-7.7380952380952124</v>
      </c>
      <c r="Q42" s="91">
        <f t="shared" si="6"/>
        <v>0.95486111111111127</v>
      </c>
      <c r="R42" s="177"/>
      <c r="S42" s="21">
        <v>0.35347222222222219</v>
      </c>
      <c r="T42" s="21">
        <v>0.45347222222222217</v>
      </c>
      <c r="U42" s="88">
        <f t="shared" si="30"/>
        <v>4.9999999999999822</v>
      </c>
      <c r="V42" s="30">
        <f t="shared" si="29"/>
        <v>143.99999999999997</v>
      </c>
      <c r="W42" s="16">
        <f>T42</f>
        <v>0.45347222222222217</v>
      </c>
      <c r="X42" s="16">
        <f>S43</f>
        <v>0.49444444444444435</v>
      </c>
      <c r="Y42" s="16"/>
      <c r="Z42" s="16"/>
      <c r="AA42" s="168"/>
      <c r="AB42" s="168"/>
      <c r="AC42" s="18"/>
      <c r="AD42" s="18"/>
      <c r="AE42" s="14">
        <f t="shared" si="8"/>
        <v>-108.33333333333303</v>
      </c>
      <c r="AF42" s="91">
        <f t="shared" si="9"/>
        <v>0.95486111111111127</v>
      </c>
      <c r="AG42" s="177"/>
    </row>
    <row r="43" spans="1:33">
      <c r="A43" s="192" t="s">
        <v>1482</v>
      </c>
      <c r="B43" s="28" t="s">
        <v>22</v>
      </c>
      <c r="C43" s="169" t="s">
        <v>30</v>
      </c>
      <c r="D43" s="169"/>
      <c r="E43" s="28">
        <v>26.39</v>
      </c>
      <c r="F43" s="88">
        <v>2609</v>
      </c>
      <c r="G43" s="88">
        <f t="shared" si="27"/>
        <v>68851.509999999995</v>
      </c>
      <c r="H43" s="30" t="s">
        <v>53</v>
      </c>
      <c r="I43" s="95">
        <v>19</v>
      </c>
      <c r="J43" s="13">
        <v>2400</v>
      </c>
      <c r="K43" s="12">
        <f t="shared" si="1"/>
        <v>126.31578947368421</v>
      </c>
      <c r="L43" s="95">
        <v>19</v>
      </c>
      <c r="M43" s="13">
        <f t="shared" si="28"/>
        <v>2302.0588235294149</v>
      </c>
      <c r="N43" s="12">
        <f t="shared" si="3"/>
        <v>121.16099071207447</v>
      </c>
      <c r="O43" s="14">
        <f t="shared" si="4"/>
        <v>0</v>
      </c>
      <c r="P43" s="15">
        <f t="shared" si="5"/>
        <v>-5.1547987616097402</v>
      </c>
      <c r="Q43" s="91">
        <f t="shared" si="6"/>
        <v>0.9591911764705896</v>
      </c>
      <c r="R43" s="177"/>
      <c r="S43" s="21">
        <v>0.49444444444444435</v>
      </c>
      <c r="T43" s="21">
        <v>0.54166666666666652</v>
      </c>
      <c r="U43" s="88">
        <f t="shared" si="30"/>
        <v>58.99999999999995</v>
      </c>
      <c r="V43" s="30">
        <f t="shared" si="29"/>
        <v>67.999999999999915</v>
      </c>
      <c r="W43" s="16"/>
      <c r="X43" s="16"/>
      <c r="Y43" s="16"/>
      <c r="Z43" s="16"/>
      <c r="AA43" s="168"/>
      <c r="AB43" s="168"/>
      <c r="AC43" s="18"/>
      <c r="AD43" s="18"/>
      <c r="AE43" s="14">
        <f t="shared" si="8"/>
        <v>-97.941176470585106</v>
      </c>
      <c r="AF43" s="91">
        <f t="shared" si="9"/>
        <v>0.95919117647058949</v>
      </c>
      <c r="AG43" s="177"/>
    </row>
    <row r="44" spans="1:33">
      <c r="A44" s="192" t="s">
        <v>1482</v>
      </c>
      <c r="B44" s="28" t="s">
        <v>22</v>
      </c>
      <c r="C44" s="169" t="s">
        <v>28</v>
      </c>
      <c r="D44" s="169"/>
      <c r="E44" s="28">
        <v>26.2</v>
      </c>
      <c r="F44" s="88">
        <v>3171</v>
      </c>
      <c r="G44" s="88">
        <f t="shared" si="27"/>
        <v>83080.2</v>
      </c>
      <c r="H44" s="30" t="s">
        <v>53</v>
      </c>
      <c r="I44" s="95">
        <v>18</v>
      </c>
      <c r="J44" s="13">
        <v>2400</v>
      </c>
      <c r="K44" s="12">
        <f t="shared" si="1"/>
        <v>133.33333333333334</v>
      </c>
      <c r="L44" s="95">
        <v>18</v>
      </c>
      <c r="M44" s="13">
        <f t="shared" si="28"/>
        <v>2292.2891566265052</v>
      </c>
      <c r="N44" s="12">
        <f t="shared" si="3"/>
        <v>127.34939759036141</v>
      </c>
      <c r="O44" s="14">
        <f t="shared" si="4"/>
        <v>0</v>
      </c>
      <c r="P44" s="15">
        <f t="shared" si="5"/>
        <v>-5.9839357429719371</v>
      </c>
      <c r="Q44" s="91">
        <f t="shared" si="6"/>
        <v>0.95512048192771049</v>
      </c>
      <c r="R44" s="177"/>
      <c r="S44" s="21">
        <v>0.54513888888888873</v>
      </c>
      <c r="T44" s="21">
        <v>0.60277777777777763</v>
      </c>
      <c r="U44" s="88">
        <f t="shared" si="30"/>
        <v>4.9999999999999822</v>
      </c>
      <c r="V44" s="30">
        <f t="shared" si="29"/>
        <v>83.000000000000028</v>
      </c>
      <c r="W44" s="16"/>
      <c r="X44" s="16"/>
      <c r="Y44" s="19"/>
      <c r="Z44" s="19"/>
      <c r="AA44" s="172"/>
      <c r="AB44" s="173"/>
      <c r="AC44" s="18"/>
      <c r="AD44" s="18"/>
      <c r="AE44" s="14">
        <f t="shared" si="8"/>
        <v>-107.71084337349475</v>
      </c>
      <c r="AF44" s="91">
        <f t="shared" si="9"/>
        <v>0.95512048192771049</v>
      </c>
      <c r="AG44" s="177"/>
    </row>
    <row r="45" spans="1:33">
      <c r="A45" s="192" t="s">
        <v>1482</v>
      </c>
      <c r="B45" s="28" t="s">
        <v>22</v>
      </c>
      <c r="C45" s="169" t="s">
        <v>51</v>
      </c>
      <c r="D45" s="169"/>
      <c r="E45" s="28">
        <v>24.43</v>
      </c>
      <c r="F45" s="88">
        <v>1894</v>
      </c>
      <c r="G45" s="88">
        <f t="shared" si="27"/>
        <v>46270.42</v>
      </c>
      <c r="H45" s="30" t="s">
        <v>53</v>
      </c>
      <c r="I45" s="95">
        <v>14</v>
      </c>
      <c r="J45" s="13">
        <v>2400</v>
      </c>
      <c r="K45" s="12">
        <f t="shared" si="1"/>
        <v>171.42857142857142</v>
      </c>
      <c r="L45" s="95">
        <v>14</v>
      </c>
      <c r="M45" s="13">
        <f t="shared" si="28"/>
        <v>2319.1836734693884</v>
      </c>
      <c r="N45" s="12">
        <f t="shared" si="3"/>
        <v>165.65597667638488</v>
      </c>
      <c r="O45" s="14">
        <f t="shared" si="4"/>
        <v>0</v>
      </c>
      <c r="P45" s="15">
        <f t="shared" si="5"/>
        <v>-5.7725947521865351</v>
      </c>
      <c r="Q45" s="91">
        <f t="shared" si="6"/>
        <v>0.96632653061224516</v>
      </c>
      <c r="R45" s="177"/>
      <c r="S45" s="21">
        <v>0.60624999999999984</v>
      </c>
      <c r="T45" s="21">
        <v>0.64027777777777761</v>
      </c>
      <c r="U45" s="88">
        <f t="shared" si="30"/>
        <v>4.9999999999999822</v>
      </c>
      <c r="V45" s="30">
        <f t="shared" si="29"/>
        <v>48.999999999999986</v>
      </c>
      <c r="W45" s="16"/>
      <c r="X45" s="16"/>
      <c r="Y45" s="19"/>
      <c r="Z45" s="19"/>
      <c r="AA45" s="172"/>
      <c r="AB45" s="173"/>
      <c r="AC45" s="18"/>
      <c r="AD45" s="18"/>
      <c r="AE45" s="14">
        <f t="shared" si="8"/>
        <v>-80.816326530611605</v>
      </c>
      <c r="AF45" s="91">
        <f t="shared" si="9"/>
        <v>0.96632653061224516</v>
      </c>
      <c r="AG45" s="177"/>
    </row>
    <row r="46" spans="1:33">
      <c r="A46" s="192" t="s">
        <v>1482</v>
      </c>
      <c r="B46" s="12" t="s">
        <v>1477</v>
      </c>
      <c r="C46" s="178"/>
      <c r="D46" s="178"/>
      <c r="E46" s="92"/>
      <c r="F46" s="12"/>
      <c r="G46" s="12"/>
      <c r="H46" s="88"/>
      <c r="I46" s="23">
        <v>16.875</v>
      </c>
      <c r="J46" s="13">
        <v>2400</v>
      </c>
      <c r="K46" s="12">
        <f t="shared" si="1"/>
        <v>142.22222222222223</v>
      </c>
      <c r="L46" s="23">
        <v>16.875</v>
      </c>
      <c r="M46" s="13">
        <f>AVERAGE(M38:M45)</f>
        <v>2302.2144419520778</v>
      </c>
      <c r="N46" s="12">
        <f t="shared" si="3"/>
        <v>136.42752248604904</v>
      </c>
      <c r="O46" s="14">
        <f t="shared" si="4"/>
        <v>0</v>
      </c>
      <c r="P46" s="15">
        <f t="shared" si="5"/>
        <v>-5.794699736173186</v>
      </c>
      <c r="Q46" s="91">
        <f t="shared" si="6"/>
        <v>0.95925601748003231</v>
      </c>
      <c r="R46" s="177"/>
      <c r="S46" s="21"/>
      <c r="T46" s="21"/>
      <c r="U46" s="12"/>
      <c r="V46" s="30"/>
      <c r="W46" s="12"/>
      <c r="X46" s="12"/>
      <c r="Y46" s="24">
        <f>SUM(Y38:Y45)</f>
        <v>0</v>
      </c>
      <c r="Z46" s="24">
        <f>SUM(Z38:Z45)</f>
        <v>0</v>
      </c>
      <c r="AA46" s="167"/>
      <c r="AB46" s="167"/>
      <c r="AC46" s="24">
        <f>SUM(AC38:AC45)</f>
        <v>8</v>
      </c>
      <c r="AD46" s="24">
        <f>SUM(AD38:AD45)</f>
        <v>0</v>
      </c>
      <c r="AE46" s="14">
        <f t="shared" si="8"/>
        <v>-97.785558047922223</v>
      </c>
      <c r="AF46" s="91">
        <f t="shared" si="9"/>
        <v>0.95925601748003242</v>
      </c>
      <c r="AG46" s="177"/>
    </row>
    <row r="47" spans="1:33" ht="15.75" customHeight="1">
      <c r="A47" s="188" t="s">
        <v>1483</v>
      </c>
      <c r="B47" s="28" t="s">
        <v>33</v>
      </c>
      <c r="C47" s="170" t="s">
        <v>72</v>
      </c>
      <c r="D47" s="171"/>
      <c r="E47" s="28">
        <v>34.35</v>
      </c>
      <c r="F47" s="88">
        <v>2853</v>
      </c>
      <c r="G47" s="88">
        <f t="shared" ref="G47:G53" si="31">E47*F47</f>
        <v>98000.55</v>
      </c>
      <c r="H47" s="30" t="s">
        <v>53</v>
      </c>
      <c r="I47" s="95">
        <v>8</v>
      </c>
      <c r="J47" s="13">
        <v>3000</v>
      </c>
      <c r="K47" s="12">
        <f t="shared" si="1"/>
        <v>375</v>
      </c>
      <c r="L47" s="95">
        <v>8</v>
      </c>
      <c r="M47" s="13">
        <f t="shared" ref="M47:M53" si="32">F47/V47*60</f>
        <v>2853</v>
      </c>
      <c r="N47" s="13">
        <f t="shared" si="3"/>
        <v>356.625</v>
      </c>
      <c r="O47" s="14">
        <f t="shared" si="4"/>
        <v>0</v>
      </c>
      <c r="P47" s="15">
        <f t="shared" si="5"/>
        <v>-18.375</v>
      </c>
      <c r="Q47" s="91">
        <f t="shared" si="6"/>
        <v>0.95099999999999996</v>
      </c>
      <c r="R47" s="183">
        <f>Q54</f>
        <v>0.95502652747528538</v>
      </c>
      <c r="S47" s="21">
        <v>8.3333333333333329E-2</v>
      </c>
      <c r="T47" s="21">
        <v>0.125</v>
      </c>
      <c r="U47" s="21"/>
      <c r="V47" s="30">
        <f t="shared" ref="V47:V53" si="33">(T47-S47)*24*60</f>
        <v>60</v>
      </c>
      <c r="W47" s="16">
        <f>T47</f>
        <v>0.125</v>
      </c>
      <c r="X47" s="16">
        <f>S48</f>
        <v>0.14444444444444446</v>
      </c>
      <c r="Y47" s="19"/>
      <c r="Z47" s="19"/>
      <c r="AA47" s="172"/>
      <c r="AB47" s="173"/>
      <c r="AC47" s="18">
        <v>7</v>
      </c>
      <c r="AD47" s="18"/>
      <c r="AE47" s="14">
        <f t="shared" si="8"/>
        <v>-147</v>
      </c>
      <c r="AF47" s="91">
        <f t="shared" si="9"/>
        <v>0.95099999999999996</v>
      </c>
      <c r="AG47" s="183">
        <f>AF54</f>
        <v>0.95502652747528538</v>
      </c>
    </row>
    <row r="48" spans="1:33" ht="15.75" customHeight="1">
      <c r="A48" s="189" t="s">
        <v>1483</v>
      </c>
      <c r="B48" s="28" t="s">
        <v>33</v>
      </c>
      <c r="C48" s="170" t="s">
        <v>48</v>
      </c>
      <c r="D48" s="171"/>
      <c r="E48" s="28">
        <v>35.119999999999997</v>
      </c>
      <c r="F48" s="88">
        <v>5347</v>
      </c>
      <c r="G48" s="88">
        <f t="shared" si="31"/>
        <v>187786.63999999998</v>
      </c>
      <c r="H48" s="30" t="s">
        <v>53</v>
      </c>
      <c r="I48" s="95">
        <v>10</v>
      </c>
      <c r="J48" s="13">
        <v>3000</v>
      </c>
      <c r="K48" s="12">
        <f t="shared" si="1"/>
        <v>300</v>
      </c>
      <c r="L48" s="95">
        <v>10</v>
      </c>
      <c r="M48" s="13">
        <f t="shared" si="32"/>
        <v>2864.4642857142858</v>
      </c>
      <c r="N48" s="13">
        <f t="shared" si="3"/>
        <v>286.44642857142856</v>
      </c>
      <c r="O48" s="14">
        <f t="shared" si="4"/>
        <v>0</v>
      </c>
      <c r="P48" s="15">
        <f t="shared" si="5"/>
        <v>-13.553571428571445</v>
      </c>
      <c r="Q48" s="91">
        <f t="shared" si="6"/>
        <v>0.95482142857142849</v>
      </c>
      <c r="R48" s="184"/>
      <c r="S48" s="21">
        <v>0.14444444444444446</v>
      </c>
      <c r="T48" s="21">
        <v>0.22222222222222224</v>
      </c>
      <c r="U48" s="88">
        <f t="shared" ref="U48:U53" si="34">(S48-T47)*24*60</f>
        <v>28.000000000000021</v>
      </c>
      <c r="V48" s="30">
        <f t="shared" si="33"/>
        <v>112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-135.53571428571422</v>
      </c>
      <c r="AF48" s="91">
        <f t="shared" si="9"/>
        <v>0.9548214285714286</v>
      </c>
      <c r="AG48" s="184"/>
    </row>
    <row r="49" spans="1:33" ht="15.75" customHeight="1">
      <c r="A49" s="189" t="s">
        <v>1483</v>
      </c>
      <c r="B49" s="28" t="s">
        <v>33</v>
      </c>
      <c r="C49" s="170" t="s">
        <v>36</v>
      </c>
      <c r="D49" s="171"/>
      <c r="E49" s="28">
        <v>21.13</v>
      </c>
      <c r="F49" s="88">
        <v>5471</v>
      </c>
      <c r="G49" s="88">
        <f t="shared" si="31"/>
        <v>115602.23</v>
      </c>
      <c r="H49" s="30" t="s">
        <v>53</v>
      </c>
      <c r="I49" s="95">
        <v>10</v>
      </c>
      <c r="J49" s="13">
        <v>3000</v>
      </c>
      <c r="K49" s="12">
        <f t="shared" si="1"/>
        <v>300</v>
      </c>
      <c r="L49" s="95">
        <v>10</v>
      </c>
      <c r="M49" s="13">
        <f t="shared" si="32"/>
        <v>2854.4347826086951</v>
      </c>
      <c r="N49" s="13">
        <f t="shared" si="3"/>
        <v>285.44347826086948</v>
      </c>
      <c r="O49" s="14">
        <f t="shared" si="4"/>
        <v>0</v>
      </c>
      <c r="P49" s="15">
        <f t="shared" si="5"/>
        <v>-14.556521739130517</v>
      </c>
      <c r="Q49" s="91">
        <f t="shared" si="6"/>
        <v>0.951478260869565</v>
      </c>
      <c r="R49" s="184"/>
      <c r="S49" s="21">
        <v>0.22569444444444445</v>
      </c>
      <c r="T49" s="21">
        <v>0.30555555555555558</v>
      </c>
      <c r="U49" s="88">
        <f t="shared" si="34"/>
        <v>4.9999999999999822</v>
      </c>
      <c r="V49" s="30">
        <f t="shared" si="33"/>
        <v>115.00000000000003</v>
      </c>
      <c r="W49" s="16"/>
      <c r="X49" s="16"/>
      <c r="Y49" s="19"/>
      <c r="Z49" s="19"/>
      <c r="AA49" s="172"/>
      <c r="AB49" s="173"/>
      <c r="AC49" s="18"/>
      <c r="AD49" s="18"/>
      <c r="AE49" s="14">
        <f t="shared" si="8"/>
        <v>-145.56521739130494</v>
      </c>
      <c r="AF49" s="91">
        <f t="shared" si="9"/>
        <v>0.951478260869565</v>
      </c>
      <c r="AG49" s="184"/>
    </row>
    <row r="50" spans="1:33" ht="15.75" customHeight="1">
      <c r="A50" s="189" t="s">
        <v>1483</v>
      </c>
      <c r="B50" s="28" t="s">
        <v>33</v>
      </c>
      <c r="C50" s="170" t="s">
        <v>38</v>
      </c>
      <c r="D50" s="171"/>
      <c r="E50" s="28">
        <v>35.869999999999997</v>
      </c>
      <c r="F50" s="88">
        <v>3810</v>
      </c>
      <c r="G50" s="88">
        <f t="shared" si="31"/>
        <v>136664.69999999998</v>
      </c>
      <c r="H50" s="30" t="s">
        <v>53</v>
      </c>
      <c r="I50" s="95">
        <v>9</v>
      </c>
      <c r="J50" s="13">
        <v>3000</v>
      </c>
      <c r="K50" s="12">
        <f t="shared" si="1"/>
        <v>333.33333333333331</v>
      </c>
      <c r="L50" s="95">
        <v>9</v>
      </c>
      <c r="M50" s="13">
        <f t="shared" si="32"/>
        <v>2857.4999999999991</v>
      </c>
      <c r="N50" s="13">
        <f t="shared" si="3"/>
        <v>317.49999999999989</v>
      </c>
      <c r="O50" s="14">
        <f t="shared" si="4"/>
        <v>0</v>
      </c>
      <c r="P50" s="15">
        <f t="shared" si="5"/>
        <v>-15.833333333333428</v>
      </c>
      <c r="Q50" s="91">
        <f t="shared" si="6"/>
        <v>0.95249999999999968</v>
      </c>
      <c r="R50" s="184"/>
      <c r="S50" s="21">
        <v>0.30972222222222223</v>
      </c>
      <c r="T50" s="21">
        <v>0.36527777777777781</v>
      </c>
      <c r="U50" s="88">
        <f t="shared" si="34"/>
        <v>5.9999999999999787</v>
      </c>
      <c r="V50" s="30">
        <f t="shared" si="33"/>
        <v>80.000000000000028</v>
      </c>
      <c r="W50" s="16"/>
      <c r="X50" s="16"/>
      <c r="Y50" s="19"/>
      <c r="Z50" s="19"/>
      <c r="AA50" s="172"/>
      <c r="AB50" s="173"/>
      <c r="AC50" s="18"/>
      <c r="AD50" s="18"/>
      <c r="AE50" s="14">
        <f t="shared" si="8"/>
        <v>-142.50000000000091</v>
      </c>
      <c r="AF50" s="91">
        <f t="shared" si="9"/>
        <v>0.95249999999999968</v>
      </c>
      <c r="AG50" s="184"/>
    </row>
    <row r="51" spans="1:33" ht="15.75" customHeight="1">
      <c r="A51" s="189" t="s">
        <v>1483</v>
      </c>
      <c r="B51" s="28" t="s">
        <v>33</v>
      </c>
      <c r="C51" s="170" t="s">
        <v>756</v>
      </c>
      <c r="D51" s="171"/>
      <c r="E51" s="28">
        <v>37.880000000000003</v>
      </c>
      <c r="F51" s="88">
        <v>2613</v>
      </c>
      <c r="G51" s="88">
        <f t="shared" si="31"/>
        <v>98980.44</v>
      </c>
      <c r="H51" s="30" t="s">
        <v>53</v>
      </c>
      <c r="I51" s="95">
        <v>10</v>
      </c>
      <c r="J51" s="13">
        <v>3000</v>
      </c>
      <c r="K51" s="12">
        <f t="shared" si="1"/>
        <v>300</v>
      </c>
      <c r="L51" s="95">
        <v>10</v>
      </c>
      <c r="M51" s="13">
        <f t="shared" si="32"/>
        <v>2903.3333333333348</v>
      </c>
      <c r="N51" s="13">
        <f t="shared" si="3"/>
        <v>290.33333333333348</v>
      </c>
      <c r="O51" s="14">
        <f t="shared" si="4"/>
        <v>0</v>
      </c>
      <c r="P51" s="15">
        <f t="shared" si="5"/>
        <v>-9.6666666666665151</v>
      </c>
      <c r="Q51" s="91">
        <f t="shared" si="6"/>
        <v>0.96777777777777829</v>
      </c>
      <c r="R51" s="184"/>
      <c r="S51" s="21">
        <v>0.36944444444444446</v>
      </c>
      <c r="T51" s="21">
        <v>0.40694444444444444</v>
      </c>
      <c r="U51" s="88">
        <f t="shared" si="34"/>
        <v>5.9999999999999787</v>
      </c>
      <c r="V51" s="30">
        <f t="shared" si="33"/>
        <v>53.999999999999972</v>
      </c>
      <c r="W51" s="16"/>
      <c r="X51" s="16"/>
      <c r="Y51" s="19"/>
      <c r="Z51" s="19"/>
      <c r="AA51" s="172"/>
      <c r="AB51" s="173"/>
      <c r="AC51" s="18"/>
      <c r="AD51" s="18"/>
      <c r="AE51" s="14">
        <f t="shared" si="8"/>
        <v>-96.666666666665151</v>
      </c>
      <c r="AF51" s="91">
        <f t="shared" si="9"/>
        <v>0.96777777777777829</v>
      </c>
      <c r="AG51" s="184"/>
    </row>
    <row r="52" spans="1:33" ht="15.75" customHeight="1">
      <c r="A52" s="189" t="s">
        <v>1483</v>
      </c>
      <c r="B52" s="28" t="s">
        <v>33</v>
      </c>
      <c r="C52" s="170" t="s">
        <v>37</v>
      </c>
      <c r="D52" s="171"/>
      <c r="E52" s="28">
        <v>27.17</v>
      </c>
      <c r="F52" s="88">
        <v>3000</v>
      </c>
      <c r="G52" s="88">
        <f t="shared" si="31"/>
        <v>81510</v>
      </c>
      <c r="H52" s="30">
        <v>2</v>
      </c>
      <c r="I52" s="95">
        <v>10</v>
      </c>
      <c r="J52" s="13">
        <v>3000</v>
      </c>
      <c r="K52" s="12">
        <f t="shared" si="1"/>
        <v>300</v>
      </c>
      <c r="L52" s="95">
        <v>10</v>
      </c>
      <c r="M52" s="13">
        <f t="shared" si="32"/>
        <v>2857.1428571428564</v>
      </c>
      <c r="N52" s="13">
        <f t="shared" si="3"/>
        <v>285.71428571428567</v>
      </c>
      <c r="O52" s="14">
        <f t="shared" si="4"/>
        <v>0</v>
      </c>
      <c r="P52" s="15">
        <f t="shared" si="5"/>
        <v>-14.285714285714334</v>
      </c>
      <c r="Q52" s="91">
        <f t="shared" si="6"/>
        <v>0.95238095238095222</v>
      </c>
      <c r="R52" s="184"/>
      <c r="S52" s="21">
        <v>0.41180555555555554</v>
      </c>
      <c r="T52" s="21">
        <v>0.45555555555555555</v>
      </c>
      <c r="U52" s="88">
        <f t="shared" si="34"/>
        <v>6.9999999999999751</v>
      </c>
      <c r="V52" s="30">
        <f t="shared" si="33"/>
        <v>63.000000000000014</v>
      </c>
      <c r="W52" s="16">
        <f>T52</f>
        <v>0.45555555555555555</v>
      </c>
      <c r="X52" s="16">
        <f>S53</f>
        <v>0.49583333333333329</v>
      </c>
      <c r="Y52" s="19"/>
      <c r="Z52" s="19"/>
      <c r="AA52" s="172"/>
      <c r="AB52" s="173"/>
      <c r="AC52" s="18"/>
      <c r="AD52" s="18"/>
      <c r="AE52" s="14">
        <f t="shared" si="8"/>
        <v>-142.85714285714357</v>
      </c>
      <c r="AF52" s="91">
        <f t="shared" si="9"/>
        <v>0.95238095238095211</v>
      </c>
      <c r="AG52" s="184"/>
    </row>
    <row r="53" spans="1:33" ht="15.75" customHeight="1">
      <c r="A53" s="189" t="s">
        <v>1483</v>
      </c>
      <c r="B53" s="28" t="s">
        <v>33</v>
      </c>
      <c r="C53" s="170" t="s">
        <v>37</v>
      </c>
      <c r="D53" s="171"/>
      <c r="E53" s="28">
        <v>27.17</v>
      </c>
      <c r="F53" s="88">
        <v>4203</v>
      </c>
      <c r="G53" s="88">
        <f t="shared" si="31"/>
        <v>114195.51000000001</v>
      </c>
      <c r="H53" s="30" t="s">
        <v>53</v>
      </c>
      <c r="I53" s="95">
        <v>10</v>
      </c>
      <c r="J53" s="13">
        <v>3000</v>
      </c>
      <c r="K53" s="12">
        <f t="shared" si="1"/>
        <v>300</v>
      </c>
      <c r="L53" s="95">
        <v>10</v>
      </c>
      <c r="M53" s="13">
        <f t="shared" si="32"/>
        <v>2865.6818181818207</v>
      </c>
      <c r="N53" s="13">
        <f t="shared" si="3"/>
        <v>286.5681818181821</v>
      </c>
      <c r="O53" s="14">
        <f t="shared" si="4"/>
        <v>0</v>
      </c>
      <c r="P53" s="15">
        <f t="shared" si="5"/>
        <v>-13.431818181817903</v>
      </c>
      <c r="Q53" s="91">
        <f t="shared" si="6"/>
        <v>0.9552272727272737</v>
      </c>
      <c r="R53" s="184"/>
      <c r="S53" s="21">
        <v>0.49583333333333329</v>
      </c>
      <c r="T53" s="21">
        <v>0.55694444444444435</v>
      </c>
      <c r="U53" s="88">
        <f t="shared" si="34"/>
        <v>57.999999999999957</v>
      </c>
      <c r="V53" s="30">
        <f t="shared" si="33"/>
        <v>87.999999999999929</v>
      </c>
      <c r="W53" s="16"/>
      <c r="X53" s="16"/>
      <c r="Y53" s="19"/>
      <c r="Z53" s="19"/>
      <c r="AA53" s="172"/>
      <c r="AB53" s="173"/>
      <c r="AC53" s="18"/>
      <c r="AD53" s="18"/>
      <c r="AE53" s="14">
        <f t="shared" si="8"/>
        <v>-134.31818181817926</v>
      </c>
      <c r="AF53" s="91">
        <f t="shared" si="9"/>
        <v>0.95522727272727359</v>
      </c>
      <c r="AG53" s="184"/>
    </row>
    <row r="54" spans="1:33" ht="15.75" customHeight="1">
      <c r="A54" s="190" t="s">
        <v>1483</v>
      </c>
      <c r="B54" s="28" t="s">
        <v>1477</v>
      </c>
      <c r="C54" s="165"/>
      <c r="D54" s="166"/>
      <c r="E54" s="89"/>
      <c r="F54" s="88"/>
      <c r="G54" s="88"/>
      <c r="H54" s="88"/>
      <c r="I54" s="23">
        <v>9.5714285714285712</v>
      </c>
      <c r="J54" s="13">
        <v>3000</v>
      </c>
      <c r="K54" s="12">
        <f t="shared" si="1"/>
        <v>313.43283582089555</v>
      </c>
      <c r="L54" s="23">
        <v>9.5714285714285712</v>
      </c>
      <c r="M54" s="13">
        <f>AVERAGE(M47:M53)</f>
        <v>2865.0795824258562</v>
      </c>
      <c r="N54" s="12">
        <f t="shared" si="3"/>
        <v>299.3366727907611</v>
      </c>
      <c r="O54" s="14">
        <f t="shared" si="4"/>
        <v>0</v>
      </c>
      <c r="P54" s="15">
        <f t="shared" si="5"/>
        <v>-14.096163030134448</v>
      </c>
      <c r="Q54" s="91">
        <f t="shared" si="6"/>
        <v>0.95502652747528538</v>
      </c>
      <c r="R54" s="185"/>
      <c r="S54" s="21"/>
      <c r="T54" s="21"/>
      <c r="U54" s="88"/>
      <c r="V54" s="30"/>
      <c r="W54" s="16"/>
      <c r="X54" s="16"/>
      <c r="Y54" s="24">
        <f>SUM(Y47:Y53)</f>
        <v>0</v>
      </c>
      <c r="Z54" s="24">
        <f>SUM(Z47:Z53)</f>
        <v>0</v>
      </c>
      <c r="AA54" s="186"/>
      <c r="AB54" s="187"/>
      <c r="AC54" s="24">
        <f>SUM(AC47:AC53)</f>
        <v>7</v>
      </c>
      <c r="AD54" s="24">
        <f>SUM(AD47:AD53)</f>
        <v>0</v>
      </c>
      <c r="AE54" s="14">
        <f t="shared" si="8"/>
        <v>-134.92041757414381</v>
      </c>
      <c r="AF54" s="91">
        <f t="shared" si="9"/>
        <v>0.95502652747528538</v>
      </c>
      <c r="AG54" s="185"/>
    </row>
    <row r="55" spans="1:33" ht="15.75" customHeight="1">
      <c r="A55" s="181" t="s">
        <v>1484</v>
      </c>
      <c r="B55" s="28" t="s">
        <v>5</v>
      </c>
      <c r="C55" s="169" t="s">
        <v>41</v>
      </c>
      <c r="D55" s="169"/>
      <c r="E55" s="28">
        <v>51.75</v>
      </c>
      <c r="F55" s="29">
        <v>968</v>
      </c>
      <c r="G55" s="88">
        <f t="shared" ref="G55:G60" si="35">E55*F55</f>
        <v>50094</v>
      </c>
      <c r="H55" s="30" t="s">
        <v>53</v>
      </c>
      <c r="I55" s="95">
        <v>25</v>
      </c>
      <c r="J55" s="13">
        <v>2000</v>
      </c>
      <c r="K55" s="12">
        <f t="shared" si="1"/>
        <v>80</v>
      </c>
      <c r="L55" s="95">
        <v>25</v>
      </c>
      <c r="M55" s="13">
        <f t="shared" ref="M55" si="36">F55/V55*60</f>
        <v>1936.0000000000016</v>
      </c>
      <c r="N55" s="13">
        <f t="shared" si="3"/>
        <v>77.440000000000069</v>
      </c>
      <c r="O55" s="14">
        <f t="shared" si="4"/>
        <v>0</v>
      </c>
      <c r="P55" s="15">
        <f t="shared" si="5"/>
        <v>-2.5599999999999312</v>
      </c>
      <c r="Q55" s="91">
        <f t="shared" si="6"/>
        <v>0.96800000000000086</v>
      </c>
      <c r="R55" s="177">
        <f>Q61</f>
        <v>0.96345443340557912</v>
      </c>
      <c r="S55" s="21">
        <v>0.33333333333333331</v>
      </c>
      <c r="T55" s="21">
        <v>0.35416666666666663</v>
      </c>
      <c r="U55" s="21"/>
      <c r="V55" s="30">
        <f t="shared" ref="V55:V60" si="37">(T55-S55)*24*60</f>
        <v>29.999999999999972</v>
      </c>
      <c r="W55" s="21"/>
      <c r="X55" s="21"/>
      <c r="Y55" s="21"/>
      <c r="Z55" s="21"/>
      <c r="AA55" s="168"/>
      <c r="AB55" s="168"/>
      <c r="AC55" s="18">
        <v>6</v>
      </c>
      <c r="AD55" s="18"/>
      <c r="AE55" s="14">
        <f t="shared" si="8"/>
        <v>-63.999999999998408</v>
      </c>
      <c r="AF55" s="91">
        <f t="shared" si="9"/>
        <v>0.96800000000000075</v>
      </c>
      <c r="AG55" s="177">
        <f>AF61</f>
        <v>0.96345443340557924</v>
      </c>
    </row>
    <row r="56" spans="1:33" ht="15.75" customHeight="1">
      <c r="A56" s="181" t="s">
        <v>1484</v>
      </c>
      <c r="B56" s="28" t="s">
        <v>5</v>
      </c>
      <c r="C56" s="169" t="s">
        <v>40</v>
      </c>
      <c r="D56" s="169"/>
      <c r="E56" s="28">
        <v>56.43</v>
      </c>
      <c r="F56" s="29">
        <v>1565</v>
      </c>
      <c r="G56" s="88">
        <f t="shared" si="35"/>
        <v>88312.95</v>
      </c>
      <c r="H56" s="30" t="s">
        <v>53</v>
      </c>
      <c r="I56" s="95">
        <v>22</v>
      </c>
      <c r="J56" s="13">
        <v>2000</v>
      </c>
      <c r="K56" s="12">
        <f t="shared" si="1"/>
        <v>90.909090909090907</v>
      </c>
      <c r="L56" s="95">
        <v>22</v>
      </c>
      <c r="M56" s="13">
        <f>F56/V56*60</f>
        <v>1916.3265306122455</v>
      </c>
      <c r="N56" s="13">
        <f t="shared" si="3"/>
        <v>87.105751391465702</v>
      </c>
      <c r="O56" s="14">
        <f t="shared" si="4"/>
        <v>0</v>
      </c>
      <c r="P56" s="15">
        <f t="shared" si="5"/>
        <v>-3.8033395176252043</v>
      </c>
      <c r="Q56" s="91">
        <f t="shared" si="6"/>
        <v>0.95816326530612272</v>
      </c>
      <c r="R56" s="177"/>
      <c r="S56" s="21">
        <v>0.35972222222222217</v>
      </c>
      <c r="T56" s="21">
        <v>0.39374999999999993</v>
      </c>
      <c r="U56" s="88">
        <f t="shared" ref="U56:U60" si="38">IF(S56=TIME(17,0,0),"",(S56-T55)*24*60)</f>
        <v>7.9999999999999716</v>
      </c>
      <c r="V56" s="30">
        <f t="shared" si="37"/>
        <v>48.999999999999986</v>
      </c>
      <c r="W56" s="16"/>
      <c r="X56" s="16"/>
      <c r="Y56" s="16"/>
      <c r="Z56" s="16"/>
      <c r="AA56" s="168"/>
      <c r="AB56" s="168"/>
      <c r="AC56" s="18"/>
      <c r="AD56" s="18"/>
      <c r="AE56" s="14">
        <f t="shared" si="8"/>
        <v>-83.673469387754494</v>
      </c>
      <c r="AF56" s="91">
        <f t="shared" si="9"/>
        <v>0.95816326530612272</v>
      </c>
      <c r="AG56" s="177"/>
    </row>
    <row r="57" spans="1:33" ht="15.75" customHeight="1">
      <c r="A57" s="181" t="s">
        <v>1484</v>
      </c>
      <c r="B57" s="28" t="s">
        <v>9</v>
      </c>
      <c r="C57" s="170" t="s">
        <v>39</v>
      </c>
      <c r="D57" s="171"/>
      <c r="E57" s="28">
        <v>46</v>
      </c>
      <c r="F57" s="29">
        <v>2399</v>
      </c>
      <c r="G57" s="88">
        <f t="shared" si="35"/>
        <v>110354</v>
      </c>
      <c r="H57" s="30" t="s">
        <v>53</v>
      </c>
      <c r="I57" s="95">
        <v>17</v>
      </c>
      <c r="J57" s="13">
        <v>2000</v>
      </c>
      <c r="K57" s="12">
        <f t="shared" si="1"/>
        <v>117.64705882352941</v>
      </c>
      <c r="L57" s="95">
        <v>17</v>
      </c>
      <c r="M57" s="13">
        <f t="shared" ref="M57:M60" si="39">F57/V57*60</f>
        <v>1919.2000000000007</v>
      </c>
      <c r="N57" s="13">
        <f t="shared" si="3"/>
        <v>112.89411764705886</v>
      </c>
      <c r="O57" s="14">
        <f t="shared" si="4"/>
        <v>0</v>
      </c>
      <c r="P57" s="15">
        <f t="shared" si="5"/>
        <v>-4.7529411764705429</v>
      </c>
      <c r="Q57" s="91">
        <f t="shared" si="6"/>
        <v>0.95960000000000034</v>
      </c>
      <c r="R57" s="177"/>
      <c r="S57" s="21">
        <v>0.39930555555555547</v>
      </c>
      <c r="T57" s="21">
        <v>0.45138888888888878</v>
      </c>
      <c r="U57" s="88">
        <f t="shared" si="38"/>
        <v>7.9999999999999716</v>
      </c>
      <c r="V57" s="30">
        <f t="shared" si="37"/>
        <v>74.999999999999972</v>
      </c>
      <c r="W57" s="16"/>
      <c r="X57" s="16"/>
      <c r="Y57" s="19"/>
      <c r="Z57" s="19"/>
      <c r="AA57" s="168"/>
      <c r="AB57" s="168"/>
      <c r="AC57" s="18"/>
      <c r="AD57" s="18"/>
      <c r="AE57" s="14">
        <f t="shared" si="8"/>
        <v>-80.799999999999272</v>
      </c>
      <c r="AF57" s="91">
        <f t="shared" si="9"/>
        <v>0.95960000000000034</v>
      </c>
      <c r="AG57" s="177"/>
    </row>
    <row r="58" spans="1:33" ht="15.75" customHeight="1">
      <c r="A58" s="181" t="s">
        <v>1484</v>
      </c>
      <c r="B58" s="28" t="s">
        <v>5</v>
      </c>
      <c r="C58" s="93" t="s">
        <v>42</v>
      </c>
      <c r="D58" s="94"/>
      <c r="E58" s="28">
        <v>57.73</v>
      </c>
      <c r="F58" s="29">
        <v>973</v>
      </c>
      <c r="G58" s="88">
        <f t="shared" si="35"/>
        <v>56171.289999999994</v>
      </c>
      <c r="H58" s="30" t="s">
        <v>53</v>
      </c>
      <c r="I58" s="95">
        <v>16</v>
      </c>
      <c r="J58" s="13">
        <v>1500</v>
      </c>
      <c r="K58" s="12">
        <f t="shared" si="1"/>
        <v>93.75</v>
      </c>
      <c r="L58" s="95">
        <v>16</v>
      </c>
      <c r="M58" s="13">
        <f t="shared" si="39"/>
        <v>1459.4999999999995</v>
      </c>
      <c r="N58" s="13">
        <f t="shared" si="3"/>
        <v>91.218749999999972</v>
      </c>
      <c r="O58" s="14">
        <f t="shared" si="4"/>
        <v>0</v>
      </c>
      <c r="P58" s="15">
        <f t="shared" si="5"/>
        <v>-2.5312500000000284</v>
      </c>
      <c r="Q58" s="91">
        <f t="shared" si="6"/>
        <v>0.97299999999999964</v>
      </c>
      <c r="R58" s="177"/>
      <c r="S58" s="21">
        <v>0.70833333333333337</v>
      </c>
      <c r="T58" s="21">
        <v>0.73611111111111116</v>
      </c>
      <c r="U58" s="88" t="str">
        <f t="shared" si="38"/>
        <v/>
      </c>
      <c r="V58" s="30">
        <f t="shared" si="37"/>
        <v>40.000000000000014</v>
      </c>
      <c r="W58" s="16"/>
      <c r="X58" s="16"/>
      <c r="Y58" s="19"/>
      <c r="Z58" s="19"/>
      <c r="AA58" s="168"/>
      <c r="AB58" s="168"/>
      <c r="AC58" s="18"/>
      <c r="AD58" s="18"/>
      <c r="AE58" s="14">
        <f t="shared" si="8"/>
        <v>-40.500000000000455</v>
      </c>
      <c r="AF58" s="91">
        <f t="shared" si="9"/>
        <v>0.97299999999999964</v>
      </c>
      <c r="AG58" s="177"/>
    </row>
    <row r="59" spans="1:33" ht="15.75" customHeight="1">
      <c r="A59" s="181" t="s">
        <v>1484</v>
      </c>
      <c r="B59" s="28" t="s">
        <v>5</v>
      </c>
      <c r="C59" s="93" t="s">
        <v>44</v>
      </c>
      <c r="D59" s="94"/>
      <c r="E59" s="28">
        <v>55.56</v>
      </c>
      <c r="F59" s="29">
        <v>1950</v>
      </c>
      <c r="G59" s="88">
        <f t="shared" si="35"/>
        <v>108342</v>
      </c>
      <c r="H59" s="30" t="s">
        <v>53</v>
      </c>
      <c r="I59" s="95">
        <v>17</v>
      </c>
      <c r="J59" s="13">
        <v>2000</v>
      </c>
      <c r="K59" s="12">
        <f t="shared" si="1"/>
        <v>117.64705882352941</v>
      </c>
      <c r="L59" s="95">
        <v>17</v>
      </c>
      <c r="M59" s="13">
        <f t="shared" si="39"/>
        <v>1918.0327868852476</v>
      </c>
      <c r="N59" s="13">
        <f t="shared" si="3"/>
        <v>112.82545805207339</v>
      </c>
      <c r="O59" s="14">
        <f t="shared" si="4"/>
        <v>0</v>
      </c>
      <c r="P59" s="15">
        <f t="shared" si="5"/>
        <v>-4.8216007714560192</v>
      </c>
      <c r="Q59" s="91">
        <f t="shared" si="6"/>
        <v>0.95901639344262379</v>
      </c>
      <c r="R59" s="177"/>
      <c r="S59" s="21">
        <v>0.74027777777777781</v>
      </c>
      <c r="T59" s="21">
        <v>0.78263888888888888</v>
      </c>
      <c r="U59" s="88">
        <f t="shared" si="38"/>
        <v>5.9999999999999787</v>
      </c>
      <c r="V59" s="30">
        <f t="shared" si="37"/>
        <v>60.999999999999943</v>
      </c>
      <c r="W59" s="16"/>
      <c r="X59" s="16"/>
      <c r="Y59" s="19"/>
      <c r="Z59" s="19"/>
      <c r="AA59" s="168"/>
      <c r="AB59" s="168"/>
      <c r="AC59" s="18"/>
      <c r="AD59" s="18"/>
      <c r="AE59" s="14">
        <f t="shared" si="8"/>
        <v>-81.96721311475244</v>
      </c>
      <c r="AF59" s="91">
        <f t="shared" si="9"/>
        <v>0.95901639344262379</v>
      </c>
      <c r="AG59" s="177"/>
    </row>
    <row r="60" spans="1:33" ht="15.75" customHeight="1">
      <c r="A60" s="181" t="s">
        <v>1484</v>
      </c>
      <c r="B60" s="28" t="s">
        <v>5</v>
      </c>
      <c r="C60" s="170" t="s">
        <v>45</v>
      </c>
      <c r="D60" s="171"/>
      <c r="E60" s="28">
        <v>55.32</v>
      </c>
      <c r="F60" s="29">
        <v>1448</v>
      </c>
      <c r="G60" s="88">
        <f t="shared" si="35"/>
        <v>80103.360000000001</v>
      </c>
      <c r="H60" s="30" t="s">
        <v>53</v>
      </c>
      <c r="I60" s="95">
        <v>15</v>
      </c>
      <c r="J60" s="13">
        <v>2000</v>
      </c>
      <c r="K60" s="12">
        <f t="shared" si="1"/>
        <v>133.33333333333334</v>
      </c>
      <c r="L60" s="95">
        <v>15</v>
      </c>
      <c r="M60" s="13">
        <f t="shared" si="39"/>
        <v>1930.6666666666665</v>
      </c>
      <c r="N60" s="13">
        <f t="shared" si="3"/>
        <v>128.71111111111111</v>
      </c>
      <c r="O60" s="14">
        <f t="shared" si="4"/>
        <v>0</v>
      </c>
      <c r="P60" s="15">
        <f t="shared" si="5"/>
        <v>-4.6222222222222342</v>
      </c>
      <c r="Q60" s="91">
        <f t="shared" si="6"/>
        <v>0.96533333333333327</v>
      </c>
      <c r="R60" s="177"/>
      <c r="S60" s="21">
        <v>0.78680555555555554</v>
      </c>
      <c r="T60" s="21">
        <v>0.81805555555555554</v>
      </c>
      <c r="U60" s="88">
        <f t="shared" si="38"/>
        <v>5.9999999999999787</v>
      </c>
      <c r="V60" s="30">
        <f t="shared" si="37"/>
        <v>45</v>
      </c>
      <c r="W60" s="16"/>
      <c r="X60" s="16"/>
      <c r="Y60" s="19"/>
      <c r="Z60" s="19"/>
      <c r="AA60" s="172"/>
      <c r="AB60" s="173"/>
      <c r="AC60" s="18"/>
      <c r="AD60" s="18"/>
      <c r="AE60" s="14">
        <f t="shared" si="8"/>
        <v>-69.333333333333485</v>
      </c>
      <c r="AF60" s="91">
        <f t="shared" si="9"/>
        <v>0.96533333333333327</v>
      </c>
      <c r="AG60" s="177"/>
    </row>
    <row r="61" spans="1:33">
      <c r="A61" s="182" t="s">
        <v>1484</v>
      </c>
      <c r="B61" s="28" t="s">
        <v>1477</v>
      </c>
      <c r="C61" s="178"/>
      <c r="D61" s="178"/>
      <c r="E61" s="92"/>
      <c r="F61" s="12"/>
      <c r="G61" s="12"/>
      <c r="H61" s="88"/>
      <c r="I61" s="23">
        <v>18.666666666666668</v>
      </c>
      <c r="J61" s="13">
        <v>1916.6666666666667</v>
      </c>
      <c r="K61" s="12">
        <f t="shared" si="1"/>
        <v>102.67857142857143</v>
      </c>
      <c r="L61" s="23">
        <v>18.666666666666668</v>
      </c>
      <c r="M61" s="13">
        <f>AVERAGE(M55:M60)</f>
        <v>1846.6209973606935</v>
      </c>
      <c r="N61" s="12">
        <f t="shared" si="3"/>
        <v>98.926124858608574</v>
      </c>
      <c r="O61" s="14">
        <f t="shared" si="4"/>
        <v>0</v>
      </c>
      <c r="P61" s="15">
        <f t="shared" si="5"/>
        <v>-3.7524465699628564</v>
      </c>
      <c r="Q61" s="91">
        <f t="shared" si="6"/>
        <v>0.96345443340557912</v>
      </c>
      <c r="R61" s="177"/>
      <c r="S61" s="21"/>
      <c r="T61" s="21"/>
      <c r="U61" s="88"/>
      <c r="V61" s="30"/>
      <c r="W61" s="12"/>
      <c r="X61" s="12"/>
      <c r="Y61" s="24">
        <f>SUM(Y55:Y60)</f>
        <v>0</v>
      </c>
      <c r="Z61" s="24">
        <f>SUM(Z55:Z60)</f>
        <v>0</v>
      </c>
      <c r="AA61" s="167"/>
      <c r="AB61" s="167"/>
      <c r="AC61" s="24">
        <f>SUM(AC55:AC60)</f>
        <v>6</v>
      </c>
      <c r="AD61" s="24">
        <f>SUM(AD55:AD60)</f>
        <v>0</v>
      </c>
      <c r="AE61" s="14">
        <f>M61-J61</f>
        <v>-70.045669305973206</v>
      </c>
      <c r="AF61" s="91">
        <f t="shared" si="9"/>
        <v>0.96345443340557924</v>
      </c>
      <c r="AG61" s="177"/>
    </row>
    <row r="62" spans="1:33" ht="15.75" customHeight="1">
      <c r="A62" s="179" t="s">
        <v>1485</v>
      </c>
      <c r="B62" s="88" t="s">
        <v>33</v>
      </c>
      <c r="C62" s="169" t="s">
        <v>46</v>
      </c>
      <c r="D62" s="169"/>
      <c r="E62" s="28">
        <v>37.85</v>
      </c>
      <c r="F62" s="29">
        <v>1247</v>
      </c>
      <c r="G62" s="88">
        <f t="shared" ref="G62:G66" si="40">E62*F62</f>
        <v>47198.950000000004</v>
      </c>
      <c r="H62" s="30" t="s">
        <v>53</v>
      </c>
      <c r="I62" s="95">
        <v>12</v>
      </c>
      <c r="J62" s="13">
        <v>2000</v>
      </c>
      <c r="K62" s="12">
        <f t="shared" si="1"/>
        <v>166.66666666666666</v>
      </c>
      <c r="L62" s="95">
        <v>12</v>
      </c>
      <c r="M62" s="13">
        <f t="shared" ref="M62:M66" si="41">F62/V62*60</f>
        <v>1918.4615384615395</v>
      </c>
      <c r="N62" s="12">
        <f t="shared" si="3"/>
        <v>159.87179487179495</v>
      </c>
      <c r="O62" s="14">
        <f t="shared" si="4"/>
        <v>0</v>
      </c>
      <c r="P62" s="15">
        <f t="shared" si="5"/>
        <v>-6.7948717948717103</v>
      </c>
      <c r="Q62" s="91">
        <f t="shared" si="6"/>
        <v>0.95923076923076978</v>
      </c>
      <c r="R62" s="177">
        <f>Q67</f>
        <v>0.9616482731554159</v>
      </c>
      <c r="S62" s="21">
        <v>0.20833333333333334</v>
      </c>
      <c r="T62" s="21">
        <v>0.23541666666666666</v>
      </c>
      <c r="U62" s="88"/>
      <c r="V62" s="30">
        <f t="shared" ref="V62:V66" si="42">(T62-S62)*24*60</f>
        <v>38.999999999999979</v>
      </c>
      <c r="W62" s="21"/>
      <c r="X62" s="21"/>
      <c r="Y62" s="21"/>
      <c r="Z62" s="21"/>
      <c r="AA62" s="168"/>
      <c r="AB62" s="168"/>
      <c r="AC62" s="18">
        <v>5</v>
      </c>
      <c r="AD62" s="18"/>
      <c r="AE62" s="14">
        <f t="shared" ref="AE62:AE75" si="43">M62-J62</f>
        <v>-81.538461538460524</v>
      </c>
      <c r="AF62" s="91">
        <f t="shared" si="9"/>
        <v>0.95923076923076978</v>
      </c>
      <c r="AG62" s="177">
        <f>AF67</f>
        <v>0.96164827315541601</v>
      </c>
    </row>
    <row r="63" spans="1:33" ht="15.75" customHeight="1">
      <c r="A63" s="179" t="s">
        <v>1485</v>
      </c>
      <c r="B63" s="88" t="s">
        <v>33</v>
      </c>
      <c r="C63" s="169" t="s">
        <v>47</v>
      </c>
      <c r="D63" s="169"/>
      <c r="E63" s="28">
        <v>34.36</v>
      </c>
      <c r="F63" s="29">
        <v>2303</v>
      </c>
      <c r="G63" s="88">
        <f t="shared" si="40"/>
        <v>79131.08</v>
      </c>
      <c r="H63" s="30" t="s">
        <v>53</v>
      </c>
      <c r="I63" s="95">
        <v>10</v>
      </c>
      <c r="J63" s="13">
        <v>3000</v>
      </c>
      <c r="K63" s="12">
        <f t="shared" si="1"/>
        <v>300</v>
      </c>
      <c r="L63" s="95">
        <v>10</v>
      </c>
      <c r="M63" s="13">
        <f t="shared" si="41"/>
        <v>2878.7499999999982</v>
      </c>
      <c r="N63" s="12">
        <f t="shared" si="3"/>
        <v>287.87499999999983</v>
      </c>
      <c r="O63" s="14">
        <f t="shared" si="4"/>
        <v>0</v>
      </c>
      <c r="P63" s="15">
        <f t="shared" si="5"/>
        <v>-12.125000000000171</v>
      </c>
      <c r="Q63" s="91">
        <f t="shared" si="6"/>
        <v>0.95958333333333279</v>
      </c>
      <c r="R63" s="177"/>
      <c r="S63" s="21">
        <v>0.24097222222222223</v>
      </c>
      <c r="T63" s="21">
        <v>0.27430555555555558</v>
      </c>
      <c r="U63" s="88">
        <f t="shared" ref="U63:U66" si="44">(S63-T62)*24*60</f>
        <v>8.0000000000000107</v>
      </c>
      <c r="V63" s="30">
        <f t="shared" si="42"/>
        <v>48.000000000000028</v>
      </c>
      <c r="W63" s="88"/>
      <c r="X63" s="88"/>
      <c r="Y63" s="88"/>
      <c r="Z63" s="88"/>
      <c r="AA63" s="168"/>
      <c r="AB63" s="168"/>
      <c r="AC63" s="18"/>
      <c r="AD63" s="18"/>
      <c r="AE63" s="14">
        <f t="shared" si="43"/>
        <v>-121.25000000000182</v>
      </c>
      <c r="AF63" s="91">
        <f t="shared" si="9"/>
        <v>0.95958333333333268</v>
      </c>
      <c r="AG63" s="177"/>
    </row>
    <row r="64" spans="1:33" ht="15.75" customHeight="1">
      <c r="A64" s="179" t="s">
        <v>1485</v>
      </c>
      <c r="B64" s="88" t="s">
        <v>33</v>
      </c>
      <c r="C64" s="169" t="s">
        <v>34</v>
      </c>
      <c r="D64" s="169"/>
      <c r="E64" s="28">
        <v>34.36</v>
      </c>
      <c r="F64" s="29">
        <v>1538</v>
      </c>
      <c r="G64" s="88">
        <f t="shared" si="40"/>
        <v>52845.68</v>
      </c>
      <c r="H64" s="30" t="s">
        <v>53</v>
      </c>
      <c r="I64" s="95">
        <v>10</v>
      </c>
      <c r="J64" s="13">
        <v>3000</v>
      </c>
      <c r="K64" s="12">
        <f t="shared" si="1"/>
        <v>300</v>
      </c>
      <c r="L64" s="95">
        <v>10</v>
      </c>
      <c r="M64" s="13">
        <f t="shared" si="41"/>
        <v>2883.7500000000036</v>
      </c>
      <c r="N64" s="12">
        <f t="shared" si="3"/>
        <v>288.37500000000034</v>
      </c>
      <c r="O64" s="14">
        <f t="shared" si="4"/>
        <v>0</v>
      </c>
      <c r="P64" s="15">
        <f t="shared" si="5"/>
        <v>-11.624999999999659</v>
      </c>
      <c r="Q64" s="91">
        <f t="shared" si="6"/>
        <v>0.96125000000000116</v>
      </c>
      <c r="R64" s="177"/>
      <c r="S64" s="21">
        <v>0.27847222222222223</v>
      </c>
      <c r="T64" s="21">
        <v>0.30069444444444443</v>
      </c>
      <c r="U64" s="88">
        <f t="shared" si="44"/>
        <v>5.9999999999999787</v>
      </c>
      <c r="V64" s="30">
        <f t="shared" si="42"/>
        <v>31.999999999999964</v>
      </c>
      <c r="W64" s="88"/>
      <c r="X64" s="88"/>
      <c r="Y64" s="88"/>
      <c r="Z64" s="88"/>
      <c r="AA64" s="168"/>
      <c r="AB64" s="168"/>
      <c r="AC64" s="18"/>
      <c r="AD64" s="18"/>
      <c r="AE64" s="14">
        <f t="shared" si="43"/>
        <v>-116.24999999999636</v>
      </c>
      <c r="AF64" s="91">
        <f t="shared" si="9"/>
        <v>0.96125000000000116</v>
      </c>
      <c r="AG64" s="177"/>
    </row>
    <row r="65" spans="1:33" ht="15.75" customHeight="1">
      <c r="A65" s="179" t="s">
        <v>1485</v>
      </c>
      <c r="B65" s="88" t="s">
        <v>33</v>
      </c>
      <c r="C65" s="169" t="s">
        <v>35</v>
      </c>
      <c r="D65" s="169"/>
      <c r="E65" s="28">
        <v>26.78</v>
      </c>
      <c r="F65" s="29">
        <v>2397</v>
      </c>
      <c r="G65" s="88">
        <f t="shared" si="40"/>
        <v>64191.66</v>
      </c>
      <c r="H65" s="30" t="s">
        <v>53</v>
      </c>
      <c r="I65" s="95">
        <v>10</v>
      </c>
      <c r="J65" s="13">
        <v>3000</v>
      </c>
      <c r="K65" s="12">
        <f t="shared" si="1"/>
        <v>300</v>
      </c>
      <c r="L65" s="95">
        <v>10</v>
      </c>
      <c r="M65" s="13">
        <f t="shared" si="41"/>
        <v>2876.4000000000005</v>
      </c>
      <c r="N65" s="12">
        <f t="shared" si="3"/>
        <v>287.64000000000004</v>
      </c>
      <c r="O65" s="14">
        <f t="shared" si="4"/>
        <v>0</v>
      </c>
      <c r="P65" s="15">
        <f t="shared" si="5"/>
        <v>-12.359999999999957</v>
      </c>
      <c r="Q65" s="91">
        <f t="shared" si="6"/>
        <v>0.9588000000000001</v>
      </c>
      <c r="R65" s="177"/>
      <c r="S65" s="21">
        <v>0.30416666666666664</v>
      </c>
      <c r="T65" s="21">
        <v>0.33888888888888885</v>
      </c>
      <c r="U65" s="88">
        <f t="shared" si="44"/>
        <v>4.9999999999999822</v>
      </c>
      <c r="V65" s="30">
        <f t="shared" si="42"/>
        <v>49.999999999999986</v>
      </c>
      <c r="W65" s="88"/>
      <c r="X65" s="88"/>
      <c r="Y65" s="88"/>
      <c r="Z65" s="88"/>
      <c r="AA65" s="168"/>
      <c r="AB65" s="168"/>
      <c r="AC65" s="18"/>
      <c r="AD65" s="18"/>
      <c r="AE65" s="14">
        <f t="shared" si="43"/>
        <v>-123.59999999999945</v>
      </c>
      <c r="AF65" s="91">
        <f t="shared" si="9"/>
        <v>0.95880000000000021</v>
      </c>
      <c r="AG65" s="177"/>
    </row>
    <row r="66" spans="1:33">
      <c r="A66" s="180" t="s">
        <v>1485</v>
      </c>
      <c r="B66" s="88" t="s">
        <v>33</v>
      </c>
      <c r="C66" s="169" t="s">
        <v>71</v>
      </c>
      <c r="D66" s="169"/>
      <c r="E66" s="28">
        <v>28.3</v>
      </c>
      <c r="F66" s="29">
        <v>1695</v>
      </c>
      <c r="G66" s="88">
        <f t="shared" si="40"/>
        <v>47968.5</v>
      </c>
      <c r="H66" s="30" t="s">
        <v>53</v>
      </c>
      <c r="I66" s="95">
        <v>8</v>
      </c>
      <c r="J66" s="13">
        <v>3000</v>
      </c>
      <c r="K66" s="12">
        <f t="shared" si="1"/>
        <v>375</v>
      </c>
      <c r="L66" s="95">
        <v>8</v>
      </c>
      <c r="M66" s="13">
        <f t="shared" si="41"/>
        <v>2905.7142857142831</v>
      </c>
      <c r="N66" s="12">
        <f t="shared" si="3"/>
        <v>363.21428571428538</v>
      </c>
      <c r="O66" s="14">
        <f t="shared" si="4"/>
        <v>0</v>
      </c>
      <c r="P66" s="15">
        <f t="shared" si="5"/>
        <v>-11.785714285714619</v>
      </c>
      <c r="Q66" s="91">
        <f t="shared" si="6"/>
        <v>0.96857142857142764</v>
      </c>
      <c r="R66" s="177"/>
      <c r="S66" s="21">
        <v>0.3430555555555555</v>
      </c>
      <c r="T66" s="21">
        <v>0.36736111111111108</v>
      </c>
      <c r="U66" s="88">
        <f t="shared" si="44"/>
        <v>5.9999999999999787</v>
      </c>
      <c r="V66" s="30">
        <f t="shared" si="42"/>
        <v>35.000000000000036</v>
      </c>
      <c r="W66" s="16"/>
      <c r="X66" s="16"/>
      <c r="Y66" s="16"/>
      <c r="Z66" s="16"/>
      <c r="AA66" s="168"/>
      <c r="AB66" s="168"/>
      <c r="AC66" s="18"/>
      <c r="AD66" s="18"/>
      <c r="AE66" s="14">
        <f t="shared" si="43"/>
        <v>-94.285714285716949</v>
      </c>
      <c r="AF66" s="91">
        <f t="shared" si="9"/>
        <v>0.96857142857142764</v>
      </c>
      <c r="AG66" s="177"/>
    </row>
    <row r="67" spans="1:33">
      <c r="A67" s="180" t="s">
        <v>1485</v>
      </c>
      <c r="B67" s="28" t="s">
        <v>1477</v>
      </c>
      <c r="C67" s="178"/>
      <c r="D67" s="178"/>
      <c r="E67" s="92"/>
      <c r="F67" s="12"/>
      <c r="G67" s="12"/>
      <c r="H67" s="88"/>
      <c r="I67" s="23">
        <v>10</v>
      </c>
      <c r="J67" s="13">
        <v>2800</v>
      </c>
      <c r="K67" s="12">
        <f t="shared" si="1"/>
        <v>280</v>
      </c>
      <c r="L67" s="23">
        <v>10</v>
      </c>
      <c r="M67" s="13">
        <f>AVERAGE(M62:M66)</f>
        <v>2692.6151648351647</v>
      </c>
      <c r="N67" s="12">
        <f t="shared" si="3"/>
        <v>269.26151648351646</v>
      </c>
      <c r="O67" s="14">
        <f t="shared" si="4"/>
        <v>0</v>
      </c>
      <c r="P67" s="15">
        <f t="shared" si="5"/>
        <v>-10.738483516483541</v>
      </c>
      <c r="Q67" s="91">
        <f t="shared" si="6"/>
        <v>0.9616482731554159</v>
      </c>
      <c r="R67" s="177"/>
      <c r="S67" s="21"/>
      <c r="T67" s="21"/>
      <c r="U67" s="12"/>
      <c r="V67" s="30"/>
      <c r="W67" s="12"/>
      <c r="X67" s="12"/>
      <c r="Y67" s="24">
        <f>SUM(Y62:Y66)</f>
        <v>0</v>
      </c>
      <c r="Z67" s="24">
        <f>SUM(Z62:Z66)</f>
        <v>0</v>
      </c>
      <c r="AA67" s="167"/>
      <c r="AB67" s="167"/>
      <c r="AC67" s="24">
        <f>SUM(AC62:AC66)</f>
        <v>5</v>
      </c>
      <c r="AD67" s="24">
        <f>SUM(AD62:AD66)</f>
        <v>0</v>
      </c>
      <c r="AE67" s="14">
        <f t="shared" si="43"/>
        <v>-107.38483516483529</v>
      </c>
      <c r="AF67" s="91">
        <f t="shared" si="9"/>
        <v>0.96164827315541601</v>
      </c>
      <c r="AG67" s="177"/>
    </row>
    <row r="68" spans="1:33" ht="15.75" customHeight="1">
      <c r="A68" s="174" t="s">
        <v>1486</v>
      </c>
      <c r="B68" s="88" t="s">
        <v>22</v>
      </c>
      <c r="C68" s="169" t="s">
        <v>29</v>
      </c>
      <c r="D68" s="169"/>
      <c r="E68" s="28">
        <v>20.52</v>
      </c>
      <c r="F68" s="88">
        <v>4163</v>
      </c>
      <c r="G68" s="88">
        <f t="shared" ref="G68:G74" si="45">E68*F68</f>
        <v>85424.76</v>
      </c>
      <c r="H68" s="30" t="s">
        <v>53</v>
      </c>
      <c r="I68" s="95">
        <v>18</v>
      </c>
      <c r="J68" s="13">
        <v>2400</v>
      </c>
      <c r="K68" s="12">
        <f t="shared" si="1"/>
        <v>133.33333333333334</v>
      </c>
      <c r="L68" s="95">
        <v>18</v>
      </c>
      <c r="M68" s="13">
        <f t="shared" ref="M68:M74" si="46">F68/V68*60</f>
        <v>2291.559633027523</v>
      </c>
      <c r="N68" s="12">
        <f t="shared" si="3"/>
        <v>127.30886850152905</v>
      </c>
      <c r="O68" s="14">
        <f t="shared" si="4"/>
        <v>0</v>
      </c>
      <c r="P68" s="15">
        <f t="shared" si="5"/>
        <v>-6.0244648318042948</v>
      </c>
      <c r="Q68" s="91">
        <f t="shared" si="6"/>
        <v>0.95481651376146781</v>
      </c>
      <c r="R68" s="177">
        <f>Q75</f>
        <v>0.95738884483619857</v>
      </c>
      <c r="S68" s="21">
        <v>8.3333333333333329E-2</v>
      </c>
      <c r="T68" s="21">
        <v>0.15902777777777777</v>
      </c>
      <c r="U68" s="21"/>
      <c r="V68" s="30">
        <f t="shared" ref="V68:V74" si="47">(T68-S68)*24*60</f>
        <v>108.99999999999999</v>
      </c>
      <c r="W68" s="16">
        <f>T68</f>
        <v>0.15902777777777777</v>
      </c>
      <c r="X68" s="16">
        <f>S69</f>
        <v>0.17986111111111111</v>
      </c>
      <c r="Y68" s="16"/>
      <c r="Z68" s="16"/>
      <c r="AA68" s="168"/>
      <c r="AB68" s="168"/>
      <c r="AC68" s="18">
        <v>7</v>
      </c>
      <c r="AD68" s="18"/>
      <c r="AE68" s="14">
        <f t="shared" si="43"/>
        <v>-108.44036697247702</v>
      </c>
      <c r="AF68" s="91">
        <f t="shared" si="9"/>
        <v>0.95481651376146792</v>
      </c>
      <c r="AG68" s="177">
        <f>AF75</f>
        <v>0.95738884483619868</v>
      </c>
    </row>
    <row r="69" spans="1:33" ht="15.75" customHeight="1">
      <c r="A69" s="175" t="s">
        <v>1486</v>
      </c>
      <c r="B69" s="88" t="s">
        <v>22</v>
      </c>
      <c r="C69" s="169" t="s">
        <v>50</v>
      </c>
      <c r="D69" s="169"/>
      <c r="E69" s="28">
        <v>24.45</v>
      </c>
      <c r="F69" s="88">
        <v>2720</v>
      </c>
      <c r="G69" s="88">
        <f t="shared" si="45"/>
        <v>66504</v>
      </c>
      <c r="H69" s="30" t="s">
        <v>53</v>
      </c>
      <c r="I69" s="95">
        <v>19</v>
      </c>
      <c r="J69" s="13">
        <v>2400</v>
      </c>
      <c r="K69" s="12">
        <f t="shared" ref="K69:K75" si="48">J69/I69</f>
        <v>126.31578947368421</v>
      </c>
      <c r="L69" s="95">
        <v>19</v>
      </c>
      <c r="M69" s="13">
        <f t="shared" si="46"/>
        <v>2298.5915492957752</v>
      </c>
      <c r="N69" s="12">
        <f t="shared" ref="N69:N75" si="49">M69/L69</f>
        <v>120.97850259451448</v>
      </c>
      <c r="O69" s="14">
        <f t="shared" ref="O69:O75" si="50">L69-I69</f>
        <v>0</v>
      </c>
      <c r="P69" s="15">
        <f t="shared" ref="P69:P75" si="51">N69-K69</f>
        <v>-5.3372868791697243</v>
      </c>
      <c r="Q69" s="91">
        <f t="shared" ref="Q69:Q75" si="52">N69/K69</f>
        <v>0.95774647887323971</v>
      </c>
      <c r="R69" s="177"/>
      <c r="S69" s="21">
        <v>0.17986111111111111</v>
      </c>
      <c r="T69" s="21">
        <v>0.22916666666666666</v>
      </c>
      <c r="U69" s="88">
        <f t="shared" ref="U69:U74" si="53">(S69-T68)*24*60</f>
        <v>30.000000000000014</v>
      </c>
      <c r="V69" s="30">
        <f t="shared" si="47"/>
        <v>70.999999999999986</v>
      </c>
      <c r="W69" s="16"/>
      <c r="X69" s="16"/>
      <c r="Y69" s="16"/>
      <c r="Z69" s="16"/>
      <c r="AA69" s="168"/>
      <c r="AB69" s="168"/>
      <c r="AC69" s="18"/>
      <c r="AD69" s="18"/>
      <c r="AE69" s="14">
        <f t="shared" si="43"/>
        <v>-101.40845070422483</v>
      </c>
      <c r="AF69" s="91">
        <f t="shared" ref="AF69:AF75" si="54">M69/J69</f>
        <v>0.9577464788732396</v>
      </c>
      <c r="AG69" s="177"/>
    </row>
    <row r="70" spans="1:33" ht="15.75" customHeight="1">
      <c r="A70" s="175" t="s">
        <v>1486</v>
      </c>
      <c r="B70" s="88" t="s">
        <v>22</v>
      </c>
      <c r="C70" s="169" t="s">
        <v>31</v>
      </c>
      <c r="D70" s="169"/>
      <c r="E70" s="28">
        <v>20.21</v>
      </c>
      <c r="F70" s="88">
        <v>3057</v>
      </c>
      <c r="G70" s="88">
        <f t="shared" si="45"/>
        <v>61781.97</v>
      </c>
      <c r="H70" s="30" t="s">
        <v>53</v>
      </c>
      <c r="I70" s="95">
        <v>15</v>
      </c>
      <c r="J70" s="13">
        <v>2400</v>
      </c>
      <c r="K70" s="12">
        <f t="shared" si="48"/>
        <v>160</v>
      </c>
      <c r="L70" s="95">
        <v>15</v>
      </c>
      <c r="M70" s="13">
        <f t="shared" si="46"/>
        <v>2292.75</v>
      </c>
      <c r="N70" s="12">
        <f t="shared" si="49"/>
        <v>152.85</v>
      </c>
      <c r="O70" s="14">
        <f t="shared" si="50"/>
        <v>0</v>
      </c>
      <c r="P70" s="15">
        <f t="shared" si="51"/>
        <v>-7.1500000000000057</v>
      </c>
      <c r="Q70" s="91">
        <f t="shared" si="52"/>
        <v>0.95531250000000001</v>
      </c>
      <c r="R70" s="177"/>
      <c r="S70" s="21">
        <v>0.23263888888888887</v>
      </c>
      <c r="T70" s="21">
        <v>0.28819444444444442</v>
      </c>
      <c r="U70" s="88">
        <f t="shared" si="53"/>
        <v>4.9999999999999822</v>
      </c>
      <c r="V70" s="30">
        <f t="shared" si="47"/>
        <v>80</v>
      </c>
      <c r="W70" s="16"/>
      <c r="X70" s="16"/>
      <c r="Y70" s="16"/>
      <c r="Z70" s="16"/>
      <c r="AA70" s="168"/>
      <c r="AB70" s="168"/>
      <c r="AC70" s="18"/>
      <c r="AD70" s="18"/>
      <c r="AE70" s="14">
        <f t="shared" si="43"/>
        <v>-107.25</v>
      </c>
      <c r="AF70" s="91">
        <f t="shared" si="54"/>
        <v>0.95531250000000001</v>
      </c>
      <c r="AG70" s="177"/>
    </row>
    <row r="71" spans="1:33" ht="15.75" customHeight="1">
      <c r="A71" s="175" t="s">
        <v>1486</v>
      </c>
      <c r="B71" s="88" t="s">
        <v>22</v>
      </c>
      <c r="C71" s="169" t="s">
        <v>70</v>
      </c>
      <c r="D71" s="169"/>
      <c r="E71" s="28">
        <v>22.69</v>
      </c>
      <c r="F71" s="88">
        <v>3000</v>
      </c>
      <c r="G71" s="88">
        <f t="shared" si="45"/>
        <v>68070</v>
      </c>
      <c r="H71" s="30">
        <v>2</v>
      </c>
      <c r="I71" s="95">
        <v>15</v>
      </c>
      <c r="J71" s="13">
        <v>2400</v>
      </c>
      <c r="K71" s="12">
        <f t="shared" si="48"/>
        <v>160</v>
      </c>
      <c r="L71" s="95">
        <v>15</v>
      </c>
      <c r="M71" s="13">
        <f t="shared" si="46"/>
        <v>2307.6923076923063</v>
      </c>
      <c r="N71" s="12">
        <f t="shared" si="49"/>
        <v>153.84615384615375</v>
      </c>
      <c r="O71" s="14">
        <f t="shared" si="50"/>
        <v>0</v>
      </c>
      <c r="P71" s="15">
        <f t="shared" si="51"/>
        <v>-6.1538461538462457</v>
      </c>
      <c r="Q71" s="91">
        <f t="shared" si="52"/>
        <v>0.96153846153846101</v>
      </c>
      <c r="R71" s="177"/>
      <c r="S71" s="21">
        <v>0.29166666666666663</v>
      </c>
      <c r="T71" s="21">
        <v>0.34583333333333333</v>
      </c>
      <c r="U71" s="88">
        <f t="shared" si="53"/>
        <v>4.9999999999999822</v>
      </c>
      <c r="V71" s="30">
        <f t="shared" si="47"/>
        <v>78.000000000000043</v>
      </c>
      <c r="W71" s="16"/>
      <c r="X71" s="16"/>
      <c r="Y71" s="16"/>
      <c r="Z71" s="16"/>
      <c r="AA71" s="168"/>
      <c r="AB71" s="168"/>
      <c r="AC71" s="18"/>
      <c r="AD71" s="18"/>
      <c r="AE71" s="14">
        <f t="shared" si="43"/>
        <v>-92.307692307693742</v>
      </c>
      <c r="AF71" s="91">
        <f t="shared" si="54"/>
        <v>0.9615384615384609</v>
      </c>
      <c r="AG71" s="177"/>
    </row>
    <row r="72" spans="1:33" ht="15.75" customHeight="1">
      <c r="A72" s="175" t="s">
        <v>1486</v>
      </c>
      <c r="B72" s="88" t="s">
        <v>22</v>
      </c>
      <c r="C72" s="169" t="s">
        <v>52</v>
      </c>
      <c r="D72" s="169"/>
      <c r="E72" s="28">
        <v>19.02</v>
      </c>
      <c r="F72" s="88">
        <v>4800</v>
      </c>
      <c r="G72" s="88">
        <f t="shared" si="45"/>
        <v>91296</v>
      </c>
      <c r="H72" s="30">
        <v>2</v>
      </c>
      <c r="I72" s="95">
        <v>14</v>
      </c>
      <c r="J72" s="13">
        <v>2400</v>
      </c>
      <c r="K72" s="12">
        <f t="shared" si="48"/>
        <v>171.42857142857142</v>
      </c>
      <c r="L72" s="95">
        <v>14</v>
      </c>
      <c r="M72" s="13">
        <f t="shared" si="46"/>
        <v>2285.7142857142853</v>
      </c>
      <c r="N72" s="12">
        <f t="shared" si="49"/>
        <v>163.26530612244895</v>
      </c>
      <c r="O72" s="14">
        <f t="shared" si="50"/>
        <v>0</v>
      </c>
      <c r="P72" s="15">
        <f t="shared" si="51"/>
        <v>-8.1632653061224687</v>
      </c>
      <c r="Q72" s="91">
        <f t="shared" si="52"/>
        <v>0.95238095238095222</v>
      </c>
      <c r="R72" s="177"/>
      <c r="S72" s="21">
        <v>0.34930555555555554</v>
      </c>
      <c r="T72" s="21">
        <v>0.43680555555555556</v>
      </c>
      <c r="U72" s="88">
        <f t="shared" si="53"/>
        <v>4.9999999999999822</v>
      </c>
      <c r="V72" s="30">
        <f t="shared" si="47"/>
        <v>126.00000000000003</v>
      </c>
      <c r="W72" s="16">
        <f>T72</f>
        <v>0.43680555555555556</v>
      </c>
      <c r="X72" s="16">
        <f>S73</f>
        <v>0.47638888888888886</v>
      </c>
      <c r="Y72" s="16"/>
      <c r="Z72" s="16"/>
      <c r="AA72" s="168"/>
      <c r="AB72" s="168"/>
      <c r="AC72" s="18"/>
      <c r="AD72" s="18"/>
      <c r="AE72" s="14">
        <f t="shared" si="43"/>
        <v>-114.28571428571468</v>
      </c>
      <c r="AF72" s="91">
        <f t="shared" si="54"/>
        <v>0.95238095238095222</v>
      </c>
      <c r="AG72" s="177"/>
    </row>
    <row r="73" spans="1:33" ht="15.75" customHeight="1">
      <c r="A73" s="175" t="s">
        <v>1486</v>
      </c>
      <c r="B73" s="88" t="s">
        <v>22</v>
      </c>
      <c r="C73" s="169" t="s">
        <v>52</v>
      </c>
      <c r="D73" s="169"/>
      <c r="E73" s="28">
        <v>19.02</v>
      </c>
      <c r="F73" s="88">
        <v>5233</v>
      </c>
      <c r="G73" s="88">
        <f t="shared" si="45"/>
        <v>99531.66</v>
      </c>
      <c r="H73" s="30" t="s">
        <v>53</v>
      </c>
      <c r="I73" s="95">
        <v>14</v>
      </c>
      <c r="J73" s="13">
        <v>2400</v>
      </c>
      <c r="K73" s="12">
        <f t="shared" si="48"/>
        <v>171.42857142857142</v>
      </c>
      <c r="L73" s="95">
        <v>14</v>
      </c>
      <c r="M73" s="13">
        <f t="shared" si="46"/>
        <v>2291.8248175182484</v>
      </c>
      <c r="N73" s="12">
        <f t="shared" si="49"/>
        <v>163.70177267987489</v>
      </c>
      <c r="O73" s="14">
        <f t="shared" si="50"/>
        <v>0</v>
      </c>
      <c r="P73" s="15">
        <f t="shared" si="51"/>
        <v>-7.7267987486965239</v>
      </c>
      <c r="Q73" s="91">
        <f t="shared" si="52"/>
        <v>0.95492700729927027</v>
      </c>
      <c r="R73" s="177"/>
      <c r="S73" s="21">
        <v>0.47638888888888886</v>
      </c>
      <c r="T73" s="21">
        <v>0.57152777777777775</v>
      </c>
      <c r="U73" s="88">
        <f t="shared" si="53"/>
        <v>56.999999999999957</v>
      </c>
      <c r="V73" s="30">
        <f t="shared" si="47"/>
        <v>137</v>
      </c>
      <c r="W73" s="16"/>
      <c r="X73" s="16"/>
      <c r="Y73" s="16"/>
      <c r="Z73" s="16"/>
      <c r="AA73" s="168"/>
      <c r="AB73" s="168"/>
      <c r="AC73" s="18"/>
      <c r="AD73" s="18"/>
      <c r="AE73" s="14">
        <f t="shared" si="43"/>
        <v>-108.17518248175156</v>
      </c>
      <c r="AF73" s="91">
        <f t="shared" si="54"/>
        <v>0.95492700729927016</v>
      </c>
      <c r="AG73" s="177"/>
    </row>
    <row r="74" spans="1:33" ht="15.75" customHeight="1">
      <c r="A74" s="175" t="s">
        <v>1486</v>
      </c>
      <c r="B74" s="88" t="s">
        <v>22</v>
      </c>
      <c r="C74" s="170" t="s">
        <v>70</v>
      </c>
      <c r="D74" s="171"/>
      <c r="E74" s="28">
        <v>22.69</v>
      </c>
      <c r="F74" s="88">
        <v>2123</v>
      </c>
      <c r="G74" s="88">
        <f t="shared" si="45"/>
        <v>48170.87</v>
      </c>
      <c r="H74" s="30" t="s">
        <v>53</v>
      </c>
      <c r="I74" s="95">
        <v>15</v>
      </c>
      <c r="J74" s="13">
        <v>2400</v>
      </c>
      <c r="K74" s="12">
        <f t="shared" si="48"/>
        <v>160</v>
      </c>
      <c r="L74" s="95">
        <v>15</v>
      </c>
      <c r="M74" s="13">
        <f t="shared" si="46"/>
        <v>2316.0000000000014</v>
      </c>
      <c r="N74" s="12">
        <f t="shared" si="49"/>
        <v>154.40000000000009</v>
      </c>
      <c r="O74" s="14">
        <f t="shared" si="50"/>
        <v>0</v>
      </c>
      <c r="P74" s="15">
        <f t="shared" si="51"/>
        <v>-5.5999999999999091</v>
      </c>
      <c r="Q74" s="91">
        <f t="shared" si="52"/>
        <v>0.96500000000000052</v>
      </c>
      <c r="R74" s="177"/>
      <c r="S74" s="21">
        <v>0.5756944444444444</v>
      </c>
      <c r="T74" s="21">
        <v>0.61388888888888882</v>
      </c>
      <c r="U74" s="88">
        <f t="shared" si="53"/>
        <v>5.9999999999999787</v>
      </c>
      <c r="V74" s="30">
        <f t="shared" si="47"/>
        <v>54.999999999999964</v>
      </c>
      <c r="W74" s="16"/>
      <c r="X74" s="16"/>
      <c r="Y74" s="19"/>
      <c r="Z74" s="19"/>
      <c r="AA74" s="172"/>
      <c r="AB74" s="173"/>
      <c r="AC74" s="18"/>
      <c r="AD74" s="18"/>
      <c r="AE74" s="14">
        <f t="shared" si="43"/>
        <v>-83.999999999998636</v>
      </c>
      <c r="AF74" s="91">
        <f t="shared" si="54"/>
        <v>0.96500000000000052</v>
      </c>
      <c r="AG74" s="177"/>
    </row>
    <row r="75" spans="1:33" ht="16.5" customHeight="1">
      <c r="A75" s="176" t="s">
        <v>1486</v>
      </c>
      <c r="B75" s="28" t="s">
        <v>1477</v>
      </c>
      <c r="C75" s="165"/>
      <c r="D75" s="166"/>
      <c r="E75" s="92"/>
      <c r="F75" s="12"/>
      <c r="G75" s="12"/>
      <c r="H75" s="88"/>
      <c r="I75" s="23">
        <v>15.714285714285714</v>
      </c>
      <c r="J75" s="13">
        <v>2400</v>
      </c>
      <c r="K75" s="12">
        <f t="shared" si="48"/>
        <v>152.72727272727275</v>
      </c>
      <c r="L75" s="23">
        <v>15.714285714285714</v>
      </c>
      <c r="M75" s="13">
        <f>AVERAGE(M68:M74)</f>
        <v>2297.7332276068769</v>
      </c>
      <c r="N75" s="12">
        <f t="shared" si="49"/>
        <v>146.21938721134671</v>
      </c>
      <c r="O75" s="14">
        <f t="shared" si="50"/>
        <v>0</v>
      </c>
      <c r="P75" s="15">
        <f t="shared" si="51"/>
        <v>-6.5078855159260343</v>
      </c>
      <c r="Q75" s="91">
        <f t="shared" si="52"/>
        <v>0.95738884483619857</v>
      </c>
      <c r="R75" s="177"/>
      <c r="S75" s="21"/>
      <c r="T75" s="21"/>
      <c r="U75" s="12"/>
      <c r="V75" s="30"/>
      <c r="W75" s="12"/>
      <c r="X75" s="12"/>
      <c r="Y75" s="24">
        <f>SUM(Y68:Y74)</f>
        <v>0</v>
      </c>
      <c r="Z75" s="24">
        <f>SUM(Z68:Z74)</f>
        <v>0</v>
      </c>
      <c r="AA75" s="167"/>
      <c r="AB75" s="167"/>
      <c r="AC75" s="24">
        <f>SUM(AC68:AC74)</f>
        <v>7</v>
      </c>
      <c r="AD75" s="24">
        <f>SUM(AD68:AD74)</f>
        <v>0</v>
      </c>
      <c r="AE75" s="14">
        <f t="shared" si="43"/>
        <v>-102.26677239312312</v>
      </c>
      <c r="AF75" s="91">
        <f t="shared" si="54"/>
        <v>0.95738884483619868</v>
      </c>
      <c r="AG75" s="177"/>
    </row>
    <row r="76" spans="1:33">
      <c r="D76" s="87"/>
      <c r="E76" s="87"/>
    </row>
  </sheetData>
  <mergeCells count="199">
    <mergeCell ref="AG68:AG75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C73:D73"/>
    <mergeCell ref="AA66:AB66"/>
    <mergeCell ref="C67:D67"/>
    <mergeCell ref="AA67:AB67"/>
    <mergeCell ref="A68:A75"/>
    <mergeCell ref="C68:D68"/>
    <mergeCell ref="R68:R75"/>
    <mergeCell ref="AA68:AB68"/>
    <mergeCell ref="AA73:AB73"/>
    <mergeCell ref="A62:A67"/>
    <mergeCell ref="C62:D62"/>
    <mergeCell ref="R62:R67"/>
    <mergeCell ref="AA62:AB62"/>
    <mergeCell ref="C74:D74"/>
    <mergeCell ref="AA74:AB74"/>
    <mergeCell ref="C75:D75"/>
    <mergeCell ref="AA75:AB75"/>
    <mergeCell ref="A38:A46"/>
    <mergeCell ref="C38:D38"/>
    <mergeCell ref="R38:R46"/>
    <mergeCell ref="AA38:AB38"/>
    <mergeCell ref="C39:D39"/>
    <mergeCell ref="AA39:AB39"/>
    <mergeCell ref="AG62:AG67"/>
    <mergeCell ref="C63:D63"/>
    <mergeCell ref="AA63:AB63"/>
    <mergeCell ref="C64:D64"/>
    <mergeCell ref="AA64:AB64"/>
    <mergeCell ref="C65:D65"/>
    <mergeCell ref="AG55:AG61"/>
    <mergeCell ref="C56:D56"/>
    <mergeCell ref="AA56:AB56"/>
    <mergeCell ref="C57:D57"/>
    <mergeCell ref="AA57:AB57"/>
    <mergeCell ref="AA58:AB58"/>
    <mergeCell ref="AA59:AB59"/>
    <mergeCell ref="C60:D60"/>
    <mergeCell ref="AA60:AB60"/>
    <mergeCell ref="C61:D61"/>
    <mergeCell ref="AA65:AB65"/>
    <mergeCell ref="C66:D66"/>
    <mergeCell ref="A55:A61"/>
    <mergeCell ref="C55:D55"/>
    <mergeCell ref="R55:R61"/>
    <mergeCell ref="AA55:AB55"/>
    <mergeCell ref="AA61:AB61"/>
    <mergeCell ref="AA50:AB50"/>
    <mergeCell ref="C51:D51"/>
    <mergeCell ref="AA51:AB51"/>
    <mergeCell ref="C52:D52"/>
    <mergeCell ref="AA52:AB52"/>
    <mergeCell ref="C53:D53"/>
    <mergeCell ref="AA53:AB53"/>
    <mergeCell ref="A47:A54"/>
    <mergeCell ref="C47:D47"/>
    <mergeCell ref="R47:R54"/>
    <mergeCell ref="AA47:AB47"/>
    <mergeCell ref="C40:D40"/>
    <mergeCell ref="AA40:AB40"/>
    <mergeCell ref="AG47:AG54"/>
    <mergeCell ref="C48:D48"/>
    <mergeCell ref="AA48:AB48"/>
    <mergeCell ref="C49:D49"/>
    <mergeCell ref="AA49:AB49"/>
    <mergeCell ref="C50:D50"/>
    <mergeCell ref="C44:D44"/>
    <mergeCell ref="AA44:AB44"/>
    <mergeCell ref="C45:D45"/>
    <mergeCell ref="AA45:AB45"/>
    <mergeCell ref="C46:D46"/>
    <mergeCell ref="AA46:AB46"/>
    <mergeCell ref="AG38:AG46"/>
    <mergeCell ref="C54:D54"/>
    <mergeCell ref="AA54:AB54"/>
    <mergeCell ref="C41:D41"/>
    <mergeCell ref="AA41:AB41"/>
    <mergeCell ref="C42:D42"/>
    <mergeCell ref="AA42:AB42"/>
    <mergeCell ref="C43:D43"/>
    <mergeCell ref="AA43:AB43"/>
    <mergeCell ref="AG29:AG37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7:AB37"/>
    <mergeCell ref="A21:A28"/>
    <mergeCell ref="C21:D21"/>
    <mergeCell ref="R21:R28"/>
    <mergeCell ref="AA21:AB21"/>
    <mergeCell ref="C28:D28"/>
    <mergeCell ref="AA28:AB28"/>
    <mergeCell ref="A29:A37"/>
    <mergeCell ref="C29:D29"/>
    <mergeCell ref="R29:R37"/>
    <mergeCell ref="AA29:AB29"/>
    <mergeCell ref="AA34:AB34"/>
    <mergeCell ref="C35:D35"/>
    <mergeCell ref="AA35:AB35"/>
    <mergeCell ref="C37:D37"/>
    <mergeCell ref="AG21:AG28"/>
    <mergeCell ref="C22:D22"/>
    <mergeCell ref="AA22:AB22"/>
    <mergeCell ref="C23:D23"/>
    <mergeCell ref="AA23:AB23"/>
    <mergeCell ref="C24:D24"/>
    <mergeCell ref="C17:D17"/>
    <mergeCell ref="AA17:AB17"/>
    <mergeCell ref="C18:D18"/>
    <mergeCell ref="AA18:AB18"/>
    <mergeCell ref="C20:D20"/>
    <mergeCell ref="AA20:AB20"/>
    <mergeCell ref="AA24:AB24"/>
    <mergeCell ref="C25:D25"/>
    <mergeCell ref="AA25:AB25"/>
    <mergeCell ref="C26:D26"/>
    <mergeCell ref="AA26:AB26"/>
    <mergeCell ref="C27:D27"/>
    <mergeCell ref="AA27:AB27"/>
    <mergeCell ref="AA13:AB13"/>
    <mergeCell ref="A14:A20"/>
    <mergeCell ref="C14:D14"/>
    <mergeCell ref="R14:R20"/>
    <mergeCell ref="AA14:AB14"/>
    <mergeCell ref="AG14:AG20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:O75">
    <cfRule type="cellIs" dxfId="122" priority="9" operator="greaterThan">
      <formula>0</formula>
    </cfRule>
  </conditionalFormatting>
  <conditionalFormatting sqref="P5:P75">
    <cfRule type="cellIs" dxfId="121" priority="1" operator="lessThan">
      <formula>0</formula>
    </cfRule>
  </conditionalFormatting>
  <conditionalFormatting sqref="Q5:Q75 AF5:AF75">
    <cfRule type="cellIs" dxfId="120" priority="10" operator="greaterThan">
      <formula>1</formula>
    </cfRule>
    <cfRule type="cellIs" dxfId="119" priority="11" operator="lessThan">
      <formula>0.8</formula>
    </cfRule>
  </conditionalFormatting>
  <conditionalFormatting sqref="R5:R10 AG5:AG10">
    <cfRule type="cellIs" dxfId="118" priority="55" operator="lessThan">
      <formula>0.8</formula>
    </cfRule>
  </conditionalFormatting>
  <conditionalFormatting sqref="AE5:AE75">
    <cfRule type="cellIs" dxfId="117" priority="12" operator="lessThan">
      <formula>0</formula>
    </cfRule>
  </conditionalFormatting>
  <conditionalFormatting sqref="AG14:AG65 R14:R75">
    <cfRule type="cellIs" dxfId="116" priority="13" operator="lessThan">
      <formula>0.8</formula>
    </cfRule>
  </conditionalFormatting>
  <dataValidations count="1">
    <dataValidation type="list" allowBlank="1" showInputMessage="1" showErrorMessage="1" sqref="AB9 AA5:AB8 AB66 AA9:AA66 AB11:AB62 AA67:AB75" xr:uid="{00000000-0002-0000-1F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Q32"/>
  <sheetViews>
    <sheetView zoomScale="85" zoomScaleNormal="85" workbookViewId="0">
      <selection activeCell="I6" sqref="I6:J6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1274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1275</v>
      </c>
      <c r="C3" s="154" t="str">
        <f>TEXT('0414 4度C'!A2,"yyyy.mm.ddaaaa")</f>
        <v>2026.04.14星期二</v>
      </c>
      <c r="D3" s="155"/>
      <c r="E3" s="33" t="s">
        <v>1276</v>
      </c>
      <c r="F3" s="156">
        <f>'0414 4度C'!D1</f>
        <v>179332</v>
      </c>
      <c r="G3" s="157"/>
      <c r="H3" s="33" t="s">
        <v>78</v>
      </c>
      <c r="I3" s="158">
        <f>'0414 4度C'!F1</f>
        <v>5855627.7799999993</v>
      </c>
      <c r="J3" s="159"/>
      <c r="K3" s="34"/>
      <c r="L3" s="35"/>
      <c r="M3" s="35"/>
      <c r="N3" s="35"/>
    </row>
    <row r="4" spans="2:17" ht="28.5" customHeight="1">
      <c r="B4" s="160" t="s">
        <v>1277</v>
      </c>
      <c r="C4" s="146" t="s">
        <v>1278</v>
      </c>
      <c r="D4" s="147"/>
      <c r="E4" s="163" t="s">
        <v>1279</v>
      </c>
      <c r="F4" s="164"/>
      <c r="G4" s="163" t="s">
        <v>1280</v>
      </c>
      <c r="H4" s="164"/>
      <c r="I4" s="163" t="s">
        <v>1281</v>
      </c>
      <c r="J4" s="164"/>
      <c r="K4" s="144" t="s">
        <v>1282</v>
      </c>
      <c r="L4" s="145"/>
      <c r="M4" s="145" t="s">
        <v>1283</v>
      </c>
      <c r="N4" s="145"/>
    </row>
    <row r="5" spans="2:17" ht="28.5" customHeight="1">
      <c r="B5" s="161"/>
      <c r="C5" s="146" t="s">
        <v>1284</v>
      </c>
      <c r="D5" s="147"/>
      <c r="E5" s="146" t="s">
        <v>1285</v>
      </c>
      <c r="F5" s="147"/>
      <c r="G5" s="148" t="s">
        <v>1286</v>
      </c>
      <c r="H5" s="149"/>
      <c r="I5" s="150" t="s">
        <v>89</v>
      </c>
      <c r="J5" s="151"/>
      <c r="K5" s="36" t="s">
        <v>1287</v>
      </c>
      <c r="L5" s="37" t="s">
        <v>1288</v>
      </c>
      <c r="M5" s="36" t="s">
        <v>1287</v>
      </c>
      <c r="N5" s="37" t="s">
        <v>1289</v>
      </c>
    </row>
    <row r="6" spans="2:17" ht="28.5" customHeight="1">
      <c r="B6" s="161"/>
      <c r="C6" s="146" t="s">
        <v>54</v>
      </c>
      <c r="D6" s="147"/>
      <c r="E6" s="138">
        <f>AVERAGE(D13:M13)</f>
        <v>156.44587461809101</v>
      </c>
      <c r="F6" s="139">
        <f>AVERAGE(D31:O31,D13:J13)</f>
        <v>162.97542527859153</v>
      </c>
      <c r="G6" s="140">
        <f>AVERAGE(D13:J13)</f>
        <v>162.97542527859153</v>
      </c>
      <c r="H6" s="141"/>
      <c r="I6" s="140">
        <f>AVERAGE(K13:M13)</f>
        <v>141.21025641025642</v>
      </c>
      <c r="J6" s="141"/>
      <c r="K6" s="142">
        <f>'0414 4度C'!Y2</f>
        <v>0</v>
      </c>
      <c r="L6" s="127">
        <f>'0414 4度C'!Z2</f>
        <v>0</v>
      </c>
      <c r="M6" s="143">
        <f>'0414 4度C'!AC2</f>
        <v>59</v>
      </c>
      <c r="N6" s="127">
        <f>'0414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149.68646495513025</v>
      </c>
      <c r="F7" s="131">
        <f>AVERAGE(D32:O32,D14:J14)</f>
        <v>156.00165821232682</v>
      </c>
      <c r="G7" s="132">
        <f>AVERAGE(D14:J14)</f>
        <v>156.00165821232682</v>
      </c>
      <c r="H7" s="133"/>
      <c r="I7" s="132">
        <f>AVERAGE(K14:M14)</f>
        <v>134.95101402167165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0.95708347537466021</v>
      </c>
      <c r="F8" s="135">
        <f>AVERAGE(D15:J15,D33:O33)</f>
        <v>0.95768419008917027</v>
      </c>
      <c r="G8" s="136">
        <f>AVERAGE(D15:J15)</f>
        <v>0.95768419008917027</v>
      </c>
      <c r="H8" s="137"/>
      <c r="I8" s="136">
        <f>AVERAGE(K15:M15)</f>
        <v>0.95568180770746969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93</v>
      </c>
      <c r="N9" s="35"/>
      <c r="O9" s="35"/>
      <c r="P9" s="35"/>
      <c r="Q9" s="35"/>
    </row>
    <row r="10" spans="2:17" ht="30" customHeight="1">
      <c r="B10" s="110" t="s">
        <v>1080</v>
      </c>
      <c r="C10" s="111"/>
      <c r="D10" s="112" t="s">
        <v>94</v>
      </c>
      <c r="E10" s="113"/>
      <c r="F10" s="113"/>
      <c r="G10" s="113"/>
      <c r="H10" s="113"/>
      <c r="I10" s="113"/>
      <c r="J10" s="114"/>
      <c r="K10" s="115" t="s">
        <v>1290</v>
      </c>
      <c r="L10" s="116"/>
      <c r="M10" s="117"/>
      <c r="P10" s="41"/>
      <c r="Q10" s="41"/>
    </row>
    <row r="11" spans="2:17" ht="17.25" customHeight="1">
      <c r="B11" s="118" t="s">
        <v>1291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1292</v>
      </c>
      <c r="C13" s="48" t="s">
        <v>1293</v>
      </c>
      <c r="D13" s="49">
        <f>SUMIFS('0414 4度C'!$K:$K,'0414 4度C'!$A:$A,"新豐6線",'0414 4度C'!$B:$B,"平均")</f>
        <v>119.40298507462687</v>
      </c>
      <c r="E13" s="50">
        <f>SUMIFS('0414 4度C'!$K:$K,'0414 4度C'!$A:$A,"新豐2線",'0414 4度C'!$B:$B,"平均")</f>
        <v>84.905660377358487</v>
      </c>
      <c r="F13" s="51">
        <f>SUMIFS('0414 4度C'!$K:$K,'0414 4度C'!$A:$A,"新豐5線",'0414 4度C'!$B:$B,"平均")</f>
        <v>104</v>
      </c>
      <c r="G13" s="51">
        <f>SUMIFS('0414 4度C'!$K:$K,'0414 4度C'!$A:$A,"新豐7線",'0414 4度C'!$B:$B,"平均")</f>
        <v>127.35849056603774</v>
      </c>
      <c r="H13" s="51">
        <f>SUMIFS('0414 4度C'!$K:$K,'0414 4度C'!$A:$A,"新豐3線",'0414 4度C'!$B:$B,"平均")</f>
        <v>319.14893617021278</v>
      </c>
      <c r="I13" s="51">
        <f>SUMIFS('0414 4度C'!$K:$K,'0414 4度C'!$A:$A,"新豐1線",'0414 4度C'!$B:$B,"平均")</f>
        <v>102.67857142857143</v>
      </c>
      <c r="J13" s="52">
        <f>SUMIFS('0414 4度C'!$K:$K,'0414 4度C'!$A:$A,"新豐10線",'0414 4度C'!$B:$B,"平均")</f>
        <v>283.33333333333337</v>
      </c>
      <c r="K13" s="53">
        <f>SUMIFS('0414 4度C'!$K:$K,'0414 4度C'!$A:$A,"新豐8線",'0414 4度C'!$B:$B,"平均")</f>
        <v>129.23076923076923</v>
      </c>
      <c r="L13" s="54">
        <f>SUMIFS('0414 4度C'!$K:$K,'0414 4度C'!$A:$A,"新豐9線",'0414 4度C'!$B:$B,"平均")</f>
        <v>134.4</v>
      </c>
      <c r="M13" s="52">
        <f>SUMIFS('0414 4度C'!$K:$K,'0414 4度C'!$A:$A,"新豐4線",'0414 4度C'!$B:$B,"平均")</f>
        <v>160</v>
      </c>
    </row>
    <row r="14" spans="2:17" ht="39.6" customHeight="1">
      <c r="B14" s="123"/>
      <c r="C14" s="55" t="s">
        <v>1294</v>
      </c>
      <c r="D14" s="56">
        <f>SUMIFS('0414 4度C'!$N:$N,'0414 4度C'!$A:$A,"新豐6線",'0414 4度C'!$B:$B,"平均")</f>
        <v>114.02666537442659</v>
      </c>
      <c r="E14" s="57">
        <f>SUMIFS('0414 4度C'!$N:$N,'0414 4度C'!$A:$A,"新豐2線",'0414 4度C'!$B:$B,"平均")</f>
        <v>81.009401362451598</v>
      </c>
      <c r="F14" s="57">
        <f>SUMIFS('0414 4度C'!$N:$N,'0414 4度C'!$A:$A,"新豐5線",'0414 4度C'!$B:$B,"平均")</f>
        <v>100.02344481049062</v>
      </c>
      <c r="G14" s="57">
        <f>SUMIFS('0414 4度C'!$N:$N,'0414 4度C'!$A:$A,"新豐7線",'0414 4度C'!$B:$B,"平均")</f>
        <v>121.98621632039615</v>
      </c>
      <c r="H14" s="57">
        <f>SUMIFS('0414 4度C'!$N:$N,'0414 4度C'!$A:$A,"新豐3線",'0414 4度C'!$B:$B,"平均")</f>
        <v>305.53607809789304</v>
      </c>
      <c r="I14" s="57">
        <f>SUMIFS('0414 4度C'!$N:$N,'0414 4度C'!$A:$A,"新豐1線",'0414 4度C'!$B:$B,"平均")</f>
        <v>98.862357038764046</v>
      </c>
      <c r="J14" s="58">
        <f>SUMIFS('0414 4度C'!$N:$N,'0414 4度C'!$A:$A,"新豐10線",'0414 4度C'!$B:$B,"平均")</f>
        <v>270.56744448186566</v>
      </c>
      <c r="K14" s="59">
        <f>SUMIFS('0414 4度C'!$N:$N,'0414 4度C'!$A:$A,"新豐8線",'0414 4度C'!$B:$B,"平均")</f>
        <v>123.54218511194451</v>
      </c>
      <c r="L14" s="60">
        <f>SUMIFS('0414 4度C'!$N:$N,'0414 4度C'!$A:$A,"新豐9線",'0414 4度C'!$B:$B,"平均")</f>
        <v>128.41195319156438</v>
      </c>
      <c r="M14" s="58">
        <f>SUMIFS('0414 4度C'!$N:$N,'0414 4度C'!$A:$A,"新豐4線",'0414 4度C'!$B:$B,"平均")</f>
        <v>152.89890376150609</v>
      </c>
    </row>
    <row r="15" spans="2:17" ht="40.15" customHeight="1">
      <c r="B15" s="124"/>
      <c r="C15" s="61" t="s">
        <v>1295</v>
      </c>
      <c r="D15" s="62">
        <f t="shared" ref="D15:M15" si="0">D14/D13</f>
        <v>0.95497332251082268</v>
      </c>
      <c r="E15" s="63">
        <f t="shared" si="0"/>
        <v>0.95411072715776335</v>
      </c>
      <c r="F15" s="63">
        <f t="shared" si="0"/>
        <v>0.96176389240856364</v>
      </c>
      <c r="G15" s="63">
        <f t="shared" si="0"/>
        <v>0.95781769851570309</v>
      </c>
      <c r="H15" s="63">
        <f t="shared" si="0"/>
        <v>0.95734637804006484</v>
      </c>
      <c r="I15" s="63">
        <f t="shared" si="0"/>
        <v>0.96283339029057158</v>
      </c>
      <c r="J15" s="64">
        <f t="shared" si="0"/>
        <v>0.95494392170070219</v>
      </c>
      <c r="K15" s="62">
        <f t="shared" si="0"/>
        <v>0.95598119431861828</v>
      </c>
      <c r="L15" s="63">
        <f t="shared" si="0"/>
        <v>0.95544608029437783</v>
      </c>
      <c r="M15" s="64">
        <f t="shared" si="0"/>
        <v>0.95561814850941307</v>
      </c>
    </row>
    <row r="16" spans="2:17" ht="17.25" customHeight="1">
      <c r="B16" s="125" t="s">
        <v>1296</v>
      </c>
      <c r="C16" s="65" t="s">
        <v>102</v>
      </c>
      <c r="D16" s="66">
        <f>VLOOKUP("新豐6線",'0414 4度C'!$A:$T,19,0)</f>
        <v>0.70833333333333337</v>
      </c>
      <c r="E16" s="67">
        <f>VLOOKUP("新豐2線",'0414 4度C'!$A:$T,19,0)</f>
        <v>0.20833333333333334</v>
      </c>
      <c r="F16" s="67">
        <f>VLOOKUP("新豐5線",'0414 4度C'!$A:$T,19,0)</f>
        <v>0.20833333333333334</v>
      </c>
      <c r="G16" s="67">
        <f>VLOOKUP("新豐7線",'0414 4度C'!$A:$T,19,0)</f>
        <v>0.20833333333333334</v>
      </c>
      <c r="H16" s="67">
        <f>VLOOKUP("新豐3線",'0414 4度C'!$A:$T,19,0)</f>
        <v>8.3333333333333329E-2</v>
      </c>
      <c r="I16" s="67">
        <f>VLOOKUP("新豐1線",'0414 4度C'!$A:$T,19,0)</f>
        <v>0.20833333333333334</v>
      </c>
      <c r="J16" s="68">
        <f>VLOOKUP("新豐10線",'0414 4度C'!$A:$T,19,0)</f>
        <v>0.20833333333333334</v>
      </c>
      <c r="K16" s="69">
        <f>VLOOKUP("新豐8線",'0414 4度C'!$A:$T,19,0)</f>
        <v>8.3333333333333329E-2</v>
      </c>
      <c r="L16" s="70">
        <f>VLOOKUP("新豐9線",'0414 4度C'!$A:$T,19,0)</f>
        <v>8.3333333333333329E-2</v>
      </c>
      <c r="M16" s="71">
        <f>VLOOKUP("新豐4線",'0414 4度C'!$A:$T,19,0)</f>
        <v>8.3333333333333329E-2</v>
      </c>
    </row>
    <row r="17" spans="2:13" ht="17.25" customHeight="1">
      <c r="B17" s="126"/>
      <c r="C17" s="65" t="s">
        <v>1297</v>
      </c>
      <c r="D17" s="69">
        <f>LOOKUP(2,1/(('0414 4度C'!$A:$A="新豐6線")*('0414 4度C'!$T:$T&lt;&gt;"")),'0414 4度C'!$T:$T)</f>
        <v>0.94652777777777775</v>
      </c>
      <c r="E17" s="67">
        <f>LOOKUP(2,1/(('0414 4度C'!$A:$A="新豐2線")*('0414 4度C'!$T:$T&lt;&gt;"")),'0414 4度C'!$T:$T)</f>
        <v>0.63541666666666663</v>
      </c>
      <c r="F17" s="67">
        <f>LOOKUP(2,1/(('0414 4度C'!$A:$A="新豐5線")*('0414 4度C'!$T:$T&lt;&gt;"")),'0414 4度C'!$T:$T)</f>
        <v>0.90416666666666667</v>
      </c>
      <c r="G17" s="67">
        <f>LOOKUP(2,1/(('0414 4度C'!$A:$A="新豐7線")*('0414 4度C'!$T:$T&lt;&gt;"")),'0414 4度C'!$T:$T)</f>
        <v>0.92430555555555549</v>
      </c>
      <c r="H17" s="67">
        <f>LOOKUP(2,1/(('0414 4度C'!$A:$A="新豐3線")*('0414 4度C'!$T:$T&lt;&gt;"")),'0414 4度C'!$T:$T)</f>
        <v>0.44652777777777775</v>
      </c>
      <c r="I17" s="67">
        <f>LOOKUP(2,1/(('0414 4度C'!$A:$A="新豐1線")*('0414 4度C'!$T:$T&lt;&gt;"")),'0414 4度C'!$T:$T)</f>
        <v>0.83263888888888893</v>
      </c>
      <c r="J17" s="68">
        <f>LOOKUP(2,1/(('0414 4度C'!$A:$A="新豐10線")*('0414 4度C'!$T:$T&lt;&gt;"")),'0414 4度C'!$T:$T)</f>
        <v>0.46875</v>
      </c>
      <c r="K17" s="66">
        <f>LOOKUP(2,1/(('0414 4度C'!$A:$A="新豐8線")*('0414 4度C'!$T:$T&lt;&gt;"")),'0414 4度C'!$T:$T)</f>
        <v>0.64513888888888882</v>
      </c>
      <c r="L17" s="67">
        <f>LOOKUP(2,1/(('0414 4度C'!$A:$A="新豐9線")*('0414 4度C'!$T:$T&lt;&gt;"")),'0414 4度C'!$T:$T)</f>
        <v>0.65763888888888888</v>
      </c>
      <c r="M17" s="68">
        <f>LOOKUP(2,1/(('0414 4度C'!$A:$A="新豐4線")*('0414 4度C'!$T:$T&lt;&gt;"")),'0414 4度C'!$T:$T)</f>
        <v>0.64861111111111103</v>
      </c>
    </row>
    <row r="18" spans="2:13" ht="17.25" customHeight="1">
      <c r="B18" s="104" t="s">
        <v>1298</v>
      </c>
      <c r="C18" s="72" t="s">
        <v>1299</v>
      </c>
      <c r="D18" s="73">
        <f>SUMIFS('0414 4度C'!$Y:$Y,'0414 4度C'!$A:$A,"新豐6線",'0414 4度C'!$B:$B,"平均")</f>
        <v>0</v>
      </c>
      <c r="E18" s="74">
        <f>SUMIFS('0414 4度C'!$Y:$Y,'0414 4度C'!$A:$A,"新豐2線",'0414 4度C'!$B:$B,"平均")</f>
        <v>0</v>
      </c>
      <c r="F18" s="74">
        <f>SUMIFS('0414 4度C'!$Y:$Y,'0414 4度C'!$A:$A,"新豐5線",'0414 4度C'!$B:$B,"平均")</f>
        <v>0</v>
      </c>
      <c r="G18" s="74">
        <f>SUMIFS('0414 4度C'!$Y:$Y,'0414 4度C'!$A:$A,"新豐7線",'0414 4度C'!$B:$B,"平均")</f>
        <v>0</v>
      </c>
      <c r="H18" s="74">
        <f>SUMIFS('0414 4度C'!$Y:$Y,'0414 4度C'!$A:$A,"新豐3線",'0414 4度C'!$B:$B,"平均")</f>
        <v>0</v>
      </c>
      <c r="I18" s="74">
        <f>SUMIFS('0414 4度C'!$Y:$Y,'0414 4度C'!$A:$A,"新豐1線",'0414 4度C'!$B:$B,"平均")</f>
        <v>0</v>
      </c>
      <c r="J18" s="75">
        <f>SUMIFS('0414 4度C'!$Y:$Y,'0414 4度C'!$A:$A,"新豐10線",'0414 4度C'!$B:$B,"平均")</f>
        <v>0</v>
      </c>
      <c r="K18" s="76">
        <f>SUMIFS('0414 4度C'!$Y:$Y,'0414 4度C'!$A:$A,"新豐8線",'0414 4度C'!$B:$B,"平均")</f>
        <v>0</v>
      </c>
      <c r="L18" s="74">
        <f>SUMIFS('0414 4度C'!$Y:$Y,'0414 4度C'!$A:$A,"新豐9線",'0414 4度C'!$B:$B,"平均")</f>
        <v>0</v>
      </c>
      <c r="M18" s="75">
        <f>SUMIFS('0414 4度C'!$Y:$Y,'0414 4度C'!$A:$A,"新豐4線",'0414 4度C'!$B:$B,"平均")</f>
        <v>0</v>
      </c>
    </row>
    <row r="19" spans="2:13" ht="17.25" customHeight="1">
      <c r="B19" s="105"/>
      <c r="C19" s="72" t="s">
        <v>1300</v>
      </c>
      <c r="D19" s="73">
        <f>SUMIFS('0414 4度C'!$Z:$Z,'0414 4度C'!$A:$A,"新豐6線",'0414 4度C'!$B:$B,"平均")</f>
        <v>0</v>
      </c>
      <c r="E19" s="74">
        <f>SUMIFS('0414 4度C'!$Z:$Z,'0414 4度C'!$A:$A,"新豐2線",'0414 4度C'!$B:$B,"平均")</f>
        <v>0</v>
      </c>
      <c r="F19" s="74">
        <f>SUMIFS('0414 4度C'!$Z:$Z,'0414 4度C'!$A:$A,"新豐5線",'0414 4度C'!$B:$B,"平均")</f>
        <v>0</v>
      </c>
      <c r="G19" s="74">
        <f>SUMIFS('0414 4度C'!$Z:$Z,'0414 4度C'!$A:$A,"新豐7線",'0414 4度C'!$B:$B,"平均")</f>
        <v>0</v>
      </c>
      <c r="H19" s="74">
        <f>SUMIFS('0414 4度C'!$Z:$Z,'0414 4度C'!$A:$A,"新豐3線",'0414 4度C'!$B:$B,"平均")</f>
        <v>0</v>
      </c>
      <c r="I19" s="74">
        <f>SUMIFS('0414 4度C'!$Z:$Z,'0414 4度C'!$A:$A,"新豐1線",'0414 4度C'!$B:$B,"平均")</f>
        <v>0</v>
      </c>
      <c r="J19" s="75">
        <f>SUMIFS('0414 4度C'!$Z:$Z,'0414 4度C'!$A:$A,"新豐10線",'0414 4度C'!$B:$B,"平均")</f>
        <v>0</v>
      </c>
      <c r="K19" s="76">
        <f>SUMIFS('0414 4度C'!$Z:$Z,'0414 4度C'!$A:$A,"新豐8線",'0414 4度C'!$B:$B,"平均")</f>
        <v>0</v>
      </c>
      <c r="L19" s="74">
        <f>SUMIFS('0414 4度C'!$Z:$Z,'0414 4度C'!$A:$A,"新豐9線",'0414 4度C'!$B:$B,"平均")</f>
        <v>0</v>
      </c>
      <c r="M19" s="75">
        <f>SUMIFS('0414 4度C'!$Z:$Z,'0414 4度C'!$A:$A,"新豐4線",'0414 4度C'!$B:$B,"平均")</f>
        <v>0</v>
      </c>
    </row>
    <row r="20" spans="2:13" ht="17.25" customHeight="1">
      <c r="B20" s="104" t="s">
        <v>1301</v>
      </c>
      <c r="C20" s="72" t="s">
        <v>1302</v>
      </c>
      <c r="D20" s="73">
        <f>SUMIFS('0414 4度C'!$AC:$AC,'0414 4度C'!$A:$A,"新豐6線",'0414 4度C'!$B:$B,"平均")</f>
        <v>4</v>
      </c>
      <c r="E20" s="74">
        <f>SUMIFS('0414 4度C'!$AC:$AC,'0414 4度C'!$A:$A,"新豐2線",'0414 4度C'!$B:$B,"平均")</f>
        <v>3</v>
      </c>
      <c r="F20" s="74">
        <f>SUMIFS('0414 4度C'!$AC:$AC,'0414 4度C'!$A:$A,"新豐5線",'0414 4度C'!$B:$B,"平均")</f>
        <v>7</v>
      </c>
      <c r="G20" s="74">
        <f>SUMIFS('0414 4度C'!$AC:$AC,'0414 4度C'!$A:$A,"新豐7線",'0414 4度C'!$B:$B,"平均")</f>
        <v>7</v>
      </c>
      <c r="H20" s="74">
        <f>SUMIFS('0414 4度C'!$AC:$AC,'0414 4度C'!$A:$A,"新豐3線",'0414 4度C'!$B:$B,"平均")</f>
        <v>5</v>
      </c>
      <c r="I20" s="74">
        <f>SUMIFS('0414 4度C'!$AC:$AC,'0414 4度C'!$A:$A,"新豐1線",'0414 4度C'!$B:$B,"平均")</f>
        <v>6</v>
      </c>
      <c r="J20" s="75">
        <f>SUMIFS('0414 4度C'!$AC:$AC,'0414 4度C'!$A:$A,"新豐10線",'0414 4度C'!$B:$B,"平均")</f>
        <v>6</v>
      </c>
      <c r="K20" s="76">
        <f>SUMIFS('0414 4度C'!$AC:$AC,'0414 4度C'!$A:$A,"新豐8線",'0414 4度C'!$B:$B,"平均")</f>
        <v>7</v>
      </c>
      <c r="L20" s="74">
        <f>SUMIFS('0414 4度C'!$AC:$AC,'0414 4度C'!$A:$A,"新豐9線",'0414 4度C'!$B:$B,"平均")</f>
        <v>7</v>
      </c>
      <c r="M20" s="75">
        <f>SUMIFS('0414 4度C'!$AC:$AC,'0414 4度C'!$A:$A,"新豐4線",'0414 4度C'!$B:$B,"平均")</f>
        <v>7</v>
      </c>
    </row>
    <row r="21" spans="2:13" ht="17.25" customHeight="1">
      <c r="B21" s="105"/>
      <c r="C21" s="72" t="s">
        <v>1303</v>
      </c>
      <c r="D21" s="73">
        <f>SUMIFS('0414 4度C'!$AD:$AD,'0414 4度C'!$A:$A,"新豐6線",'0414 4度C'!$B:$B,"平均")</f>
        <v>0</v>
      </c>
      <c r="E21" s="74">
        <f>SUMIFS('0414 4度C'!$AD:$AD,'0414 4度C'!$A:$A,"新豐2線",'0414 4度C'!$B:$B,"平均")</f>
        <v>0</v>
      </c>
      <c r="F21" s="74">
        <f>SUMIFS('0414 4度C'!$AD:$AD,'0414 4度C'!$A:$A,"新豐5線",'0414 4度C'!$B:$B,"平均")</f>
        <v>0</v>
      </c>
      <c r="G21" s="74">
        <f>SUMIFS('0414 4度C'!$AD:$AD,'0414 4度C'!$A:$A,"新豐7線",'0414 4度C'!$B:$B,"平均")</f>
        <v>0</v>
      </c>
      <c r="H21" s="74">
        <f>SUMIFS('0414 4度C'!$AD:$AD,'0414 4度C'!$A:$A,"新豐3線",'0414 4度C'!$B:$B,"平均")</f>
        <v>0</v>
      </c>
      <c r="I21" s="74">
        <f>SUMIFS('0414 4度C'!$AD:$AD,'0414 4度C'!$A:$A,"新豐1線",'0414 4度C'!$B:$B,"平均")</f>
        <v>0</v>
      </c>
      <c r="J21" s="75">
        <f>SUMIFS('0414 4度C'!$AD:$AD,'0414 4度C'!$A:$A,"新豐10線",'0414 4度C'!$B:$B,"平均")</f>
        <v>0</v>
      </c>
      <c r="K21" s="76">
        <f>SUMIFS('0414 4度C'!$AD:$AD,'0414 4度C'!$A:$A,"新豐8線",'0414 4度C'!$B:$B,"平均")</f>
        <v>0</v>
      </c>
      <c r="L21" s="74">
        <f>SUMIFS('0414 4度C'!$AD:$AD,'0414 4度C'!$A:$A,"新豐9線",'0414 4度C'!$B:$B,"平均")</f>
        <v>0</v>
      </c>
      <c r="M21" s="75">
        <f>SUMIFS('0414 4度C'!$AD:$AD,'0414 4度C'!$A:$A,"新豐4線",'0414 4度C'!$B:$B,"平均")</f>
        <v>0</v>
      </c>
    </row>
    <row r="22" spans="2:13" ht="17.25" customHeight="1">
      <c r="B22" s="106" t="s">
        <v>1304</v>
      </c>
      <c r="C22" s="107"/>
      <c r="D22" s="77">
        <f>SUMIFS('0414 4度C'!$I:$I,'0414 4度C'!$A:$A,"新豐6線",'0414 4度C'!$B:$B,"平均")</f>
        <v>16.75</v>
      </c>
      <c r="E22" s="78">
        <f>SUMIFS('0414 4度C'!$I:$I,'0414 4度C'!$A:$A,"新豐2線",'0414 4度C'!$B:$B,"平均")</f>
        <v>17.666666666666668</v>
      </c>
      <c r="F22" s="78">
        <f>SUMIFS('0414 4度C'!$I:$I,'0414 4度C'!$A:$A,"新豐5線",'0414 4度C'!$B:$B,"平均")</f>
        <v>17.857142857142858</v>
      </c>
      <c r="G22" s="78">
        <f>SUMIFS('0414 4度C'!$I:$I,'0414 4度C'!$A:$A,"新豐7線",'0414 4度C'!$B:$B,"平均")</f>
        <v>15.142857142857142</v>
      </c>
      <c r="H22" s="78">
        <f>SUMIFS('0414 4度C'!$I:$I,'0414 4度C'!$A:$A,"新豐3線",'0414 4度C'!$B:$B,"平均")</f>
        <v>9.4</v>
      </c>
      <c r="I22" s="78">
        <f>SUMIFS('0414 4度C'!$I:$I,'0414 4度C'!$A:$A,"新豐1線",'0414 4度C'!$B:$B,"平均")</f>
        <v>18.666666666666668</v>
      </c>
      <c r="J22" s="79">
        <f>SUMIFS('0414 4度C'!$I:$I,'0414 4度C'!$A:$A,"新豐10線",'0414 4度C'!$B:$B,"平均")</f>
        <v>10</v>
      </c>
      <c r="K22" s="77">
        <f>SUMIFS('0414 4度C'!$I:$I,'0414 4度C'!$A:$A,"新豐8線",'0414 4度C'!$B:$B,"平均")</f>
        <v>18.571428571428573</v>
      </c>
      <c r="L22" s="78">
        <f>SUMIFS('0414 4度C'!$I:$I,'0414 4度C'!$A:$A,"新豐9線",'0414 4度C'!$B:$B,"平均")</f>
        <v>17.857142857142858</v>
      </c>
      <c r="M22" s="79">
        <f>SUMIFS('0414 4度C'!$I:$I,'0414 4度C'!$A:$A,"新豐4線",'0414 4度C'!$B:$B,"平均")</f>
        <v>15</v>
      </c>
    </row>
    <row r="23" spans="2:13" ht="17.25" customHeight="1">
      <c r="B23" s="106" t="s">
        <v>1305</v>
      </c>
      <c r="C23" s="107"/>
      <c r="D23" s="80" t="s">
        <v>67</v>
      </c>
      <c r="E23" s="81" t="s">
        <v>68</v>
      </c>
      <c r="F23" s="81" t="s">
        <v>1306</v>
      </c>
      <c r="G23" s="81" t="s">
        <v>1307</v>
      </c>
      <c r="H23" s="81" t="s">
        <v>69</v>
      </c>
      <c r="I23" s="81" t="s">
        <v>67</v>
      </c>
      <c r="J23" s="82" t="s">
        <v>69</v>
      </c>
      <c r="K23" s="80" t="s">
        <v>1308</v>
      </c>
      <c r="L23" s="81" t="s">
        <v>1308</v>
      </c>
      <c r="M23" s="82" t="s">
        <v>1308</v>
      </c>
    </row>
    <row r="24" spans="2:13" ht="17.25" customHeight="1">
      <c r="B24" s="106" t="s">
        <v>1309</v>
      </c>
      <c r="C24" s="107"/>
      <c r="D24" s="80"/>
      <c r="E24" s="81"/>
      <c r="F24" s="81" t="s">
        <v>1310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1311</v>
      </c>
      <c r="C25" s="109"/>
      <c r="D25" s="83"/>
      <c r="E25" s="84" t="s">
        <v>1312</v>
      </c>
      <c r="F25" s="102" t="s">
        <v>1313</v>
      </c>
      <c r="G25" s="103"/>
      <c r="H25" s="84" t="s">
        <v>1314</v>
      </c>
      <c r="I25" s="84" t="s">
        <v>1229</v>
      </c>
      <c r="J25" s="85" t="s">
        <v>118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1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G74"/>
  <sheetViews>
    <sheetView zoomScale="80" zoomScaleNormal="80" workbookViewId="0">
      <pane ySplit="4" topLeftCell="A7" activePane="bottomLeft" state="frozen"/>
      <selection activeCell="I6" sqref="I6:J6"/>
      <selection pane="bottomLeft" activeCell="I6" sqref="I6:J6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1315</v>
      </c>
      <c r="B1" s="1"/>
      <c r="C1" s="2" t="s">
        <v>1316</v>
      </c>
      <c r="D1" s="3">
        <f>SUM(F5:F73)</f>
        <v>179332</v>
      </c>
      <c r="E1" s="88" t="s">
        <v>1317</v>
      </c>
      <c r="F1" s="1">
        <f>SUM(G5:G73)</f>
        <v>5855627.7799999993</v>
      </c>
      <c r="G1" s="1" t="s">
        <v>1318</v>
      </c>
      <c r="H1" s="4">
        <f>L9+L13+L51+L58+L21+L65+L37+L45+L29+L73</f>
        <v>156.91190476190476</v>
      </c>
      <c r="I1" s="215" t="s">
        <v>1319</v>
      </c>
      <c r="J1" s="215"/>
      <c r="K1" s="215"/>
      <c r="L1" s="215" t="s">
        <v>1320</v>
      </c>
      <c r="M1" s="215"/>
      <c r="N1" s="215"/>
      <c r="O1" s="215" t="s">
        <v>1321</v>
      </c>
      <c r="P1" s="215"/>
      <c r="Q1" s="215"/>
      <c r="R1" s="215"/>
      <c r="S1" s="215" t="s">
        <v>1322</v>
      </c>
      <c r="T1" s="215"/>
      <c r="U1" s="215"/>
      <c r="V1" s="215"/>
      <c r="W1" s="215"/>
      <c r="X1" s="215"/>
      <c r="Y1" s="5" t="s">
        <v>1323</v>
      </c>
      <c r="Z1" s="6" t="s">
        <v>1324</v>
      </c>
      <c r="AA1" s="216" t="s">
        <v>1325</v>
      </c>
      <c r="AB1" s="216"/>
      <c r="AC1" s="97" t="s">
        <v>1326</v>
      </c>
      <c r="AD1" s="6" t="s">
        <v>1327</v>
      </c>
      <c r="AE1" s="215" t="s">
        <v>714</v>
      </c>
      <c r="AF1" s="217"/>
      <c r="AG1" s="217"/>
    </row>
    <row r="2" spans="1:33" ht="26.25" customHeight="1">
      <c r="A2" s="26">
        <v>46126</v>
      </c>
      <c r="B2" s="27" t="s">
        <v>715</v>
      </c>
      <c r="C2" s="2" t="s">
        <v>1292</v>
      </c>
      <c r="D2" s="8">
        <f>AVERAGE(N9,N13,N51,N58,N21,N65,N29,N37,N45,N73)</f>
        <v>149.68646495513028</v>
      </c>
      <c r="E2" s="9" t="s">
        <v>0</v>
      </c>
      <c r="F2" s="10">
        <f>F1/D1</f>
        <v>32.65244228581625</v>
      </c>
      <c r="G2" s="1" t="s">
        <v>1328</v>
      </c>
      <c r="H2" s="96">
        <f>COUNT(H5:H73)</f>
        <v>10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SUM(Y9+Y13+Y21+Y29+Y37+Y45+Y51+Y58+Y65+Y73)</f>
        <v>0</v>
      </c>
      <c r="Z2" s="11">
        <f>SUM(Z9+Z13+Z21+Z29+Z37+Z45+Z51+Z58+Z65+Z73)</f>
        <v>0</v>
      </c>
      <c r="AA2" s="216"/>
      <c r="AB2" s="216"/>
      <c r="AC2" s="11">
        <v>59</v>
      </c>
      <c r="AD2" s="11">
        <f>SUM(AD9+AD13+AD21+AD29+AD37+AD45+AD51+AD58+AD65+AD73)</f>
        <v>0</v>
      </c>
      <c r="AE2" s="217"/>
      <c r="AF2" s="217"/>
      <c r="AG2" s="217"/>
    </row>
    <row r="3" spans="1:33" ht="40.5" customHeight="1">
      <c r="A3" s="168" t="s">
        <v>1329</v>
      </c>
      <c r="B3" s="168" t="s">
        <v>1330</v>
      </c>
      <c r="C3" s="168" t="s">
        <v>1331</v>
      </c>
      <c r="D3" s="168"/>
      <c r="E3" s="213" t="s">
        <v>1332</v>
      </c>
      <c r="F3" s="168" t="s">
        <v>1333</v>
      </c>
      <c r="G3" s="213" t="s">
        <v>1334</v>
      </c>
      <c r="H3" s="207" t="s">
        <v>1335</v>
      </c>
      <c r="I3" s="205" t="s">
        <v>1336</v>
      </c>
      <c r="J3" s="202" t="s">
        <v>1337</v>
      </c>
      <c r="K3" s="212" t="s">
        <v>1292</v>
      </c>
      <c r="L3" s="205" t="s">
        <v>1336</v>
      </c>
      <c r="M3" s="202" t="s">
        <v>1337</v>
      </c>
      <c r="N3" s="212" t="s">
        <v>1292</v>
      </c>
      <c r="O3" s="205" t="s">
        <v>1336</v>
      </c>
      <c r="P3" s="212" t="s">
        <v>1292</v>
      </c>
      <c r="Q3" s="203" t="s">
        <v>1338</v>
      </c>
      <c r="R3" s="181" t="s">
        <v>1339</v>
      </c>
      <c r="S3" s="168" t="s">
        <v>1</v>
      </c>
      <c r="T3" s="168"/>
      <c r="U3" s="207" t="s">
        <v>2</v>
      </c>
      <c r="V3" s="207" t="s">
        <v>1340</v>
      </c>
      <c r="W3" s="168" t="s">
        <v>1341</v>
      </c>
      <c r="X3" s="168"/>
      <c r="Y3" s="208" t="s">
        <v>1342</v>
      </c>
      <c r="Z3" s="167"/>
      <c r="AA3" s="209" t="s">
        <v>1343</v>
      </c>
      <c r="AB3" s="210"/>
      <c r="AC3" s="208" t="s">
        <v>1344</v>
      </c>
      <c r="AD3" s="167"/>
      <c r="AE3" s="202" t="s">
        <v>1345</v>
      </c>
      <c r="AF3" s="203" t="s">
        <v>1346</v>
      </c>
      <c r="AG3" s="181" t="s">
        <v>1347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1348</v>
      </c>
      <c r="X4" s="88" t="s">
        <v>1349</v>
      </c>
      <c r="Y4" s="90" t="s">
        <v>1350</v>
      </c>
      <c r="Z4" s="90" t="s">
        <v>1300</v>
      </c>
      <c r="AA4" s="211"/>
      <c r="AB4" s="210"/>
      <c r="AC4" s="90" t="s">
        <v>1351</v>
      </c>
      <c r="AD4" s="90" t="s">
        <v>1352</v>
      </c>
      <c r="AE4" s="202"/>
      <c r="AF4" s="203"/>
      <c r="AG4" s="181"/>
    </row>
    <row r="5" spans="1:33">
      <c r="A5" s="204" t="s">
        <v>1353</v>
      </c>
      <c r="B5" s="28" t="s">
        <v>5</v>
      </c>
      <c r="C5" s="206" t="s">
        <v>6</v>
      </c>
      <c r="D5" s="206"/>
      <c r="E5" s="28">
        <v>50.67</v>
      </c>
      <c r="F5" s="88">
        <v>1586</v>
      </c>
      <c r="G5" s="88">
        <f t="shared" ref="G5:G8" si="0">E5*F5</f>
        <v>80362.62000000001</v>
      </c>
      <c r="H5" s="30" t="s">
        <v>53</v>
      </c>
      <c r="I5" s="95">
        <v>17</v>
      </c>
      <c r="J5" s="13">
        <v>2000</v>
      </c>
      <c r="K5" s="12">
        <f t="shared" ref="K5:K68" si="1">J5/I5</f>
        <v>117.64705882352941</v>
      </c>
      <c r="L5" s="95">
        <v>17</v>
      </c>
      <c r="M5" s="13">
        <f t="shared" ref="M5:M8" si="2">F5/V5*60</f>
        <v>1903.2000000000005</v>
      </c>
      <c r="N5" s="12">
        <f t="shared" ref="N5:N68" si="3">M5/L5</f>
        <v>111.95294117647062</v>
      </c>
      <c r="O5" s="14">
        <f t="shared" ref="O5:O68" si="4">L5-I5</f>
        <v>0</v>
      </c>
      <c r="P5" s="15">
        <f t="shared" ref="P5:P68" si="5">N5-K5</f>
        <v>-5.6941176470587891</v>
      </c>
      <c r="Q5" s="91">
        <f t="shared" ref="Q5:Q68" si="6">N5/K5</f>
        <v>0.95160000000000033</v>
      </c>
      <c r="R5" s="177">
        <f>Q9</f>
        <v>0.95497332251082268</v>
      </c>
      <c r="S5" s="21">
        <v>0.70833333333333337</v>
      </c>
      <c r="T5" s="21">
        <v>0.74305555555555558</v>
      </c>
      <c r="U5" s="88"/>
      <c r="V5" s="30">
        <f t="shared" ref="V5:V8" si="7">(T5-S5)*24*60</f>
        <v>49.999999999999986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57" si="8">M5-J5</f>
        <v>-96.7999999999995</v>
      </c>
      <c r="AF5" s="91">
        <f t="shared" ref="AF5:AF68" si="9">M5/J5</f>
        <v>0.95160000000000022</v>
      </c>
      <c r="AG5" s="177">
        <f>AF9</f>
        <v>0.95497332251082268</v>
      </c>
    </row>
    <row r="6" spans="1:33">
      <c r="A6" s="205" t="s">
        <v>1353</v>
      </c>
      <c r="B6" s="28" t="s">
        <v>5</v>
      </c>
      <c r="C6" s="206" t="s">
        <v>7</v>
      </c>
      <c r="D6" s="206"/>
      <c r="E6" s="28">
        <v>54.09</v>
      </c>
      <c r="F6" s="88">
        <v>1275</v>
      </c>
      <c r="G6" s="88">
        <f t="shared" si="0"/>
        <v>68964.75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1912.4999999999993</v>
      </c>
      <c r="N6" s="12">
        <f t="shared" si="3"/>
        <v>100.65789473684207</v>
      </c>
      <c r="O6" s="14">
        <f t="shared" si="4"/>
        <v>0</v>
      </c>
      <c r="P6" s="15">
        <f t="shared" si="5"/>
        <v>-4.6052631578947683</v>
      </c>
      <c r="Q6" s="91">
        <f t="shared" si="6"/>
        <v>0.95624999999999971</v>
      </c>
      <c r="R6" s="177"/>
      <c r="S6" s="21">
        <v>0.74722222222222223</v>
      </c>
      <c r="T6" s="21">
        <v>0.77500000000000002</v>
      </c>
      <c r="U6" s="88">
        <f t="shared" ref="U6:U8" si="10">IF(S6=TIME(17,0,0),"",(S6-T5)*24*60)</f>
        <v>5.9999999999999787</v>
      </c>
      <c r="V6" s="30">
        <f t="shared" si="7"/>
        <v>40.000000000000014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-87.500000000000682</v>
      </c>
      <c r="AF6" s="91">
        <f t="shared" si="9"/>
        <v>0.95624999999999971</v>
      </c>
      <c r="AG6" s="177"/>
    </row>
    <row r="7" spans="1:33">
      <c r="A7" s="205" t="s">
        <v>1353</v>
      </c>
      <c r="B7" s="28" t="s">
        <v>5</v>
      </c>
      <c r="C7" s="200" t="s">
        <v>16</v>
      </c>
      <c r="D7" s="201"/>
      <c r="E7" s="28">
        <v>50.67</v>
      </c>
      <c r="F7" s="88">
        <v>1762</v>
      </c>
      <c r="G7" s="88">
        <f t="shared" si="0"/>
        <v>89280.540000000008</v>
      </c>
      <c r="H7" s="30" t="s">
        <v>53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1922.1818181818196</v>
      </c>
      <c r="N7" s="12">
        <f t="shared" si="3"/>
        <v>128.14545454545464</v>
      </c>
      <c r="O7" s="14">
        <f t="shared" si="4"/>
        <v>0</v>
      </c>
      <c r="P7" s="15">
        <f t="shared" si="5"/>
        <v>-5.1878787878787023</v>
      </c>
      <c r="Q7" s="91">
        <f t="shared" si="6"/>
        <v>0.96109090909090977</v>
      </c>
      <c r="R7" s="177"/>
      <c r="S7" s="21">
        <v>0.77986111111111112</v>
      </c>
      <c r="T7" s="21">
        <v>0.81805555555555554</v>
      </c>
      <c r="U7" s="88">
        <f t="shared" si="10"/>
        <v>6.9999999999999751</v>
      </c>
      <c r="V7" s="30">
        <f t="shared" si="7"/>
        <v>54.999999999999964</v>
      </c>
      <c r="W7" s="16">
        <f>T7</f>
        <v>0.81805555555555554</v>
      </c>
      <c r="X7" s="16">
        <f>S8</f>
        <v>0.85902777777777772</v>
      </c>
      <c r="Y7" s="19"/>
      <c r="Z7" s="19"/>
      <c r="AA7" s="172"/>
      <c r="AB7" s="173"/>
      <c r="AC7" s="18"/>
      <c r="AD7" s="20"/>
      <c r="AE7" s="14">
        <f t="shared" si="8"/>
        <v>-77.818181818180392</v>
      </c>
      <c r="AF7" s="91">
        <f t="shared" si="9"/>
        <v>0.96109090909090977</v>
      </c>
      <c r="AG7" s="177"/>
    </row>
    <row r="8" spans="1:33">
      <c r="A8" s="205" t="s">
        <v>1353</v>
      </c>
      <c r="B8" s="28" t="s">
        <v>5</v>
      </c>
      <c r="C8" s="200" t="s">
        <v>1270</v>
      </c>
      <c r="D8" s="201"/>
      <c r="E8" s="28">
        <v>52.86</v>
      </c>
      <c r="F8" s="88">
        <v>3994</v>
      </c>
      <c r="G8" s="88">
        <f t="shared" si="0"/>
        <v>211122.84</v>
      </c>
      <c r="H8" s="30" t="s">
        <v>53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1901.9047619047615</v>
      </c>
      <c r="N8" s="12">
        <f t="shared" si="3"/>
        <v>118.86904761904759</v>
      </c>
      <c r="O8" s="14">
        <f t="shared" si="4"/>
        <v>0</v>
      </c>
      <c r="P8" s="15">
        <f t="shared" si="5"/>
        <v>-6.130952380952408</v>
      </c>
      <c r="Q8" s="91">
        <f t="shared" si="6"/>
        <v>0.95095238095238077</v>
      </c>
      <c r="R8" s="177"/>
      <c r="S8" s="21">
        <v>0.85902777777777772</v>
      </c>
      <c r="T8" s="21">
        <v>0.94652777777777775</v>
      </c>
      <c r="U8" s="88">
        <f t="shared" si="10"/>
        <v>58.99999999999995</v>
      </c>
      <c r="V8" s="30">
        <f t="shared" si="7"/>
        <v>126.00000000000003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-98.095238095238528</v>
      </c>
      <c r="AF8" s="91">
        <f t="shared" si="9"/>
        <v>0.95095238095238077</v>
      </c>
      <c r="AG8" s="177"/>
    </row>
    <row r="9" spans="1:33">
      <c r="A9" s="205" t="s">
        <v>1353</v>
      </c>
      <c r="B9" s="28" t="s">
        <v>1354</v>
      </c>
      <c r="C9" s="178"/>
      <c r="D9" s="178"/>
      <c r="E9" s="92"/>
      <c r="F9" s="12"/>
      <c r="G9" s="12"/>
      <c r="H9" s="88"/>
      <c r="I9" s="23">
        <v>16.75</v>
      </c>
      <c r="J9" s="13">
        <v>2000</v>
      </c>
      <c r="K9" s="12">
        <f t="shared" si="1"/>
        <v>119.40298507462687</v>
      </c>
      <c r="L9" s="23">
        <v>16.75</v>
      </c>
      <c r="M9" s="13">
        <f>AVERAGE(M5:M8)</f>
        <v>1909.9466450216453</v>
      </c>
      <c r="N9" s="12">
        <f t="shared" si="3"/>
        <v>114.02666537442659</v>
      </c>
      <c r="O9" s="14">
        <f t="shared" si="4"/>
        <v>0</v>
      </c>
      <c r="P9" s="15">
        <f t="shared" si="5"/>
        <v>-5.376319700200284</v>
      </c>
      <c r="Q9" s="91">
        <f t="shared" si="6"/>
        <v>0.95497332251082268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v>4</v>
      </c>
      <c r="AD9" s="24">
        <f>SUM(AD5:AD8)</f>
        <v>0</v>
      </c>
      <c r="AE9" s="14">
        <f t="shared" si="8"/>
        <v>-90.053354978354719</v>
      </c>
      <c r="AF9" s="91">
        <f t="shared" si="9"/>
        <v>0.95497332251082268</v>
      </c>
      <c r="AG9" s="177"/>
    </row>
    <row r="10" spans="1:33" ht="15.75" customHeight="1">
      <c r="A10" s="199" t="s">
        <v>1355</v>
      </c>
      <c r="B10" s="28" t="s">
        <v>9</v>
      </c>
      <c r="C10" s="200" t="s">
        <v>10</v>
      </c>
      <c r="D10" s="201"/>
      <c r="E10" s="28">
        <v>39.619999999999997</v>
      </c>
      <c r="F10" s="88">
        <v>5309</v>
      </c>
      <c r="G10" s="88">
        <f t="shared" ref="G10:G12" si="11">E10*F10</f>
        <v>210342.58</v>
      </c>
      <c r="H10" s="30" t="s">
        <v>53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2" si="12">F10/V10*60</f>
        <v>1428.4304932735422</v>
      </c>
      <c r="N10" s="12">
        <f t="shared" si="3"/>
        <v>75.180552277554852</v>
      </c>
      <c r="O10" s="14">
        <f t="shared" si="4"/>
        <v>0</v>
      </c>
      <c r="P10" s="15">
        <f t="shared" si="5"/>
        <v>-3.7668161434977776</v>
      </c>
      <c r="Q10" s="91">
        <f t="shared" si="6"/>
        <v>0.95228699551569485</v>
      </c>
      <c r="R10" s="177">
        <f>Q13</f>
        <v>0.95411072715776335</v>
      </c>
      <c r="S10" s="21">
        <v>0.20833333333333334</v>
      </c>
      <c r="T10" s="21">
        <v>0.36319444444444449</v>
      </c>
      <c r="U10" s="88"/>
      <c r="V10" s="30">
        <f t="shared" ref="V10:V12" si="13">(T10-S10)*24*60</f>
        <v>223.00000000000006</v>
      </c>
      <c r="W10" s="16"/>
      <c r="X10" s="16"/>
      <c r="Y10" s="16"/>
      <c r="Z10" s="16"/>
      <c r="AA10" s="168"/>
      <c r="AB10" s="168"/>
      <c r="AC10" s="18">
        <v>3</v>
      </c>
      <c r="AD10" s="18"/>
      <c r="AE10" s="14">
        <f t="shared" si="8"/>
        <v>-71.569506726457803</v>
      </c>
      <c r="AF10" s="91">
        <f t="shared" si="9"/>
        <v>0.95228699551569485</v>
      </c>
      <c r="AG10" s="177">
        <f>AF13</f>
        <v>0.95411072715776335</v>
      </c>
    </row>
    <row r="11" spans="1:33" ht="15.75" customHeight="1">
      <c r="A11" s="199" t="s">
        <v>1356</v>
      </c>
      <c r="B11" s="28" t="s">
        <v>9</v>
      </c>
      <c r="C11" s="200" t="s">
        <v>11</v>
      </c>
      <c r="D11" s="201"/>
      <c r="E11" s="28">
        <v>39.799999999999997</v>
      </c>
      <c r="F11" s="88">
        <v>4500</v>
      </c>
      <c r="G11" s="88">
        <f t="shared" si="11"/>
        <v>179100</v>
      </c>
      <c r="H11" s="30">
        <v>2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1428.5714285714289</v>
      </c>
      <c r="N11" s="12">
        <f t="shared" si="3"/>
        <v>84.033613445378165</v>
      </c>
      <c r="O11" s="14">
        <f t="shared" si="4"/>
        <v>0</v>
      </c>
      <c r="P11" s="15">
        <f t="shared" si="5"/>
        <v>-4.2016806722688926</v>
      </c>
      <c r="Q11" s="91">
        <f t="shared" si="6"/>
        <v>0.95238095238095255</v>
      </c>
      <c r="R11" s="177"/>
      <c r="S11" s="21">
        <v>0.36736111111111114</v>
      </c>
      <c r="T11" s="21">
        <v>0.49861111111111112</v>
      </c>
      <c r="U11" s="88">
        <f t="shared" ref="U11:U12" si="14">IF(S11=TIME(17,0,0),"",(S11-T10)*24*60)</f>
        <v>5.9999999999999787</v>
      </c>
      <c r="V11" s="30">
        <f t="shared" si="13"/>
        <v>188.99999999999997</v>
      </c>
      <c r="W11" s="16">
        <f>T11</f>
        <v>0.49861111111111112</v>
      </c>
      <c r="X11" s="16">
        <f>S12</f>
        <v>0.54027777777777775</v>
      </c>
      <c r="Y11" s="16"/>
      <c r="Z11" s="16"/>
      <c r="AA11" s="168"/>
      <c r="AB11" s="168"/>
      <c r="AC11" s="18"/>
      <c r="AD11" s="18"/>
      <c r="AE11" s="14">
        <f t="shared" si="8"/>
        <v>-71.428571428571104</v>
      </c>
      <c r="AF11" s="91">
        <f t="shared" si="9"/>
        <v>0.95238095238095255</v>
      </c>
      <c r="AG11" s="177"/>
    </row>
    <row r="12" spans="1:33" ht="15.75" customHeight="1">
      <c r="A12" s="199" t="s">
        <v>1174</v>
      </c>
      <c r="B12" s="28" t="s">
        <v>9</v>
      </c>
      <c r="C12" s="200" t="s">
        <v>11</v>
      </c>
      <c r="D12" s="201"/>
      <c r="E12" s="28">
        <v>39.799999999999997</v>
      </c>
      <c r="F12" s="88">
        <v>3280</v>
      </c>
      <c r="G12" s="88">
        <f t="shared" si="11"/>
        <v>130543.99999999999</v>
      </c>
      <c r="H12" s="30" t="s">
        <v>53</v>
      </c>
      <c r="I12" s="95">
        <v>17</v>
      </c>
      <c r="J12" s="13">
        <v>1500</v>
      </c>
      <c r="K12" s="12">
        <f t="shared" si="1"/>
        <v>88.235294117647058</v>
      </c>
      <c r="L12" s="95">
        <v>17</v>
      </c>
      <c r="M12" s="13">
        <f t="shared" si="12"/>
        <v>1436.4963503649635</v>
      </c>
      <c r="N12" s="12">
        <f t="shared" si="3"/>
        <v>84.499785315586095</v>
      </c>
      <c r="O12" s="14">
        <f t="shared" si="4"/>
        <v>0</v>
      </c>
      <c r="P12" s="15">
        <f t="shared" si="5"/>
        <v>-3.7355088020609628</v>
      </c>
      <c r="Q12" s="91">
        <f t="shared" si="6"/>
        <v>0.95766423357664243</v>
      </c>
      <c r="R12" s="177"/>
      <c r="S12" s="21">
        <v>0.54027777777777775</v>
      </c>
      <c r="T12" s="21">
        <v>0.63541666666666663</v>
      </c>
      <c r="U12" s="88">
        <f t="shared" si="14"/>
        <v>59.999999999999943</v>
      </c>
      <c r="V12" s="30">
        <f t="shared" si="13"/>
        <v>137</v>
      </c>
      <c r="W12" s="16"/>
      <c r="X12" s="16"/>
      <c r="Y12" s="16"/>
      <c r="Z12" s="16"/>
      <c r="AA12" s="168"/>
      <c r="AB12" s="168"/>
      <c r="AC12" s="18"/>
      <c r="AD12" s="18"/>
      <c r="AE12" s="14">
        <f t="shared" si="8"/>
        <v>-63.503649635036481</v>
      </c>
      <c r="AF12" s="91">
        <f t="shared" si="9"/>
        <v>0.95766423357664232</v>
      </c>
      <c r="AG12" s="177"/>
    </row>
    <row r="13" spans="1:33" ht="16.5" customHeight="1">
      <c r="A13" s="199" t="s">
        <v>1174</v>
      </c>
      <c r="B13" s="28" t="s">
        <v>1173</v>
      </c>
      <c r="C13" s="178"/>
      <c r="D13" s="178"/>
      <c r="E13" s="92"/>
      <c r="F13" s="13"/>
      <c r="G13" s="13"/>
      <c r="H13" s="88"/>
      <c r="I13" s="23">
        <v>17.666666666666668</v>
      </c>
      <c r="J13" s="13">
        <v>1500</v>
      </c>
      <c r="K13" s="12">
        <f t="shared" si="1"/>
        <v>84.905660377358487</v>
      </c>
      <c r="L13" s="23">
        <v>17.666666666666668</v>
      </c>
      <c r="M13" s="13">
        <f>AVERAGE(M10:M12)</f>
        <v>1431.1660907366449</v>
      </c>
      <c r="N13" s="12">
        <f t="shared" si="3"/>
        <v>81.009401362451598</v>
      </c>
      <c r="O13" s="14">
        <f t="shared" si="4"/>
        <v>0</v>
      </c>
      <c r="P13" s="15">
        <f t="shared" si="5"/>
        <v>-3.8962590149068888</v>
      </c>
      <c r="Q13" s="91">
        <f t="shared" si="6"/>
        <v>0.95411072715776335</v>
      </c>
      <c r="R13" s="177"/>
      <c r="S13" s="21"/>
      <c r="T13" s="21"/>
      <c r="U13" s="12"/>
      <c r="V13" s="30"/>
      <c r="W13" s="12"/>
      <c r="X13" s="12"/>
      <c r="Y13" s="24">
        <f>SUM(Y10:Y12)</f>
        <v>0</v>
      </c>
      <c r="Z13" s="24">
        <f>SUM(Z10:Z12)</f>
        <v>0</v>
      </c>
      <c r="AA13" s="167"/>
      <c r="AB13" s="167"/>
      <c r="AC13" s="24">
        <v>3</v>
      </c>
      <c r="AD13" s="24">
        <f>SUM(AD10:AD12)</f>
        <v>0</v>
      </c>
      <c r="AE13" s="14">
        <f t="shared" si="8"/>
        <v>-68.833909263355054</v>
      </c>
      <c r="AF13" s="91">
        <f t="shared" si="9"/>
        <v>0.95411072715776335</v>
      </c>
      <c r="AG13" s="177"/>
    </row>
    <row r="14" spans="1:33" ht="16.5" customHeight="1">
      <c r="A14" s="197" t="s">
        <v>1176</v>
      </c>
      <c r="B14" s="88" t="s">
        <v>12</v>
      </c>
      <c r="C14" s="193" t="s">
        <v>13</v>
      </c>
      <c r="D14" s="193"/>
      <c r="E14" s="28">
        <v>41</v>
      </c>
      <c r="F14" s="88">
        <v>2041</v>
      </c>
      <c r="G14" s="88">
        <f t="shared" ref="G14:G20" si="15">E14*F14</f>
        <v>83681</v>
      </c>
      <c r="H14" s="30" t="s">
        <v>53</v>
      </c>
      <c r="I14" s="95">
        <v>26</v>
      </c>
      <c r="J14" s="13">
        <v>1500</v>
      </c>
      <c r="K14" s="12">
        <f t="shared" si="1"/>
        <v>57.692307692307693</v>
      </c>
      <c r="L14" s="95">
        <v>26</v>
      </c>
      <c r="M14" s="13">
        <f t="shared" ref="M14:M20" si="16">F14/V14*60</f>
        <v>1440.7058823529417</v>
      </c>
      <c r="N14" s="12">
        <f t="shared" si="3"/>
        <v>55.411764705882369</v>
      </c>
      <c r="O14" s="14">
        <f t="shared" si="4"/>
        <v>0</v>
      </c>
      <c r="P14" s="15">
        <f t="shared" si="5"/>
        <v>-2.2805429864253242</v>
      </c>
      <c r="Q14" s="91">
        <f t="shared" si="6"/>
        <v>0.96047058823529441</v>
      </c>
      <c r="R14" s="177">
        <f>Q21</f>
        <v>0.96176389240856364</v>
      </c>
      <c r="S14" s="21">
        <v>0.20833333333333334</v>
      </c>
      <c r="T14" s="21">
        <v>0.2673611111111111</v>
      </c>
      <c r="U14" s="88"/>
      <c r="V14" s="30">
        <f t="shared" ref="V14:V20" si="17">(T14-S14)*24*60</f>
        <v>84.999999999999972</v>
      </c>
      <c r="W14" s="21"/>
      <c r="X14" s="21"/>
      <c r="Y14" s="21"/>
      <c r="Z14" s="21"/>
      <c r="AA14" s="168"/>
      <c r="AB14" s="168"/>
      <c r="AC14" s="18">
        <v>7</v>
      </c>
      <c r="AD14" s="18"/>
      <c r="AE14" s="14">
        <f t="shared" si="8"/>
        <v>-59.294117647058329</v>
      </c>
      <c r="AF14" s="91">
        <f t="shared" si="9"/>
        <v>0.96047058823529441</v>
      </c>
      <c r="AG14" s="177">
        <f>AF21</f>
        <v>0.96176389240856364</v>
      </c>
    </row>
    <row r="15" spans="1:33" ht="16.5" customHeight="1">
      <c r="A15" s="198" t="s">
        <v>1357</v>
      </c>
      <c r="B15" s="88" t="s">
        <v>9</v>
      </c>
      <c r="C15" s="193" t="s">
        <v>1358</v>
      </c>
      <c r="D15" s="193"/>
      <c r="E15" s="28">
        <v>39.58</v>
      </c>
      <c r="F15" s="88">
        <v>5535</v>
      </c>
      <c r="G15" s="88">
        <v>0</v>
      </c>
      <c r="H15" s="30" t="s">
        <v>53</v>
      </c>
      <c r="I15" s="95">
        <v>16</v>
      </c>
      <c r="J15" s="13">
        <v>1500</v>
      </c>
      <c r="K15" s="12">
        <f t="shared" si="1"/>
        <v>93.75</v>
      </c>
      <c r="L15" s="95">
        <v>16</v>
      </c>
      <c r="M15" s="13">
        <f t="shared" si="16"/>
        <v>1431.4655172413788</v>
      </c>
      <c r="N15" s="12">
        <f t="shared" si="3"/>
        <v>89.466594827586178</v>
      </c>
      <c r="O15" s="14">
        <f t="shared" si="4"/>
        <v>0</v>
      </c>
      <c r="P15" s="15">
        <f t="shared" si="5"/>
        <v>-4.283405172413822</v>
      </c>
      <c r="Q15" s="91">
        <f t="shared" si="6"/>
        <v>0.95431034482758592</v>
      </c>
      <c r="R15" s="177"/>
      <c r="S15" s="21">
        <v>0.27083333333333331</v>
      </c>
      <c r="T15" s="21">
        <v>0.43194444444444446</v>
      </c>
      <c r="U15" s="88">
        <f t="shared" ref="U15:U20" si="18">IF(S15=TIME(17,0,0),"",(S15-T14)*24*60)</f>
        <v>4.9999999999999822</v>
      </c>
      <c r="V15" s="30">
        <f t="shared" si="17"/>
        <v>232.00000000000006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-68.534482758621152</v>
      </c>
      <c r="AF15" s="91">
        <f t="shared" si="9"/>
        <v>0.95431034482758592</v>
      </c>
      <c r="AG15" s="177"/>
    </row>
    <row r="16" spans="1:33" ht="16.5" customHeight="1">
      <c r="A16" s="198" t="s">
        <v>1176</v>
      </c>
      <c r="B16" s="88" t="s">
        <v>5</v>
      </c>
      <c r="C16" s="193" t="s">
        <v>14</v>
      </c>
      <c r="D16" s="193"/>
      <c r="E16" s="28">
        <v>50.98</v>
      </c>
      <c r="F16" s="88">
        <v>1000</v>
      </c>
      <c r="G16" s="88">
        <f t="shared" si="15"/>
        <v>50980</v>
      </c>
      <c r="H16" s="30">
        <v>2</v>
      </c>
      <c r="I16" s="95">
        <v>16</v>
      </c>
      <c r="J16" s="13">
        <v>2000</v>
      </c>
      <c r="K16" s="12">
        <f t="shared" si="1"/>
        <v>125</v>
      </c>
      <c r="L16" s="95">
        <v>16</v>
      </c>
      <c r="M16" s="13">
        <f t="shared" si="16"/>
        <v>1935.483870967739</v>
      </c>
      <c r="N16" s="12">
        <f t="shared" si="3"/>
        <v>120.96774193548369</v>
      </c>
      <c r="O16" s="14">
        <f t="shared" si="4"/>
        <v>0</v>
      </c>
      <c r="P16" s="15">
        <f t="shared" si="5"/>
        <v>-4.0322580645163129</v>
      </c>
      <c r="Q16" s="91">
        <f t="shared" si="6"/>
        <v>0.96774193548386944</v>
      </c>
      <c r="R16" s="177"/>
      <c r="S16" s="21">
        <v>0.70833333333333337</v>
      </c>
      <c r="T16" s="21">
        <v>0.72986111111111118</v>
      </c>
      <c r="U16" s="88" t="str">
        <f t="shared" si="18"/>
        <v/>
      </c>
      <c r="V16" s="30">
        <f t="shared" si="17"/>
        <v>31.00000000000005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-64.516129032261006</v>
      </c>
      <c r="AF16" s="91">
        <f t="shared" si="9"/>
        <v>0.96774193548386944</v>
      </c>
      <c r="AG16" s="177"/>
    </row>
    <row r="17" spans="1:33" ht="16.5" customHeight="1">
      <c r="A17" s="198" t="s">
        <v>1176</v>
      </c>
      <c r="B17" s="88" t="s">
        <v>5</v>
      </c>
      <c r="C17" s="193" t="s">
        <v>15</v>
      </c>
      <c r="D17" s="193"/>
      <c r="E17" s="28">
        <v>50.92</v>
      </c>
      <c r="F17" s="88">
        <v>1000</v>
      </c>
      <c r="G17" s="88">
        <f t="shared" si="15"/>
        <v>50920</v>
      </c>
      <c r="H17" s="30">
        <v>2</v>
      </c>
      <c r="I17" s="95">
        <v>15</v>
      </c>
      <c r="J17" s="13">
        <v>2000</v>
      </c>
      <c r="K17" s="12">
        <f t="shared" si="1"/>
        <v>133.33333333333334</v>
      </c>
      <c r="L17" s="95">
        <v>15</v>
      </c>
      <c r="M17" s="13">
        <f t="shared" si="16"/>
        <v>1935.483870967739</v>
      </c>
      <c r="N17" s="12">
        <f t="shared" si="3"/>
        <v>129.03225806451593</v>
      </c>
      <c r="O17" s="14">
        <f t="shared" si="4"/>
        <v>0</v>
      </c>
      <c r="P17" s="15">
        <f t="shared" si="5"/>
        <v>-4.3010752688174136</v>
      </c>
      <c r="Q17" s="91">
        <f t="shared" si="6"/>
        <v>0.96774193548386944</v>
      </c>
      <c r="R17" s="177"/>
      <c r="S17" s="21">
        <v>0.73402777777777783</v>
      </c>
      <c r="T17" s="21">
        <v>0.75555555555555565</v>
      </c>
      <c r="U17" s="88">
        <f t="shared" si="18"/>
        <v>5.9999999999999787</v>
      </c>
      <c r="V17" s="30">
        <f t="shared" si="17"/>
        <v>31.00000000000005</v>
      </c>
      <c r="W17" s="16"/>
      <c r="X17" s="16"/>
      <c r="Y17" s="16"/>
      <c r="Z17" s="16"/>
      <c r="AA17" s="168"/>
      <c r="AB17" s="168"/>
      <c r="AC17" s="18"/>
      <c r="AD17" s="18"/>
      <c r="AE17" s="14">
        <f t="shared" si="8"/>
        <v>-64.516129032261006</v>
      </c>
      <c r="AF17" s="91">
        <f t="shared" si="9"/>
        <v>0.96774193548386944</v>
      </c>
      <c r="AG17" s="177"/>
    </row>
    <row r="18" spans="1:33" ht="16.5" customHeight="1">
      <c r="A18" s="198" t="s">
        <v>1359</v>
      </c>
      <c r="B18" s="88" t="s">
        <v>5</v>
      </c>
      <c r="C18" s="193" t="s">
        <v>43</v>
      </c>
      <c r="D18" s="193"/>
      <c r="E18" s="28">
        <v>54.29</v>
      </c>
      <c r="F18" s="88">
        <v>1213</v>
      </c>
      <c r="G18" s="88">
        <f t="shared" si="15"/>
        <v>65853.77</v>
      </c>
      <c r="H18" s="30" t="s">
        <v>53</v>
      </c>
      <c r="I18" s="95">
        <v>20</v>
      </c>
      <c r="J18" s="13">
        <v>2000</v>
      </c>
      <c r="K18" s="12">
        <f t="shared" si="1"/>
        <v>100</v>
      </c>
      <c r="L18" s="95">
        <v>20</v>
      </c>
      <c r="M18" s="13">
        <f t="shared" si="16"/>
        <v>1915.2631578947355</v>
      </c>
      <c r="N18" s="12">
        <f t="shared" si="3"/>
        <v>95.763157894736779</v>
      </c>
      <c r="O18" s="14">
        <f t="shared" si="4"/>
        <v>0</v>
      </c>
      <c r="P18" s="15">
        <f t="shared" si="5"/>
        <v>-4.2368421052632215</v>
      </c>
      <c r="Q18" s="91">
        <f t="shared" si="6"/>
        <v>0.95763157894736783</v>
      </c>
      <c r="R18" s="177"/>
      <c r="S18" s="21">
        <v>0.76111111111111118</v>
      </c>
      <c r="T18" s="21">
        <v>0.78750000000000009</v>
      </c>
      <c r="U18" s="88">
        <f t="shared" si="18"/>
        <v>7.9999999999999716</v>
      </c>
      <c r="V18" s="30">
        <f t="shared" si="17"/>
        <v>38.000000000000028</v>
      </c>
      <c r="W18" s="16"/>
      <c r="X18" s="16"/>
      <c r="Y18" s="16"/>
      <c r="Z18" s="16"/>
      <c r="AA18" s="168"/>
      <c r="AB18" s="168"/>
      <c r="AC18" s="18"/>
      <c r="AD18" s="18"/>
      <c r="AE18" s="14">
        <f t="shared" si="8"/>
        <v>-84.736842105264486</v>
      </c>
      <c r="AF18" s="91">
        <f t="shared" si="9"/>
        <v>0.95763157894736772</v>
      </c>
      <c r="AG18" s="177"/>
    </row>
    <row r="19" spans="1:33" ht="16.5" customHeight="1">
      <c r="A19" s="198" t="s">
        <v>1176</v>
      </c>
      <c r="B19" s="88" t="s">
        <v>5</v>
      </c>
      <c r="C19" s="100" t="s">
        <v>1270</v>
      </c>
      <c r="D19" s="101"/>
      <c r="E19" s="28">
        <v>52.86</v>
      </c>
      <c r="F19" s="88">
        <v>1600</v>
      </c>
      <c r="G19" s="88">
        <f t="shared" si="15"/>
        <v>84576</v>
      </c>
      <c r="H19" s="30">
        <v>2</v>
      </c>
      <c r="I19" s="95">
        <v>16</v>
      </c>
      <c r="J19" s="13">
        <v>2000</v>
      </c>
      <c r="K19" s="12">
        <f t="shared" si="1"/>
        <v>125</v>
      </c>
      <c r="L19" s="95">
        <v>16</v>
      </c>
      <c r="M19" s="13">
        <f t="shared" si="16"/>
        <v>1920.0000000000005</v>
      </c>
      <c r="N19" s="12">
        <f t="shared" si="3"/>
        <v>120.00000000000003</v>
      </c>
      <c r="O19" s="14">
        <f t="shared" si="4"/>
        <v>0</v>
      </c>
      <c r="P19" s="15">
        <f t="shared" si="5"/>
        <v>-4.9999999999999716</v>
      </c>
      <c r="Q19" s="91">
        <f t="shared" si="6"/>
        <v>0.96000000000000019</v>
      </c>
      <c r="R19" s="177"/>
      <c r="S19" s="21">
        <v>0.79166666666666674</v>
      </c>
      <c r="T19" s="21">
        <v>0.82638888888888895</v>
      </c>
      <c r="U19" s="88">
        <f t="shared" si="18"/>
        <v>5.9999999999999787</v>
      </c>
      <c r="V19" s="30">
        <f t="shared" si="17"/>
        <v>49.999999999999986</v>
      </c>
      <c r="W19" s="16">
        <f>T19</f>
        <v>0.82638888888888895</v>
      </c>
      <c r="X19" s="16">
        <f>S20</f>
        <v>0.86736111111111114</v>
      </c>
      <c r="Y19" s="19"/>
      <c r="Z19" s="19"/>
      <c r="AA19" s="98"/>
      <c r="AB19" s="99"/>
      <c r="AC19" s="18"/>
      <c r="AD19" s="18"/>
      <c r="AE19" s="14">
        <f t="shared" si="8"/>
        <v>-79.999999999999545</v>
      </c>
      <c r="AF19" s="91">
        <f t="shared" si="9"/>
        <v>0.96000000000000019</v>
      </c>
      <c r="AG19" s="177"/>
    </row>
    <row r="20" spans="1:33" ht="16.5" customHeight="1">
      <c r="A20" s="198" t="s">
        <v>1176</v>
      </c>
      <c r="B20" s="88" t="s">
        <v>5</v>
      </c>
      <c r="C20" s="100" t="s">
        <v>14</v>
      </c>
      <c r="D20" s="101"/>
      <c r="E20" s="28">
        <v>50.98</v>
      </c>
      <c r="F20" s="88">
        <v>1700</v>
      </c>
      <c r="G20" s="88">
        <f t="shared" si="15"/>
        <v>86666</v>
      </c>
      <c r="H20" s="30" t="s">
        <v>53</v>
      </c>
      <c r="I20" s="95">
        <v>16</v>
      </c>
      <c r="J20" s="13">
        <v>2000</v>
      </c>
      <c r="K20" s="12">
        <f t="shared" si="1"/>
        <v>125</v>
      </c>
      <c r="L20" s="95">
        <v>16</v>
      </c>
      <c r="M20" s="13">
        <f t="shared" si="16"/>
        <v>1924.5283018867935</v>
      </c>
      <c r="N20" s="12">
        <f t="shared" si="3"/>
        <v>120.2830188679246</v>
      </c>
      <c r="O20" s="14">
        <f t="shared" si="4"/>
        <v>0</v>
      </c>
      <c r="P20" s="15">
        <f t="shared" si="5"/>
        <v>-4.7169811320754036</v>
      </c>
      <c r="Q20" s="91">
        <f t="shared" si="6"/>
        <v>0.96226415094339679</v>
      </c>
      <c r="R20" s="177"/>
      <c r="S20" s="21">
        <v>0.86736111111111114</v>
      </c>
      <c r="T20" s="21">
        <v>0.90416666666666667</v>
      </c>
      <c r="U20" s="88">
        <f t="shared" si="18"/>
        <v>58.99999999999995</v>
      </c>
      <c r="V20" s="30">
        <f t="shared" si="17"/>
        <v>52.999999999999972</v>
      </c>
      <c r="W20" s="16"/>
      <c r="X20" s="16"/>
      <c r="Y20" s="19"/>
      <c r="Z20" s="19"/>
      <c r="AA20" s="98"/>
      <c r="AB20" s="99"/>
      <c r="AC20" s="18"/>
      <c r="AD20" s="18"/>
      <c r="AE20" s="14">
        <f t="shared" si="8"/>
        <v>-75.471698113206457</v>
      </c>
      <c r="AF20" s="91">
        <f t="shared" si="9"/>
        <v>0.96226415094339679</v>
      </c>
      <c r="AG20" s="177"/>
    </row>
    <row r="21" spans="1:33" ht="16.5" customHeight="1">
      <c r="A21" s="198" t="s">
        <v>1176</v>
      </c>
      <c r="B21" s="28" t="s">
        <v>1173</v>
      </c>
      <c r="C21" s="178"/>
      <c r="D21" s="178"/>
      <c r="E21" s="92"/>
      <c r="F21" s="12"/>
      <c r="G21" s="12"/>
      <c r="H21" s="88"/>
      <c r="I21" s="23">
        <v>17.857142857142858</v>
      </c>
      <c r="J21" s="13">
        <v>1857.1428571428571</v>
      </c>
      <c r="K21" s="12">
        <f t="shared" si="1"/>
        <v>104</v>
      </c>
      <c r="L21" s="23">
        <v>17.857142857142858</v>
      </c>
      <c r="M21" s="13">
        <f>AVERAGE(M14:M20)</f>
        <v>1786.1329430444753</v>
      </c>
      <c r="N21" s="12">
        <f t="shared" si="3"/>
        <v>100.02344481049062</v>
      </c>
      <c r="O21" s="14">
        <f t="shared" si="4"/>
        <v>0</v>
      </c>
      <c r="P21" s="15">
        <f t="shared" si="5"/>
        <v>-3.9765551895093836</v>
      </c>
      <c r="Q21" s="91">
        <f t="shared" si="6"/>
        <v>0.96176389240856364</v>
      </c>
      <c r="R21" s="177"/>
      <c r="S21" s="21"/>
      <c r="T21" s="21"/>
      <c r="U21" s="88"/>
      <c r="V21" s="30"/>
      <c r="W21" s="12"/>
      <c r="X21" s="12"/>
      <c r="Y21" s="24">
        <f>SUM(Y14:Y20)</f>
        <v>0</v>
      </c>
      <c r="Z21" s="24">
        <f>SUM(Z14:Z20)</f>
        <v>0</v>
      </c>
      <c r="AA21" s="167"/>
      <c r="AB21" s="167"/>
      <c r="AC21" s="24">
        <v>7</v>
      </c>
      <c r="AD21" s="24">
        <f>SUM(AD14:AD20)</f>
        <v>0</v>
      </c>
      <c r="AE21" s="14">
        <f t="shared" si="8"/>
        <v>-71.009914098381842</v>
      </c>
      <c r="AF21" s="91">
        <f t="shared" si="9"/>
        <v>0.96176389240856364</v>
      </c>
      <c r="AG21" s="177"/>
    </row>
    <row r="22" spans="1:33" ht="15.75" customHeight="1">
      <c r="A22" s="195" t="s">
        <v>1179</v>
      </c>
      <c r="B22" s="28" t="s">
        <v>5</v>
      </c>
      <c r="C22" s="193" t="s">
        <v>17</v>
      </c>
      <c r="D22" s="193"/>
      <c r="E22" s="28">
        <v>57.73</v>
      </c>
      <c r="F22" s="88">
        <v>2676</v>
      </c>
      <c r="G22" s="88">
        <f t="shared" ref="G22:G28" si="19">E22*F22</f>
        <v>154485.47999999998</v>
      </c>
      <c r="H22" s="30" t="s">
        <v>53</v>
      </c>
      <c r="I22" s="95">
        <v>14</v>
      </c>
      <c r="J22" s="13">
        <v>2000</v>
      </c>
      <c r="K22" s="12">
        <f t="shared" si="1"/>
        <v>142.85714285714286</v>
      </c>
      <c r="L22" s="95">
        <v>14</v>
      </c>
      <c r="M22" s="13">
        <f t="shared" ref="M22:M28" si="20">F22/V22*60</f>
        <v>1911.4285714285716</v>
      </c>
      <c r="N22" s="12">
        <f t="shared" si="3"/>
        <v>136.53061224489798</v>
      </c>
      <c r="O22" s="14">
        <f t="shared" si="4"/>
        <v>0</v>
      </c>
      <c r="P22" s="15">
        <f t="shared" si="5"/>
        <v>-6.3265306122448806</v>
      </c>
      <c r="Q22" s="91">
        <f t="shared" si="6"/>
        <v>0.95571428571428585</v>
      </c>
      <c r="R22" s="177">
        <f>Q29</f>
        <v>0.95781769851570309</v>
      </c>
      <c r="S22" s="21">
        <v>0.20833333333333334</v>
      </c>
      <c r="T22" s="21">
        <v>0.26666666666666666</v>
      </c>
      <c r="U22" s="88"/>
      <c r="V22" s="30">
        <f t="shared" ref="V22:V28" si="21">(T22-S22)*24*60</f>
        <v>83.999999999999986</v>
      </c>
      <c r="W22" s="21"/>
      <c r="X22" s="21"/>
      <c r="Y22" s="21"/>
      <c r="Z22" s="21"/>
      <c r="AA22" s="168"/>
      <c r="AB22" s="168"/>
      <c r="AC22" s="18">
        <v>7</v>
      </c>
      <c r="AD22" s="18"/>
      <c r="AE22" s="14">
        <f t="shared" si="8"/>
        <v>-88.571428571428442</v>
      </c>
      <c r="AF22" s="91">
        <f t="shared" si="9"/>
        <v>0.95571428571428574</v>
      </c>
      <c r="AG22" s="177">
        <f>AF29</f>
        <v>0.95781769851570309</v>
      </c>
    </row>
    <row r="23" spans="1:33" ht="15.75" customHeight="1">
      <c r="A23" s="196" t="s">
        <v>1179</v>
      </c>
      <c r="B23" s="28" t="s">
        <v>5</v>
      </c>
      <c r="C23" s="193" t="s">
        <v>18</v>
      </c>
      <c r="D23" s="193"/>
      <c r="E23" s="28">
        <v>53.68</v>
      </c>
      <c r="F23" s="88">
        <v>1479</v>
      </c>
      <c r="G23" s="88">
        <f t="shared" si="19"/>
        <v>79392.72</v>
      </c>
      <c r="H23" s="30" t="s">
        <v>53</v>
      </c>
      <c r="I23" s="95">
        <v>16</v>
      </c>
      <c r="J23" s="13">
        <v>2000</v>
      </c>
      <c r="K23" s="12">
        <f t="shared" si="1"/>
        <v>125</v>
      </c>
      <c r="L23" s="95">
        <v>16</v>
      </c>
      <c r="M23" s="13">
        <f t="shared" si="20"/>
        <v>1929.1304347826085</v>
      </c>
      <c r="N23" s="12">
        <f t="shared" si="3"/>
        <v>120.57065217391303</v>
      </c>
      <c r="O23" s="14">
        <f t="shared" si="4"/>
        <v>0</v>
      </c>
      <c r="P23" s="15">
        <f t="shared" si="5"/>
        <v>-4.4293478260869676</v>
      </c>
      <c r="Q23" s="91">
        <f t="shared" si="6"/>
        <v>0.9645652173913043</v>
      </c>
      <c r="R23" s="177"/>
      <c r="S23" s="21">
        <v>0.2722222222222222</v>
      </c>
      <c r="T23" s="21">
        <v>0.30416666666666664</v>
      </c>
      <c r="U23" s="88">
        <f t="shared" ref="U23:U28" si="22">IF(S23=TIME(17,0,0),"",(S23-T22)*24*60)</f>
        <v>7.9999999999999716</v>
      </c>
      <c r="V23" s="30">
        <f t="shared" si="21"/>
        <v>46</v>
      </c>
      <c r="W23" s="16"/>
      <c r="X23" s="88"/>
      <c r="Y23" s="88"/>
      <c r="Z23" s="88"/>
      <c r="AA23" s="168"/>
      <c r="AB23" s="168"/>
      <c r="AC23" s="18"/>
      <c r="AD23" s="18"/>
      <c r="AE23" s="14">
        <f t="shared" si="8"/>
        <v>-70.869565217391482</v>
      </c>
      <c r="AF23" s="91">
        <f t="shared" si="9"/>
        <v>0.9645652173913043</v>
      </c>
      <c r="AG23" s="177"/>
    </row>
    <row r="24" spans="1:33" ht="15.75" customHeight="1">
      <c r="A24" s="196" t="s">
        <v>1179</v>
      </c>
      <c r="B24" s="28" t="s">
        <v>5</v>
      </c>
      <c r="C24" s="193" t="s">
        <v>73</v>
      </c>
      <c r="D24" s="193"/>
      <c r="E24" s="28">
        <v>50.67</v>
      </c>
      <c r="F24" s="88">
        <v>2940</v>
      </c>
      <c r="G24" s="88">
        <f t="shared" si="19"/>
        <v>148969.80000000002</v>
      </c>
      <c r="H24" s="30" t="s">
        <v>53</v>
      </c>
      <c r="I24" s="95">
        <v>17</v>
      </c>
      <c r="J24" s="13">
        <v>2000</v>
      </c>
      <c r="K24" s="12">
        <f t="shared" si="1"/>
        <v>117.64705882352941</v>
      </c>
      <c r="L24" s="95">
        <v>17</v>
      </c>
      <c r="M24" s="13">
        <f t="shared" si="20"/>
        <v>1917.391304347826</v>
      </c>
      <c r="N24" s="12">
        <f t="shared" si="3"/>
        <v>112.78772378516624</v>
      </c>
      <c r="O24" s="14">
        <f t="shared" si="4"/>
        <v>0</v>
      </c>
      <c r="P24" s="15">
        <f t="shared" si="5"/>
        <v>-4.8593350383631702</v>
      </c>
      <c r="Q24" s="91">
        <f t="shared" si="6"/>
        <v>0.95869565217391306</v>
      </c>
      <c r="R24" s="177"/>
      <c r="S24" s="21">
        <v>0.30763888888888885</v>
      </c>
      <c r="T24" s="21">
        <v>0.37152777777777773</v>
      </c>
      <c r="U24" s="88">
        <f t="shared" si="22"/>
        <v>4.9999999999999822</v>
      </c>
      <c r="V24" s="30">
        <f t="shared" si="21"/>
        <v>92</v>
      </c>
      <c r="W24" s="16"/>
      <c r="X24" s="88"/>
      <c r="Y24" s="88"/>
      <c r="Z24" s="88"/>
      <c r="AA24" s="168"/>
      <c r="AB24" s="168"/>
      <c r="AC24" s="18"/>
      <c r="AD24" s="18"/>
      <c r="AE24" s="14">
        <f t="shared" si="8"/>
        <v>-82.608695652173992</v>
      </c>
      <c r="AF24" s="91">
        <f t="shared" si="9"/>
        <v>0.95869565217391295</v>
      </c>
      <c r="AG24" s="177"/>
    </row>
    <row r="25" spans="1:33" ht="15.75" customHeight="1">
      <c r="A25" s="196" t="s">
        <v>1360</v>
      </c>
      <c r="B25" s="28" t="s">
        <v>5</v>
      </c>
      <c r="C25" s="193" t="s">
        <v>21</v>
      </c>
      <c r="D25" s="193"/>
      <c r="E25" s="28">
        <v>57.3</v>
      </c>
      <c r="F25" s="88">
        <v>1777</v>
      </c>
      <c r="G25" s="88">
        <f t="shared" si="19"/>
        <v>101822.09999999999</v>
      </c>
      <c r="H25" s="30" t="s">
        <v>53</v>
      </c>
      <c r="I25" s="95">
        <v>13</v>
      </c>
      <c r="J25" s="13">
        <v>2000</v>
      </c>
      <c r="K25" s="12">
        <f t="shared" si="1"/>
        <v>153.84615384615384</v>
      </c>
      <c r="L25" s="95">
        <v>13</v>
      </c>
      <c r="M25" s="13">
        <f t="shared" si="20"/>
        <v>1903.9285714285729</v>
      </c>
      <c r="N25" s="12">
        <f t="shared" si="3"/>
        <v>146.45604395604408</v>
      </c>
      <c r="O25" s="14">
        <f t="shared" si="4"/>
        <v>0</v>
      </c>
      <c r="P25" s="15">
        <f t="shared" si="5"/>
        <v>-7.3901098901097555</v>
      </c>
      <c r="Q25" s="91">
        <f t="shared" si="6"/>
        <v>0.9519642857142866</v>
      </c>
      <c r="R25" s="177"/>
      <c r="S25" s="21">
        <v>0.70833333333333337</v>
      </c>
      <c r="T25" s="21">
        <v>0.74722222222222223</v>
      </c>
      <c r="U25" s="88" t="str">
        <f t="shared" si="22"/>
        <v/>
      </c>
      <c r="V25" s="30">
        <f t="shared" si="21"/>
        <v>55.999999999999957</v>
      </c>
      <c r="W25" s="16"/>
      <c r="X25" s="88"/>
      <c r="Y25" s="88"/>
      <c r="Z25" s="88"/>
      <c r="AA25" s="168"/>
      <c r="AB25" s="168"/>
      <c r="AC25" s="18"/>
      <c r="AD25" s="18"/>
      <c r="AE25" s="14">
        <f t="shared" si="8"/>
        <v>-96.071428571427077</v>
      </c>
      <c r="AF25" s="91">
        <f t="shared" si="9"/>
        <v>0.95196428571428648</v>
      </c>
      <c r="AG25" s="177"/>
    </row>
    <row r="26" spans="1:33" ht="15.75" customHeight="1">
      <c r="A26" s="196" t="s">
        <v>1179</v>
      </c>
      <c r="B26" s="28" t="s">
        <v>5</v>
      </c>
      <c r="C26" s="193" t="s">
        <v>20</v>
      </c>
      <c r="D26" s="193"/>
      <c r="E26" s="28">
        <v>53.68</v>
      </c>
      <c r="F26" s="88">
        <v>1531</v>
      </c>
      <c r="G26" s="88">
        <f t="shared" si="19"/>
        <v>82184.08</v>
      </c>
      <c r="H26" s="30" t="s">
        <v>53</v>
      </c>
      <c r="I26" s="95">
        <v>16</v>
      </c>
      <c r="J26" s="13">
        <v>1500</v>
      </c>
      <c r="K26" s="12">
        <f t="shared" si="1"/>
        <v>93.75</v>
      </c>
      <c r="L26" s="95">
        <v>16</v>
      </c>
      <c r="M26" s="13">
        <f t="shared" si="20"/>
        <v>1435.3125000000016</v>
      </c>
      <c r="N26" s="12">
        <f t="shared" si="3"/>
        <v>89.707031250000099</v>
      </c>
      <c r="O26" s="14">
        <f t="shared" si="4"/>
        <v>0</v>
      </c>
      <c r="P26" s="15">
        <f t="shared" si="5"/>
        <v>-4.0429687499999005</v>
      </c>
      <c r="Q26" s="91">
        <f t="shared" si="6"/>
        <v>0.95687500000000103</v>
      </c>
      <c r="R26" s="177"/>
      <c r="S26" s="21">
        <v>0.75277777777777777</v>
      </c>
      <c r="T26" s="21">
        <v>0.79722222222222217</v>
      </c>
      <c r="U26" s="88">
        <f t="shared" si="22"/>
        <v>7.9999999999999716</v>
      </c>
      <c r="V26" s="30">
        <f t="shared" si="21"/>
        <v>63.999999999999929</v>
      </c>
      <c r="W26" s="16"/>
      <c r="X26" s="16"/>
      <c r="Y26" s="88"/>
      <c r="Z26" s="88"/>
      <c r="AA26" s="168"/>
      <c r="AB26" s="168"/>
      <c r="AC26" s="18"/>
      <c r="AD26" s="18"/>
      <c r="AE26" s="14">
        <f t="shared" si="8"/>
        <v>-64.687499999998408</v>
      </c>
      <c r="AF26" s="91">
        <f t="shared" si="9"/>
        <v>0.95687500000000103</v>
      </c>
      <c r="AG26" s="177"/>
    </row>
    <row r="27" spans="1:33" ht="15.75" customHeight="1">
      <c r="A27" s="196" t="s">
        <v>1361</v>
      </c>
      <c r="B27" s="28" t="s">
        <v>5</v>
      </c>
      <c r="C27" s="193" t="s">
        <v>19</v>
      </c>
      <c r="D27" s="193"/>
      <c r="E27" s="28">
        <v>50.49</v>
      </c>
      <c r="F27" s="88">
        <v>2127</v>
      </c>
      <c r="G27" s="88">
        <f t="shared" si="19"/>
        <v>107392.23000000001</v>
      </c>
      <c r="H27" s="30" t="s">
        <v>53</v>
      </c>
      <c r="I27" s="95">
        <v>15</v>
      </c>
      <c r="J27" s="13">
        <v>2000</v>
      </c>
      <c r="K27" s="12">
        <f t="shared" si="1"/>
        <v>133.33333333333334</v>
      </c>
      <c r="L27" s="95">
        <v>15</v>
      </c>
      <c r="M27" s="13">
        <f t="shared" si="20"/>
        <v>1904.7761194029827</v>
      </c>
      <c r="N27" s="12">
        <f t="shared" si="3"/>
        <v>126.98507462686551</v>
      </c>
      <c r="O27" s="14">
        <f t="shared" si="4"/>
        <v>0</v>
      </c>
      <c r="P27" s="15">
        <f t="shared" si="5"/>
        <v>-6.3482587064678313</v>
      </c>
      <c r="Q27" s="91">
        <f t="shared" si="6"/>
        <v>0.95238805970149132</v>
      </c>
      <c r="R27" s="177"/>
      <c r="S27" s="21">
        <v>0.8027777777777777</v>
      </c>
      <c r="T27" s="21">
        <v>0.84930555555555554</v>
      </c>
      <c r="U27" s="88">
        <f t="shared" si="22"/>
        <v>7.9999999999999716</v>
      </c>
      <c r="V27" s="30">
        <f t="shared" si="21"/>
        <v>67.000000000000085</v>
      </c>
      <c r="W27" s="16">
        <f>T27</f>
        <v>0.84930555555555554</v>
      </c>
      <c r="X27" s="16">
        <f>S28</f>
        <v>0.89027777777777772</v>
      </c>
      <c r="Y27" s="21"/>
      <c r="Z27" s="21"/>
      <c r="AA27" s="168"/>
      <c r="AB27" s="168"/>
      <c r="AC27" s="18"/>
      <c r="AD27" s="18"/>
      <c r="AE27" s="14">
        <f t="shared" si="8"/>
        <v>-95.223880597017342</v>
      </c>
      <c r="AF27" s="91">
        <f t="shared" si="9"/>
        <v>0.95238805970149132</v>
      </c>
      <c r="AG27" s="177"/>
    </row>
    <row r="28" spans="1:33" ht="15.75" customHeight="1">
      <c r="A28" s="196" t="s">
        <v>1179</v>
      </c>
      <c r="B28" s="28" t="s">
        <v>5</v>
      </c>
      <c r="C28" s="218" t="s">
        <v>15</v>
      </c>
      <c r="D28" s="219"/>
      <c r="E28" s="28">
        <v>50.92</v>
      </c>
      <c r="F28" s="88">
        <v>1575</v>
      </c>
      <c r="G28" s="88">
        <f t="shared" si="19"/>
        <v>80199</v>
      </c>
      <c r="H28" s="30" t="s">
        <v>53</v>
      </c>
      <c r="I28" s="95">
        <v>15</v>
      </c>
      <c r="J28" s="13">
        <v>2000</v>
      </c>
      <c r="K28" s="12">
        <f t="shared" si="1"/>
        <v>133.33333333333334</v>
      </c>
      <c r="L28" s="95">
        <v>15</v>
      </c>
      <c r="M28" s="13">
        <f t="shared" si="20"/>
        <v>1928.5714285714291</v>
      </c>
      <c r="N28" s="12">
        <f t="shared" si="3"/>
        <v>128.57142857142861</v>
      </c>
      <c r="O28" s="14">
        <f t="shared" si="4"/>
        <v>0</v>
      </c>
      <c r="P28" s="15">
        <f t="shared" si="5"/>
        <v>-4.7619047619047308</v>
      </c>
      <c r="Q28" s="91">
        <f t="shared" si="6"/>
        <v>0.96428571428571452</v>
      </c>
      <c r="R28" s="177"/>
      <c r="S28" s="21">
        <v>0.89027777777777772</v>
      </c>
      <c r="T28" s="21">
        <v>0.92430555555555549</v>
      </c>
      <c r="U28" s="88">
        <f t="shared" si="22"/>
        <v>58.99999999999995</v>
      </c>
      <c r="V28" s="30">
        <f t="shared" si="21"/>
        <v>48.999999999999986</v>
      </c>
      <c r="W28" s="16"/>
      <c r="X28" s="21"/>
      <c r="Y28" s="22"/>
      <c r="Z28" s="22"/>
      <c r="AA28" s="172"/>
      <c r="AB28" s="173"/>
      <c r="AC28" s="18"/>
      <c r="AD28" s="18"/>
      <c r="AE28" s="14">
        <f t="shared" si="8"/>
        <v>-71.428571428570876</v>
      </c>
      <c r="AF28" s="91">
        <f t="shared" si="9"/>
        <v>0.96428571428571452</v>
      </c>
      <c r="AG28" s="177"/>
    </row>
    <row r="29" spans="1:33" ht="15.75" customHeight="1">
      <c r="A29" s="196" t="s">
        <v>1179</v>
      </c>
      <c r="B29" s="28" t="s">
        <v>1173</v>
      </c>
      <c r="C29" s="178"/>
      <c r="D29" s="178"/>
      <c r="E29" s="92"/>
      <c r="F29" s="88"/>
      <c r="G29" s="88"/>
      <c r="H29" s="88"/>
      <c r="I29" s="23">
        <v>15.142857142857142</v>
      </c>
      <c r="J29" s="13">
        <v>1928.5714285714287</v>
      </c>
      <c r="K29" s="12">
        <f t="shared" si="1"/>
        <v>127.35849056603774</v>
      </c>
      <c r="L29" s="23">
        <v>15.142857142857142</v>
      </c>
      <c r="M29" s="13">
        <f>AVERAGE(M22:M28)</f>
        <v>1847.2198471374275</v>
      </c>
      <c r="N29" s="12">
        <f t="shared" si="3"/>
        <v>121.98621632039615</v>
      </c>
      <c r="O29" s="14">
        <f t="shared" si="4"/>
        <v>0</v>
      </c>
      <c r="P29" s="15">
        <f t="shared" si="5"/>
        <v>-5.3722742456415915</v>
      </c>
      <c r="Q29" s="91">
        <f t="shared" si="6"/>
        <v>0.95781769851570309</v>
      </c>
      <c r="R29" s="177"/>
      <c r="S29" s="21"/>
      <c r="T29" s="21"/>
      <c r="U29" s="12"/>
      <c r="V29" s="30"/>
      <c r="W29" s="12"/>
      <c r="X29" s="12"/>
      <c r="Y29" s="24">
        <f>SUM(Y22:Y28)</f>
        <v>0</v>
      </c>
      <c r="Z29" s="24">
        <f>SUM(Z22:Z28)</f>
        <v>0</v>
      </c>
      <c r="AA29" s="167"/>
      <c r="AB29" s="167"/>
      <c r="AC29" s="24">
        <v>7</v>
      </c>
      <c r="AD29" s="24">
        <f>SUM(AD22:AD28)</f>
        <v>0</v>
      </c>
      <c r="AE29" s="14">
        <f t="shared" si="8"/>
        <v>-81.351581434001218</v>
      </c>
      <c r="AF29" s="91">
        <f t="shared" si="9"/>
        <v>0.95781769851570309</v>
      </c>
      <c r="AG29" s="177"/>
    </row>
    <row r="30" spans="1:33" ht="15.75" customHeight="1">
      <c r="A30" s="194" t="s">
        <v>1363</v>
      </c>
      <c r="B30" s="28" t="s">
        <v>22</v>
      </c>
      <c r="C30" s="193" t="s">
        <v>23</v>
      </c>
      <c r="D30" s="193"/>
      <c r="E30" s="28">
        <v>31.29</v>
      </c>
      <c r="F30" s="88">
        <v>6400</v>
      </c>
      <c r="G30" s="88">
        <f t="shared" ref="G30:G36" si="23">E30*F30</f>
        <v>200256</v>
      </c>
      <c r="H30" s="30">
        <v>2</v>
      </c>
      <c r="I30" s="95">
        <v>18</v>
      </c>
      <c r="J30" s="13">
        <v>2400</v>
      </c>
      <c r="K30" s="12">
        <f t="shared" si="1"/>
        <v>133.33333333333334</v>
      </c>
      <c r="L30" s="95">
        <v>18</v>
      </c>
      <c r="M30" s="13">
        <f t="shared" ref="M30:M36" si="24">F30/V30*60</f>
        <v>2285.7142857142858</v>
      </c>
      <c r="N30" s="12">
        <f t="shared" si="3"/>
        <v>126.98412698412699</v>
      </c>
      <c r="O30" s="14">
        <f t="shared" si="4"/>
        <v>0</v>
      </c>
      <c r="P30" s="15">
        <f t="shared" si="5"/>
        <v>-6.3492063492063551</v>
      </c>
      <c r="Q30" s="91">
        <f t="shared" si="6"/>
        <v>0.95238095238095233</v>
      </c>
      <c r="R30" s="177">
        <f>Q37</f>
        <v>0.95598119431861828</v>
      </c>
      <c r="S30" s="21">
        <v>8.3333333333333329E-2</v>
      </c>
      <c r="T30" s="21">
        <v>0.19999999999999998</v>
      </c>
      <c r="U30" s="88"/>
      <c r="V30" s="30">
        <f t="shared" ref="V30:V36" si="25">(T30-S30)*24*60</f>
        <v>168</v>
      </c>
      <c r="W30" s="16">
        <f>T30</f>
        <v>0.19999999999999998</v>
      </c>
      <c r="X30" s="16">
        <f>S31</f>
        <v>0.21944444444444444</v>
      </c>
      <c r="Y30" s="16"/>
      <c r="Z30" s="16"/>
      <c r="AA30" s="168"/>
      <c r="AB30" s="168"/>
      <c r="AC30" s="18">
        <v>7</v>
      </c>
      <c r="AD30" s="18"/>
      <c r="AE30" s="14">
        <f t="shared" si="8"/>
        <v>-114.28571428571422</v>
      </c>
      <c r="AF30" s="91">
        <f t="shared" si="9"/>
        <v>0.95238095238095244</v>
      </c>
      <c r="AG30" s="177">
        <f>AF37</f>
        <v>0.95598119431861828</v>
      </c>
    </row>
    <row r="31" spans="1:33" ht="15.75" customHeight="1">
      <c r="A31" s="194" t="s">
        <v>1362</v>
      </c>
      <c r="B31" s="28" t="s">
        <v>22</v>
      </c>
      <c r="C31" s="193" t="s">
        <v>24</v>
      </c>
      <c r="D31" s="193"/>
      <c r="E31" s="28">
        <v>25.98</v>
      </c>
      <c r="F31" s="88">
        <v>3415</v>
      </c>
      <c r="G31" s="88">
        <f t="shared" si="23"/>
        <v>88721.7</v>
      </c>
      <c r="H31" s="30" t="s">
        <v>53</v>
      </c>
      <c r="I31" s="95">
        <v>21</v>
      </c>
      <c r="J31" s="13">
        <v>2400</v>
      </c>
      <c r="K31" s="12">
        <f t="shared" si="1"/>
        <v>114.28571428571429</v>
      </c>
      <c r="L31" s="95">
        <v>21</v>
      </c>
      <c r="M31" s="13">
        <f t="shared" si="24"/>
        <v>2302.2471910112358</v>
      </c>
      <c r="N31" s="12">
        <f t="shared" si="3"/>
        <v>109.63081861958266</v>
      </c>
      <c r="O31" s="14">
        <f t="shared" si="4"/>
        <v>0</v>
      </c>
      <c r="P31" s="15">
        <f t="shared" si="5"/>
        <v>-4.6548956661316367</v>
      </c>
      <c r="Q31" s="91">
        <f t="shared" si="6"/>
        <v>0.95926966292134819</v>
      </c>
      <c r="R31" s="177"/>
      <c r="S31" s="21">
        <v>0.21944444444444444</v>
      </c>
      <c r="T31" s="21">
        <v>0.28125</v>
      </c>
      <c r="U31" s="88">
        <f t="shared" ref="U31:U36" si="26">(S31-T30)*24*60</f>
        <v>28.000000000000021</v>
      </c>
      <c r="V31" s="30">
        <f t="shared" si="25"/>
        <v>89</v>
      </c>
      <c r="W31" s="16"/>
      <c r="X31" s="16"/>
      <c r="Y31" s="16"/>
      <c r="Z31" s="16"/>
      <c r="AA31" s="168"/>
      <c r="AB31" s="168"/>
      <c r="AC31" s="18"/>
      <c r="AD31" s="18"/>
      <c r="AE31" s="14">
        <f t="shared" si="8"/>
        <v>-97.752808988764173</v>
      </c>
      <c r="AF31" s="91">
        <f t="shared" si="9"/>
        <v>0.9592696629213483</v>
      </c>
      <c r="AG31" s="177"/>
    </row>
    <row r="32" spans="1:33" ht="15.75" customHeight="1">
      <c r="A32" s="194" t="s">
        <v>1362</v>
      </c>
      <c r="B32" s="28" t="s">
        <v>22</v>
      </c>
      <c r="C32" s="193" t="s">
        <v>25</v>
      </c>
      <c r="D32" s="193"/>
      <c r="E32" s="28">
        <v>26.2</v>
      </c>
      <c r="F32" s="88">
        <v>3700</v>
      </c>
      <c r="G32" s="88">
        <f t="shared" si="23"/>
        <v>96940</v>
      </c>
      <c r="H32" s="30">
        <v>2</v>
      </c>
      <c r="I32" s="95">
        <v>20</v>
      </c>
      <c r="J32" s="13">
        <v>2400</v>
      </c>
      <c r="K32" s="12">
        <f t="shared" si="1"/>
        <v>120</v>
      </c>
      <c r="L32" s="95">
        <v>20</v>
      </c>
      <c r="M32" s="13">
        <f t="shared" si="24"/>
        <v>2288.6597938144337</v>
      </c>
      <c r="N32" s="12">
        <f t="shared" si="3"/>
        <v>114.43298969072168</v>
      </c>
      <c r="O32" s="14">
        <f t="shared" si="4"/>
        <v>0</v>
      </c>
      <c r="P32" s="15">
        <f t="shared" si="5"/>
        <v>-5.5670103092783165</v>
      </c>
      <c r="Q32" s="91">
        <f t="shared" si="6"/>
        <v>0.95360824742268069</v>
      </c>
      <c r="R32" s="177"/>
      <c r="S32" s="21">
        <v>0.28472222222222221</v>
      </c>
      <c r="T32" s="21">
        <v>0.3520833333333333</v>
      </c>
      <c r="U32" s="88">
        <f t="shared" si="26"/>
        <v>4.9999999999999822</v>
      </c>
      <c r="V32" s="30">
        <f t="shared" si="25"/>
        <v>96.999999999999972</v>
      </c>
      <c r="W32" s="16"/>
      <c r="X32" s="16"/>
      <c r="Y32" s="16"/>
      <c r="Z32" s="16"/>
      <c r="AA32" s="168"/>
      <c r="AB32" s="168"/>
      <c r="AC32" s="18"/>
      <c r="AD32" s="18"/>
      <c r="AE32" s="14">
        <f t="shared" si="8"/>
        <v>-111.34020618556633</v>
      </c>
      <c r="AF32" s="91">
        <f t="shared" si="9"/>
        <v>0.95360824742268069</v>
      </c>
      <c r="AG32" s="177"/>
    </row>
    <row r="33" spans="1:33" ht="15.75" customHeight="1">
      <c r="A33" s="194" t="s">
        <v>1362</v>
      </c>
      <c r="B33" s="28" t="s">
        <v>22</v>
      </c>
      <c r="C33" s="193" t="s">
        <v>26</v>
      </c>
      <c r="D33" s="193"/>
      <c r="E33" s="28">
        <v>25.99</v>
      </c>
      <c r="F33" s="88">
        <v>4666</v>
      </c>
      <c r="G33" s="88">
        <f t="shared" si="23"/>
        <v>121269.34</v>
      </c>
      <c r="H33" s="30" t="s">
        <v>53</v>
      </c>
      <c r="I33" s="95">
        <v>14</v>
      </c>
      <c r="J33" s="13">
        <v>2400</v>
      </c>
      <c r="K33" s="12">
        <f t="shared" si="1"/>
        <v>171.42857142857142</v>
      </c>
      <c r="L33" s="95">
        <v>14</v>
      </c>
      <c r="M33" s="13">
        <f t="shared" si="24"/>
        <v>2294.7540983606559</v>
      </c>
      <c r="N33" s="12">
        <f t="shared" si="3"/>
        <v>163.91100702576114</v>
      </c>
      <c r="O33" s="14">
        <f t="shared" si="4"/>
        <v>0</v>
      </c>
      <c r="P33" s="15">
        <f t="shared" si="5"/>
        <v>-7.5175644028102795</v>
      </c>
      <c r="Q33" s="91">
        <f t="shared" si="6"/>
        <v>0.95614754098360666</v>
      </c>
      <c r="R33" s="177"/>
      <c r="S33" s="21">
        <v>0.35624999999999996</v>
      </c>
      <c r="T33" s="21">
        <v>0.44097222222222215</v>
      </c>
      <c r="U33" s="88">
        <f t="shared" si="26"/>
        <v>5.9999999999999787</v>
      </c>
      <c r="V33" s="30">
        <f t="shared" si="25"/>
        <v>121.99999999999997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-105.24590163934408</v>
      </c>
      <c r="AF33" s="91">
        <f t="shared" si="9"/>
        <v>0.95614754098360666</v>
      </c>
      <c r="AG33" s="177"/>
    </row>
    <row r="34" spans="1:33" ht="15.75" customHeight="1">
      <c r="A34" s="194" t="s">
        <v>1362</v>
      </c>
      <c r="B34" s="28" t="s">
        <v>22</v>
      </c>
      <c r="C34" s="193" t="s">
        <v>27</v>
      </c>
      <c r="D34" s="193"/>
      <c r="E34" s="28">
        <v>26.18</v>
      </c>
      <c r="F34" s="88">
        <v>1773</v>
      </c>
      <c r="G34" s="88">
        <f t="shared" si="23"/>
        <v>46417.14</v>
      </c>
      <c r="H34" s="30" t="s">
        <v>53</v>
      </c>
      <c r="I34" s="95">
        <v>19</v>
      </c>
      <c r="J34" s="13">
        <v>2400</v>
      </c>
      <c r="K34" s="12">
        <f t="shared" si="1"/>
        <v>126.31578947368421</v>
      </c>
      <c r="L34" s="95">
        <v>19</v>
      </c>
      <c r="M34" s="13">
        <f t="shared" si="24"/>
        <v>2312.608695652174</v>
      </c>
      <c r="N34" s="12">
        <f t="shared" si="3"/>
        <v>121.71624713958811</v>
      </c>
      <c r="O34" s="14">
        <f t="shared" si="4"/>
        <v>0</v>
      </c>
      <c r="P34" s="15">
        <f t="shared" si="5"/>
        <v>-4.5995423340960997</v>
      </c>
      <c r="Q34" s="91">
        <f t="shared" si="6"/>
        <v>0.9635869565217392</v>
      </c>
      <c r="R34" s="177"/>
      <c r="S34" s="21">
        <v>0.44583333333333325</v>
      </c>
      <c r="T34" s="21">
        <v>0.47777777777777769</v>
      </c>
      <c r="U34" s="88">
        <f t="shared" si="26"/>
        <v>6.9999999999999751</v>
      </c>
      <c r="V34" s="30">
        <f t="shared" si="25"/>
        <v>46</v>
      </c>
      <c r="W34" s="16">
        <f>T34</f>
        <v>0.47777777777777769</v>
      </c>
      <c r="X34" s="16">
        <f>S35</f>
        <v>0.51805555555555549</v>
      </c>
      <c r="Y34" s="16"/>
      <c r="Z34" s="16"/>
      <c r="AA34" s="168"/>
      <c r="AB34" s="168"/>
      <c r="AC34" s="18"/>
      <c r="AD34" s="18"/>
      <c r="AE34" s="14">
        <f t="shared" si="8"/>
        <v>-87.391304347826008</v>
      </c>
      <c r="AF34" s="91">
        <f t="shared" si="9"/>
        <v>0.9635869565217392</v>
      </c>
      <c r="AG34" s="177"/>
    </row>
    <row r="35" spans="1:33" ht="15.75" customHeight="1">
      <c r="A35" s="194" t="s">
        <v>1364</v>
      </c>
      <c r="B35" s="28" t="s">
        <v>22</v>
      </c>
      <c r="C35" s="193" t="s">
        <v>23</v>
      </c>
      <c r="D35" s="193"/>
      <c r="E35" s="28">
        <v>31.29</v>
      </c>
      <c r="F35" s="88">
        <v>4578</v>
      </c>
      <c r="G35" s="88">
        <f t="shared" si="23"/>
        <v>143245.62</v>
      </c>
      <c r="H35" s="30" t="s">
        <v>53</v>
      </c>
      <c r="I35" s="95">
        <v>18</v>
      </c>
      <c r="J35" s="13">
        <v>2400</v>
      </c>
      <c r="K35" s="12">
        <f t="shared" si="1"/>
        <v>133.33333333333334</v>
      </c>
      <c r="L35" s="95">
        <v>18</v>
      </c>
      <c r="M35" s="13">
        <f t="shared" si="24"/>
        <v>2288.9999999999991</v>
      </c>
      <c r="N35" s="12">
        <f t="shared" si="3"/>
        <v>127.16666666666661</v>
      </c>
      <c r="O35" s="14">
        <f t="shared" si="4"/>
        <v>0</v>
      </c>
      <c r="P35" s="15">
        <f t="shared" si="5"/>
        <v>-6.1666666666667282</v>
      </c>
      <c r="Q35" s="91">
        <f t="shared" si="6"/>
        <v>0.95374999999999954</v>
      </c>
      <c r="R35" s="177"/>
      <c r="S35" s="21">
        <v>0.51805555555555549</v>
      </c>
      <c r="T35" s="21">
        <v>0.60138888888888886</v>
      </c>
      <c r="U35" s="88">
        <f t="shared" si="26"/>
        <v>58.000000000000036</v>
      </c>
      <c r="V35" s="30">
        <f t="shared" si="25"/>
        <v>120.00000000000006</v>
      </c>
      <c r="W35" s="16"/>
      <c r="X35" s="16"/>
      <c r="Y35" s="16"/>
      <c r="Z35" s="16"/>
      <c r="AA35" s="168"/>
      <c r="AB35" s="168"/>
      <c r="AC35" s="18"/>
      <c r="AD35" s="18"/>
      <c r="AE35" s="14">
        <f t="shared" si="8"/>
        <v>-111.00000000000091</v>
      </c>
      <c r="AF35" s="91">
        <f t="shared" si="9"/>
        <v>0.95374999999999965</v>
      </c>
      <c r="AG35" s="177"/>
    </row>
    <row r="36" spans="1:33" ht="15.75" customHeight="1">
      <c r="A36" s="194" t="s">
        <v>1365</v>
      </c>
      <c r="B36" s="28" t="s">
        <v>22</v>
      </c>
      <c r="C36" s="193" t="s">
        <v>25</v>
      </c>
      <c r="D36" s="193"/>
      <c r="E36" s="28">
        <v>26.2</v>
      </c>
      <c r="F36" s="88">
        <v>2135</v>
      </c>
      <c r="G36" s="88">
        <f t="shared" si="23"/>
        <v>55937</v>
      </c>
      <c r="H36" s="30" t="s">
        <v>53</v>
      </c>
      <c r="I36" s="95">
        <v>20</v>
      </c>
      <c r="J36" s="13">
        <v>2400</v>
      </c>
      <c r="K36" s="12">
        <f t="shared" si="1"/>
        <v>120</v>
      </c>
      <c r="L36" s="95">
        <v>20</v>
      </c>
      <c r="M36" s="13">
        <f t="shared" si="24"/>
        <v>2287.5000000000018</v>
      </c>
      <c r="N36" s="12">
        <f t="shared" si="3"/>
        <v>114.37500000000009</v>
      </c>
      <c r="O36" s="14">
        <f t="shared" si="4"/>
        <v>0</v>
      </c>
      <c r="P36" s="15">
        <f t="shared" si="5"/>
        <v>-5.6249999999999147</v>
      </c>
      <c r="Q36" s="91">
        <f t="shared" si="6"/>
        <v>0.95312500000000067</v>
      </c>
      <c r="R36" s="177"/>
      <c r="S36" s="21">
        <v>0.60624999999999996</v>
      </c>
      <c r="T36" s="21">
        <v>0.64513888888888882</v>
      </c>
      <c r="U36" s="88">
        <f t="shared" si="26"/>
        <v>6.9999999999999751</v>
      </c>
      <c r="V36" s="30">
        <f t="shared" si="25"/>
        <v>55.999999999999957</v>
      </c>
      <c r="W36" s="16"/>
      <c r="X36" s="16"/>
      <c r="Y36" s="16"/>
      <c r="Z36" s="16"/>
      <c r="AA36" s="168"/>
      <c r="AB36" s="168"/>
      <c r="AC36" s="18"/>
      <c r="AD36" s="18"/>
      <c r="AE36" s="14">
        <f t="shared" si="8"/>
        <v>-112.49999999999818</v>
      </c>
      <c r="AF36" s="91">
        <f t="shared" si="9"/>
        <v>0.95312500000000078</v>
      </c>
      <c r="AG36" s="177"/>
    </row>
    <row r="37" spans="1:33" ht="15.75" customHeight="1">
      <c r="A37" s="194" t="s">
        <v>1366</v>
      </c>
      <c r="B37" s="28" t="s">
        <v>1367</v>
      </c>
      <c r="C37" s="178"/>
      <c r="D37" s="178"/>
      <c r="E37" s="92"/>
      <c r="F37" s="88"/>
      <c r="G37" s="88"/>
      <c r="H37" s="88"/>
      <c r="I37" s="23">
        <v>18.571428571428573</v>
      </c>
      <c r="J37" s="13">
        <v>2400</v>
      </c>
      <c r="K37" s="12">
        <f t="shared" si="1"/>
        <v>129.23076923076923</v>
      </c>
      <c r="L37" s="23">
        <v>18.571428571428573</v>
      </c>
      <c r="M37" s="13">
        <f>AVERAGE(M30:M36)</f>
        <v>2294.3548663646839</v>
      </c>
      <c r="N37" s="12">
        <f t="shared" si="3"/>
        <v>123.54218511194451</v>
      </c>
      <c r="O37" s="14">
        <f t="shared" si="4"/>
        <v>0</v>
      </c>
      <c r="P37" s="15">
        <f t="shared" si="5"/>
        <v>-5.6885841188247213</v>
      </c>
      <c r="Q37" s="91">
        <f t="shared" si="6"/>
        <v>0.95598119431861828</v>
      </c>
      <c r="R37" s="177"/>
      <c r="S37" s="21"/>
      <c r="T37" s="21"/>
      <c r="U37" s="88"/>
      <c r="V37" s="30"/>
      <c r="W37" s="88"/>
      <c r="X37" s="88"/>
      <c r="Y37" s="24">
        <f>SUM(Y30:Y36)</f>
        <v>0</v>
      </c>
      <c r="Z37" s="24">
        <f>SUM(Z30:Z36)</f>
        <v>0</v>
      </c>
      <c r="AA37" s="167"/>
      <c r="AB37" s="167"/>
      <c r="AC37" s="24">
        <v>7</v>
      </c>
      <c r="AD37" s="24">
        <f>SUM(AD30:AD36)</f>
        <v>0</v>
      </c>
      <c r="AE37" s="14">
        <f t="shared" si="8"/>
        <v>-105.64513363531614</v>
      </c>
      <c r="AF37" s="91">
        <f t="shared" si="9"/>
        <v>0.95598119431861828</v>
      </c>
      <c r="AG37" s="177"/>
    </row>
    <row r="38" spans="1:33" ht="15.75" customHeight="1">
      <c r="A38" s="191" t="s">
        <v>1368</v>
      </c>
      <c r="B38" s="28" t="s">
        <v>22</v>
      </c>
      <c r="C38" s="169" t="s">
        <v>28</v>
      </c>
      <c r="D38" s="169"/>
      <c r="E38" s="28">
        <v>26.2</v>
      </c>
      <c r="F38" s="88">
        <v>4300</v>
      </c>
      <c r="G38" s="88">
        <f t="shared" ref="G38:G44" si="27">E38*F38</f>
        <v>112660</v>
      </c>
      <c r="H38" s="30">
        <v>2</v>
      </c>
      <c r="I38" s="95">
        <v>18</v>
      </c>
      <c r="J38" s="13">
        <v>2400</v>
      </c>
      <c r="K38" s="12">
        <f t="shared" si="1"/>
        <v>133.33333333333334</v>
      </c>
      <c r="L38" s="95">
        <v>18</v>
      </c>
      <c r="M38" s="13">
        <f t="shared" ref="M38:M44" si="28">F38/V38*60</f>
        <v>2283.1858407079653</v>
      </c>
      <c r="N38" s="12">
        <f t="shared" si="3"/>
        <v>126.84365781710919</v>
      </c>
      <c r="O38" s="14">
        <f t="shared" si="4"/>
        <v>0</v>
      </c>
      <c r="P38" s="15">
        <f t="shared" si="5"/>
        <v>-6.4896755162241533</v>
      </c>
      <c r="Q38" s="91">
        <f t="shared" si="6"/>
        <v>0.95132743362831884</v>
      </c>
      <c r="R38" s="177">
        <f>Q45</f>
        <v>0.95544608029437783</v>
      </c>
      <c r="S38" s="21">
        <v>8.3333333333333329E-2</v>
      </c>
      <c r="T38" s="21">
        <v>0.16180555555555554</v>
      </c>
      <c r="U38" s="88"/>
      <c r="V38" s="30">
        <f t="shared" ref="V38:V44" si="29">(T38-S38)*24*60</f>
        <v>112.99999999999997</v>
      </c>
      <c r="W38" s="21">
        <f>T38</f>
        <v>0.16180555555555554</v>
      </c>
      <c r="X38" s="21">
        <f>S39</f>
        <v>0.18194444444444444</v>
      </c>
      <c r="Y38" s="21"/>
      <c r="Z38" s="21"/>
      <c r="AA38" s="168"/>
      <c r="AB38" s="168"/>
      <c r="AC38" s="18">
        <v>7</v>
      </c>
      <c r="AD38" s="18"/>
      <c r="AE38" s="14">
        <f t="shared" si="8"/>
        <v>-116.81415929203467</v>
      </c>
      <c r="AF38" s="91">
        <f t="shared" si="9"/>
        <v>0.95132743362831884</v>
      </c>
      <c r="AG38" s="177">
        <f>AF45</f>
        <v>0.95544608029437783</v>
      </c>
    </row>
    <row r="39" spans="1:33" ht="15.75" customHeight="1">
      <c r="A39" s="191" t="s">
        <v>1369</v>
      </c>
      <c r="B39" s="28" t="s">
        <v>22</v>
      </c>
      <c r="C39" s="169" t="s">
        <v>29</v>
      </c>
      <c r="D39" s="169"/>
      <c r="E39" s="28">
        <v>20.52</v>
      </c>
      <c r="F39" s="88">
        <v>4568</v>
      </c>
      <c r="G39" s="88">
        <f t="shared" si="27"/>
        <v>93735.360000000001</v>
      </c>
      <c r="H39" s="30" t="s">
        <v>53</v>
      </c>
      <c r="I39" s="95">
        <v>18</v>
      </c>
      <c r="J39" s="13">
        <v>2400</v>
      </c>
      <c r="K39" s="12">
        <f t="shared" si="1"/>
        <v>133.33333333333334</v>
      </c>
      <c r="L39" s="95">
        <v>18</v>
      </c>
      <c r="M39" s="13">
        <f t="shared" si="28"/>
        <v>2284</v>
      </c>
      <c r="N39" s="12">
        <f t="shared" si="3"/>
        <v>126.88888888888889</v>
      </c>
      <c r="O39" s="14">
        <f t="shared" si="4"/>
        <v>0</v>
      </c>
      <c r="P39" s="15">
        <f t="shared" si="5"/>
        <v>-6.4444444444444571</v>
      </c>
      <c r="Q39" s="91">
        <f t="shared" si="6"/>
        <v>0.95166666666666655</v>
      </c>
      <c r="R39" s="177"/>
      <c r="S39" s="21">
        <v>0.18194444444444444</v>
      </c>
      <c r="T39" s="21">
        <v>0.26527777777777778</v>
      </c>
      <c r="U39" s="88">
        <f t="shared" ref="U39:U44" si="30">(S39-T38)*24*60</f>
        <v>29.000000000000018</v>
      </c>
      <c r="V39" s="30">
        <f t="shared" si="29"/>
        <v>120</v>
      </c>
      <c r="W39" s="88"/>
      <c r="X39" s="88"/>
      <c r="Y39" s="88"/>
      <c r="Z39" s="88"/>
      <c r="AA39" s="168"/>
      <c r="AB39" s="168"/>
      <c r="AC39" s="18"/>
      <c r="AD39" s="18"/>
      <c r="AE39" s="14">
        <f t="shared" si="8"/>
        <v>-116</v>
      </c>
      <c r="AF39" s="91">
        <f t="shared" si="9"/>
        <v>0.95166666666666666</v>
      </c>
      <c r="AG39" s="177"/>
    </row>
    <row r="40" spans="1:33">
      <c r="A40" s="192" t="s">
        <v>1370</v>
      </c>
      <c r="B40" s="28" t="s">
        <v>22</v>
      </c>
      <c r="C40" s="169" t="s">
        <v>32</v>
      </c>
      <c r="D40" s="169"/>
      <c r="E40" s="28">
        <v>20.52</v>
      </c>
      <c r="F40" s="88">
        <v>3178</v>
      </c>
      <c r="G40" s="88">
        <f t="shared" si="27"/>
        <v>65212.56</v>
      </c>
      <c r="H40" s="30" t="s">
        <v>53</v>
      </c>
      <c r="I40" s="95">
        <v>18</v>
      </c>
      <c r="J40" s="13">
        <v>2400</v>
      </c>
      <c r="K40" s="12">
        <f t="shared" si="1"/>
        <v>133.33333333333334</v>
      </c>
      <c r="L40" s="95">
        <v>18</v>
      </c>
      <c r="M40" s="13">
        <f t="shared" si="28"/>
        <v>2297.3493975903607</v>
      </c>
      <c r="N40" s="12">
        <f t="shared" si="3"/>
        <v>127.63052208835337</v>
      </c>
      <c r="O40" s="14">
        <f t="shared" si="4"/>
        <v>0</v>
      </c>
      <c r="P40" s="15">
        <f t="shared" si="5"/>
        <v>-5.7028112449799693</v>
      </c>
      <c r="Q40" s="91">
        <f t="shared" si="6"/>
        <v>0.95722891566265023</v>
      </c>
      <c r="R40" s="177"/>
      <c r="S40" s="21">
        <v>0.27013888888888887</v>
      </c>
      <c r="T40" s="21">
        <v>0.32777777777777778</v>
      </c>
      <c r="U40" s="88">
        <f t="shared" si="30"/>
        <v>6.9999999999999751</v>
      </c>
      <c r="V40" s="30">
        <f t="shared" si="29"/>
        <v>83.000000000000028</v>
      </c>
      <c r="W40" s="88"/>
      <c r="X40" s="88"/>
      <c r="Y40" s="88"/>
      <c r="Z40" s="88"/>
      <c r="AA40" s="168"/>
      <c r="AB40" s="168"/>
      <c r="AC40" s="18"/>
      <c r="AD40" s="18"/>
      <c r="AE40" s="14">
        <f t="shared" si="8"/>
        <v>-102.6506024096393</v>
      </c>
      <c r="AF40" s="91">
        <f t="shared" si="9"/>
        <v>0.95722891566265034</v>
      </c>
      <c r="AG40" s="177"/>
    </row>
    <row r="41" spans="1:33">
      <c r="A41" s="192" t="s">
        <v>1371</v>
      </c>
      <c r="B41" s="28" t="s">
        <v>22</v>
      </c>
      <c r="C41" s="169" t="s">
        <v>70</v>
      </c>
      <c r="D41" s="169"/>
      <c r="E41" s="28">
        <v>22.69</v>
      </c>
      <c r="F41" s="88">
        <v>5298</v>
      </c>
      <c r="G41" s="88">
        <f t="shared" si="27"/>
        <v>120211.62000000001</v>
      </c>
      <c r="H41" s="30" t="s">
        <v>53</v>
      </c>
      <c r="I41" s="95">
        <v>15</v>
      </c>
      <c r="J41" s="13">
        <v>2400</v>
      </c>
      <c r="K41" s="12">
        <f t="shared" si="1"/>
        <v>160</v>
      </c>
      <c r="L41" s="95">
        <v>15</v>
      </c>
      <c r="M41" s="13">
        <f t="shared" si="28"/>
        <v>2286.906474820144</v>
      </c>
      <c r="N41" s="12">
        <f t="shared" si="3"/>
        <v>152.46043165467626</v>
      </c>
      <c r="O41" s="14">
        <f t="shared" si="4"/>
        <v>0</v>
      </c>
      <c r="P41" s="15">
        <f t="shared" si="5"/>
        <v>-7.5395683453237439</v>
      </c>
      <c r="Q41" s="91">
        <f t="shared" si="6"/>
        <v>0.9528776978417266</v>
      </c>
      <c r="R41" s="177"/>
      <c r="S41" s="21">
        <v>0.33263888888888887</v>
      </c>
      <c r="T41" s="21">
        <v>0.42916666666666664</v>
      </c>
      <c r="U41" s="88">
        <f t="shared" si="30"/>
        <v>6.9999999999999751</v>
      </c>
      <c r="V41" s="30">
        <f t="shared" si="29"/>
        <v>139</v>
      </c>
      <c r="W41" s="16"/>
      <c r="X41" s="16"/>
      <c r="Y41" s="16"/>
      <c r="Z41" s="16"/>
      <c r="AA41" s="168"/>
      <c r="AB41" s="168"/>
      <c r="AC41" s="18"/>
      <c r="AD41" s="18"/>
      <c r="AE41" s="14">
        <f t="shared" si="8"/>
        <v>-113.09352517985599</v>
      </c>
      <c r="AF41" s="91">
        <f t="shared" si="9"/>
        <v>0.95287769784172671</v>
      </c>
      <c r="AG41" s="177"/>
    </row>
    <row r="42" spans="1:33">
      <c r="A42" s="192" t="s">
        <v>1369</v>
      </c>
      <c r="B42" s="28" t="s">
        <v>22</v>
      </c>
      <c r="C42" s="169" t="s">
        <v>30</v>
      </c>
      <c r="D42" s="169"/>
      <c r="E42" s="28">
        <v>26.39</v>
      </c>
      <c r="F42" s="88">
        <v>3800</v>
      </c>
      <c r="G42" s="88">
        <f t="shared" si="27"/>
        <v>100282</v>
      </c>
      <c r="H42" s="30">
        <v>2</v>
      </c>
      <c r="I42" s="95">
        <v>19</v>
      </c>
      <c r="J42" s="13">
        <v>2400</v>
      </c>
      <c r="K42" s="12">
        <f t="shared" si="1"/>
        <v>126.31578947368421</v>
      </c>
      <c r="L42" s="95">
        <v>19</v>
      </c>
      <c r="M42" s="13">
        <f t="shared" si="28"/>
        <v>2303.0303030303021</v>
      </c>
      <c r="N42" s="12">
        <f t="shared" si="3"/>
        <v>121.21212121212116</v>
      </c>
      <c r="O42" s="14">
        <f t="shared" si="4"/>
        <v>0</v>
      </c>
      <c r="P42" s="15">
        <f t="shared" si="5"/>
        <v>-5.103668261563044</v>
      </c>
      <c r="Q42" s="91">
        <f t="shared" si="6"/>
        <v>0.95959595959595922</v>
      </c>
      <c r="R42" s="177"/>
      <c r="S42" s="21">
        <v>0.43472222222222218</v>
      </c>
      <c r="T42" s="21">
        <v>0.50347222222222221</v>
      </c>
      <c r="U42" s="88">
        <f t="shared" si="30"/>
        <v>7.9999999999999716</v>
      </c>
      <c r="V42" s="30">
        <f t="shared" si="29"/>
        <v>99.000000000000043</v>
      </c>
      <c r="W42" s="16">
        <f>T42</f>
        <v>0.50347222222222221</v>
      </c>
      <c r="X42" s="16">
        <f>S43</f>
        <v>0.54513888888888884</v>
      </c>
      <c r="Y42" s="16"/>
      <c r="Z42" s="16"/>
      <c r="AA42" s="168"/>
      <c r="AB42" s="168"/>
      <c r="AC42" s="18"/>
      <c r="AD42" s="18"/>
      <c r="AE42" s="14">
        <f t="shared" si="8"/>
        <v>-96.969696969697907</v>
      </c>
      <c r="AF42" s="91">
        <f t="shared" si="9"/>
        <v>0.95959595959595922</v>
      </c>
      <c r="AG42" s="177"/>
    </row>
    <row r="43" spans="1:33">
      <c r="A43" s="192" t="s">
        <v>1372</v>
      </c>
      <c r="B43" s="28" t="s">
        <v>22</v>
      </c>
      <c r="C43" s="169" t="s">
        <v>30</v>
      </c>
      <c r="D43" s="169"/>
      <c r="E43" s="28">
        <v>26.39</v>
      </c>
      <c r="F43" s="88">
        <v>2708</v>
      </c>
      <c r="G43" s="88">
        <f t="shared" si="27"/>
        <v>71464.12</v>
      </c>
      <c r="H43" s="30" t="s">
        <v>53</v>
      </c>
      <c r="I43" s="95">
        <v>19</v>
      </c>
      <c r="J43" s="13">
        <v>2400</v>
      </c>
      <c r="K43" s="12">
        <f t="shared" si="1"/>
        <v>126.31578947368421</v>
      </c>
      <c r="L43" s="95">
        <v>19</v>
      </c>
      <c r="M43" s="13">
        <f t="shared" si="28"/>
        <v>2288.4507042253499</v>
      </c>
      <c r="N43" s="12">
        <f t="shared" si="3"/>
        <v>120.44477390659736</v>
      </c>
      <c r="O43" s="14">
        <f t="shared" si="4"/>
        <v>0</v>
      </c>
      <c r="P43" s="15">
        <f t="shared" si="5"/>
        <v>-5.8710155670868431</v>
      </c>
      <c r="Q43" s="91">
        <f t="shared" si="6"/>
        <v>0.95352112676056244</v>
      </c>
      <c r="R43" s="177"/>
      <c r="S43" s="21">
        <v>0.54513888888888884</v>
      </c>
      <c r="T43" s="21">
        <v>0.59444444444444444</v>
      </c>
      <c r="U43" s="88">
        <f t="shared" si="30"/>
        <v>59.999999999999943</v>
      </c>
      <c r="V43" s="30">
        <f t="shared" si="29"/>
        <v>71.000000000000071</v>
      </c>
      <c r="W43" s="16"/>
      <c r="X43" s="16"/>
      <c r="Y43" s="16"/>
      <c r="Z43" s="16"/>
      <c r="AA43" s="168"/>
      <c r="AB43" s="168"/>
      <c r="AC43" s="18"/>
      <c r="AD43" s="18"/>
      <c r="AE43" s="14">
        <f t="shared" si="8"/>
        <v>-111.54929577465009</v>
      </c>
      <c r="AF43" s="91">
        <f t="shared" si="9"/>
        <v>0.95352112676056244</v>
      </c>
      <c r="AG43" s="177"/>
    </row>
    <row r="44" spans="1:33">
      <c r="A44" s="192" t="s">
        <v>1373</v>
      </c>
      <c r="B44" s="28" t="s">
        <v>22</v>
      </c>
      <c r="C44" s="169" t="s">
        <v>28</v>
      </c>
      <c r="D44" s="169"/>
      <c r="E44" s="28">
        <v>26.2</v>
      </c>
      <c r="F44" s="88">
        <v>3232</v>
      </c>
      <c r="G44" s="88">
        <f t="shared" si="27"/>
        <v>84678.399999999994</v>
      </c>
      <c r="H44" s="30" t="s">
        <v>53</v>
      </c>
      <c r="I44" s="95">
        <v>18</v>
      </c>
      <c r="J44" s="13">
        <v>2400</v>
      </c>
      <c r="K44" s="12">
        <f t="shared" si="1"/>
        <v>133.33333333333334</v>
      </c>
      <c r="L44" s="95">
        <v>18</v>
      </c>
      <c r="M44" s="13">
        <f t="shared" si="28"/>
        <v>2308.5714285714275</v>
      </c>
      <c r="N44" s="12">
        <f t="shared" si="3"/>
        <v>128.2539682539682</v>
      </c>
      <c r="O44" s="14">
        <f t="shared" si="4"/>
        <v>0</v>
      </c>
      <c r="P44" s="15">
        <f t="shared" si="5"/>
        <v>-5.0793650793651466</v>
      </c>
      <c r="Q44" s="91">
        <f t="shared" si="6"/>
        <v>0.96190476190476137</v>
      </c>
      <c r="R44" s="177"/>
      <c r="S44" s="21">
        <v>0.59930555555555554</v>
      </c>
      <c r="T44" s="21">
        <v>0.65763888888888888</v>
      </c>
      <c r="U44" s="88">
        <f t="shared" si="30"/>
        <v>6.9999999999999751</v>
      </c>
      <c r="V44" s="30">
        <f t="shared" si="29"/>
        <v>84.000000000000028</v>
      </c>
      <c r="W44" s="16"/>
      <c r="X44" s="16"/>
      <c r="Y44" s="19"/>
      <c r="Z44" s="19"/>
      <c r="AA44" s="172"/>
      <c r="AB44" s="173"/>
      <c r="AC44" s="18"/>
      <c r="AD44" s="18"/>
      <c r="AE44" s="14">
        <f t="shared" si="8"/>
        <v>-91.428571428572468</v>
      </c>
      <c r="AF44" s="91">
        <f t="shared" si="9"/>
        <v>0.96190476190476148</v>
      </c>
      <c r="AG44" s="177"/>
    </row>
    <row r="45" spans="1:33">
      <c r="A45" s="192" t="s">
        <v>1374</v>
      </c>
      <c r="B45" s="12" t="s">
        <v>1375</v>
      </c>
      <c r="C45" s="178"/>
      <c r="D45" s="178"/>
      <c r="E45" s="92"/>
      <c r="F45" s="12"/>
      <c r="G45" s="12"/>
      <c r="H45" s="88"/>
      <c r="I45" s="23">
        <v>17.857142857142858</v>
      </c>
      <c r="J45" s="13">
        <v>2400</v>
      </c>
      <c r="K45" s="12">
        <f t="shared" si="1"/>
        <v>134.4</v>
      </c>
      <c r="L45" s="23">
        <v>17.857142857142858</v>
      </c>
      <c r="M45" s="13">
        <f>AVERAGE(M38:M44)</f>
        <v>2293.0705927065069</v>
      </c>
      <c r="N45" s="12">
        <f t="shared" si="3"/>
        <v>128.41195319156438</v>
      </c>
      <c r="O45" s="14">
        <f t="shared" si="4"/>
        <v>0</v>
      </c>
      <c r="P45" s="15">
        <f t="shared" si="5"/>
        <v>-5.9880468084356266</v>
      </c>
      <c r="Q45" s="91">
        <f t="shared" si="6"/>
        <v>0.95544608029437783</v>
      </c>
      <c r="R45" s="177"/>
      <c r="S45" s="21"/>
      <c r="T45" s="21"/>
      <c r="U45" s="12"/>
      <c r="V45" s="30"/>
      <c r="W45" s="12"/>
      <c r="X45" s="12"/>
      <c r="Y45" s="24">
        <f>SUM(Y38:Y44)</f>
        <v>0</v>
      </c>
      <c r="Z45" s="24">
        <f>SUM(Z38:Z44)</f>
        <v>0</v>
      </c>
      <c r="AA45" s="167"/>
      <c r="AB45" s="167"/>
      <c r="AC45" s="24">
        <v>7</v>
      </c>
      <c r="AD45" s="24">
        <f>SUM(AD38:AD44)</f>
        <v>0</v>
      </c>
      <c r="AE45" s="14">
        <f t="shared" si="8"/>
        <v>-106.92940729349311</v>
      </c>
      <c r="AF45" s="91">
        <f t="shared" si="9"/>
        <v>0.95544608029437783</v>
      </c>
      <c r="AG45" s="177"/>
    </row>
    <row r="46" spans="1:33" ht="15.75" customHeight="1">
      <c r="A46" s="188" t="s">
        <v>1376</v>
      </c>
      <c r="B46" s="28" t="s">
        <v>33</v>
      </c>
      <c r="C46" s="170" t="s">
        <v>72</v>
      </c>
      <c r="D46" s="171"/>
      <c r="E46" s="28">
        <v>34.35</v>
      </c>
      <c r="F46" s="88">
        <v>2940</v>
      </c>
      <c r="G46" s="88">
        <f t="shared" ref="G46:G50" si="31">E46*F46</f>
        <v>100989</v>
      </c>
      <c r="H46" s="30" t="s">
        <v>53</v>
      </c>
      <c r="I46" s="95">
        <v>8</v>
      </c>
      <c r="J46" s="13">
        <v>3000</v>
      </c>
      <c r="K46" s="12">
        <f t="shared" si="1"/>
        <v>375</v>
      </c>
      <c r="L46" s="95">
        <v>8</v>
      </c>
      <c r="M46" s="13">
        <f t="shared" ref="M46:M50" si="32">F46/V46*60</f>
        <v>2891.8032786885246</v>
      </c>
      <c r="N46" s="13">
        <f t="shared" si="3"/>
        <v>361.47540983606558</v>
      </c>
      <c r="O46" s="14">
        <f t="shared" si="4"/>
        <v>0</v>
      </c>
      <c r="P46" s="15">
        <f t="shared" si="5"/>
        <v>-13.52459016393442</v>
      </c>
      <c r="Q46" s="91">
        <f t="shared" si="6"/>
        <v>0.9639344262295082</v>
      </c>
      <c r="R46" s="183">
        <f>Q51</f>
        <v>0.95734637804006484</v>
      </c>
      <c r="S46" s="21">
        <v>8.3333333333333329E-2</v>
      </c>
      <c r="T46" s="21">
        <v>0.12569444444444444</v>
      </c>
      <c r="U46" s="21"/>
      <c r="V46" s="30">
        <f t="shared" ref="V46:V50" si="33">(T46-S46)*24*60</f>
        <v>61</v>
      </c>
      <c r="W46" s="16">
        <f>T46</f>
        <v>0.12569444444444444</v>
      </c>
      <c r="X46" s="16">
        <f>S47</f>
        <v>0.14444444444444443</v>
      </c>
      <c r="Y46" s="19"/>
      <c r="Z46" s="19"/>
      <c r="AA46" s="172"/>
      <c r="AB46" s="173"/>
      <c r="AC46" s="18">
        <v>5</v>
      </c>
      <c r="AD46" s="18"/>
      <c r="AE46" s="14">
        <f t="shared" si="8"/>
        <v>-108.19672131147536</v>
      </c>
      <c r="AF46" s="91">
        <f t="shared" si="9"/>
        <v>0.9639344262295082</v>
      </c>
      <c r="AG46" s="183">
        <f>AF51</f>
        <v>0.95734637804006495</v>
      </c>
    </row>
    <row r="47" spans="1:33" ht="15.75" customHeight="1">
      <c r="A47" s="189" t="s">
        <v>1377</v>
      </c>
      <c r="B47" s="28" t="s">
        <v>33</v>
      </c>
      <c r="C47" s="170" t="s">
        <v>36</v>
      </c>
      <c r="D47" s="171"/>
      <c r="E47" s="28">
        <v>21.13</v>
      </c>
      <c r="F47" s="88">
        <v>5912</v>
      </c>
      <c r="G47" s="88">
        <f t="shared" si="31"/>
        <v>124920.56</v>
      </c>
      <c r="H47" s="30" t="s">
        <v>53</v>
      </c>
      <c r="I47" s="95">
        <v>10</v>
      </c>
      <c r="J47" s="13">
        <v>3000</v>
      </c>
      <c r="K47" s="12">
        <f t="shared" si="1"/>
        <v>300</v>
      </c>
      <c r="L47" s="95">
        <v>10</v>
      </c>
      <c r="M47" s="13">
        <f t="shared" si="32"/>
        <v>2860.6451612903215</v>
      </c>
      <c r="N47" s="13">
        <f t="shared" si="3"/>
        <v>286.06451612903214</v>
      </c>
      <c r="O47" s="14">
        <f t="shared" si="4"/>
        <v>0</v>
      </c>
      <c r="P47" s="15">
        <f t="shared" si="5"/>
        <v>-13.935483870967857</v>
      </c>
      <c r="Q47" s="91">
        <f t="shared" si="6"/>
        <v>0.95354838709677381</v>
      </c>
      <c r="R47" s="184"/>
      <c r="S47" s="21">
        <v>0.14444444444444443</v>
      </c>
      <c r="T47" s="21">
        <v>0.23055555555555557</v>
      </c>
      <c r="U47" s="88">
        <f t="shared" ref="U47:U50" si="34">(S47-T46)*24*60</f>
        <v>26.999999999999986</v>
      </c>
      <c r="V47" s="30">
        <f t="shared" si="33"/>
        <v>124.00000000000004</v>
      </c>
      <c r="W47" s="16"/>
      <c r="X47" s="16"/>
      <c r="Y47" s="19"/>
      <c r="Z47" s="19"/>
      <c r="AA47" s="172"/>
      <c r="AB47" s="173"/>
      <c r="AC47" s="18"/>
      <c r="AD47" s="18"/>
      <c r="AE47" s="14">
        <f t="shared" si="8"/>
        <v>-139.35483870967846</v>
      </c>
      <c r="AF47" s="91">
        <f t="shared" si="9"/>
        <v>0.95354838709677381</v>
      </c>
      <c r="AG47" s="184"/>
    </row>
    <row r="48" spans="1:33" ht="15.75" customHeight="1">
      <c r="A48" s="189" t="s">
        <v>1184</v>
      </c>
      <c r="B48" s="28" t="s">
        <v>33</v>
      </c>
      <c r="C48" s="170" t="s">
        <v>37</v>
      </c>
      <c r="D48" s="171"/>
      <c r="E48" s="28">
        <v>27.17</v>
      </c>
      <c r="F48" s="88">
        <v>7677</v>
      </c>
      <c r="G48" s="88">
        <f t="shared" si="31"/>
        <v>208584.09000000003</v>
      </c>
      <c r="H48" s="30" t="s">
        <v>53</v>
      </c>
      <c r="I48" s="95">
        <v>10</v>
      </c>
      <c r="J48" s="13">
        <v>3000</v>
      </c>
      <c r="K48" s="12">
        <f t="shared" si="1"/>
        <v>300</v>
      </c>
      <c r="L48" s="95">
        <v>10</v>
      </c>
      <c r="M48" s="13">
        <f t="shared" si="32"/>
        <v>2860.993788819876</v>
      </c>
      <c r="N48" s="13">
        <f t="shared" si="3"/>
        <v>286.0993788819876</v>
      </c>
      <c r="O48" s="14">
        <f t="shared" si="4"/>
        <v>0</v>
      </c>
      <c r="P48" s="15">
        <f t="shared" si="5"/>
        <v>-13.900621118012396</v>
      </c>
      <c r="Q48" s="91">
        <f t="shared" si="6"/>
        <v>0.95366459627329203</v>
      </c>
      <c r="R48" s="184"/>
      <c r="S48" s="21">
        <v>0.23472222222222225</v>
      </c>
      <c r="T48" s="21">
        <v>0.34652777777777777</v>
      </c>
      <c r="U48" s="88">
        <f t="shared" si="34"/>
        <v>6.0000000000000187</v>
      </c>
      <c r="V48" s="30">
        <f t="shared" si="33"/>
        <v>160.99999999999997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-139.00621118012396</v>
      </c>
      <c r="AF48" s="91">
        <f t="shared" si="9"/>
        <v>0.95366459627329203</v>
      </c>
      <c r="AG48" s="184"/>
    </row>
    <row r="49" spans="1:33" ht="15.75" customHeight="1">
      <c r="A49" s="189" t="s">
        <v>1184</v>
      </c>
      <c r="B49" s="28" t="s">
        <v>33</v>
      </c>
      <c r="C49" s="170" t="s">
        <v>38</v>
      </c>
      <c r="D49" s="171"/>
      <c r="E49" s="28">
        <v>35.869999999999997</v>
      </c>
      <c r="F49" s="88">
        <v>4054</v>
      </c>
      <c r="G49" s="88">
        <f t="shared" si="31"/>
        <v>145416.97999999998</v>
      </c>
      <c r="H49" s="30" t="s">
        <v>53</v>
      </c>
      <c r="I49" s="95">
        <v>9</v>
      </c>
      <c r="J49" s="13">
        <v>3000</v>
      </c>
      <c r="K49" s="12">
        <f t="shared" si="1"/>
        <v>333.33333333333331</v>
      </c>
      <c r="L49" s="95">
        <v>9</v>
      </c>
      <c r="M49" s="13">
        <f t="shared" si="32"/>
        <v>2861.6470588235288</v>
      </c>
      <c r="N49" s="13">
        <f t="shared" si="3"/>
        <v>317.96078431372541</v>
      </c>
      <c r="O49" s="14">
        <f t="shared" si="4"/>
        <v>0</v>
      </c>
      <c r="P49" s="15">
        <f t="shared" si="5"/>
        <v>-15.372549019607902</v>
      </c>
      <c r="Q49" s="91">
        <f t="shared" si="6"/>
        <v>0.95388235294117629</v>
      </c>
      <c r="R49" s="184"/>
      <c r="S49" s="21">
        <v>0.35</v>
      </c>
      <c r="T49" s="21">
        <v>0.40902777777777777</v>
      </c>
      <c r="U49" s="88">
        <f t="shared" si="34"/>
        <v>4.9999999999999822</v>
      </c>
      <c r="V49" s="30">
        <f t="shared" si="33"/>
        <v>85.000000000000014</v>
      </c>
      <c r="W49" s="16"/>
      <c r="X49" s="16"/>
      <c r="Y49" s="19"/>
      <c r="Z49" s="19"/>
      <c r="AA49" s="172"/>
      <c r="AB49" s="173"/>
      <c r="AC49" s="18"/>
      <c r="AD49" s="18"/>
      <c r="AE49" s="14">
        <f t="shared" si="8"/>
        <v>-138.35294117647118</v>
      </c>
      <c r="AF49" s="91">
        <f t="shared" si="9"/>
        <v>0.95388235294117629</v>
      </c>
      <c r="AG49" s="184"/>
    </row>
    <row r="50" spans="1:33" ht="15.75" customHeight="1">
      <c r="A50" s="189" t="s">
        <v>1184</v>
      </c>
      <c r="B50" s="28" t="s">
        <v>33</v>
      </c>
      <c r="C50" s="170" t="s">
        <v>756</v>
      </c>
      <c r="D50" s="171"/>
      <c r="E50" s="28">
        <v>37.880000000000003</v>
      </c>
      <c r="F50" s="88">
        <v>2260</v>
      </c>
      <c r="G50" s="88">
        <f t="shared" si="31"/>
        <v>85608.8</v>
      </c>
      <c r="H50" s="30" t="s">
        <v>53</v>
      </c>
      <c r="I50" s="95">
        <v>10</v>
      </c>
      <c r="J50" s="13">
        <v>3000</v>
      </c>
      <c r="K50" s="12">
        <f t="shared" si="1"/>
        <v>300</v>
      </c>
      <c r="L50" s="95">
        <v>10</v>
      </c>
      <c r="M50" s="13">
        <f t="shared" si="32"/>
        <v>2885.1063829787236</v>
      </c>
      <c r="N50" s="13">
        <f t="shared" si="3"/>
        <v>288.51063829787233</v>
      </c>
      <c r="O50" s="14">
        <f t="shared" si="4"/>
        <v>0</v>
      </c>
      <c r="P50" s="15">
        <f t="shared" si="5"/>
        <v>-11.489361702127667</v>
      </c>
      <c r="Q50" s="91">
        <f t="shared" si="6"/>
        <v>0.96170212765957441</v>
      </c>
      <c r="R50" s="184"/>
      <c r="S50" s="21">
        <v>0.41388888888888886</v>
      </c>
      <c r="T50" s="21">
        <v>0.44652777777777775</v>
      </c>
      <c r="U50" s="88">
        <f t="shared" si="34"/>
        <v>6.9999999999999751</v>
      </c>
      <c r="V50" s="30">
        <f t="shared" si="33"/>
        <v>46.999999999999993</v>
      </c>
      <c r="W50" s="16"/>
      <c r="X50" s="16"/>
      <c r="Y50" s="19"/>
      <c r="Z50" s="19"/>
      <c r="AA50" s="172"/>
      <c r="AB50" s="173"/>
      <c r="AC50" s="18"/>
      <c r="AD50" s="18"/>
      <c r="AE50" s="14">
        <f t="shared" si="8"/>
        <v>-114.89361702127644</v>
      </c>
      <c r="AF50" s="91">
        <f t="shared" si="9"/>
        <v>0.96170212765957452</v>
      </c>
      <c r="AG50" s="184"/>
    </row>
    <row r="51" spans="1:33" ht="15.75" customHeight="1">
      <c r="A51" s="190" t="s">
        <v>1184</v>
      </c>
      <c r="B51" s="28" t="s">
        <v>1173</v>
      </c>
      <c r="C51" s="165"/>
      <c r="D51" s="166"/>
      <c r="E51" s="89"/>
      <c r="F51" s="88"/>
      <c r="G51" s="88"/>
      <c r="H51" s="88"/>
      <c r="I51" s="23">
        <v>9.4</v>
      </c>
      <c r="J51" s="13">
        <v>3000</v>
      </c>
      <c r="K51" s="12">
        <f t="shared" si="1"/>
        <v>319.14893617021278</v>
      </c>
      <c r="L51" s="23">
        <v>9.4</v>
      </c>
      <c r="M51" s="13">
        <f>AVERAGE(M46:M50)</f>
        <v>2872.0391341201948</v>
      </c>
      <c r="N51" s="12">
        <f t="shared" si="3"/>
        <v>305.53607809789304</v>
      </c>
      <c r="O51" s="14">
        <f t="shared" si="4"/>
        <v>0</v>
      </c>
      <c r="P51" s="15">
        <f t="shared" si="5"/>
        <v>-13.612858072319739</v>
      </c>
      <c r="Q51" s="91">
        <f t="shared" si="6"/>
        <v>0.95734637804006484</v>
      </c>
      <c r="R51" s="185"/>
      <c r="S51" s="21"/>
      <c r="T51" s="21"/>
      <c r="U51" s="88"/>
      <c r="V51" s="30"/>
      <c r="W51" s="16"/>
      <c r="X51" s="16"/>
      <c r="Y51" s="24">
        <f>SUM(Y46:Y50)</f>
        <v>0</v>
      </c>
      <c r="Z51" s="24">
        <f>SUM(Z46:Z50)</f>
        <v>0</v>
      </c>
      <c r="AA51" s="186"/>
      <c r="AB51" s="187"/>
      <c r="AC51" s="24">
        <v>5</v>
      </c>
      <c r="AD51" s="24">
        <f>SUM(AD46:AD50)</f>
        <v>0</v>
      </c>
      <c r="AE51" s="14">
        <f t="shared" si="8"/>
        <v>-127.96086587980517</v>
      </c>
      <c r="AF51" s="91">
        <f t="shared" si="9"/>
        <v>0.95734637804006495</v>
      </c>
      <c r="AG51" s="185"/>
    </row>
    <row r="52" spans="1:33" ht="15.75" customHeight="1">
      <c r="A52" s="181" t="s">
        <v>1378</v>
      </c>
      <c r="B52" s="28" t="s">
        <v>9</v>
      </c>
      <c r="C52" s="169" t="s">
        <v>39</v>
      </c>
      <c r="D52" s="169"/>
      <c r="E52" s="28">
        <v>46</v>
      </c>
      <c r="F52" s="29">
        <v>2710</v>
      </c>
      <c r="G52" s="88">
        <f t="shared" ref="G52:G57" si="35">E52*F52</f>
        <v>124660</v>
      </c>
      <c r="H52" s="30" t="s">
        <v>53</v>
      </c>
      <c r="I52" s="95">
        <v>17</v>
      </c>
      <c r="J52" s="13">
        <v>2000</v>
      </c>
      <c r="K52" s="12">
        <f t="shared" si="1"/>
        <v>117.64705882352941</v>
      </c>
      <c r="L52" s="95">
        <v>17</v>
      </c>
      <c r="M52" s="13">
        <f t="shared" ref="M52" si="36">F52/V52*60</f>
        <v>1912.941176470589</v>
      </c>
      <c r="N52" s="13">
        <f t="shared" si="3"/>
        <v>112.52595155709346</v>
      </c>
      <c r="O52" s="14">
        <f t="shared" si="4"/>
        <v>0</v>
      </c>
      <c r="P52" s="15">
        <f t="shared" si="5"/>
        <v>-5.1211072664359421</v>
      </c>
      <c r="Q52" s="91">
        <f t="shared" si="6"/>
        <v>0.95647058823529452</v>
      </c>
      <c r="R52" s="177">
        <f>Q58</f>
        <v>0.96283339029057158</v>
      </c>
      <c r="S52" s="21">
        <v>0.20833333333333334</v>
      </c>
      <c r="T52" s="21">
        <v>0.2673611111111111</v>
      </c>
      <c r="U52" s="21"/>
      <c r="V52" s="30">
        <f t="shared" ref="V52:V57" si="37">(T52-S52)*24*60</f>
        <v>84.999999999999972</v>
      </c>
      <c r="W52" s="21"/>
      <c r="X52" s="21"/>
      <c r="Y52" s="21"/>
      <c r="Z52" s="21"/>
      <c r="AA52" s="168"/>
      <c r="AB52" s="168"/>
      <c r="AC52" s="18">
        <v>6</v>
      </c>
      <c r="AD52" s="18"/>
      <c r="AE52" s="14">
        <f t="shared" si="8"/>
        <v>-87.058823529411029</v>
      </c>
      <c r="AF52" s="91">
        <f t="shared" si="9"/>
        <v>0.95647058823529452</v>
      </c>
      <c r="AG52" s="177">
        <f>AF58</f>
        <v>0.96283339029057158</v>
      </c>
    </row>
    <row r="53" spans="1:33" ht="15.75" customHeight="1">
      <c r="A53" s="181" t="s">
        <v>1379</v>
      </c>
      <c r="B53" s="28" t="s">
        <v>5</v>
      </c>
      <c r="C53" s="169" t="s">
        <v>40</v>
      </c>
      <c r="D53" s="169"/>
      <c r="E53" s="28">
        <v>56.43</v>
      </c>
      <c r="F53" s="29">
        <v>1733</v>
      </c>
      <c r="G53" s="88">
        <f t="shared" si="35"/>
        <v>97793.19</v>
      </c>
      <c r="H53" s="30" t="s">
        <v>53</v>
      </c>
      <c r="I53" s="95">
        <v>22</v>
      </c>
      <c r="J53" s="13">
        <v>2000</v>
      </c>
      <c r="K53" s="12">
        <f t="shared" si="1"/>
        <v>90.909090909090907</v>
      </c>
      <c r="L53" s="95">
        <v>22</v>
      </c>
      <c r="M53" s="13">
        <f>F53/V53*60</f>
        <v>1925.5555555555566</v>
      </c>
      <c r="N53" s="13">
        <f t="shared" si="3"/>
        <v>87.525252525252569</v>
      </c>
      <c r="O53" s="14">
        <f t="shared" si="4"/>
        <v>0</v>
      </c>
      <c r="P53" s="15">
        <f t="shared" si="5"/>
        <v>-3.3838383838383379</v>
      </c>
      <c r="Q53" s="91">
        <f t="shared" si="6"/>
        <v>0.96277777777777829</v>
      </c>
      <c r="R53" s="177"/>
      <c r="S53" s="21">
        <v>0.27152777777777776</v>
      </c>
      <c r="T53" s="21">
        <v>0.30902777777777773</v>
      </c>
      <c r="U53" s="88">
        <f t="shared" ref="U53:U57" si="38">IF(S53=TIME(17,0,0),"",(S53-T52)*24*60)</f>
        <v>5.9999999999999787</v>
      </c>
      <c r="V53" s="30">
        <f t="shared" si="37"/>
        <v>53.999999999999972</v>
      </c>
      <c r="W53" s="16"/>
      <c r="X53" s="16"/>
      <c r="Y53" s="16"/>
      <c r="Z53" s="16"/>
      <c r="AA53" s="168"/>
      <c r="AB53" s="168"/>
      <c r="AC53" s="18"/>
      <c r="AD53" s="18"/>
      <c r="AE53" s="14">
        <f t="shared" si="8"/>
        <v>-74.444444444443434</v>
      </c>
      <c r="AF53" s="91">
        <f t="shared" si="9"/>
        <v>0.96277777777777829</v>
      </c>
      <c r="AG53" s="177"/>
    </row>
    <row r="54" spans="1:33" ht="15.75" customHeight="1">
      <c r="A54" s="181" t="s">
        <v>1379</v>
      </c>
      <c r="B54" s="28" t="s">
        <v>5</v>
      </c>
      <c r="C54" s="170" t="s">
        <v>41</v>
      </c>
      <c r="D54" s="171"/>
      <c r="E54" s="28">
        <v>51.75</v>
      </c>
      <c r="F54" s="29">
        <v>1078</v>
      </c>
      <c r="G54" s="88">
        <f t="shared" si="35"/>
        <v>55786.5</v>
      </c>
      <c r="H54" s="30" t="s">
        <v>53</v>
      </c>
      <c r="I54" s="95">
        <v>25</v>
      </c>
      <c r="J54" s="13">
        <v>2000</v>
      </c>
      <c r="K54" s="12">
        <f t="shared" si="1"/>
        <v>80</v>
      </c>
      <c r="L54" s="95">
        <v>25</v>
      </c>
      <c r="M54" s="13">
        <f t="shared" ref="M54:M57" si="39">F54/V54*60</f>
        <v>1960.000000000002</v>
      </c>
      <c r="N54" s="13">
        <f t="shared" si="3"/>
        <v>78.400000000000077</v>
      </c>
      <c r="O54" s="14">
        <f t="shared" si="4"/>
        <v>0</v>
      </c>
      <c r="P54" s="15">
        <f t="shared" si="5"/>
        <v>-1.5999999999999233</v>
      </c>
      <c r="Q54" s="91">
        <f t="shared" si="6"/>
        <v>0.98000000000000098</v>
      </c>
      <c r="R54" s="177"/>
      <c r="S54" s="21">
        <v>0.31319444444444439</v>
      </c>
      <c r="T54" s="21">
        <v>0.33611111111111103</v>
      </c>
      <c r="U54" s="88">
        <f t="shared" si="38"/>
        <v>5.9999999999999787</v>
      </c>
      <c r="V54" s="30">
        <f t="shared" si="37"/>
        <v>32.999999999999964</v>
      </c>
      <c r="W54" s="16"/>
      <c r="X54" s="16"/>
      <c r="Y54" s="19"/>
      <c r="Z54" s="19"/>
      <c r="AA54" s="168"/>
      <c r="AB54" s="168"/>
      <c r="AC54" s="18"/>
      <c r="AD54" s="18"/>
      <c r="AE54" s="14">
        <f t="shared" si="8"/>
        <v>-39.999999999997954</v>
      </c>
      <c r="AF54" s="91">
        <f t="shared" si="9"/>
        <v>0.98000000000000098</v>
      </c>
      <c r="AG54" s="177"/>
    </row>
    <row r="55" spans="1:33" ht="15.75" customHeight="1">
      <c r="A55" s="181" t="s">
        <v>1380</v>
      </c>
      <c r="B55" s="28" t="s">
        <v>5</v>
      </c>
      <c r="C55" s="93" t="s">
        <v>42</v>
      </c>
      <c r="D55" s="94"/>
      <c r="E55" s="28">
        <v>57.73</v>
      </c>
      <c r="F55" s="29">
        <v>1037</v>
      </c>
      <c r="G55" s="88">
        <f t="shared" si="35"/>
        <v>59866.009999999995</v>
      </c>
      <c r="H55" s="30" t="s">
        <v>53</v>
      </c>
      <c r="I55" s="95">
        <v>16</v>
      </c>
      <c r="J55" s="13">
        <v>1500</v>
      </c>
      <c r="K55" s="12">
        <f t="shared" si="1"/>
        <v>93.75</v>
      </c>
      <c r="L55" s="95">
        <v>16</v>
      </c>
      <c r="M55" s="13">
        <f t="shared" si="39"/>
        <v>1446.9767441860463</v>
      </c>
      <c r="N55" s="13">
        <f t="shared" si="3"/>
        <v>90.436046511627893</v>
      </c>
      <c r="O55" s="14">
        <f t="shared" si="4"/>
        <v>0</v>
      </c>
      <c r="P55" s="15">
        <f t="shared" si="5"/>
        <v>-3.3139534883721069</v>
      </c>
      <c r="Q55" s="91">
        <f t="shared" si="6"/>
        <v>0.96465116279069751</v>
      </c>
      <c r="R55" s="177"/>
      <c r="S55" s="21">
        <v>0.70833333333333337</v>
      </c>
      <c r="T55" s="21">
        <v>0.73819444444444449</v>
      </c>
      <c r="U55" s="88" t="str">
        <f t="shared" si="38"/>
        <v/>
      </c>
      <c r="V55" s="30">
        <f t="shared" si="37"/>
        <v>43.000000000000007</v>
      </c>
      <c r="W55" s="16"/>
      <c r="X55" s="16"/>
      <c r="Y55" s="19"/>
      <c r="Z55" s="19"/>
      <c r="AA55" s="168"/>
      <c r="AB55" s="168"/>
      <c r="AC55" s="18"/>
      <c r="AD55" s="18"/>
      <c r="AE55" s="14">
        <f t="shared" si="8"/>
        <v>-53.02325581395371</v>
      </c>
      <c r="AF55" s="91">
        <f t="shared" si="9"/>
        <v>0.96465116279069751</v>
      </c>
      <c r="AG55" s="177"/>
    </row>
    <row r="56" spans="1:33" ht="15.75" customHeight="1">
      <c r="A56" s="181" t="s">
        <v>1379</v>
      </c>
      <c r="B56" s="28" t="s">
        <v>5</v>
      </c>
      <c r="C56" s="93" t="s">
        <v>44</v>
      </c>
      <c r="D56" s="94"/>
      <c r="E56" s="28">
        <v>55.56</v>
      </c>
      <c r="F56" s="29">
        <v>2221</v>
      </c>
      <c r="G56" s="88">
        <f t="shared" si="35"/>
        <v>123398.76000000001</v>
      </c>
      <c r="H56" s="30" t="s">
        <v>53</v>
      </c>
      <c r="I56" s="95">
        <v>17</v>
      </c>
      <c r="J56" s="13">
        <v>2000</v>
      </c>
      <c r="K56" s="12">
        <f t="shared" si="1"/>
        <v>117.64705882352941</v>
      </c>
      <c r="L56" s="95">
        <v>17</v>
      </c>
      <c r="M56" s="13">
        <f t="shared" si="39"/>
        <v>1903.7142857142837</v>
      </c>
      <c r="N56" s="13">
        <f t="shared" si="3"/>
        <v>111.9831932773108</v>
      </c>
      <c r="O56" s="14">
        <f t="shared" si="4"/>
        <v>0</v>
      </c>
      <c r="P56" s="15">
        <f t="shared" si="5"/>
        <v>-5.6638655462186023</v>
      </c>
      <c r="Q56" s="91">
        <f t="shared" si="6"/>
        <v>0.95185714285714185</v>
      </c>
      <c r="R56" s="177"/>
      <c r="S56" s="21">
        <v>0.74236111111111114</v>
      </c>
      <c r="T56" s="21">
        <v>0.7909722222222223</v>
      </c>
      <c r="U56" s="88">
        <f t="shared" si="38"/>
        <v>5.9999999999999787</v>
      </c>
      <c r="V56" s="30">
        <f t="shared" si="37"/>
        <v>70.000000000000071</v>
      </c>
      <c r="W56" s="16"/>
      <c r="X56" s="16"/>
      <c r="Y56" s="19"/>
      <c r="Z56" s="19"/>
      <c r="AA56" s="168"/>
      <c r="AB56" s="168"/>
      <c r="AC56" s="18"/>
      <c r="AD56" s="18"/>
      <c r="AE56" s="14">
        <f t="shared" si="8"/>
        <v>-96.285714285716267</v>
      </c>
      <c r="AF56" s="91">
        <f t="shared" si="9"/>
        <v>0.95185714285714185</v>
      </c>
      <c r="AG56" s="177"/>
    </row>
    <row r="57" spans="1:33" ht="15.75" customHeight="1">
      <c r="A57" s="181" t="s">
        <v>1379</v>
      </c>
      <c r="B57" s="28" t="s">
        <v>5</v>
      </c>
      <c r="C57" s="170" t="s">
        <v>45</v>
      </c>
      <c r="D57" s="171"/>
      <c r="E57" s="28">
        <v>55.32</v>
      </c>
      <c r="F57" s="29">
        <v>1699</v>
      </c>
      <c r="G57" s="88">
        <f t="shared" si="35"/>
        <v>93988.680000000008</v>
      </c>
      <c r="H57" s="30" t="s">
        <v>53</v>
      </c>
      <c r="I57" s="95">
        <v>15</v>
      </c>
      <c r="J57" s="13">
        <v>2000</v>
      </c>
      <c r="K57" s="12">
        <f t="shared" si="1"/>
        <v>133.33333333333334</v>
      </c>
      <c r="L57" s="95">
        <v>15</v>
      </c>
      <c r="M57" s="13">
        <f t="shared" si="39"/>
        <v>1923.3962264150955</v>
      </c>
      <c r="N57" s="13">
        <f t="shared" si="3"/>
        <v>128.2264150943397</v>
      </c>
      <c r="O57" s="14">
        <f t="shared" si="4"/>
        <v>0</v>
      </c>
      <c r="P57" s="15">
        <f t="shared" si="5"/>
        <v>-5.1069182389936429</v>
      </c>
      <c r="Q57" s="91">
        <f t="shared" si="6"/>
        <v>0.96169811320754772</v>
      </c>
      <c r="R57" s="177"/>
      <c r="S57" s="21">
        <v>0.79583333333333339</v>
      </c>
      <c r="T57" s="21">
        <v>0.83263888888888893</v>
      </c>
      <c r="U57" s="88">
        <f t="shared" si="38"/>
        <v>6.9999999999999751</v>
      </c>
      <c r="V57" s="30">
        <f t="shared" si="37"/>
        <v>52.999999999999972</v>
      </c>
      <c r="W57" s="16"/>
      <c r="X57" s="16"/>
      <c r="Y57" s="19"/>
      <c r="Z57" s="19"/>
      <c r="AA57" s="172"/>
      <c r="AB57" s="173"/>
      <c r="AC57" s="18"/>
      <c r="AD57" s="18"/>
      <c r="AE57" s="14">
        <f t="shared" si="8"/>
        <v>-76.603773584904502</v>
      </c>
      <c r="AF57" s="91">
        <f t="shared" si="9"/>
        <v>0.96169811320754772</v>
      </c>
      <c r="AG57" s="177"/>
    </row>
    <row r="58" spans="1:33">
      <c r="A58" s="182" t="s">
        <v>1379</v>
      </c>
      <c r="B58" s="28" t="s">
        <v>1381</v>
      </c>
      <c r="C58" s="178"/>
      <c r="D58" s="178"/>
      <c r="E58" s="92"/>
      <c r="F58" s="12"/>
      <c r="G58" s="12"/>
      <c r="H58" s="88"/>
      <c r="I58" s="23">
        <v>18.666666666666668</v>
      </c>
      <c r="J58" s="13">
        <v>1916.6666666666667</v>
      </c>
      <c r="K58" s="12">
        <f t="shared" si="1"/>
        <v>102.67857142857143</v>
      </c>
      <c r="L58" s="23">
        <v>18.666666666666668</v>
      </c>
      <c r="M58" s="13">
        <f>AVERAGE(M52:M57)</f>
        <v>1845.4306647235956</v>
      </c>
      <c r="N58" s="12">
        <f t="shared" si="3"/>
        <v>98.862357038764046</v>
      </c>
      <c r="O58" s="14">
        <f t="shared" si="4"/>
        <v>0</v>
      </c>
      <c r="P58" s="15">
        <f t="shared" si="5"/>
        <v>-3.816214389807385</v>
      </c>
      <c r="Q58" s="91">
        <f t="shared" si="6"/>
        <v>0.96283339029057158</v>
      </c>
      <c r="R58" s="177"/>
      <c r="S58" s="21"/>
      <c r="T58" s="21"/>
      <c r="U58" s="88"/>
      <c r="V58" s="30"/>
      <c r="W58" s="12"/>
      <c r="X58" s="12"/>
      <c r="Y58" s="24">
        <f>SUM(Y52:Y57)</f>
        <v>0</v>
      </c>
      <c r="Z58" s="24">
        <f>SUM(Z52:Z57)</f>
        <v>0</v>
      </c>
      <c r="AA58" s="167"/>
      <c r="AB58" s="167"/>
      <c r="AC58" s="24">
        <v>6</v>
      </c>
      <c r="AD58" s="24">
        <f>SUM(AD52:AD57)</f>
        <v>0</v>
      </c>
      <c r="AE58" s="14">
        <f>M58-J58</f>
        <v>-71.236001943071187</v>
      </c>
      <c r="AF58" s="91">
        <f t="shared" si="9"/>
        <v>0.96283339029057158</v>
      </c>
      <c r="AG58" s="177"/>
    </row>
    <row r="59" spans="1:33" ht="15.75" customHeight="1">
      <c r="A59" s="179" t="s">
        <v>1382</v>
      </c>
      <c r="B59" s="88" t="s">
        <v>33</v>
      </c>
      <c r="C59" s="169" t="s">
        <v>46</v>
      </c>
      <c r="D59" s="169"/>
      <c r="E59" s="28">
        <v>37.85</v>
      </c>
      <c r="F59" s="29">
        <v>1436</v>
      </c>
      <c r="G59" s="88">
        <f t="shared" ref="G59:G64" si="40">E59*F59</f>
        <v>54352.6</v>
      </c>
      <c r="H59" s="30" t="s">
        <v>53</v>
      </c>
      <c r="I59" s="95">
        <v>12</v>
      </c>
      <c r="J59" s="13">
        <v>2000</v>
      </c>
      <c r="K59" s="12">
        <f t="shared" si="1"/>
        <v>166.66666666666666</v>
      </c>
      <c r="L59" s="95">
        <v>12</v>
      </c>
      <c r="M59" s="13">
        <f t="shared" ref="M59:M64" si="41">F59/V59*60</f>
        <v>1914.6666666666667</v>
      </c>
      <c r="N59" s="12">
        <f t="shared" si="3"/>
        <v>159.55555555555557</v>
      </c>
      <c r="O59" s="14">
        <f t="shared" si="4"/>
        <v>0</v>
      </c>
      <c r="P59" s="15">
        <f t="shared" si="5"/>
        <v>-7.1111111111110858</v>
      </c>
      <c r="Q59" s="91">
        <f t="shared" si="6"/>
        <v>0.95733333333333348</v>
      </c>
      <c r="R59" s="177">
        <f>Q65</f>
        <v>0.95494392170070219</v>
      </c>
      <c r="S59" s="21">
        <v>0.20833333333333334</v>
      </c>
      <c r="T59" s="21">
        <v>0.23958333333333334</v>
      </c>
      <c r="U59" s="88"/>
      <c r="V59" s="30">
        <f t="shared" ref="V59:V64" si="42">(T59-S59)*24*60</f>
        <v>45</v>
      </c>
      <c r="W59" s="21"/>
      <c r="X59" s="21"/>
      <c r="Y59" s="21"/>
      <c r="Z59" s="21"/>
      <c r="AA59" s="168"/>
      <c r="AB59" s="168"/>
      <c r="AC59" s="18">
        <v>6</v>
      </c>
      <c r="AD59" s="18"/>
      <c r="AE59" s="14">
        <f t="shared" ref="AE59:AE73" si="43">M59-J59</f>
        <v>-85.333333333333258</v>
      </c>
      <c r="AF59" s="91">
        <f t="shared" si="9"/>
        <v>0.95733333333333337</v>
      </c>
      <c r="AG59" s="177">
        <f>AF65</f>
        <v>0.95494392170070219</v>
      </c>
    </row>
    <row r="60" spans="1:33" ht="15.75" customHeight="1">
      <c r="A60" s="179" t="s">
        <v>1383</v>
      </c>
      <c r="B60" s="88" t="s">
        <v>33</v>
      </c>
      <c r="C60" s="169" t="s">
        <v>47</v>
      </c>
      <c r="D60" s="169"/>
      <c r="E60" s="28">
        <v>34.36</v>
      </c>
      <c r="F60" s="29">
        <v>2436</v>
      </c>
      <c r="G60" s="88">
        <f t="shared" si="40"/>
        <v>83700.959999999992</v>
      </c>
      <c r="H60" s="30" t="s">
        <v>53</v>
      </c>
      <c r="I60" s="95">
        <v>10</v>
      </c>
      <c r="J60" s="13">
        <v>3000</v>
      </c>
      <c r="K60" s="12">
        <f t="shared" si="1"/>
        <v>300</v>
      </c>
      <c r="L60" s="95">
        <v>10</v>
      </c>
      <c r="M60" s="13">
        <f t="shared" si="41"/>
        <v>2865.8823529411779</v>
      </c>
      <c r="N60" s="12">
        <f t="shared" si="3"/>
        <v>286.58823529411779</v>
      </c>
      <c r="O60" s="14">
        <f t="shared" si="4"/>
        <v>0</v>
      </c>
      <c r="P60" s="15">
        <f t="shared" si="5"/>
        <v>-13.411764705882206</v>
      </c>
      <c r="Q60" s="91">
        <f t="shared" si="6"/>
        <v>0.95529411764705929</v>
      </c>
      <c r="R60" s="177"/>
      <c r="S60" s="21">
        <v>0.24444444444444446</v>
      </c>
      <c r="T60" s="21">
        <v>0.27986111111111112</v>
      </c>
      <c r="U60" s="88">
        <f t="shared" ref="U60:U64" si="44">(S60-T59)*24*60</f>
        <v>7.0000000000000151</v>
      </c>
      <c r="V60" s="30">
        <f t="shared" si="42"/>
        <v>50.999999999999979</v>
      </c>
      <c r="W60" s="88"/>
      <c r="X60" s="88"/>
      <c r="Y60" s="88"/>
      <c r="Z60" s="88"/>
      <c r="AA60" s="168"/>
      <c r="AB60" s="168"/>
      <c r="AC60" s="18"/>
      <c r="AD60" s="18"/>
      <c r="AE60" s="14">
        <f t="shared" si="43"/>
        <v>-134.11764705882206</v>
      </c>
      <c r="AF60" s="91">
        <f t="shared" si="9"/>
        <v>0.95529411764705929</v>
      </c>
      <c r="AG60" s="177"/>
    </row>
    <row r="61" spans="1:33" ht="15.75" customHeight="1">
      <c r="A61" s="179" t="s">
        <v>1188</v>
      </c>
      <c r="B61" s="88" t="s">
        <v>33</v>
      </c>
      <c r="C61" s="169" t="s">
        <v>48</v>
      </c>
      <c r="D61" s="169"/>
      <c r="E61" s="28">
        <v>35.119999999999997</v>
      </c>
      <c r="F61" s="29">
        <v>5902</v>
      </c>
      <c r="G61" s="88">
        <f t="shared" si="40"/>
        <v>207278.24</v>
      </c>
      <c r="H61" s="30" t="s">
        <v>53</v>
      </c>
      <c r="I61" s="95">
        <v>10</v>
      </c>
      <c r="J61" s="13">
        <v>3000</v>
      </c>
      <c r="K61" s="12">
        <f t="shared" si="1"/>
        <v>300</v>
      </c>
      <c r="L61" s="95">
        <v>10</v>
      </c>
      <c r="M61" s="13">
        <f t="shared" si="41"/>
        <v>2855.806451612902</v>
      </c>
      <c r="N61" s="12">
        <f t="shared" si="3"/>
        <v>285.58064516129019</v>
      </c>
      <c r="O61" s="14">
        <f t="shared" si="4"/>
        <v>0</v>
      </c>
      <c r="P61" s="15">
        <f t="shared" si="5"/>
        <v>-14.419354838709808</v>
      </c>
      <c r="Q61" s="91">
        <f t="shared" si="6"/>
        <v>0.95193548387096727</v>
      </c>
      <c r="R61" s="177"/>
      <c r="S61" s="21">
        <v>0.28402777777777777</v>
      </c>
      <c r="T61" s="21">
        <v>0.37013888888888891</v>
      </c>
      <c r="U61" s="88">
        <f t="shared" si="44"/>
        <v>5.9999999999999787</v>
      </c>
      <c r="V61" s="30">
        <f t="shared" si="42"/>
        <v>124.00000000000004</v>
      </c>
      <c r="W61" s="88"/>
      <c r="X61" s="88"/>
      <c r="Y61" s="88"/>
      <c r="Z61" s="88"/>
      <c r="AA61" s="168"/>
      <c r="AB61" s="168"/>
      <c r="AC61" s="18"/>
      <c r="AD61" s="18"/>
      <c r="AE61" s="14">
        <f t="shared" si="43"/>
        <v>-144.19354838709796</v>
      </c>
      <c r="AF61" s="91">
        <f t="shared" si="9"/>
        <v>0.95193548387096738</v>
      </c>
      <c r="AG61" s="177"/>
    </row>
    <row r="62" spans="1:33" ht="15.75" customHeight="1">
      <c r="A62" s="179" t="s">
        <v>1188</v>
      </c>
      <c r="B62" s="88" t="s">
        <v>33</v>
      </c>
      <c r="C62" s="169" t="s">
        <v>34</v>
      </c>
      <c r="D62" s="169"/>
      <c r="E62" s="28">
        <v>34.36</v>
      </c>
      <c r="F62" s="29">
        <v>1574</v>
      </c>
      <c r="G62" s="88">
        <f t="shared" si="40"/>
        <v>54082.64</v>
      </c>
      <c r="H62" s="30" t="s">
        <v>53</v>
      </c>
      <c r="I62" s="95">
        <v>10</v>
      </c>
      <c r="J62" s="13">
        <v>3000</v>
      </c>
      <c r="K62" s="12">
        <f t="shared" si="1"/>
        <v>300</v>
      </c>
      <c r="L62" s="95">
        <v>10</v>
      </c>
      <c r="M62" s="13">
        <f t="shared" si="41"/>
        <v>2861.8181818181783</v>
      </c>
      <c r="N62" s="12">
        <f t="shared" si="3"/>
        <v>286.18181818181785</v>
      </c>
      <c r="O62" s="14">
        <f t="shared" si="4"/>
        <v>0</v>
      </c>
      <c r="P62" s="15">
        <f t="shared" si="5"/>
        <v>-13.818181818182154</v>
      </c>
      <c r="Q62" s="91">
        <f t="shared" si="6"/>
        <v>0.95393939393939287</v>
      </c>
      <c r="R62" s="177"/>
      <c r="S62" s="21">
        <v>0.37430555555555556</v>
      </c>
      <c r="T62" s="21">
        <v>0.39722222222222225</v>
      </c>
      <c r="U62" s="88">
        <f t="shared" si="44"/>
        <v>5.9999999999999787</v>
      </c>
      <c r="V62" s="30">
        <f t="shared" si="42"/>
        <v>33.000000000000043</v>
      </c>
      <c r="W62" s="88"/>
      <c r="X62" s="88"/>
      <c r="Y62" s="88"/>
      <c r="Z62" s="88"/>
      <c r="AA62" s="168"/>
      <c r="AB62" s="168"/>
      <c r="AC62" s="18"/>
      <c r="AD62" s="18"/>
      <c r="AE62" s="14">
        <f t="shared" si="43"/>
        <v>-138.18181818182165</v>
      </c>
      <c r="AF62" s="91">
        <f t="shared" si="9"/>
        <v>0.95393939393939275</v>
      </c>
      <c r="AG62" s="177"/>
    </row>
    <row r="63" spans="1:33">
      <c r="A63" s="180" t="s">
        <v>1188</v>
      </c>
      <c r="B63" s="88" t="s">
        <v>33</v>
      </c>
      <c r="C63" s="169" t="s">
        <v>35</v>
      </c>
      <c r="D63" s="169"/>
      <c r="E63" s="28">
        <v>26.78</v>
      </c>
      <c r="F63" s="29">
        <v>2578</v>
      </c>
      <c r="G63" s="88">
        <f t="shared" si="40"/>
        <v>69038.84</v>
      </c>
      <c r="H63" s="30" t="s">
        <v>53</v>
      </c>
      <c r="I63" s="95">
        <v>10</v>
      </c>
      <c r="J63" s="13">
        <v>3000</v>
      </c>
      <c r="K63" s="12">
        <f t="shared" si="1"/>
        <v>300</v>
      </c>
      <c r="L63" s="95">
        <v>10</v>
      </c>
      <c r="M63" s="13">
        <f t="shared" si="41"/>
        <v>2864.4444444444462</v>
      </c>
      <c r="N63" s="12">
        <f t="shared" si="3"/>
        <v>286.44444444444463</v>
      </c>
      <c r="O63" s="14">
        <f t="shared" si="4"/>
        <v>0</v>
      </c>
      <c r="P63" s="15">
        <f t="shared" si="5"/>
        <v>-13.555555555555372</v>
      </c>
      <c r="Q63" s="91">
        <f t="shared" si="6"/>
        <v>0.95481481481481545</v>
      </c>
      <c r="R63" s="177"/>
      <c r="S63" s="21">
        <v>0.40277777777777779</v>
      </c>
      <c r="T63" s="21">
        <v>0.44027777777777777</v>
      </c>
      <c r="U63" s="88">
        <f t="shared" si="44"/>
        <v>7.9999999999999716</v>
      </c>
      <c r="V63" s="30">
        <f t="shared" si="42"/>
        <v>53.999999999999972</v>
      </c>
      <c r="W63" s="16"/>
      <c r="X63" s="16"/>
      <c r="Y63" s="16"/>
      <c r="Z63" s="16"/>
      <c r="AA63" s="168"/>
      <c r="AB63" s="168"/>
      <c r="AC63" s="18"/>
      <c r="AD63" s="18"/>
      <c r="AE63" s="14">
        <f t="shared" si="43"/>
        <v>-135.55555555555384</v>
      </c>
      <c r="AF63" s="91">
        <f t="shared" si="9"/>
        <v>0.95481481481481534</v>
      </c>
      <c r="AG63" s="177"/>
    </row>
    <row r="64" spans="1:33" ht="15" customHeight="1">
      <c r="A64" s="180" t="s">
        <v>1188</v>
      </c>
      <c r="B64" s="88" t="s">
        <v>33</v>
      </c>
      <c r="C64" s="170" t="s">
        <v>71</v>
      </c>
      <c r="D64" s="171"/>
      <c r="E64" s="28">
        <v>28.3</v>
      </c>
      <c r="F64" s="29">
        <v>1675</v>
      </c>
      <c r="G64" s="88">
        <f t="shared" si="40"/>
        <v>47402.5</v>
      </c>
      <c r="H64" s="30" t="s">
        <v>53</v>
      </c>
      <c r="I64" s="95">
        <v>8</v>
      </c>
      <c r="J64" s="13">
        <v>3000</v>
      </c>
      <c r="K64" s="12">
        <f t="shared" si="1"/>
        <v>375</v>
      </c>
      <c r="L64" s="95">
        <v>8</v>
      </c>
      <c r="M64" s="13">
        <f t="shared" si="41"/>
        <v>2871.4285714285688</v>
      </c>
      <c r="N64" s="12">
        <f t="shared" si="3"/>
        <v>358.9285714285711</v>
      </c>
      <c r="O64" s="14">
        <f t="shared" si="4"/>
        <v>0</v>
      </c>
      <c r="P64" s="15">
        <f t="shared" si="5"/>
        <v>-16.071428571428896</v>
      </c>
      <c r="Q64" s="91">
        <f t="shared" si="6"/>
        <v>0.9571428571428563</v>
      </c>
      <c r="R64" s="177"/>
      <c r="S64" s="21">
        <v>0.44444444444444442</v>
      </c>
      <c r="T64" s="21">
        <v>0.46875</v>
      </c>
      <c r="U64" s="88">
        <f t="shared" si="44"/>
        <v>5.9999999999999787</v>
      </c>
      <c r="V64" s="30">
        <f t="shared" si="42"/>
        <v>35.000000000000036</v>
      </c>
      <c r="W64" s="88"/>
      <c r="X64" s="88"/>
      <c r="Y64" s="98"/>
      <c r="Z64" s="98"/>
      <c r="AA64" s="172"/>
      <c r="AB64" s="173"/>
      <c r="AC64" s="18"/>
      <c r="AD64" s="18"/>
      <c r="AE64" s="14">
        <f t="shared" si="43"/>
        <v>-128.57142857143117</v>
      </c>
      <c r="AF64" s="91">
        <f t="shared" si="9"/>
        <v>0.9571428571428563</v>
      </c>
      <c r="AG64" s="177"/>
    </row>
    <row r="65" spans="1:33">
      <c r="A65" s="180" t="s">
        <v>1188</v>
      </c>
      <c r="B65" s="28" t="s">
        <v>1173</v>
      </c>
      <c r="C65" s="178"/>
      <c r="D65" s="178"/>
      <c r="E65" s="92"/>
      <c r="F65" s="12"/>
      <c r="G65" s="12"/>
      <c r="H65" s="88"/>
      <c r="I65" s="23">
        <v>10</v>
      </c>
      <c r="J65" s="13">
        <v>2833.3333333333335</v>
      </c>
      <c r="K65" s="12">
        <f t="shared" si="1"/>
        <v>283.33333333333337</v>
      </c>
      <c r="L65" s="23">
        <v>10</v>
      </c>
      <c r="M65" s="13">
        <f>AVERAGE(M59:M64)</f>
        <v>2705.6744448186564</v>
      </c>
      <c r="N65" s="12">
        <f t="shared" si="3"/>
        <v>270.56744448186566</v>
      </c>
      <c r="O65" s="14">
        <f t="shared" si="4"/>
        <v>0</v>
      </c>
      <c r="P65" s="15">
        <f t="shared" si="5"/>
        <v>-12.765888851467707</v>
      </c>
      <c r="Q65" s="91">
        <f t="shared" si="6"/>
        <v>0.95494392170070219</v>
      </c>
      <c r="R65" s="177"/>
      <c r="S65" s="21"/>
      <c r="T65" s="21"/>
      <c r="U65" s="12"/>
      <c r="V65" s="30"/>
      <c r="W65" s="12"/>
      <c r="X65" s="12"/>
      <c r="Y65" s="24">
        <f>SUM(Y59:Y64)</f>
        <v>0</v>
      </c>
      <c r="Z65" s="24">
        <f>SUM(Z59:Z64)</f>
        <v>0</v>
      </c>
      <c r="AA65" s="167"/>
      <c r="AB65" s="167"/>
      <c r="AC65" s="24">
        <v>6</v>
      </c>
      <c r="AD65" s="24">
        <f>SUM(AD59:AD64)</f>
        <v>0</v>
      </c>
      <c r="AE65" s="14">
        <f t="shared" si="43"/>
        <v>-127.65888851467707</v>
      </c>
      <c r="AF65" s="91">
        <f t="shared" si="9"/>
        <v>0.95494392170070219</v>
      </c>
      <c r="AG65" s="177"/>
    </row>
    <row r="66" spans="1:33" ht="15.75" customHeight="1">
      <c r="A66" s="174" t="s">
        <v>1384</v>
      </c>
      <c r="B66" s="88" t="s">
        <v>22</v>
      </c>
      <c r="C66" s="169" t="s">
        <v>49</v>
      </c>
      <c r="D66" s="169"/>
      <c r="E66" s="28">
        <v>20.2</v>
      </c>
      <c r="F66" s="88">
        <v>2405</v>
      </c>
      <c r="G66" s="88">
        <f t="shared" ref="G66:G72" si="45">E66*F66</f>
        <v>48581</v>
      </c>
      <c r="H66" s="30" t="s">
        <v>53</v>
      </c>
      <c r="I66" s="95">
        <v>15</v>
      </c>
      <c r="J66" s="13">
        <v>2400</v>
      </c>
      <c r="K66" s="12">
        <f t="shared" si="1"/>
        <v>160</v>
      </c>
      <c r="L66" s="95">
        <v>15</v>
      </c>
      <c r="M66" s="13">
        <f t="shared" ref="M66:M72" si="46">F66/V66*60</f>
        <v>2290.4761904761913</v>
      </c>
      <c r="N66" s="12">
        <f t="shared" si="3"/>
        <v>152.69841269841274</v>
      </c>
      <c r="O66" s="14">
        <f t="shared" si="4"/>
        <v>0</v>
      </c>
      <c r="P66" s="15">
        <f t="shared" si="5"/>
        <v>-7.3015873015872614</v>
      </c>
      <c r="Q66" s="91">
        <f t="shared" si="6"/>
        <v>0.95436507936507964</v>
      </c>
      <c r="R66" s="177">
        <f>Q73</f>
        <v>0.95561814850941307</v>
      </c>
      <c r="S66" s="21">
        <v>8.3333333333333329E-2</v>
      </c>
      <c r="T66" s="21">
        <v>0.12708333333333333</v>
      </c>
      <c r="U66" s="21"/>
      <c r="V66" s="30">
        <f t="shared" ref="V66:V72" si="47">(T66-S66)*24*60</f>
        <v>62.999999999999986</v>
      </c>
      <c r="W66" s="16">
        <f>T66</f>
        <v>0.12708333333333333</v>
      </c>
      <c r="X66" s="16">
        <f>S67</f>
        <v>0.14861111111111111</v>
      </c>
      <c r="Y66" s="16"/>
      <c r="Z66" s="16"/>
      <c r="AA66" s="168"/>
      <c r="AB66" s="168"/>
      <c r="AC66" s="18">
        <v>7</v>
      </c>
      <c r="AD66" s="18"/>
      <c r="AE66" s="14">
        <f t="shared" si="43"/>
        <v>-109.52380952380872</v>
      </c>
      <c r="AF66" s="91">
        <f t="shared" si="9"/>
        <v>0.95436507936507975</v>
      </c>
      <c r="AG66" s="177">
        <f>AF73</f>
        <v>0.95561814850941307</v>
      </c>
    </row>
    <row r="67" spans="1:33" ht="15.75" customHeight="1">
      <c r="A67" s="175" t="s">
        <v>1385</v>
      </c>
      <c r="B67" s="88" t="s">
        <v>22</v>
      </c>
      <c r="C67" s="169" t="s">
        <v>50</v>
      </c>
      <c r="D67" s="169"/>
      <c r="E67" s="28">
        <v>24.45</v>
      </c>
      <c r="F67" s="88">
        <v>2829</v>
      </c>
      <c r="G67" s="88">
        <f t="shared" si="45"/>
        <v>69169.05</v>
      </c>
      <c r="H67" s="30" t="s">
        <v>53</v>
      </c>
      <c r="I67" s="95">
        <v>19</v>
      </c>
      <c r="J67" s="13">
        <v>2400</v>
      </c>
      <c r="K67" s="12">
        <f t="shared" si="1"/>
        <v>126.31578947368421</v>
      </c>
      <c r="L67" s="95">
        <v>19</v>
      </c>
      <c r="M67" s="13">
        <f t="shared" si="46"/>
        <v>2293.7837837837833</v>
      </c>
      <c r="N67" s="12">
        <f t="shared" si="3"/>
        <v>120.72546230440965</v>
      </c>
      <c r="O67" s="14">
        <f t="shared" si="4"/>
        <v>0</v>
      </c>
      <c r="P67" s="15">
        <f t="shared" si="5"/>
        <v>-5.5903271692745591</v>
      </c>
      <c r="Q67" s="91">
        <f t="shared" si="6"/>
        <v>0.95574324324324311</v>
      </c>
      <c r="R67" s="177"/>
      <c r="S67" s="21">
        <v>0.14861111111111111</v>
      </c>
      <c r="T67" s="21">
        <v>0.2</v>
      </c>
      <c r="U67" s="88">
        <f t="shared" ref="U67:U72" si="48">(S67-T66)*24*60</f>
        <v>31.000000000000011</v>
      </c>
      <c r="V67" s="30">
        <f t="shared" si="47"/>
        <v>74.000000000000014</v>
      </c>
      <c r="W67" s="16"/>
      <c r="X67" s="16"/>
      <c r="Y67" s="16"/>
      <c r="Z67" s="16"/>
      <c r="AA67" s="168"/>
      <c r="AB67" s="168"/>
      <c r="AC67" s="18"/>
      <c r="AD67" s="18"/>
      <c r="AE67" s="14">
        <f t="shared" si="43"/>
        <v>-106.21621621621671</v>
      </c>
      <c r="AF67" s="91">
        <f t="shared" si="9"/>
        <v>0.955743243243243</v>
      </c>
      <c r="AG67" s="177"/>
    </row>
    <row r="68" spans="1:33" ht="15.75" customHeight="1">
      <c r="A68" s="175" t="s">
        <v>1384</v>
      </c>
      <c r="B68" s="88" t="s">
        <v>22</v>
      </c>
      <c r="C68" s="169" t="s">
        <v>31</v>
      </c>
      <c r="D68" s="169"/>
      <c r="E68" s="28">
        <v>20.21</v>
      </c>
      <c r="F68" s="88">
        <v>3027</v>
      </c>
      <c r="G68" s="88">
        <f t="shared" si="45"/>
        <v>61175.670000000006</v>
      </c>
      <c r="H68" s="30" t="s">
        <v>53</v>
      </c>
      <c r="I68" s="95">
        <v>15</v>
      </c>
      <c r="J68" s="13">
        <v>2400</v>
      </c>
      <c r="K68" s="12">
        <f t="shared" si="1"/>
        <v>160</v>
      </c>
      <c r="L68" s="95">
        <v>15</v>
      </c>
      <c r="M68" s="13">
        <f t="shared" si="46"/>
        <v>2298.9873417721519</v>
      </c>
      <c r="N68" s="12">
        <f t="shared" si="3"/>
        <v>153.26582278481013</v>
      </c>
      <c r="O68" s="14">
        <f t="shared" si="4"/>
        <v>0</v>
      </c>
      <c r="P68" s="15">
        <f t="shared" si="5"/>
        <v>-6.7341772151898738</v>
      </c>
      <c r="Q68" s="91">
        <f t="shared" si="6"/>
        <v>0.95791139240506329</v>
      </c>
      <c r="R68" s="177"/>
      <c r="S68" s="21">
        <v>0.20555555555555557</v>
      </c>
      <c r="T68" s="21">
        <v>0.26041666666666669</v>
      </c>
      <c r="U68" s="88">
        <f t="shared" si="48"/>
        <v>8.0000000000000107</v>
      </c>
      <c r="V68" s="30">
        <f t="shared" si="47"/>
        <v>79</v>
      </c>
      <c r="W68" s="16"/>
      <c r="X68" s="16"/>
      <c r="Y68" s="16"/>
      <c r="Z68" s="16"/>
      <c r="AA68" s="168"/>
      <c r="AB68" s="168"/>
      <c r="AC68" s="18"/>
      <c r="AD68" s="18"/>
      <c r="AE68" s="14">
        <f t="shared" si="43"/>
        <v>-101.01265822784808</v>
      </c>
      <c r="AF68" s="91">
        <f t="shared" si="9"/>
        <v>0.95791139240506329</v>
      </c>
      <c r="AG68" s="177"/>
    </row>
    <row r="69" spans="1:33" ht="15.75" customHeight="1">
      <c r="A69" s="175" t="s">
        <v>1385</v>
      </c>
      <c r="B69" s="88" t="s">
        <v>22</v>
      </c>
      <c r="C69" s="169" t="s">
        <v>51</v>
      </c>
      <c r="D69" s="169"/>
      <c r="E69" s="28">
        <v>24.43</v>
      </c>
      <c r="F69" s="88">
        <v>4100</v>
      </c>
      <c r="G69" s="88">
        <f t="shared" si="45"/>
        <v>100163</v>
      </c>
      <c r="H69" s="30">
        <v>2</v>
      </c>
      <c r="I69" s="95">
        <v>14</v>
      </c>
      <c r="J69" s="13">
        <v>2400</v>
      </c>
      <c r="K69" s="12">
        <f t="shared" ref="K69:K73" si="49">J69/I69</f>
        <v>171.42857142857142</v>
      </c>
      <c r="L69" s="95">
        <v>14</v>
      </c>
      <c r="M69" s="13">
        <f t="shared" si="46"/>
        <v>2299.0654205607475</v>
      </c>
      <c r="N69" s="12">
        <f t="shared" ref="N69:N73" si="50">M69/L69</f>
        <v>164.21895861148195</v>
      </c>
      <c r="O69" s="14">
        <f t="shared" ref="O69:O73" si="51">L69-I69</f>
        <v>0</v>
      </c>
      <c r="P69" s="15">
        <f t="shared" ref="P69:P73" si="52">N69-K69</f>
        <v>-7.2096128170894644</v>
      </c>
      <c r="Q69" s="91">
        <f t="shared" ref="Q69:Q73" si="53">N69/K69</f>
        <v>0.9579439252336448</v>
      </c>
      <c r="R69" s="177"/>
      <c r="S69" s="21">
        <v>0.2638888888888889</v>
      </c>
      <c r="T69" s="21">
        <v>0.33819444444444446</v>
      </c>
      <c r="U69" s="88">
        <f t="shared" si="48"/>
        <v>4.9999999999999822</v>
      </c>
      <c r="V69" s="30">
        <f t="shared" si="47"/>
        <v>107.00000000000001</v>
      </c>
      <c r="W69" s="16"/>
      <c r="X69" s="16"/>
      <c r="Y69" s="16"/>
      <c r="Z69" s="16"/>
      <c r="AA69" s="168"/>
      <c r="AB69" s="168"/>
      <c r="AC69" s="18"/>
      <c r="AD69" s="18"/>
      <c r="AE69" s="14">
        <f t="shared" si="43"/>
        <v>-100.9345794392525</v>
      </c>
      <c r="AF69" s="91">
        <f t="shared" ref="AF69:AF73" si="54">M69/J69</f>
        <v>0.9579439252336448</v>
      </c>
      <c r="AG69" s="177"/>
    </row>
    <row r="70" spans="1:33" ht="15.75" customHeight="1">
      <c r="A70" s="175" t="s">
        <v>1386</v>
      </c>
      <c r="B70" s="88" t="s">
        <v>22</v>
      </c>
      <c r="C70" s="169" t="s">
        <v>52</v>
      </c>
      <c r="D70" s="169"/>
      <c r="E70" s="28">
        <v>19.02</v>
      </c>
      <c r="F70" s="88">
        <v>6200</v>
      </c>
      <c r="G70" s="88">
        <f t="shared" si="45"/>
        <v>117924</v>
      </c>
      <c r="H70" s="30">
        <v>2</v>
      </c>
      <c r="I70" s="95">
        <v>14</v>
      </c>
      <c r="J70" s="13">
        <v>2400</v>
      </c>
      <c r="K70" s="12">
        <f t="shared" si="49"/>
        <v>171.42857142857142</v>
      </c>
      <c r="L70" s="95">
        <v>14</v>
      </c>
      <c r="M70" s="13">
        <f t="shared" si="46"/>
        <v>2296.296296296297</v>
      </c>
      <c r="N70" s="12">
        <f t="shared" si="50"/>
        <v>164.02116402116408</v>
      </c>
      <c r="O70" s="14">
        <f t="shared" si="51"/>
        <v>0</v>
      </c>
      <c r="P70" s="15">
        <f t="shared" si="52"/>
        <v>-7.4074074074073337</v>
      </c>
      <c r="Q70" s="91">
        <f t="shared" si="53"/>
        <v>0.9567901234567906</v>
      </c>
      <c r="R70" s="177"/>
      <c r="S70" s="21">
        <v>0.34166666666666667</v>
      </c>
      <c r="T70" s="21">
        <v>0.45416666666666666</v>
      </c>
      <c r="U70" s="88">
        <f t="shared" si="48"/>
        <v>4.9999999999999822</v>
      </c>
      <c r="V70" s="30">
        <f t="shared" si="47"/>
        <v>161.99999999999997</v>
      </c>
      <c r="W70" s="16">
        <f>T70</f>
        <v>0.45416666666666666</v>
      </c>
      <c r="X70" s="16">
        <f>S71</f>
        <v>0.49513888888888885</v>
      </c>
      <c r="Y70" s="16"/>
      <c r="Z70" s="16"/>
      <c r="AA70" s="168"/>
      <c r="AB70" s="168"/>
      <c r="AC70" s="18"/>
      <c r="AD70" s="18"/>
      <c r="AE70" s="14">
        <f t="shared" si="43"/>
        <v>-103.70370370370301</v>
      </c>
      <c r="AF70" s="91">
        <f t="shared" si="54"/>
        <v>0.95679012345679038</v>
      </c>
      <c r="AG70" s="177"/>
    </row>
    <row r="71" spans="1:33" ht="15.75" customHeight="1">
      <c r="A71" s="175" t="s">
        <v>1384</v>
      </c>
      <c r="B71" s="88" t="s">
        <v>22</v>
      </c>
      <c r="C71" s="169" t="s">
        <v>52</v>
      </c>
      <c r="D71" s="169"/>
      <c r="E71" s="28">
        <v>19.02</v>
      </c>
      <c r="F71" s="88">
        <v>4880</v>
      </c>
      <c r="G71" s="88">
        <f t="shared" si="45"/>
        <v>92817.599999999991</v>
      </c>
      <c r="H71" s="30" t="s">
        <v>53</v>
      </c>
      <c r="I71" s="95">
        <v>14</v>
      </c>
      <c r="J71" s="13">
        <v>2400</v>
      </c>
      <c r="K71" s="12">
        <f t="shared" si="49"/>
        <v>171.42857142857142</v>
      </c>
      <c r="L71" s="95">
        <v>14</v>
      </c>
      <c r="M71" s="13">
        <f t="shared" si="46"/>
        <v>2287.5000000000009</v>
      </c>
      <c r="N71" s="12">
        <f t="shared" si="50"/>
        <v>163.3928571428572</v>
      </c>
      <c r="O71" s="14">
        <f t="shared" si="51"/>
        <v>0</v>
      </c>
      <c r="P71" s="15">
        <f t="shared" si="52"/>
        <v>-8.0357142857142208</v>
      </c>
      <c r="Q71" s="91">
        <f t="shared" si="53"/>
        <v>0.95312500000000033</v>
      </c>
      <c r="R71" s="177"/>
      <c r="S71" s="21">
        <v>0.49513888888888885</v>
      </c>
      <c r="T71" s="21">
        <v>0.5840277777777777</v>
      </c>
      <c r="U71" s="88">
        <f t="shared" si="48"/>
        <v>58.99999999999995</v>
      </c>
      <c r="V71" s="30">
        <f t="shared" si="47"/>
        <v>127.99999999999994</v>
      </c>
      <c r="W71" s="16"/>
      <c r="X71" s="16"/>
      <c r="Y71" s="16"/>
      <c r="Z71" s="16"/>
      <c r="AA71" s="168"/>
      <c r="AB71" s="168"/>
      <c r="AC71" s="18"/>
      <c r="AD71" s="18"/>
      <c r="AE71" s="14">
        <f t="shared" si="43"/>
        <v>-112.49999999999909</v>
      </c>
      <c r="AF71" s="91">
        <f t="shared" si="54"/>
        <v>0.95312500000000033</v>
      </c>
      <c r="AG71" s="177"/>
    </row>
    <row r="72" spans="1:33" ht="15.75" customHeight="1">
      <c r="A72" s="175" t="s">
        <v>1386</v>
      </c>
      <c r="B72" s="88" t="s">
        <v>22</v>
      </c>
      <c r="C72" s="170" t="s">
        <v>51</v>
      </c>
      <c r="D72" s="171"/>
      <c r="E72" s="28">
        <v>24.43</v>
      </c>
      <c r="F72" s="88">
        <v>3318</v>
      </c>
      <c r="G72" s="88">
        <f t="shared" si="45"/>
        <v>81058.740000000005</v>
      </c>
      <c r="H72" s="30" t="s">
        <v>53</v>
      </c>
      <c r="I72" s="95">
        <v>14</v>
      </c>
      <c r="J72" s="13">
        <v>2400</v>
      </c>
      <c r="K72" s="12">
        <f t="shared" si="49"/>
        <v>171.42857142857142</v>
      </c>
      <c r="L72" s="95">
        <v>14</v>
      </c>
      <c r="M72" s="13">
        <f t="shared" si="46"/>
        <v>2288.2758620689651</v>
      </c>
      <c r="N72" s="12">
        <f t="shared" si="50"/>
        <v>163.44827586206893</v>
      </c>
      <c r="O72" s="14">
        <f t="shared" si="51"/>
        <v>0</v>
      </c>
      <c r="P72" s="15">
        <f t="shared" si="52"/>
        <v>-7.9802955665024911</v>
      </c>
      <c r="Q72" s="91">
        <f t="shared" si="53"/>
        <v>0.95344827586206882</v>
      </c>
      <c r="R72" s="177"/>
      <c r="S72" s="21">
        <v>0.58819444444444435</v>
      </c>
      <c r="T72" s="21">
        <v>0.64861111111111103</v>
      </c>
      <c r="U72" s="88">
        <f t="shared" si="48"/>
        <v>5.9999999999999787</v>
      </c>
      <c r="V72" s="30">
        <f t="shared" si="47"/>
        <v>87.000000000000014</v>
      </c>
      <c r="W72" s="16"/>
      <c r="X72" s="16"/>
      <c r="Y72" s="19"/>
      <c r="Z72" s="19"/>
      <c r="AA72" s="172"/>
      <c r="AB72" s="173"/>
      <c r="AC72" s="18"/>
      <c r="AD72" s="18"/>
      <c r="AE72" s="14">
        <f t="shared" si="43"/>
        <v>-111.72413793103487</v>
      </c>
      <c r="AF72" s="91">
        <f t="shared" si="54"/>
        <v>0.95344827586206882</v>
      </c>
      <c r="AG72" s="177"/>
    </row>
    <row r="73" spans="1:33" ht="16.5" customHeight="1">
      <c r="A73" s="176" t="s">
        <v>1384</v>
      </c>
      <c r="B73" s="28" t="s">
        <v>1173</v>
      </c>
      <c r="C73" s="165"/>
      <c r="D73" s="166"/>
      <c r="E73" s="92"/>
      <c r="F73" s="12"/>
      <c r="G73" s="12"/>
      <c r="H73" s="88"/>
      <c r="I73" s="23">
        <v>15</v>
      </c>
      <c r="J73" s="13">
        <v>2400</v>
      </c>
      <c r="K73" s="12">
        <f t="shared" si="49"/>
        <v>160</v>
      </c>
      <c r="L73" s="23">
        <v>15</v>
      </c>
      <c r="M73" s="13">
        <f>AVERAGE(M66:M72)</f>
        <v>2293.4835564225914</v>
      </c>
      <c r="N73" s="12">
        <f t="shared" si="50"/>
        <v>152.89890376150609</v>
      </c>
      <c r="O73" s="14">
        <f t="shared" si="51"/>
        <v>0</v>
      </c>
      <c r="P73" s="15">
        <f t="shared" si="52"/>
        <v>-7.1010962384939091</v>
      </c>
      <c r="Q73" s="91">
        <f t="shared" si="53"/>
        <v>0.95561814850941307</v>
      </c>
      <c r="R73" s="177"/>
      <c r="S73" s="21"/>
      <c r="T73" s="21"/>
      <c r="U73" s="12"/>
      <c r="V73" s="30"/>
      <c r="W73" s="12"/>
      <c r="X73" s="12"/>
      <c r="Y73" s="24">
        <f>SUM(Y66:Y72)</f>
        <v>0</v>
      </c>
      <c r="Z73" s="24">
        <f>SUM(Z66:Z72)</f>
        <v>0</v>
      </c>
      <c r="AA73" s="167"/>
      <c r="AB73" s="167"/>
      <c r="AC73" s="24">
        <v>7</v>
      </c>
      <c r="AD73" s="24">
        <f>SUM(AD66:AD72)</f>
        <v>0</v>
      </c>
      <c r="AE73" s="14">
        <f t="shared" si="43"/>
        <v>-106.51644357740861</v>
      </c>
      <c r="AF73" s="91">
        <f t="shared" si="54"/>
        <v>0.95561814850941307</v>
      </c>
      <c r="AG73" s="177"/>
    </row>
    <row r="74" spans="1:33">
      <c r="D74" s="87"/>
      <c r="E74" s="87"/>
    </row>
  </sheetData>
  <mergeCells count="195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A13:AB13"/>
    <mergeCell ref="A14:A21"/>
    <mergeCell ref="C14:D14"/>
    <mergeCell ref="R14:R21"/>
    <mergeCell ref="AA14:AB14"/>
    <mergeCell ref="AG14:AG21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AG22:AG29"/>
    <mergeCell ref="C23:D23"/>
    <mergeCell ref="AA23:AB23"/>
    <mergeCell ref="C24:D24"/>
    <mergeCell ref="AA24:AB24"/>
    <mergeCell ref="C25:D25"/>
    <mergeCell ref="C17:D17"/>
    <mergeCell ref="AA17:AB17"/>
    <mergeCell ref="C18:D18"/>
    <mergeCell ref="AA18:AB18"/>
    <mergeCell ref="C21:D21"/>
    <mergeCell ref="AA21:AB21"/>
    <mergeCell ref="AA25:AB25"/>
    <mergeCell ref="C26:D26"/>
    <mergeCell ref="AA26:AB26"/>
    <mergeCell ref="C27:D27"/>
    <mergeCell ref="AA27:AB27"/>
    <mergeCell ref="C28:D28"/>
    <mergeCell ref="AA28:AB28"/>
    <mergeCell ref="A22:A29"/>
    <mergeCell ref="C22:D22"/>
    <mergeCell ref="R22:R29"/>
    <mergeCell ref="AA22:AB22"/>
    <mergeCell ref="C29:D29"/>
    <mergeCell ref="AA29:AB29"/>
    <mergeCell ref="A30:A37"/>
    <mergeCell ref="C30:D30"/>
    <mergeCell ref="R30:R37"/>
    <mergeCell ref="AA30:AB30"/>
    <mergeCell ref="AA35:AB35"/>
    <mergeCell ref="C36:D36"/>
    <mergeCell ref="AA36:AB36"/>
    <mergeCell ref="C37:D37"/>
    <mergeCell ref="AG38:AG45"/>
    <mergeCell ref="C39:D39"/>
    <mergeCell ref="AA39:AB39"/>
    <mergeCell ref="C40:D40"/>
    <mergeCell ref="AA40:AB40"/>
    <mergeCell ref="AG30:AG37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C41:D41"/>
    <mergeCell ref="AA41:AB41"/>
    <mergeCell ref="C42:D42"/>
    <mergeCell ref="AA42:AB42"/>
    <mergeCell ref="C43:D43"/>
    <mergeCell ref="AA43:AB43"/>
    <mergeCell ref="AA37:AB37"/>
    <mergeCell ref="A38:A45"/>
    <mergeCell ref="C38:D38"/>
    <mergeCell ref="R38:R45"/>
    <mergeCell ref="AA38:AB38"/>
    <mergeCell ref="C44:D44"/>
    <mergeCell ref="AA44:AB44"/>
    <mergeCell ref="C45:D45"/>
    <mergeCell ref="AA45:AB45"/>
    <mergeCell ref="A46:A51"/>
    <mergeCell ref="C46:D46"/>
    <mergeCell ref="R46:R51"/>
    <mergeCell ref="AA46:AB46"/>
    <mergeCell ref="AA51:AB51"/>
    <mergeCell ref="AG52:AG58"/>
    <mergeCell ref="C53:D53"/>
    <mergeCell ref="AA53:AB53"/>
    <mergeCell ref="C54:D54"/>
    <mergeCell ref="AA54:AB54"/>
    <mergeCell ref="AA55:AB55"/>
    <mergeCell ref="AG46:AG51"/>
    <mergeCell ref="C47:D47"/>
    <mergeCell ref="AA47:AB47"/>
    <mergeCell ref="C48:D48"/>
    <mergeCell ref="AA48:AB48"/>
    <mergeCell ref="C49:D49"/>
    <mergeCell ref="AA49:AB49"/>
    <mergeCell ref="C50:D50"/>
    <mergeCell ref="AA50:AB50"/>
    <mergeCell ref="C51:D51"/>
    <mergeCell ref="AA56:AB56"/>
    <mergeCell ref="C57:D57"/>
    <mergeCell ref="AA57:AB57"/>
    <mergeCell ref="C58:D58"/>
    <mergeCell ref="AA58:AB58"/>
    <mergeCell ref="A59:A65"/>
    <mergeCell ref="C59:D59"/>
    <mergeCell ref="R59:R65"/>
    <mergeCell ref="AA59:AB59"/>
    <mergeCell ref="AA64:AB64"/>
    <mergeCell ref="A52:A58"/>
    <mergeCell ref="C52:D52"/>
    <mergeCell ref="R52:R58"/>
    <mergeCell ref="AA52:AB52"/>
    <mergeCell ref="AG59:AG65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C64:D64"/>
    <mergeCell ref="C65:D65"/>
    <mergeCell ref="AA65:AB65"/>
    <mergeCell ref="A66:A73"/>
    <mergeCell ref="C66:D66"/>
    <mergeCell ref="R66:R73"/>
    <mergeCell ref="AA66:AB66"/>
    <mergeCell ref="AA71:AB71"/>
    <mergeCell ref="C72:D72"/>
    <mergeCell ref="AA72:AB72"/>
    <mergeCell ref="C73:D73"/>
    <mergeCell ref="AA73:AB73"/>
    <mergeCell ref="AG66:AG73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</mergeCells>
  <phoneticPr fontId="3" type="noConversion"/>
  <conditionalFormatting sqref="O5:O73">
    <cfRule type="cellIs" dxfId="114" priority="9" operator="greaterThan">
      <formula>0</formula>
    </cfRule>
  </conditionalFormatting>
  <conditionalFormatting sqref="P5:P73">
    <cfRule type="cellIs" dxfId="113" priority="1" operator="lessThan">
      <formula>0</formula>
    </cfRule>
  </conditionalFormatting>
  <conditionalFormatting sqref="Q5:Q73">
    <cfRule type="cellIs" dxfId="112" priority="10" operator="greaterThan">
      <formula>1</formula>
    </cfRule>
    <cfRule type="cellIs" dxfId="111" priority="11" operator="lessThan">
      <formula>0.8</formula>
    </cfRule>
  </conditionalFormatting>
  <conditionalFormatting sqref="R5:R10 AG5:AG10">
    <cfRule type="cellIs" dxfId="110" priority="54" operator="lessThan">
      <formula>0.8</formula>
    </cfRule>
  </conditionalFormatting>
  <conditionalFormatting sqref="AE5:AE73">
    <cfRule type="cellIs" dxfId="109" priority="17" operator="lessThan">
      <formula>0</formula>
    </cfRule>
  </conditionalFormatting>
  <conditionalFormatting sqref="AF5:AF73">
    <cfRule type="cellIs" dxfId="108" priority="16" operator="lessThan">
      <formula>0.8</formula>
    </cfRule>
    <cfRule type="cellIs" dxfId="107" priority="15" operator="greaterThan">
      <formula>1</formula>
    </cfRule>
  </conditionalFormatting>
  <conditionalFormatting sqref="AG14:AG62 R14:R73">
    <cfRule type="cellIs" dxfId="106" priority="13" operator="lessThan">
      <formula>0.8</formula>
    </cfRule>
  </conditionalFormatting>
  <dataValidations count="1">
    <dataValidation type="list" allowBlank="1" showInputMessage="1" showErrorMessage="1" sqref="AB9 AA5:AB8 AB63:AB64 AB11:AB59 AA9:AA64 AA65:AB73" xr:uid="{00000000-0002-0000-21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Q32"/>
  <sheetViews>
    <sheetView zoomScale="85" zoomScaleNormal="85" workbookViewId="0"/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1189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1190</v>
      </c>
      <c r="C3" s="154" t="str">
        <f>TEXT('0413 4度C'!A2,"yyyy.mm.ddaaaa")</f>
        <v>2026.04.13星期一</v>
      </c>
      <c r="D3" s="155"/>
      <c r="E3" s="33" t="s">
        <v>1191</v>
      </c>
      <c r="F3" s="156">
        <f>'0413 4度C'!D1</f>
        <v>176724</v>
      </c>
      <c r="G3" s="157"/>
      <c r="H3" s="33" t="s">
        <v>78</v>
      </c>
      <c r="I3" s="158">
        <f>'0413 4度C'!F1</f>
        <v>5993543.8699999982</v>
      </c>
      <c r="J3" s="159"/>
      <c r="K3" s="34"/>
      <c r="L3" s="35"/>
      <c r="M3" s="35"/>
      <c r="N3" s="35"/>
    </row>
    <row r="4" spans="2:17" ht="28.5" customHeight="1">
      <c r="B4" s="160" t="s">
        <v>1192</v>
      </c>
      <c r="C4" s="146" t="s">
        <v>1193</v>
      </c>
      <c r="D4" s="147"/>
      <c r="E4" s="163" t="s">
        <v>1194</v>
      </c>
      <c r="F4" s="164"/>
      <c r="G4" s="163" t="s">
        <v>1195</v>
      </c>
      <c r="H4" s="164"/>
      <c r="I4" s="163" t="s">
        <v>83</v>
      </c>
      <c r="J4" s="164"/>
      <c r="K4" s="144" t="s">
        <v>1196</v>
      </c>
      <c r="L4" s="145"/>
      <c r="M4" s="145" t="s">
        <v>1197</v>
      </c>
      <c r="N4" s="145"/>
    </row>
    <row r="5" spans="2:17" ht="28.5" customHeight="1">
      <c r="B5" s="161"/>
      <c r="C5" s="146" t="s">
        <v>1198</v>
      </c>
      <c r="D5" s="147"/>
      <c r="E5" s="146" t="s">
        <v>1199</v>
      </c>
      <c r="F5" s="147"/>
      <c r="G5" s="148" t="s">
        <v>1200</v>
      </c>
      <c r="H5" s="149"/>
      <c r="I5" s="150" t="s">
        <v>1201</v>
      </c>
      <c r="J5" s="151"/>
      <c r="K5" s="36" t="s">
        <v>1202</v>
      </c>
      <c r="L5" s="37" t="s">
        <v>1203</v>
      </c>
      <c r="M5" s="36" t="s">
        <v>1202</v>
      </c>
      <c r="N5" s="37" t="s">
        <v>1204</v>
      </c>
    </row>
    <row r="6" spans="2:17" ht="28.5" customHeight="1">
      <c r="B6" s="161"/>
      <c r="C6" s="146" t="s">
        <v>54</v>
      </c>
      <c r="D6" s="147"/>
      <c r="E6" s="138">
        <f>AVERAGE(D13:M13)</f>
        <v>156.93297139228454</v>
      </c>
      <c r="F6" s="139">
        <f>AVERAGE(D31:O31,D13:J13)</f>
        <v>163.67127781315372</v>
      </c>
      <c r="G6" s="140">
        <f>AVERAGE(D13:J13)</f>
        <v>163.67127781315372</v>
      </c>
      <c r="H6" s="141"/>
      <c r="I6" s="140">
        <f>AVERAGE(K13:M13)</f>
        <v>141.21025641025642</v>
      </c>
      <c r="J6" s="141"/>
      <c r="K6" s="142">
        <f>'0413 4度C'!Y2</f>
        <v>0</v>
      </c>
      <c r="L6" s="127">
        <f>'0413 4度C'!Z2</f>
        <v>0</v>
      </c>
      <c r="M6" s="143">
        <f>'0413 4度C'!AC2</f>
        <v>59</v>
      </c>
      <c r="N6" s="127">
        <f>'0413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150.35014042039913</v>
      </c>
      <c r="F7" s="131">
        <f>AVERAGE(D32:O32,D14:J14)</f>
        <v>156.91575193887391</v>
      </c>
      <c r="G7" s="132">
        <f>AVERAGE(D14:J14)</f>
        <v>156.91575193887391</v>
      </c>
      <c r="H7" s="133"/>
      <c r="I7" s="132">
        <f>AVERAGE(K14:M14)</f>
        <v>135.03038021062466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0.95784415373424658</v>
      </c>
      <c r="F8" s="135">
        <f>AVERAGE(D15:J15,D33:O33)</f>
        <v>0.95858946770750042</v>
      </c>
      <c r="G8" s="136">
        <f>AVERAGE(D15:J15)</f>
        <v>0.95858946770750042</v>
      </c>
      <c r="H8" s="137"/>
      <c r="I8" s="136">
        <f>AVERAGE(K15:M15)</f>
        <v>0.95610508779665437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1205</v>
      </c>
      <c r="N9" s="35"/>
      <c r="O9" s="35"/>
      <c r="P9" s="35"/>
      <c r="Q9" s="35"/>
    </row>
    <row r="10" spans="2:17" ht="30" customHeight="1">
      <c r="B10" s="110" t="s">
        <v>1206</v>
      </c>
      <c r="C10" s="111"/>
      <c r="D10" s="112" t="s">
        <v>1207</v>
      </c>
      <c r="E10" s="113"/>
      <c r="F10" s="113"/>
      <c r="G10" s="113"/>
      <c r="H10" s="113"/>
      <c r="I10" s="113"/>
      <c r="J10" s="114"/>
      <c r="K10" s="115" t="s">
        <v>95</v>
      </c>
      <c r="L10" s="116"/>
      <c r="M10" s="117"/>
      <c r="P10" s="41"/>
      <c r="Q10" s="41"/>
    </row>
    <row r="11" spans="2:17" ht="17.25" customHeight="1">
      <c r="B11" s="118" t="s">
        <v>1208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1209</v>
      </c>
      <c r="C13" s="48" t="s">
        <v>1210</v>
      </c>
      <c r="D13" s="49">
        <f>SUMIFS('0413 4度C'!$K:$K,'0413 4度C'!$A:$A,"新豐6線",'0413 4度C'!$B:$B,"平均")</f>
        <v>119.40298507462687</v>
      </c>
      <c r="E13" s="50">
        <f>SUMIFS('0413 4度C'!$K:$K,'0413 4度C'!$A:$A,"新豐2線",'0413 4度C'!$B:$B,"平均")</f>
        <v>84.905660377358487</v>
      </c>
      <c r="F13" s="51">
        <f>SUMIFS('0413 4度C'!$K:$K,'0413 4度C'!$A:$A,"新豐5線",'0413 4度C'!$B:$B,"平均")</f>
        <v>108.87096774193549</v>
      </c>
      <c r="G13" s="51">
        <f>SUMIFS('0413 4度C'!$K:$K,'0413 4度C'!$A:$A,"新豐7線",'0413 4度C'!$B:$B,"平均")</f>
        <v>127.35849056603774</v>
      </c>
      <c r="H13" s="51">
        <f>SUMIFS('0413 4度C'!$K:$K,'0413 4度C'!$A:$A,"新豐3線",'0413 4度C'!$B:$B,"平均")</f>
        <v>319.14893617021278</v>
      </c>
      <c r="I13" s="51">
        <f>SUMIFS('0413 4度C'!$K:$K,'0413 4度C'!$A:$A,"新豐1線",'0413 4度C'!$B:$B,"平均")</f>
        <v>102.67857142857143</v>
      </c>
      <c r="J13" s="52">
        <f>SUMIFS('0413 4度C'!$K:$K,'0413 4度C'!$A:$A,"新豐10線",'0413 4度C'!$B:$B,"平均")</f>
        <v>283.33333333333337</v>
      </c>
      <c r="K13" s="53">
        <f>SUMIFS('0413 4度C'!$K:$K,'0413 4度C'!$A:$A,"新豐8線",'0413 4度C'!$B:$B,"平均")</f>
        <v>129.23076923076923</v>
      </c>
      <c r="L13" s="54">
        <f>SUMIFS('0413 4度C'!$K:$K,'0413 4度C'!$A:$A,"新豐9線",'0413 4度C'!$B:$B,"平均")</f>
        <v>134.4</v>
      </c>
      <c r="M13" s="52">
        <f>SUMIFS('0413 4度C'!$K:$K,'0413 4度C'!$A:$A,"新豐4線",'0413 4度C'!$B:$B,"平均")</f>
        <v>160</v>
      </c>
    </row>
    <row r="14" spans="2:17" ht="39.6" customHeight="1">
      <c r="B14" s="123"/>
      <c r="C14" s="55" t="s">
        <v>1211</v>
      </c>
      <c r="D14" s="56">
        <f>SUMIFS('0413 4度C'!$N:$N,'0413 4度C'!$A:$A,"新豐6線",'0413 4度C'!$B:$B,"平均")</f>
        <v>114.25521148787185</v>
      </c>
      <c r="E14" s="57">
        <f>SUMIFS('0413 4度C'!$N:$N,'0413 4度C'!$A:$A,"新豐2線",'0413 4度C'!$B:$B,"平均")</f>
        <v>81.041933112535673</v>
      </c>
      <c r="F14" s="57">
        <f>SUMIFS('0413 4度C'!$N:$N,'0413 4度C'!$A:$A,"新豐5線",'0413 4度C'!$B:$B,"平均")</f>
        <v>104.77233666893554</v>
      </c>
      <c r="G14" s="57">
        <f>SUMIFS('0413 4度C'!$N:$N,'0413 4度C'!$A:$A,"新豐7線",'0413 4度C'!$B:$B,"平均")</f>
        <v>122.41751636941889</v>
      </c>
      <c r="H14" s="57">
        <f>SUMIFS('0413 4度C'!$N:$N,'0413 4度C'!$A:$A,"新豐3線",'0413 4度C'!$B:$B,"平均")</f>
        <v>305.8924676841649</v>
      </c>
      <c r="I14" s="57">
        <f>SUMIFS('0413 4度C'!$N:$N,'0413 4度C'!$A:$A,"新豐1線",'0413 4度C'!$B:$B,"平均")</f>
        <v>98.35121300356775</v>
      </c>
      <c r="J14" s="58">
        <f>SUMIFS('0413 4度C'!$N:$N,'0413 4度C'!$A:$A,"新豐10線",'0413 4度C'!$B:$B,"平均")</f>
        <v>271.67958524562289</v>
      </c>
      <c r="K14" s="59">
        <f>SUMIFS('0413 4度C'!$N:$N,'0413 4度C'!$A:$A,"新豐8線",'0413 4度C'!$B:$B,"平均")</f>
        <v>123.27642406387989</v>
      </c>
      <c r="L14" s="60">
        <f>SUMIFS('0413 4度C'!$N:$N,'0413 4度C'!$A:$A,"新豐9線",'0413 4度C'!$B:$B,"平均")</f>
        <v>128.56080285038104</v>
      </c>
      <c r="M14" s="58">
        <f>SUMIFS('0413 4度C'!$N:$N,'0413 4度C'!$A:$A,"新豐4線",'0413 4度C'!$B:$B,"平均")</f>
        <v>153.25391371761299</v>
      </c>
    </row>
    <row r="15" spans="2:17" ht="40.15" customHeight="1">
      <c r="B15" s="124"/>
      <c r="C15" s="61" t="s">
        <v>1212</v>
      </c>
      <c r="D15" s="62">
        <f t="shared" ref="D15:M15" si="0">D14/D13</f>
        <v>0.95688739621092667</v>
      </c>
      <c r="E15" s="63">
        <f t="shared" si="0"/>
        <v>0.9544938788809757</v>
      </c>
      <c r="F15" s="63">
        <f t="shared" si="0"/>
        <v>0.96235331458874118</v>
      </c>
      <c r="G15" s="63">
        <f t="shared" si="0"/>
        <v>0.96120420260432604</v>
      </c>
      <c r="H15" s="63">
        <f t="shared" si="0"/>
        <v>0.95846306541038329</v>
      </c>
      <c r="I15" s="63">
        <f t="shared" si="0"/>
        <v>0.95785529186083374</v>
      </c>
      <c r="J15" s="64">
        <f t="shared" si="0"/>
        <v>0.958869124396316</v>
      </c>
      <c r="K15" s="62">
        <f t="shared" si="0"/>
        <v>0.95392471001811818</v>
      </c>
      <c r="L15" s="63">
        <f t="shared" si="0"/>
        <v>0.95655359263676365</v>
      </c>
      <c r="M15" s="64">
        <f t="shared" si="0"/>
        <v>0.95783696073508118</v>
      </c>
    </row>
    <row r="16" spans="2:17" ht="17.25" customHeight="1">
      <c r="B16" s="125" t="s">
        <v>1213</v>
      </c>
      <c r="C16" s="65" t="s">
        <v>102</v>
      </c>
      <c r="D16" s="66">
        <f>VLOOKUP("新豐6線",'0413 4度C'!$A:$T,19,0)</f>
        <v>0.70833333333333337</v>
      </c>
      <c r="E16" s="67">
        <f>VLOOKUP("新豐2線",'0413 4度C'!$A:$T,19,0)</f>
        <v>0.20833333333333334</v>
      </c>
      <c r="F16" s="67">
        <f>VLOOKUP("新豐5線",'0413 4度C'!$A:$T,19,0)</f>
        <v>0.20833333333333334</v>
      </c>
      <c r="G16" s="67">
        <f>VLOOKUP("新豐7線",'0413 4度C'!$A:$T,19,0)</f>
        <v>0.20833333333333334</v>
      </c>
      <c r="H16" s="67">
        <f>VLOOKUP("新豐3線",'0413 4度C'!$A:$T,19,0)</f>
        <v>8.3333333333333329E-2</v>
      </c>
      <c r="I16" s="67">
        <f>VLOOKUP("新豐1線",'0413 4度C'!$A:$T,19,0)</f>
        <v>0.20833333333333334</v>
      </c>
      <c r="J16" s="68">
        <f>VLOOKUP("新豐10線",'0413 4度C'!$A:$T,19,0)</f>
        <v>0.20833333333333334</v>
      </c>
      <c r="K16" s="69">
        <f>VLOOKUP("新豐8線",'0413 4度C'!$A:$T,19,0)</f>
        <v>8.3333333333333329E-2</v>
      </c>
      <c r="L16" s="70">
        <f>VLOOKUP("新豐9線",'0413 4度C'!$A:$T,19,0)</f>
        <v>8.3333333333333329E-2</v>
      </c>
      <c r="M16" s="71">
        <f>VLOOKUP("新豐4線",'0413 4度C'!$A:$T,19,0)</f>
        <v>8.3333333333333329E-2</v>
      </c>
    </row>
    <row r="17" spans="2:13" ht="17.25" customHeight="1">
      <c r="B17" s="126"/>
      <c r="C17" s="65" t="s">
        <v>1214</v>
      </c>
      <c r="D17" s="69">
        <f>LOOKUP(2,1/(('0413 4度C'!$A:$A="新豐6線")*('0413 4度C'!$T:$T&lt;&gt;"")),'0413 4度C'!$T:$T)</f>
        <v>0.9506944444444444</v>
      </c>
      <c r="E17" s="67">
        <f>LOOKUP(2,1/(('0413 4度C'!$A:$A="新豐2線")*('0413 4度C'!$T:$T&lt;&gt;"")),'0413 4度C'!$T:$T)</f>
        <v>0.64999999999999991</v>
      </c>
      <c r="F17" s="67">
        <f>LOOKUP(2,1/(('0413 4度C'!$A:$A="新豐5線")*('0413 4度C'!$T:$T&lt;&gt;"")),'0413 4度C'!$T:$T)</f>
        <v>0.94513888888888886</v>
      </c>
      <c r="G17" s="67">
        <f>LOOKUP(2,1/(('0413 4度C'!$A:$A="新豐7線")*('0413 4度C'!$T:$T&lt;&gt;"")),'0413 4度C'!$T:$T)</f>
        <v>0.89097222222222228</v>
      </c>
      <c r="H17" s="67">
        <f>LOOKUP(2,1/(('0413 4度C'!$A:$A="新豐3線")*('0413 4度C'!$T:$T&lt;&gt;"")),'0413 4度C'!$T:$T)</f>
        <v>0.46319444444444441</v>
      </c>
      <c r="I17" s="67">
        <f>LOOKUP(2,1/(('0413 4度C'!$A:$A="新豐1線")*('0413 4度C'!$T:$T&lt;&gt;"")),'0413 4度C'!$T:$T)</f>
        <v>0.83888888888888891</v>
      </c>
      <c r="J17" s="68">
        <f>LOOKUP(2,1/(('0413 4度C'!$A:$A="新豐10線")*('0413 4度C'!$T:$T&lt;&gt;"")),'0413 4度C'!$T:$T)</f>
        <v>0.47847222222222224</v>
      </c>
      <c r="K17" s="66">
        <f>LOOKUP(2,1/(('0413 4度C'!$A:$A="新豐8線")*('0413 4度C'!$T:$T&lt;&gt;"")),'0413 4度C'!$T:$T)</f>
        <v>0.64097222222222205</v>
      </c>
      <c r="L17" s="67">
        <f>LOOKUP(2,1/(('0413 4度C'!$A:$A="新豐9線")*('0413 4度C'!$T:$T&lt;&gt;"")),'0413 4度C'!$T:$T)</f>
        <v>0.65416666666666656</v>
      </c>
      <c r="M17" s="68">
        <f>LOOKUP(2,1/(('0413 4度C'!$A:$A="新豐4線")*('0413 4度C'!$T:$T&lt;&gt;"")),'0413 4度C'!$T:$T)</f>
        <v>0.63263888888888875</v>
      </c>
    </row>
    <row r="18" spans="2:13" ht="17.25" customHeight="1">
      <c r="B18" s="104" t="s">
        <v>1215</v>
      </c>
      <c r="C18" s="72" t="s">
        <v>1216</v>
      </c>
      <c r="D18" s="73">
        <f>SUMIFS('0413 4度C'!$Y:$Y,'0413 4度C'!$A:$A,"新豐6線",'0413 4度C'!$B:$B,"平均")</f>
        <v>0</v>
      </c>
      <c r="E18" s="74">
        <f>SUMIFS('0413 4度C'!$Y:$Y,'0413 4度C'!$A:$A,"新豐2線",'0413 4度C'!$B:$B,"平均")</f>
        <v>0</v>
      </c>
      <c r="F18" s="74">
        <f>SUMIFS('0413 4度C'!$Y:$Y,'0413 4度C'!$A:$A,"新豐5線",'0413 4度C'!$B:$B,"平均")</f>
        <v>0</v>
      </c>
      <c r="G18" s="74">
        <f>SUMIFS('0413 4度C'!$Y:$Y,'0413 4度C'!$A:$A,"新豐7線",'0413 4度C'!$B:$B,"平均")</f>
        <v>0</v>
      </c>
      <c r="H18" s="74">
        <f>SUMIFS('0413 4度C'!$Y:$Y,'0413 4度C'!$A:$A,"新豐3線",'0413 4度C'!$B:$B,"平均")</f>
        <v>0</v>
      </c>
      <c r="I18" s="74">
        <f>SUMIFS('0413 4度C'!$Y:$Y,'0413 4度C'!$A:$A,"新豐1線",'0413 4度C'!$B:$B,"平均")</f>
        <v>0</v>
      </c>
      <c r="J18" s="75">
        <f>SUMIFS('0413 4度C'!$Y:$Y,'0413 4度C'!$A:$A,"新豐10線",'0413 4度C'!$B:$B,"平均")</f>
        <v>0</v>
      </c>
      <c r="K18" s="76">
        <f>SUMIFS('0413 4度C'!$Y:$Y,'0413 4度C'!$A:$A,"新豐8線",'0413 4度C'!$B:$B,"平均")</f>
        <v>0</v>
      </c>
      <c r="L18" s="74">
        <f>SUMIFS('0413 4度C'!$Y:$Y,'0413 4度C'!$A:$A,"新豐9線",'0413 4度C'!$B:$B,"平均")</f>
        <v>0</v>
      </c>
      <c r="M18" s="75">
        <f>SUMIFS('0413 4度C'!$Y:$Y,'0413 4度C'!$A:$A,"新豐4線",'0413 4度C'!$B:$B,"平均")</f>
        <v>0</v>
      </c>
    </row>
    <row r="19" spans="2:13" ht="17.25" customHeight="1">
      <c r="B19" s="105"/>
      <c r="C19" s="72" t="s">
        <v>1217</v>
      </c>
      <c r="D19" s="73">
        <f>SUMIFS('0413 4度C'!$Z:$Z,'0413 4度C'!$A:$A,"新豐6線",'0413 4度C'!$B:$B,"平均")</f>
        <v>0</v>
      </c>
      <c r="E19" s="74">
        <f>SUMIFS('0413 4度C'!$Z:$Z,'0413 4度C'!$A:$A,"新豐2線",'0413 4度C'!$B:$B,"平均")</f>
        <v>0</v>
      </c>
      <c r="F19" s="74">
        <f>SUMIFS('0413 4度C'!$Z:$Z,'0413 4度C'!$A:$A,"新豐5線",'0413 4度C'!$B:$B,"平均")</f>
        <v>0</v>
      </c>
      <c r="G19" s="74">
        <f>SUMIFS('0413 4度C'!$Z:$Z,'0413 4度C'!$A:$A,"新豐7線",'0413 4度C'!$B:$B,"平均")</f>
        <v>0</v>
      </c>
      <c r="H19" s="74">
        <f>SUMIFS('0413 4度C'!$Z:$Z,'0413 4度C'!$A:$A,"新豐3線",'0413 4度C'!$B:$B,"平均")</f>
        <v>0</v>
      </c>
      <c r="I19" s="74">
        <f>SUMIFS('0413 4度C'!$Z:$Z,'0413 4度C'!$A:$A,"新豐1線",'0413 4度C'!$B:$B,"平均")</f>
        <v>0</v>
      </c>
      <c r="J19" s="75">
        <f>SUMIFS('0413 4度C'!$Z:$Z,'0413 4度C'!$A:$A,"新豐10線",'0413 4度C'!$B:$B,"平均")</f>
        <v>0</v>
      </c>
      <c r="K19" s="76">
        <f>SUMIFS('0413 4度C'!$Z:$Z,'0413 4度C'!$A:$A,"新豐8線",'0413 4度C'!$B:$B,"平均")</f>
        <v>0</v>
      </c>
      <c r="L19" s="74">
        <f>SUMIFS('0413 4度C'!$Z:$Z,'0413 4度C'!$A:$A,"新豐9線",'0413 4度C'!$B:$B,"平均")</f>
        <v>0</v>
      </c>
      <c r="M19" s="75">
        <f>SUMIFS('0413 4度C'!$Z:$Z,'0413 4度C'!$A:$A,"新豐4線",'0413 4度C'!$B:$B,"平均")</f>
        <v>0</v>
      </c>
    </row>
    <row r="20" spans="2:13" ht="17.25" customHeight="1">
      <c r="B20" s="104" t="s">
        <v>1218</v>
      </c>
      <c r="C20" s="72" t="s">
        <v>1216</v>
      </c>
      <c r="D20" s="73">
        <f>SUMIFS('0413 4度C'!$AC:$AC,'0413 4度C'!$A:$A,"新豐6線",'0413 4度C'!$B:$B,"平均")</f>
        <v>4</v>
      </c>
      <c r="E20" s="74">
        <f>SUMIFS('0413 4度C'!$AC:$AC,'0413 4度C'!$A:$A,"新豐2線",'0413 4度C'!$B:$B,"平均")</f>
        <v>3</v>
      </c>
      <c r="F20" s="74">
        <f>SUMIFS('0413 4度C'!$AC:$AC,'0413 4度C'!$A:$A,"新豐5線",'0413 4度C'!$B:$B,"平均")</f>
        <v>7</v>
      </c>
      <c r="G20" s="74">
        <f>SUMIFS('0413 4度C'!$AC:$AC,'0413 4度C'!$A:$A,"新豐7線",'0413 4度C'!$B:$B,"平均")</f>
        <v>7</v>
      </c>
      <c r="H20" s="74">
        <f>SUMIFS('0413 4度C'!$AC:$AC,'0413 4度C'!$A:$A,"新豐3線",'0413 4度C'!$B:$B,"平均")</f>
        <v>5</v>
      </c>
      <c r="I20" s="74">
        <f>SUMIFS('0413 4度C'!$AC:$AC,'0413 4度C'!$A:$A,"新豐1線",'0413 4度C'!$B:$B,"平均")</f>
        <v>6</v>
      </c>
      <c r="J20" s="75">
        <f>SUMIFS('0413 4度C'!$AC:$AC,'0413 4度C'!$A:$A,"新豐10線",'0413 4度C'!$B:$B,"平均")</f>
        <v>6</v>
      </c>
      <c r="K20" s="76">
        <f>SUMIFS('0413 4度C'!$AC:$AC,'0413 4度C'!$A:$A,"新豐8線",'0413 4度C'!$B:$B,"平均")</f>
        <v>7</v>
      </c>
      <c r="L20" s="74">
        <f>SUMIFS('0413 4度C'!$AC:$AC,'0413 4度C'!$A:$A,"新豐9線",'0413 4度C'!$B:$B,"平均")</f>
        <v>7</v>
      </c>
      <c r="M20" s="75">
        <f>SUMIFS('0413 4度C'!$AC:$AC,'0413 4度C'!$A:$A,"新豐4線",'0413 4度C'!$B:$B,"平均")</f>
        <v>7</v>
      </c>
    </row>
    <row r="21" spans="2:13" ht="17.25" customHeight="1">
      <c r="B21" s="105"/>
      <c r="C21" s="72" t="s">
        <v>108</v>
      </c>
      <c r="D21" s="73">
        <f>SUMIFS('0413 4度C'!$AD:$AD,'0413 4度C'!$A:$A,"新豐6線",'0413 4度C'!$B:$B,"平均")</f>
        <v>0</v>
      </c>
      <c r="E21" s="74">
        <f>SUMIFS('0413 4度C'!$AD:$AD,'0413 4度C'!$A:$A,"新豐2線",'0413 4度C'!$B:$B,"平均")</f>
        <v>0</v>
      </c>
      <c r="F21" s="74">
        <f>SUMIFS('0413 4度C'!$AD:$AD,'0413 4度C'!$A:$A,"新豐5線",'0413 4度C'!$B:$B,"平均")</f>
        <v>0</v>
      </c>
      <c r="G21" s="74">
        <f>SUMIFS('0413 4度C'!$AD:$AD,'0413 4度C'!$A:$A,"新豐7線",'0413 4度C'!$B:$B,"平均")</f>
        <v>0</v>
      </c>
      <c r="H21" s="74">
        <f>SUMIFS('0413 4度C'!$AD:$AD,'0413 4度C'!$A:$A,"新豐3線",'0413 4度C'!$B:$B,"平均")</f>
        <v>0</v>
      </c>
      <c r="I21" s="74">
        <f>SUMIFS('0413 4度C'!$AD:$AD,'0413 4度C'!$A:$A,"新豐1線",'0413 4度C'!$B:$B,"平均")</f>
        <v>0</v>
      </c>
      <c r="J21" s="75">
        <f>SUMIFS('0413 4度C'!$AD:$AD,'0413 4度C'!$A:$A,"新豐10線",'0413 4度C'!$B:$B,"平均")</f>
        <v>0</v>
      </c>
      <c r="K21" s="76">
        <f>SUMIFS('0413 4度C'!$AD:$AD,'0413 4度C'!$A:$A,"新豐8線",'0413 4度C'!$B:$B,"平均")</f>
        <v>0</v>
      </c>
      <c r="L21" s="74">
        <f>SUMIFS('0413 4度C'!$AD:$AD,'0413 4度C'!$A:$A,"新豐9線",'0413 4度C'!$B:$B,"平均")</f>
        <v>0</v>
      </c>
      <c r="M21" s="75">
        <f>SUMIFS('0413 4度C'!$AD:$AD,'0413 4度C'!$A:$A,"新豐4線",'0413 4度C'!$B:$B,"平均")</f>
        <v>0</v>
      </c>
    </row>
    <row r="22" spans="2:13" ht="17.25" customHeight="1">
      <c r="B22" s="106" t="s">
        <v>1219</v>
      </c>
      <c r="C22" s="107"/>
      <c r="D22" s="77">
        <f>SUMIFS('0413 4度C'!$I:$I,'0413 4度C'!$A:$A,"新豐6線",'0413 4度C'!$B:$B,"平均")</f>
        <v>16.75</v>
      </c>
      <c r="E22" s="78">
        <f>SUMIFS('0413 4度C'!$I:$I,'0413 4度C'!$A:$A,"新豐2線",'0413 4度C'!$B:$B,"平均")</f>
        <v>17.666666666666668</v>
      </c>
      <c r="F22" s="78">
        <f>SUMIFS('0413 4度C'!$I:$I,'0413 4度C'!$A:$A,"新豐5線",'0413 4度C'!$B:$B,"平均")</f>
        <v>17.714285714285715</v>
      </c>
      <c r="G22" s="78">
        <f>SUMIFS('0413 4度C'!$I:$I,'0413 4度C'!$A:$A,"新豐7線",'0413 4度C'!$B:$B,"平均")</f>
        <v>15.142857142857142</v>
      </c>
      <c r="H22" s="78">
        <f>SUMIFS('0413 4度C'!$I:$I,'0413 4度C'!$A:$A,"新豐3線",'0413 4度C'!$B:$B,"平均")</f>
        <v>9.4</v>
      </c>
      <c r="I22" s="78">
        <f>SUMIFS('0413 4度C'!$I:$I,'0413 4度C'!$A:$A,"新豐1線",'0413 4度C'!$B:$B,"平均")</f>
        <v>18.666666666666668</v>
      </c>
      <c r="J22" s="79">
        <f>SUMIFS('0413 4度C'!$I:$I,'0413 4度C'!$A:$A,"新豐10線",'0413 4度C'!$B:$B,"平均")</f>
        <v>10</v>
      </c>
      <c r="K22" s="77">
        <f>SUMIFS('0413 4度C'!$I:$I,'0413 4度C'!$A:$A,"新豐8線",'0413 4度C'!$B:$B,"平均")</f>
        <v>18.571428571428573</v>
      </c>
      <c r="L22" s="78">
        <f>SUMIFS('0413 4度C'!$I:$I,'0413 4度C'!$A:$A,"新豐9線",'0413 4度C'!$B:$B,"平均")</f>
        <v>17.857142857142858</v>
      </c>
      <c r="M22" s="79">
        <f>SUMIFS('0413 4度C'!$I:$I,'0413 4度C'!$A:$A,"新豐4線",'0413 4度C'!$B:$B,"平均")</f>
        <v>15</v>
      </c>
    </row>
    <row r="23" spans="2:13" ht="17.25" customHeight="1">
      <c r="B23" s="106" t="s">
        <v>1220</v>
      </c>
      <c r="C23" s="107"/>
      <c r="D23" s="80" t="s">
        <v>67</v>
      </c>
      <c r="E23" s="81" t="s">
        <v>68</v>
      </c>
      <c r="F23" s="81" t="s">
        <v>1221</v>
      </c>
      <c r="G23" s="81" t="s">
        <v>1221</v>
      </c>
      <c r="H23" s="81" t="s">
        <v>69</v>
      </c>
      <c r="I23" s="81" t="s">
        <v>67</v>
      </c>
      <c r="J23" s="82" t="s">
        <v>69</v>
      </c>
      <c r="K23" s="80" t="s">
        <v>1222</v>
      </c>
      <c r="L23" s="81" t="s">
        <v>215</v>
      </c>
      <c r="M23" s="82" t="s">
        <v>215</v>
      </c>
    </row>
    <row r="24" spans="2:13" ht="17.25" customHeight="1">
      <c r="B24" s="106" t="s">
        <v>1223</v>
      </c>
      <c r="C24" s="107"/>
      <c r="D24" s="80"/>
      <c r="E24" s="81"/>
      <c r="F24" s="81" t="s">
        <v>1224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1225</v>
      </c>
      <c r="C25" s="109"/>
      <c r="D25" s="83"/>
      <c r="E25" s="84" t="s">
        <v>1226</v>
      </c>
      <c r="F25" s="102" t="s">
        <v>1227</v>
      </c>
      <c r="G25" s="103"/>
      <c r="H25" s="84" t="s">
        <v>1228</v>
      </c>
      <c r="I25" s="84" t="s">
        <v>1229</v>
      </c>
      <c r="J25" s="85" t="s">
        <v>1230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0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AG74"/>
  <sheetViews>
    <sheetView topLeftCell="R1" zoomScale="80" zoomScaleNormal="80" workbookViewId="0">
      <pane ySplit="4" topLeftCell="A5" activePane="bottomLeft" state="frozen"/>
      <selection pane="bottomLeft" activeCell="AA6" sqref="AA6:AB6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1231</v>
      </c>
      <c r="B1" s="1"/>
      <c r="C1" s="2" t="s">
        <v>1232</v>
      </c>
      <c r="D1" s="3">
        <f>SUM(F5:F73)</f>
        <v>176724</v>
      </c>
      <c r="E1" s="88" t="s">
        <v>1233</v>
      </c>
      <c r="F1" s="1">
        <f>SUM(G5:G73)</f>
        <v>5993543.8699999982</v>
      </c>
      <c r="G1" s="1" t="s">
        <v>1234</v>
      </c>
      <c r="H1" s="4">
        <f>L9+L13+L51+L58+L21+L65+L37+L45+L29+L73</f>
        <v>156.76904761904763</v>
      </c>
      <c r="I1" s="215" t="s">
        <v>1235</v>
      </c>
      <c r="J1" s="215"/>
      <c r="K1" s="215"/>
      <c r="L1" s="215" t="s">
        <v>1236</v>
      </c>
      <c r="M1" s="215"/>
      <c r="N1" s="215"/>
      <c r="O1" s="215" t="s">
        <v>1237</v>
      </c>
      <c r="P1" s="215"/>
      <c r="Q1" s="215"/>
      <c r="R1" s="215"/>
      <c r="S1" s="215" t="s">
        <v>1238</v>
      </c>
      <c r="T1" s="215"/>
      <c r="U1" s="215"/>
      <c r="V1" s="215"/>
      <c r="W1" s="215"/>
      <c r="X1" s="215"/>
      <c r="Y1" s="5" t="s">
        <v>1239</v>
      </c>
      <c r="Z1" s="6" t="s">
        <v>1240</v>
      </c>
      <c r="AA1" s="216" t="s">
        <v>1241</v>
      </c>
      <c r="AB1" s="216"/>
      <c r="AC1" s="97" t="s">
        <v>1239</v>
      </c>
      <c r="AD1" s="6" t="s">
        <v>1242</v>
      </c>
      <c r="AE1" s="215" t="s">
        <v>1243</v>
      </c>
      <c r="AF1" s="217"/>
      <c r="AG1" s="217"/>
    </row>
    <row r="2" spans="1:33" ht="26.25" customHeight="1">
      <c r="A2" s="26">
        <v>46125</v>
      </c>
      <c r="B2" s="27" t="s">
        <v>597</v>
      </c>
      <c r="C2" s="2" t="s">
        <v>1209</v>
      </c>
      <c r="D2" s="8">
        <f>AVERAGE(N9,N13,N51,N58,N21,N65,N29,N37,N45,N73)</f>
        <v>150.35014042039913</v>
      </c>
      <c r="E2" s="9" t="s">
        <v>0</v>
      </c>
      <c r="F2" s="10">
        <f>F1/D1</f>
        <v>33.914713734410711</v>
      </c>
      <c r="G2" s="1" t="s">
        <v>1244</v>
      </c>
      <c r="H2" s="96">
        <f>COUNT(H5:H73)</f>
        <v>11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SUM(Y9+Y13+Y21+Y29+Y37+Y45+Y51+Y58+Y65+Y73)</f>
        <v>0</v>
      </c>
      <c r="Z2" s="11">
        <f>SUM(Z9+Z13+Z21+Z29+Z37+Z45+Z51+Z58+Z65+Z73)</f>
        <v>0</v>
      </c>
      <c r="AA2" s="216"/>
      <c r="AB2" s="216"/>
      <c r="AC2" s="11">
        <v>59</v>
      </c>
      <c r="AD2" s="11">
        <f>SUM(AD9+AD13+AD21+AD29+AD37+AD45+AD51+AD58+AD65+AD73)</f>
        <v>0</v>
      </c>
      <c r="AE2" s="217"/>
      <c r="AF2" s="217"/>
      <c r="AG2" s="217"/>
    </row>
    <row r="3" spans="1:33" ht="40.5" customHeight="1">
      <c r="A3" s="168" t="s">
        <v>1245</v>
      </c>
      <c r="B3" s="168" t="s">
        <v>1246</v>
      </c>
      <c r="C3" s="168" t="s">
        <v>1247</v>
      </c>
      <c r="D3" s="168"/>
      <c r="E3" s="213" t="s">
        <v>1248</v>
      </c>
      <c r="F3" s="168" t="s">
        <v>1249</v>
      </c>
      <c r="G3" s="213" t="s">
        <v>1250</v>
      </c>
      <c r="H3" s="207" t="s">
        <v>1251</v>
      </c>
      <c r="I3" s="205" t="s">
        <v>1252</v>
      </c>
      <c r="J3" s="202" t="s">
        <v>1253</v>
      </c>
      <c r="K3" s="212" t="s">
        <v>1209</v>
      </c>
      <c r="L3" s="205" t="s">
        <v>1252</v>
      </c>
      <c r="M3" s="202" t="s">
        <v>1253</v>
      </c>
      <c r="N3" s="212" t="s">
        <v>1209</v>
      </c>
      <c r="O3" s="205" t="s">
        <v>1252</v>
      </c>
      <c r="P3" s="212" t="s">
        <v>1209</v>
      </c>
      <c r="Q3" s="203" t="s">
        <v>1254</v>
      </c>
      <c r="R3" s="181" t="s">
        <v>1255</v>
      </c>
      <c r="S3" s="168" t="s">
        <v>1</v>
      </c>
      <c r="T3" s="168"/>
      <c r="U3" s="207" t="s">
        <v>2</v>
      </c>
      <c r="V3" s="207" t="s">
        <v>1256</v>
      </c>
      <c r="W3" s="168" t="s">
        <v>1257</v>
      </c>
      <c r="X3" s="168"/>
      <c r="Y3" s="208" t="s">
        <v>1258</v>
      </c>
      <c r="Z3" s="167"/>
      <c r="AA3" s="209" t="s">
        <v>1259</v>
      </c>
      <c r="AB3" s="210"/>
      <c r="AC3" s="208" t="s">
        <v>1260</v>
      </c>
      <c r="AD3" s="167"/>
      <c r="AE3" s="202" t="s">
        <v>1261</v>
      </c>
      <c r="AF3" s="203" t="s">
        <v>1262</v>
      </c>
      <c r="AG3" s="181" t="s">
        <v>1263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1264</v>
      </c>
      <c r="X4" s="88" t="s">
        <v>1265</v>
      </c>
      <c r="Y4" s="90" t="s">
        <v>1216</v>
      </c>
      <c r="Z4" s="90" t="s">
        <v>1266</v>
      </c>
      <c r="AA4" s="211"/>
      <c r="AB4" s="210"/>
      <c r="AC4" s="90" t="s">
        <v>1267</v>
      </c>
      <c r="AD4" s="90" t="s">
        <v>1268</v>
      </c>
      <c r="AE4" s="202"/>
      <c r="AF4" s="203"/>
      <c r="AG4" s="181"/>
    </row>
    <row r="5" spans="1:33">
      <c r="A5" s="204" t="s">
        <v>1269</v>
      </c>
      <c r="B5" s="28" t="s">
        <v>5</v>
      </c>
      <c r="C5" s="206" t="s">
        <v>6</v>
      </c>
      <c r="D5" s="206"/>
      <c r="E5" s="28">
        <v>50.67</v>
      </c>
      <c r="F5" s="88">
        <v>1662</v>
      </c>
      <c r="G5" s="88">
        <f t="shared" ref="G5:G8" si="0">E5*F5</f>
        <v>84213.540000000008</v>
      </c>
      <c r="H5" s="30" t="s">
        <v>53</v>
      </c>
      <c r="I5" s="95">
        <v>17</v>
      </c>
      <c r="J5" s="13">
        <v>2000</v>
      </c>
      <c r="K5" s="12">
        <f t="shared" ref="K5:K68" si="1">J5/I5</f>
        <v>117.64705882352941</v>
      </c>
      <c r="L5" s="95">
        <v>17</v>
      </c>
      <c r="M5" s="13">
        <f t="shared" ref="M5:M8" si="2">F5/V5*60</f>
        <v>1917.6923076923088</v>
      </c>
      <c r="N5" s="12">
        <f t="shared" ref="N5:N68" si="3">M5/L5</f>
        <v>112.80542986425345</v>
      </c>
      <c r="O5" s="14">
        <f t="shared" ref="O5:O68" si="4">L5-I5</f>
        <v>0</v>
      </c>
      <c r="P5" s="15">
        <f t="shared" ref="P5:P68" si="5">N5-K5</f>
        <v>-4.8416289592759512</v>
      </c>
      <c r="Q5" s="91">
        <f t="shared" ref="Q5:Q68" si="6">N5/K5</f>
        <v>0.95884615384615446</v>
      </c>
      <c r="R5" s="177">
        <f>Q9</f>
        <v>0.95688739621092667</v>
      </c>
      <c r="S5" s="21">
        <v>0.70833333333333337</v>
      </c>
      <c r="T5" s="21">
        <v>0.74444444444444446</v>
      </c>
      <c r="U5" s="88"/>
      <c r="V5" s="30">
        <f t="shared" ref="V5:V8" si="7">(T5-S5)*24*60</f>
        <v>51.999999999999972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57" si="8">M5-J5</f>
        <v>-82.307692307691241</v>
      </c>
      <c r="AF5" s="91">
        <f t="shared" ref="AF5:AF68" si="9">M5/J5</f>
        <v>0.95884615384615435</v>
      </c>
      <c r="AG5" s="177">
        <f>AF9</f>
        <v>0.95688739621092667</v>
      </c>
    </row>
    <row r="6" spans="1:33">
      <c r="A6" s="205" t="s">
        <v>1269</v>
      </c>
      <c r="B6" s="28" t="s">
        <v>5</v>
      </c>
      <c r="C6" s="206" t="s">
        <v>7</v>
      </c>
      <c r="D6" s="206"/>
      <c r="E6" s="28">
        <v>54.09</v>
      </c>
      <c r="F6" s="88">
        <v>1377</v>
      </c>
      <c r="G6" s="88">
        <f t="shared" si="0"/>
        <v>74481.930000000008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1921.395348837209</v>
      </c>
      <c r="N6" s="12">
        <f t="shared" si="3"/>
        <v>101.12607099143206</v>
      </c>
      <c r="O6" s="14">
        <f t="shared" si="4"/>
        <v>0</v>
      </c>
      <c r="P6" s="15">
        <f t="shared" si="5"/>
        <v>-4.1370869033047768</v>
      </c>
      <c r="Q6" s="91">
        <f t="shared" si="6"/>
        <v>0.96069767441860465</v>
      </c>
      <c r="R6" s="177"/>
      <c r="S6" s="21">
        <v>0.74861111111111112</v>
      </c>
      <c r="T6" s="21">
        <v>0.77847222222222223</v>
      </c>
      <c r="U6" s="88">
        <f t="shared" ref="U6:U8" si="10">IF(S6=TIME(17,0,0),"",(S6-T5)*24*60)</f>
        <v>5.9999999999999787</v>
      </c>
      <c r="V6" s="30">
        <f t="shared" si="7"/>
        <v>43.000000000000007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-78.604651162791015</v>
      </c>
      <c r="AF6" s="91">
        <f t="shared" si="9"/>
        <v>0.96069767441860454</v>
      </c>
      <c r="AG6" s="177"/>
    </row>
    <row r="7" spans="1:33">
      <c r="A7" s="205" t="s">
        <v>1269</v>
      </c>
      <c r="B7" s="28" t="s">
        <v>5</v>
      </c>
      <c r="C7" s="200" t="s">
        <v>16</v>
      </c>
      <c r="D7" s="201"/>
      <c r="E7" s="28">
        <v>50.67</v>
      </c>
      <c r="F7" s="88">
        <v>1807</v>
      </c>
      <c r="G7" s="88">
        <f t="shared" si="0"/>
        <v>91560.69</v>
      </c>
      <c r="H7" s="30" t="s">
        <v>53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1902.1052631578962</v>
      </c>
      <c r="N7" s="12">
        <f t="shared" si="3"/>
        <v>126.80701754385974</v>
      </c>
      <c r="O7" s="14">
        <f t="shared" si="4"/>
        <v>0</v>
      </c>
      <c r="P7" s="15">
        <f t="shared" si="5"/>
        <v>-6.5263157894735997</v>
      </c>
      <c r="Q7" s="91">
        <f t="shared" si="6"/>
        <v>0.95105263157894804</v>
      </c>
      <c r="R7" s="177"/>
      <c r="S7" s="21">
        <v>0.78194444444444444</v>
      </c>
      <c r="T7" s="21">
        <v>0.82152777777777775</v>
      </c>
      <c r="U7" s="88">
        <f t="shared" si="10"/>
        <v>4.9999999999999822</v>
      </c>
      <c r="V7" s="30">
        <f t="shared" si="7"/>
        <v>56.999999999999957</v>
      </c>
      <c r="W7" s="16">
        <f>T7</f>
        <v>0.82152777777777775</v>
      </c>
      <c r="X7" s="16">
        <f>S8</f>
        <v>0.86180555555555549</v>
      </c>
      <c r="Y7" s="19"/>
      <c r="Z7" s="19"/>
      <c r="AA7" s="172"/>
      <c r="AB7" s="173"/>
      <c r="AC7" s="20"/>
      <c r="AD7" s="20"/>
      <c r="AE7" s="14">
        <f t="shared" si="8"/>
        <v>-97.894736842103839</v>
      </c>
      <c r="AF7" s="91">
        <f t="shared" si="9"/>
        <v>0.95105263157894804</v>
      </c>
      <c r="AG7" s="177"/>
    </row>
    <row r="8" spans="1:33">
      <c r="A8" s="205" t="s">
        <v>162</v>
      </c>
      <c r="B8" s="28" t="s">
        <v>5</v>
      </c>
      <c r="C8" s="200" t="s">
        <v>1270</v>
      </c>
      <c r="D8" s="201"/>
      <c r="E8" s="28">
        <v>52.86</v>
      </c>
      <c r="F8" s="88">
        <v>4083</v>
      </c>
      <c r="G8" s="88">
        <f t="shared" si="0"/>
        <v>215827.38</v>
      </c>
      <c r="H8" s="30" t="s">
        <v>53</v>
      </c>
      <c r="I8" s="95">
        <v>16</v>
      </c>
      <c r="J8" s="13">
        <v>2000</v>
      </c>
      <c r="K8" s="12">
        <f t="shared" si="1"/>
        <v>125</v>
      </c>
      <c r="L8" s="95">
        <v>16</v>
      </c>
      <c r="M8" s="13">
        <f t="shared" si="2"/>
        <v>1913.9062499999995</v>
      </c>
      <c r="N8" s="12">
        <f t="shared" si="3"/>
        <v>119.61914062499997</v>
      </c>
      <c r="O8" s="14">
        <f t="shared" si="4"/>
        <v>0</v>
      </c>
      <c r="P8" s="15">
        <f t="shared" si="5"/>
        <v>-5.3808593750000284</v>
      </c>
      <c r="Q8" s="91">
        <f t="shared" si="6"/>
        <v>0.95695312499999974</v>
      </c>
      <c r="R8" s="177"/>
      <c r="S8" s="21">
        <v>0.86180555555555549</v>
      </c>
      <c r="T8" s="21">
        <v>0.9506944444444444</v>
      </c>
      <c r="U8" s="88">
        <f t="shared" si="10"/>
        <v>57.999999999999957</v>
      </c>
      <c r="V8" s="30">
        <f t="shared" si="7"/>
        <v>128.00000000000003</v>
      </c>
      <c r="W8" s="21"/>
      <c r="X8" s="21"/>
      <c r="Y8" s="22"/>
      <c r="Z8" s="22"/>
      <c r="AA8" s="172"/>
      <c r="AB8" s="173"/>
      <c r="AC8" s="20"/>
      <c r="AD8" s="20"/>
      <c r="AE8" s="14">
        <f t="shared" si="8"/>
        <v>-86.093750000000455</v>
      </c>
      <c r="AF8" s="91">
        <f t="shared" si="9"/>
        <v>0.95695312499999974</v>
      </c>
      <c r="AG8" s="177"/>
    </row>
    <row r="9" spans="1:33">
      <c r="A9" s="205" t="s">
        <v>1271</v>
      </c>
      <c r="B9" s="28" t="s">
        <v>168</v>
      </c>
      <c r="C9" s="178"/>
      <c r="D9" s="178"/>
      <c r="E9" s="92"/>
      <c r="F9" s="12"/>
      <c r="G9" s="12"/>
      <c r="H9" s="88"/>
      <c r="I9" s="23">
        <v>16.75</v>
      </c>
      <c r="J9" s="13">
        <v>2000</v>
      </c>
      <c r="K9" s="12">
        <f t="shared" si="1"/>
        <v>119.40298507462687</v>
      </c>
      <c r="L9" s="23">
        <v>16.75</v>
      </c>
      <c r="M9" s="13">
        <f>AVERAGE(M5:M8)</f>
        <v>1913.7747924218534</v>
      </c>
      <c r="N9" s="12">
        <f t="shared" si="3"/>
        <v>114.25521148787185</v>
      </c>
      <c r="O9" s="14">
        <f t="shared" si="4"/>
        <v>0</v>
      </c>
      <c r="P9" s="15">
        <f t="shared" si="5"/>
        <v>-5.1477735867550223</v>
      </c>
      <c r="Q9" s="91">
        <f t="shared" si="6"/>
        <v>0.95688739621092667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v>4</v>
      </c>
      <c r="AD9" s="24">
        <f>SUM(AD5:AD8)</f>
        <v>0</v>
      </c>
      <c r="AE9" s="14">
        <f t="shared" si="8"/>
        <v>-86.225207578146637</v>
      </c>
      <c r="AF9" s="91">
        <f t="shared" si="9"/>
        <v>0.95688739621092667</v>
      </c>
      <c r="AG9" s="177"/>
    </row>
    <row r="10" spans="1:33" ht="15.75" customHeight="1">
      <c r="A10" s="199" t="s">
        <v>166</v>
      </c>
      <c r="B10" s="28" t="s">
        <v>9</v>
      </c>
      <c r="C10" s="200" t="s">
        <v>10</v>
      </c>
      <c r="D10" s="201"/>
      <c r="E10" s="28">
        <v>39.619999999999997</v>
      </c>
      <c r="F10" s="88">
        <v>5509</v>
      </c>
      <c r="G10" s="88">
        <f t="shared" ref="G10:G12" si="11">E10*F10</f>
        <v>218266.58</v>
      </c>
      <c r="H10" s="30" t="s">
        <v>53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2" si="12">F10/V10*60</f>
        <v>1430.9090909090905</v>
      </c>
      <c r="N10" s="12">
        <f t="shared" si="3"/>
        <v>75.311004784688976</v>
      </c>
      <c r="O10" s="14">
        <f t="shared" si="4"/>
        <v>0</v>
      </c>
      <c r="P10" s="15">
        <f t="shared" si="5"/>
        <v>-3.6363636363636545</v>
      </c>
      <c r="Q10" s="91">
        <f t="shared" si="6"/>
        <v>0.95393939393939375</v>
      </c>
      <c r="R10" s="177">
        <f>Q13</f>
        <v>0.9544938788809757</v>
      </c>
      <c r="S10" s="21">
        <v>0.20833333333333334</v>
      </c>
      <c r="T10" s="21">
        <v>0.36875000000000002</v>
      </c>
      <c r="U10" s="88"/>
      <c r="V10" s="30">
        <f t="shared" ref="V10:V12" si="13">(T10-S10)*24*60</f>
        <v>231.00000000000003</v>
      </c>
      <c r="W10" s="16"/>
      <c r="X10" s="16"/>
      <c r="Y10" s="16"/>
      <c r="Z10" s="16"/>
      <c r="AA10" s="168"/>
      <c r="AB10" s="168"/>
      <c r="AC10" s="18">
        <v>3</v>
      </c>
      <c r="AD10" s="18"/>
      <c r="AE10" s="14">
        <f t="shared" si="8"/>
        <v>-69.090909090909463</v>
      </c>
      <c r="AF10" s="91">
        <f t="shared" si="9"/>
        <v>0.95393939393939364</v>
      </c>
      <c r="AG10" s="177">
        <f>AF13</f>
        <v>0.9544938788809757</v>
      </c>
    </row>
    <row r="11" spans="1:33" ht="15.75" customHeight="1">
      <c r="A11" s="199" t="s">
        <v>166</v>
      </c>
      <c r="B11" s="28" t="s">
        <v>9</v>
      </c>
      <c r="C11" s="200" t="s">
        <v>11</v>
      </c>
      <c r="D11" s="201"/>
      <c r="E11" s="28">
        <v>39.799999999999997</v>
      </c>
      <c r="F11" s="88">
        <v>4500</v>
      </c>
      <c r="G11" s="88">
        <f t="shared" si="11"/>
        <v>179100</v>
      </c>
      <c r="H11" s="30">
        <v>2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1428.5714285714289</v>
      </c>
      <c r="N11" s="12">
        <f t="shared" si="3"/>
        <v>84.033613445378165</v>
      </c>
      <c r="O11" s="14">
        <f t="shared" si="4"/>
        <v>0</v>
      </c>
      <c r="P11" s="15">
        <f t="shared" si="5"/>
        <v>-4.2016806722688926</v>
      </c>
      <c r="Q11" s="91">
        <f t="shared" si="6"/>
        <v>0.95238095238095255</v>
      </c>
      <c r="R11" s="177"/>
      <c r="S11" s="21">
        <v>0.37222222222222223</v>
      </c>
      <c r="T11" s="21">
        <v>0.50347222222222221</v>
      </c>
      <c r="U11" s="88">
        <f t="shared" ref="U11:U12" si="14">IF(S11=TIME(17,0,0),"",(S11-T10)*24*60)</f>
        <v>4.9999999999999822</v>
      </c>
      <c r="V11" s="30">
        <f t="shared" si="13"/>
        <v>188.99999999999997</v>
      </c>
      <c r="W11" s="16">
        <f>T11</f>
        <v>0.50347222222222221</v>
      </c>
      <c r="X11" s="16">
        <f>S12</f>
        <v>0.54236111111111107</v>
      </c>
      <c r="Y11" s="16"/>
      <c r="Z11" s="16"/>
      <c r="AA11" s="168"/>
      <c r="AB11" s="168"/>
      <c r="AC11" s="18"/>
      <c r="AD11" s="18"/>
      <c r="AE11" s="14">
        <f t="shared" si="8"/>
        <v>-71.428571428571104</v>
      </c>
      <c r="AF11" s="91">
        <f t="shared" si="9"/>
        <v>0.95238095238095255</v>
      </c>
      <c r="AG11" s="177"/>
    </row>
    <row r="12" spans="1:33" ht="15.75" customHeight="1">
      <c r="A12" s="199" t="s">
        <v>166</v>
      </c>
      <c r="B12" s="28" t="s">
        <v>9</v>
      </c>
      <c r="C12" s="200" t="s">
        <v>11</v>
      </c>
      <c r="D12" s="201"/>
      <c r="E12" s="28">
        <v>39.799999999999997</v>
      </c>
      <c r="F12" s="88">
        <v>3709</v>
      </c>
      <c r="G12" s="88">
        <f t="shared" si="11"/>
        <v>147618.19999999998</v>
      </c>
      <c r="H12" s="30" t="s">
        <v>53</v>
      </c>
      <c r="I12" s="95">
        <v>17</v>
      </c>
      <c r="J12" s="13">
        <v>1500</v>
      </c>
      <c r="K12" s="12">
        <f t="shared" si="1"/>
        <v>88.235294117647058</v>
      </c>
      <c r="L12" s="95">
        <v>17</v>
      </c>
      <c r="M12" s="13">
        <f t="shared" si="12"/>
        <v>1435.7419354838714</v>
      </c>
      <c r="N12" s="12">
        <f t="shared" si="3"/>
        <v>84.455407969639495</v>
      </c>
      <c r="O12" s="14">
        <f t="shared" si="4"/>
        <v>0</v>
      </c>
      <c r="P12" s="15">
        <f t="shared" si="5"/>
        <v>-3.779886148007563</v>
      </c>
      <c r="Q12" s="91">
        <f t="shared" si="6"/>
        <v>0.9571612903225809</v>
      </c>
      <c r="R12" s="177"/>
      <c r="S12" s="21">
        <v>0.54236111111111107</v>
      </c>
      <c r="T12" s="21">
        <v>0.64999999999999991</v>
      </c>
      <c r="U12" s="88">
        <f t="shared" si="14"/>
        <v>55.999999999999957</v>
      </c>
      <c r="V12" s="30">
        <f t="shared" si="13"/>
        <v>154.99999999999994</v>
      </c>
      <c r="W12" s="16"/>
      <c r="X12" s="16"/>
      <c r="Y12" s="16"/>
      <c r="Z12" s="16"/>
      <c r="AA12" s="168"/>
      <c r="AB12" s="168"/>
      <c r="AC12" s="18"/>
      <c r="AD12" s="18"/>
      <c r="AE12" s="14">
        <f t="shared" si="8"/>
        <v>-64.25806451612857</v>
      </c>
      <c r="AF12" s="91">
        <f t="shared" si="9"/>
        <v>0.9571612903225809</v>
      </c>
      <c r="AG12" s="177"/>
    </row>
    <row r="13" spans="1:33" ht="16.5" customHeight="1">
      <c r="A13" s="199" t="s">
        <v>166</v>
      </c>
      <c r="B13" s="28" t="s">
        <v>168</v>
      </c>
      <c r="C13" s="178"/>
      <c r="D13" s="178"/>
      <c r="E13" s="92"/>
      <c r="F13" s="13"/>
      <c r="G13" s="13"/>
      <c r="H13" s="88"/>
      <c r="I13" s="23">
        <v>17.666666666666668</v>
      </c>
      <c r="J13" s="13">
        <v>1500</v>
      </c>
      <c r="K13" s="12">
        <f t="shared" si="1"/>
        <v>84.905660377358487</v>
      </c>
      <c r="L13" s="23">
        <v>17.666666666666668</v>
      </c>
      <c r="M13" s="13">
        <f>AVERAGE(M10:M12)</f>
        <v>1431.7408183214636</v>
      </c>
      <c r="N13" s="12">
        <f t="shared" si="3"/>
        <v>81.041933112535673</v>
      </c>
      <c r="O13" s="14">
        <f t="shared" si="4"/>
        <v>0</v>
      </c>
      <c r="P13" s="15">
        <f t="shared" si="5"/>
        <v>-3.8637272648228134</v>
      </c>
      <c r="Q13" s="91">
        <f t="shared" si="6"/>
        <v>0.9544938788809757</v>
      </c>
      <c r="R13" s="177"/>
      <c r="S13" s="21"/>
      <c r="T13" s="21"/>
      <c r="U13" s="12"/>
      <c r="V13" s="30"/>
      <c r="W13" s="12"/>
      <c r="X13" s="12"/>
      <c r="Y13" s="24">
        <f>SUM(Y10:Y12)</f>
        <v>0</v>
      </c>
      <c r="Z13" s="24">
        <f>SUM(Z10:Z12)</f>
        <v>0</v>
      </c>
      <c r="AA13" s="167"/>
      <c r="AB13" s="167"/>
      <c r="AC13" s="24">
        <v>3</v>
      </c>
      <c r="AD13" s="24">
        <f>SUM(AD10:AD12)</f>
        <v>0</v>
      </c>
      <c r="AE13" s="14">
        <f t="shared" si="8"/>
        <v>-68.259181678536379</v>
      </c>
      <c r="AF13" s="91">
        <f t="shared" si="9"/>
        <v>0.9544938788809757</v>
      </c>
      <c r="AG13" s="177"/>
    </row>
    <row r="14" spans="1:33" ht="16.5" customHeight="1">
      <c r="A14" s="197" t="s">
        <v>169</v>
      </c>
      <c r="B14" s="88" t="s">
        <v>12</v>
      </c>
      <c r="C14" s="193" t="s">
        <v>13</v>
      </c>
      <c r="D14" s="193"/>
      <c r="E14" s="28">
        <v>41</v>
      </c>
      <c r="F14" s="88">
        <v>2345</v>
      </c>
      <c r="G14" s="88">
        <f t="shared" ref="G14:G20" si="15">E14*F14</f>
        <v>96145</v>
      </c>
      <c r="H14" s="30" t="s">
        <v>53</v>
      </c>
      <c r="I14" s="95">
        <v>26</v>
      </c>
      <c r="J14" s="13">
        <v>1500</v>
      </c>
      <c r="K14" s="12">
        <f t="shared" si="1"/>
        <v>57.692307692307693</v>
      </c>
      <c r="L14" s="95">
        <v>26</v>
      </c>
      <c r="M14" s="13">
        <f t="shared" ref="M14:M20" si="16">F14/V14*60</f>
        <v>1435.7142857142853</v>
      </c>
      <c r="N14" s="12">
        <f t="shared" si="3"/>
        <v>55.219780219780205</v>
      </c>
      <c r="O14" s="14">
        <f t="shared" si="4"/>
        <v>0</v>
      </c>
      <c r="P14" s="15">
        <f t="shared" si="5"/>
        <v>-2.4725274725274886</v>
      </c>
      <c r="Q14" s="91">
        <f t="shared" si="6"/>
        <v>0.95714285714285685</v>
      </c>
      <c r="R14" s="177">
        <f>Q21</f>
        <v>0.96235331458874118</v>
      </c>
      <c r="S14" s="21">
        <v>0.20833333333333334</v>
      </c>
      <c r="T14" s="21">
        <v>0.27638888888888891</v>
      </c>
      <c r="U14" s="88"/>
      <c r="V14" s="30">
        <f t="shared" ref="V14:V20" si="17">(T14-S14)*24*60</f>
        <v>98.000000000000014</v>
      </c>
      <c r="W14" s="21"/>
      <c r="X14" s="21"/>
      <c r="Y14" s="21"/>
      <c r="Z14" s="21"/>
      <c r="AA14" s="168"/>
      <c r="AB14" s="168"/>
      <c r="AC14" s="18">
        <v>7</v>
      </c>
      <c r="AD14" s="18"/>
      <c r="AE14" s="14">
        <f t="shared" si="8"/>
        <v>-64.285714285714675</v>
      </c>
      <c r="AF14" s="91">
        <f t="shared" si="9"/>
        <v>0.95714285714285685</v>
      </c>
      <c r="AG14" s="177">
        <f>AF21</f>
        <v>0.96235331458874129</v>
      </c>
    </row>
    <row r="15" spans="1:33" ht="16.5" customHeight="1">
      <c r="A15" s="198" t="s">
        <v>169</v>
      </c>
      <c r="B15" s="88" t="s">
        <v>5</v>
      </c>
      <c r="C15" s="193" t="s">
        <v>14</v>
      </c>
      <c r="D15" s="193"/>
      <c r="E15" s="28">
        <v>50.98</v>
      </c>
      <c r="F15" s="88">
        <v>1000</v>
      </c>
      <c r="G15" s="88">
        <f t="shared" si="15"/>
        <v>50980</v>
      </c>
      <c r="H15" s="30">
        <v>2</v>
      </c>
      <c r="I15" s="95">
        <v>16</v>
      </c>
      <c r="J15" s="13">
        <v>2000</v>
      </c>
      <c r="K15" s="12">
        <f t="shared" si="1"/>
        <v>125</v>
      </c>
      <c r="L15" s="95">
        <v>16</v>
      </c>
      <c r="M15" s="13">
        <f t="shared" si="16"/>
        <v>1935.483870967739</v>
      </c>
      <c r="N15" s="12">
        <f t="shared" si="3"/>
        <v>120.96774193548369</v>
      </c>
      <c r="O15" s="14">
        <f t="shared" si="4"/>
        <v>0</v>
      </c>
      <c r="P15" s="15">
        <f t="shared" si="5"/>
        <v>-4.0322580645163129</v>
      </c>
      <c r="Q15" s="91">
        <f t="shared" si="6"/>
        <v>0.96774193548386944</v>
      </c>
      <c r="R15" s="177"/>
      <c r="S15" s="21">
        <v>0.70833333333333337</v>
      </c>
      <c r="T15" s="21">
        <v>0.72986111111111118</v>
      </c>
      <c r="U15" s="88" t="str">
        <f t="shared" ref="U15:U20" si="18">IF(S15=TIME(17,0,0),"",(S15-T14)*24*60)</f>
        <v/>
      </c>
      <c r="V15" s="30">
        <f t="shared" si="17"/>
        <v>31.00000000000005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-64.516129032261006</v>
      </c>
      <c r="AF15" s="91">
        <f t="shared" si="9"/>
        <v>0.96774193548386944</v>
      </c>
      <c r="AG15" s="177"/>
    </row>
    <row r="16" spans="1:33" ht="16.5" customHeight="1">
      <c r="A16" s="198" t="s">
        <v>169</v>
      </c>
      <c r="B16" s="88" t="s">
        <v>5</v>
      </c>
      <c r="C16" s="193" t="s">
        <v>15</v>
      </c>
      <c r="D16" s="193"/>
      <c r="E16" s="28">
        <v>50.92</v>
      </c>
      <c r="F16" s="88">
        <v>1000</v>
      </c>
      <c r="G16" s="88">
        <f t="shared" si="15"/>
        <v>50920</v>
      </c>
      <c r="H16" s="30">
        <v>2</v>
      </c>
      <c r="I16" s="95">
        <v>15</v>
      </c>
      <c r="J16" s="13">
        <v>2000</v>
      </c>
      <c r="K16" s="12">
        <f t="shared" si="1"/>
        <v>133.33333333333334</v>
      </c>
      <c r="L16" s="95">
        <v>15</v>
      </c>
      <c r="M16" s="13">
        <f t="shared" si="16"/>
        <v>1935.483870967739</v>
      </c>
      <c r="N16" s="12">
        <f t="shared" si="3"/>
        <v>129.03225806451593</v>
      </c>
      <c r="O16" s="14">
        <f t="shared" si="4"/>
        <v>0</v>
      </c>
      <c r="P16" s="15">
        <f t="shared" si="5"/>
        <v>-4.3010752688174136</v>
      </c>
      <c r="Q16" s="91">
        <f t="shared" si="6"/>
        <v>0.96774193548386944</v>
      </c>
      <c r="R16" s="177"/>
      <c r="S16" s="21">
        <v>0.73541666666666672</v>
      </c>
      <c r="T16" s="21">
        <v>0.75694444444444453</v>
      </c>
      <c r="U16" s="88">
        <f t="shared" si="18"/>
        <v>7.9999999999999716</v>
      </c>
      <c r="V16" s="30">
        <f t="shared" si="17"/>
        <v>31.00000000000005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-64.516129032261006</v>
      </c>
      <c r="AF16" s="91">
        <f t="shared" si="9"/>
        <v>0.96774193548386944</v>
      </c>
      <c r="AG16" s="177"/>
    </row>
    <row r="17" spans="1:33" ht="16.5" customHeight="1">
      <c r="A17" s="198" t="s">
        <v>169</v>
      </c>
      <c r="B17" s="88" t="s">
        <v>5</v>
      </c>
      <c r="C17" s="193" t="s">
        <v>43</v>
      </c>
      <c r="D17" s="193"/>
      <c r="E17" s="28">
        <v>54.29</v>
      </c>
      <c r="F17" s="88">
        <v>1215</v>
      </c>
      <c r="G17" s="88">
        <f t="shared" si="15"/>
        <v>65962.350000000006</v>
      </c>
      <c r="H17" s="30" t="s">
        <v>53</v>
      </c>
      <c r="I17" s="95">
        <v>20</v>
      </c>
      <c r="J17" s="13">
        <v>2000</v>
      </c>
      <c r="K17" s="12">
        <f t="shared" si="1"/>
        <v>100</v>
      </c>
      <c r="L17" s="95">
        <v>20</v>
      </c>
      <c r="M17" s="13">
        <f t="shared" si="16"/>
        <v>1918.4210526315774</v>
      </c>
      <c r="N17" s="12">
        <f t="shared" si="3"/>
        <v>95.921052631578874</v>
      </c>
      <c r="O17" s="14">
        <f t="shared" si="4"/>
        <v>0</v>
      </c>
      <c r="P17" s="15">
        <f t="shared" si="5"/>
        <v>-4.0789473684211259</v>
      </c>
      <c r="Q17" s="91">
        <f t="shared" si="6"/>
        <v>0.95921052631578874</v>
      </c>
      <c r="R17" s="177"/>
      <c r="S17" s="21">
        <v>0.76250000000000007</v>
      </c>
      <c r="T17" s="21">
        <v>0.78888888888888897</v>
      </c>
      <c r="U17" s="88">
        <f t="shared" si="18"/>
        <v>7.9999999999999716</v>
      </c>
      <c r="V17" s="30">
        <f t="shared" si="17"/>
        <v>38.000000000000028</v>
      </c>
      <c r="W17" s="16"/>
      <c r="X17" s="16"/>
      <c r="Y17" s="16"/>
      <c r="Z17" s="16"/>
      <c r="AA17" s="168"/>
      <c r="AB17" s="168"/>
      <c r="AC17" s="18"/>
      <c r="AD17" s="18"/>
      <c r="AE17" s="14">
        <f t="shared" si="8"/>
        <v>-81.578947368422632</v>
      </c>
      <c r="AF17" s="91">
        <f t="shared" si="9"/>
        <v>0.95921052631578874</v>
      </c>
      <c r="AG17" s="177"/>
    </row>
    <row r="18" spans="1:33" ht="16.5" customHeight="1">
      <c r="A18" s="198" t="s">
        <v>169</v>
      </c>
      <c r="B18" s="88" t="s">
        <v>5</v>
      </c>
      <c r="C18" s="193" t="s">
        <v>1270</v>
      </c>
      <c r="D18" s="193"/>
      <c r="E18" s="28">
        <v>52.86</v>
      </c>
      <c r="F18" s="88">
        <v>1600</v>
      </c>
      <c r="G18" s="88">
        <f t="shared" si="15"/>
        <v>84576</v>
      </c>
      <c r="H18" s="30">
        <v>2</v>
      </c>
      <c r="I18" s="95">
        <v>16</v>
      </c>
      <c r="J18" s="13">
        <v>2000</v>
      </c>
      <c r="K18" s="12">
        <f t="shared" si="1"/>
        <v>125</v>
      </c>
      <c r="L18" s="95">
        <v>16</v>
      </c>
      <c r="M18" s="13">
        <f t="shared" si="16"/>
        <v>1920.0000000000005</v>
      </c>
      <c r="N18" s="12">
        <f t="shared" si="3"/>
        <v>120.00000000000003</v>
      </c>
      <c r="O18" s="14">
        <f t="shared" si="4"/>
        <v>0</v>
      </c>
      <c r="P18" s="15">
        <f t="shared" si="5"/>
        <v>-4.9999999999999716</v>
      </c>
      <c r="Q18" s="91">
        <f t="shared" si="6"/>
        <v>0.96000000000000019</v>
      </c>
      <c r="R18" s="177"/>
      <c r="S18" s="21">
        <v>0.79305555555555562</v>
      </c>
      <c r="T18" s="21">
        <v>0.82777777777777783</v>
      </c>
      <c r="U18" s="88">
        <f t="shared" si="18"/>
        <v>5.9999999999999787</v>
      </c>
      <c r="V18" s="30">
        <f t="shared" si="17"/>
        <v>49.999999999999986</v>
      </c>
      <c r="W18" s="16"/>
      <c r="X18" s="16"/>
      <c r="Y18" s="16"/>
      <c r="Z18" s="16"/>
      <c r="AA18" s="168"/>
      <c r="AB18" s="168"/>
      <c r="AC18" s="18"/>
      <c r="AD18" s="18"/>
      <c r="AE18" s="14">
        <f t="shared" si="8"/>
        <v>-79.999999999999545</v>
      </c>
      <c r="AF18" s="91">
        <f t="shared" si="9"/>
        <v>0.96000000000000019</v>
      </c>
      <c r="AG18" s="177"/>
    </row>
    <row r="19" spans="1:33" ht="16.5" customHeight="1">
      <c r="A19" s="198" t="s">
        <v>169</v>
      </c>
      <c r="B19" s="88" t="s">
        <v>5</v>
      </c>
      <c r="C19" s="100" t="s">
        <v>14</v>
      </c>
      <c r="D19" s="101"/>
      <c r="E19" s="28">
        <v>50.98</v>
      </c>
      <c r="F19" s="88">
        <v>1740</v>
      </c>
      <c r="G19" s="88">
        <f t="shared" si="15"/>
        <v>88705.2</v>
      </c>
      <c r="H19" s="30" t="s">
        <v>53</v>
      </c>
      <c r="I19" s="95">
        <v>16</v>
      </c>
      <c r="J19" s="13">
        <v>2000</v>
      </c>
      <c r="K19" s="12">
        <f t="shared" si="1"/>
        <v>125</v>
      </c>
      <c r="L19" s="95">
        <v>16</v>
      </c>
      <c r="M19" s="13">
        <f t="shared" si="16"/>
        <v>1933.3333333333342</v>
      </c>
      <c r="N19" s="12">
        <f t="shared" si="3"/>
        <v>120.83333333333339</v>
      </c>
      <c r="O19" s="14">
        <f t="shared" si="4"/>
        <v>0</v>
      </c>
      <c r="P19" s="15">
        <f t="shared" si="5"/>
        <v>-4.1666666666666146</v>
      </c>
      <c r="Q19" s="91">
        <f t="shared" si="6"/>
        <v>0.96666666666666712</v>
      </c>
      <c r="R19" s="177"/>
      <c r="S19" s="21">
        <v>0.86597222222222225</v>
      </c>
      <c r="T19" s="21">
        <v>0.90347222222222223</v>
      </c>
      <c r="U19" s="88">
        <f t="shared" si="18"/>
        <v>54.999999999999964</v>
      </c>
      <c r="V19" s="30">
        <f t="shared" si="17"/>
        <v>53.999999999999972</v>
      </c>
      <c r="W19" s="16">
        <f>T19</f>
        <v>0.90347222222222223</v>
      </c>
      <c r="X19" s="16">
        <f>S20</f>
        <v>0.90763888888888888</v>
      </c>
      <c r="Y19" s="19"/>
      <c r="Z19" s="19"/>
      <c r="AA19" s="98"/>
      <c r="AB19" s="99"/>
      <c r="AC19" s="18"/>
      <c r="AD19" s="18"/>
      <c r="AE19" s="14">
        <f t="shared" si="8"/>
        <v>-66.666666666665833</v>
      </c>
      <c r="AF19" s="91">
        <f t="shared" si="9"/>
        <v>0.96666666666666712</v>
      </c>
      <c r="AG19" s="177"/>
    </row>
    <row r="20" spans="1:33" ht="16.5" customHeight="1">
      <c r="A20" s="198" t="s">
        <v>169</v>
      </c>
      <c r="B20" s="88" t="s">
        <v>5</v>
      </c>
      <c r="C20" s="100" t="s">
        <v>15</v>
      </c>
      <c r="D20" s="101"/>
      <c r="E20" s="28">
        <v>50.92</v>
      </c>
      <c r="F20" s="88">
        <v>1722</v>
      </c>
      <c r="G20" s="88">
        <f t="shared" si="15"/>
        <v>87684.24</v>
      </c>
      <c r="H20" s="30" t="s">
        <v>53</v>
      </c>
      <c r="I20" s="95">
        <v>15</v>
      </c>
      <c r="J20" s="13">
        <v>2000</v>
      </c>
      <c r="K20" s="12">
        <f t="shared" si="1"/>
        <v>133.33333333333334</v>
      </c>
      <c r="L20" s="95">
        <v>15</v>
      </c>
      <c r="M20" s="13">
        <f t="shared" si="16"/>
        <v>1913.3333333333344</v>
      </c>
      <c r="N20" s="12">
        <f t="shared" si="3"/>
        <v>127.55555555555563</v>
      </c>
      <c r="O20" s="14">
        <f t="shared" si="4"/>
        <v>0</v>
      </c>
      <c r="P20" s="15">
        <f t="shared" si="5"/>
        <v>-5.7777777777777146</v>
      </c>
      <c r="Q20" s="91">
        <f t="shared" si="6"/>
        <v>0.95666666666666711</v>
      </c>
      <c r="R20" s="177"/>
      <c r="S20" s="21">
        <v>0.90763888888888888</v>
      </c>
      <c r="T20" s="21">
        <v>0.94513888888888886</v>
      </c>
      <c r="U20" s="88">
        <f t="shared" si="18"/>
        <v>5.9999999999999787</v>
      </c>
      <c r="V20" s="30">
        <f t="shared" si="17"/>
        <v>53.999999999999972</v>
      </c>
      <c r="W20" s="16"/>
      <c r="X20" s="16"/>
      <c r="Y20" s="19"/>
      <c r="Z20" s="19"/>
      <c r="AA20" s="98"/>
      <c r="AB20" s="99"/>
      <c r="AC20" s="18"/>
      <c r="AD20" s="18"/>
      <c r="AE20" s="14">
        <f t="shared" si="8"/>
        <v>-86.666666666665606</v>
      </c>
      <c r="AF20" s="91">
        <f t="shared" si="9"/>
        <v>0.95666666666666722</v>
      </c>
      <c r="AG20" s="177"/>
    </row>
    <row r="21" spans="1:33" ht="16.5" customHeight="1">
      <c r="A21" s="198" t="s">
        <v>169</v>
      </c>
      <c r="B21" s="28" t="s">
        <v>1272</v>
      </c>
      <c r="C21" s="178"/>
      <c r="D21" s="178"/>
      <c r="E21" s="92"/>
      <c r="F21" s="12"/>
      <c r="G21" s="12"/>
      <c r="H21" s="88"/>
      <c r="I21" s="23">
        <v>17.714285714285715</v>
      </c>
      <c r="J21" s="13">
        <v>1928.5714285714287</v>
      </c>
      <c r="K21" s="12">
        <f t="shared" si="1"/>
        <v>108.87096774193549</v>
      </c>
      <c r="L21" s="23">
        <v>17.714285714285715</v>
      </c>
      <c r="M21" s="13">
        <f>AVERAGE(M14:M20)</f>
        <v>1855.9671067068582</v>
      </c>
      <c r="N21" s="12">
        <f t="shared" si="3"/>
        <v>104.77233666893554</v>
      </c>
      <c r="O21" s="14">
        <f t="shared" si="4"/>
        <v>0</v>
      </c>
      <c r="P21" s="15">
        <f t="shared" si="5"/>
        <v>-4.0986310729999502</v>
      </c>
      <c r="Q21" s="91">
        <f t="shared" si="6"/>
        <v>0.96235331458874118</v>
      </c>
      <c r="R21" s="177"/>
      <c r="S21" s="21"/>
      <c r="T21" s="21"/>
      <c r="U21" s="88"/>
      <c r="V21" s="30"/>
      <c r="W21" s="12"/>
      <c r="X21" s="12"/>
      <c r="Y21" s="24">
        <f>SUM(Y14:Y20)</f>
        <v>0</v>
      </c>
      <c r="Z21" s="24">
        <f>SUM(Z14:Z20)</f>
        <v>0</v>
      </c>
      <c r="AA21" s="167"/>
      <c r="AB21" s="167"/>
      <c r="AC21" s="24">
        <v>7</v>
      </c>
      <c r="AD21" s="24">
        <f>SUM(AD14:AD20)</f>
        <v>0</v>
      </c>
      <c r="AE21" s="14">
        <f t="shared" si="8"/>
        <v>-72.604321864570466</v>
      </c>
      <c r="AF21" s="91">
        <f t="shared" si="9"/>
        <v>0.96235331458874129</v>
      </c>
      <c r="AG21" s="177"/>
    </row>
    <row r="22" spans="1:33" ht="15.75" customHeight="1">
      <c r="A22" s="195" t="s">
        <v>170</v>
      </c>
      <c r="B22" s="28" t="s">
        <v>5</v>
      </c>
      <c r="C22" s="193" t="s">
        <v>17</v>
      </c>
      <c r="D22" s="193"/>
      <c r="E22" s="28">
        <v>57.73</v>
      </c>
      <c r="F22" s="88">
        <v>2762</v>
      </c>
      <c r="G22" s="88">
        <f t="shared" ref="G22:G28" si="19">E22*F22</f>
        <v>159450.25999999998</v>
      </c>
      <c r="H22" s="30" t="s">
        <v>53</v>
      </c>
      <c r="I22" s="95">
        <v>14</v>
      </c>
      <c r="J22" s="13">
        <v>2000</v>
      </c>
      <c r="K22" s="12">
        <f t="shared" si="1"/>
        <v>142.85714285714286</v>
      </c>
      <c r="L22" s="95">
        <v>14</v>
      </c>
      <c r="M22" s="13">
        <f t="shared" ref="M22:M28" si="20">F22/V22*60</f>
        <v>1904.8275862068972</v>
      </c>
      <c r="N22" s="12">
        <f t="shared" si="3"/>
        <v>136.05911330049267</v>
      </c>
      <c r="O22" s="14">
        <f t="shared" si="4"/>
        <v>0</v>
      </c>
      <c r="P22" s="15">
        <f t="shared" si="5"/>
        <v>-6.7980295566501923</v>
      </c>
      <c r="Q22" s="91">
        <f t="shared" si="6"/>
        <v>0.95241379310344865</v>
      </c>
      <c r="R22" s="177">
        <f>Q29</f>
        <v>0.96120420260432604</v>
      </c>
      <c r="S22" s="21">
        <v>0.20833333333333334</v>
      </c>
      <c r="T22" s="21">
        <v>0.26874999999999999</v>
      </c>
      <c r="U22" s="88"/>
      <c r="V22" s="30">
        <f t="shared" ref="V22:V28" si="21">(T22-S22)*24*60</f>
        <v>86.999999999999972</v>
      </c>
      <c r="W22" s="21"/>
      <c r="X22" s="21"/>
      <c r="Y22" s="21"/>
      <c r="Z22" s="21"/>
      <c r="AA22" s="168"/>
      <c r="AB22" s="168"/>
      <c r="AC22" s="18">
        <v>7</v>
      </c>
      <c r="AD22" s="18"/>
      <c r="AE22" s="14">
        <f t="shared" si="8"/>
        <v>-95.172413793102805</v>
      </c>
      <c r="AF22" s="91">
        <f t="shared" si="9"/>
        <v>0.95241379310344865</v>
      </c>
      <c r="AG22" s="177">
        <f>AF29</f>
        <v>0.96120420260432604</v>
      </c>
    </row>
    <row r="23" spans="1:33" ht="15.75" customHeight="1">
      <c r="A23" s="196" t="s">
        <v>1273</v>
      </c>
      <c r="B23" s="28" t="s">
        <v>5</v>
      </c>
      <c r="C23" s="193" t="s">
        <v>18</v>
      </c>
      <c r="D23" s="193"/>
      <c r="E23" s="28">
        <v>53.68</v>
      </c>
      <c r="F23" s="88">
        <v>1579</v>
      </c>
      <c r="G23" s="88">
        <f t="shared" si="19"/>
        <v>84760.72</v>
      </c>
      <c r="H23" s="30" t="s">
        <v>53</v>
      </c>
      <c r="I23" s="95">
        <v>16</v>
      </c>
      <c r="J23" s="13">
        <v>2000</v>
      </c>
      <c r="K23" s="12">
        <f t="shared" si="1"/>
        <v>125</v>
      </c>
      <c r="L23" s="95">
        <v>16</v>
      </c>
      <c r="M23" s="13">
        <f t="shared" si="20"/>
        <v>1933.4693877551024</v>
      </c>
      <c r="N23" s="12">
        <f t="shared" si="3"/>
        <v>120.8418367346939</v>
      </c>
      <c r="O23" s="14">
        <f t="shared" si="4"/>
        <v>0</v>
      </c>
      <c r="P23" s="15">
        <f t="shared" si="5"/>
        <v>-4.1581632653061007</v>
      </c>
      <c r="Q23" s="91">
        <f t="shared" si="6"/>
        <v>0.96673469387755118</v>
      </c>
      <c r="R23" s="177"/>
      <c r="S23" s="21">
        <v>0.27291666666666664</v>
      </c>
      <c r="T23" s="21">
        <v>0.30694444444444441</v>
      </c>
      <c r="U23" s="88">
        <f t="shared" ref="U23:U28" si="22">IF(S23=TIME(17,0,0),"",(S23-T22)*24*60)</f>
        <v>5.9999999999999787</v>
      </c>
      <c r="V23" s="30">
        <f t="shared" si="21"/>
        <v>48.999999999999986</v>
      </c>
      <c r="W23" s="16"/>
      <c r="X23" s="88"/>
      <c r="Y23" s="88"/>
      <c r="Z23" s="88"/>
      <c r="AA23" s="168"/>
      <c r="AB23" s="168"/>
      <c r="AC23" s="18"/>
      <c r="AD23" s="18"/>
      <c r="AE23" s="14">
        <f t="shared" si="8"/>
        <v>-66.530612244897611</v>
      </c>
      <c r="AF23" s="91">
        <f t="shared" si="9"/>
        <v>0.96673469387755118</v>
      </c>
      <c r="AG23" s="177"/>
    </row>
    <row r="24" spans="1:33" ht="15.75" customHeight="1">
      <c r="A24" s="196" t="s">
        <v>170</v>
      </c>
      <c r="B24" s="28" t="s">
        <v>5</v>
      </c>
      <c r="C24" s="193" t="s">
        <v>73</v>
      </c>
      <c r="D24" s="193"/>
      <c r="E24" s="28">
        <v>50.67</v>
      </c>
      <c r="F24" s="88">
        <v>3024</v>
      </c>
      <c r="G24" s="88">
        <f t="shared" si="19"/>
        <v>153226.08000000002</v>
      </c>
      <c r="H24" s="30" t="s">
        <v>53</v>
      </c>
      <c r="I24" s="95">
        <v>17</v>
      </c>
      <c r="J24" s="13">
        <v>2000</v>
      </c>
      <c r="K24" s="12">
        <f t="shared" si="1"/>
        <v>117.64705882352941</v>
      </c>
      <c r="L24" s="95">
        <v>17</v>
      </c>
      <c r="M24" s="13">
        <f t="shared" si="20"/>
        <v>1909.8947368421054</v>
      </c>
      <c r="N24" s="12">
        <f t="shared" si="3"/>
        <v>112.3467492260062</v>
      </c>
      <c r="O24" s="14">
        <f t="shared" si="4"/>
        <v>0</v>
      </c>
      <c r="P24" s="15">
        <f t="shared" si="5"/>
        <v>-5.30030959752321</v>
      </c>
      <c r="Q24" s="91">
        <f t="shared" si="6"/>
        <v>0.95494736842105277</v>
      </c>
      <c r="R24" s="177"/>
      <c r="S24" s="21">
        <v>0.31249999999999994</v>
      </c>
      <c r="T24" s="21">
        <v>0.37847222222222215</v>
      </c>
      <c r="U24" s="88">
        <f t="shared" si="22"/>
        <v>7.9999999999999716</v>
      </c>
      <c r="V24" s="30">
        <f t="shared" si="21"/>
        <v>94.999999999999986</v>
      </c>
      <c r="W24" s="16"/>
      <c r="X24" s="88"/>
      <c r="Y24" s="88"/>
      <c r="Z24" s="88"/>
      <c r="AA24" s="168"/>
      <c r="AB24" s="168"/>
      <c r="AC24" s="18"/>
      <c r="AD24" s="18"/>
      <c r="AE24" s="14">
        <f t="shared" si="8"/>
        <v>-90.105263157894569</v>
      </c>
      <c r="AF24" s="91">
        <f t="shared" si="9"/>
        <v>0.95494736842105277</v>
      </c>
      <c r="AG24" s="177"/>
    </row>
    <row r="25" spans="1:33" ht="15.75" customHeight="1">
      <c r="A25" s="196" t="s">
        <v>170</v>
      </c>
      <c r="B25" s="28" t="s">
        <v>5</v>
      </c>
      <c r="C25" s="193" t="s">
        <v>21</v>
      </c>
      <c r="D25" s="193"/>
      <c r="E25" s="28">
        <v>57.3</v>
      </c>
      <c r="F25" s="88">
        <v>1688</v>
      </c>
      <c r="G25" s="88">
        <f t="shared" si="19"/>
        <v>96722.4</v>
      </c>
      <c r="H25" s="30" t="s">
        <v>53</v>
      </c>
      <c r="I25" s="95">
        <v>13</v>
      </c>
      <c r="J25" s="13">
        <v>2000</v>
      </c>
      <c r="K25" s="12">
        <f t="shared" si="1"/>
        <v>153.84615384615384</v>
      </c>
      <c r="L25" s="95">
        <v>13</v>
      </c>
      <c r="M25" s="13">
        <f t="shared" si="20"/>
        <v>1910.9433962264161</v>
      </c>
      <c r="N25" s="12">
        <f t="shared" si="3"/>
        <v>146.99564586357047</v>
      </c>
      <c r="O25" s="14">
        <f t="shared" si="4"/>
        <v>0</v>
      </c>
      <c r="P25" s="15">
        <f t="shared" si="5"/>
        <v>-6.8505079825833661</v>
      </c>
      <c r="Q25" s="91">
        <f t="shared" si="6"/>
        <v>0.95547169811320809</v>
      </c>
      <c r="R25" s="177"/>
      <c r="S25" s="21">
        <v>0.70833333333333337</v>
      </c>
      <c r="T25" s="21">
        <v>0.74513888888888891</v>
      </c>
      <c r="U25" s="88" t="str">
        <f t="shared" si="22"/>
        <v/>
      </c>
      <c r="V25" s="30">
        <f t="shared" si="21"/>
        <v>52.999999999999972</v>
      </c>
      <c r="W25" s="16"/>
      <c r="X25" s="88"/>
      <c r="Y25" s="88"/>
      <c r="Z25" s="88"/>
      <c r="AA25" s="168"/>
      <c r="AB25" s="168"/>
      <c r="AC25" s="18"/>
      <c r="AD25" s="18"/>
      <c r="AE25" s="14">
        <f t="shared" si="8"/>
        <v>-89.056603773583902</v>
      </c>
      <c r="AF25" s="91">
        <f t="shared" si="9"/>
        <v>0.95547169811320809</v>
      </c>
      <c r="AG25" s="177"/>
    </row>
    <row r="26" spans="1:33" ht="15.75" customHeight="1">
      <c r="A26" s="196" t="s">
        <v>170</v>
      </c>
      <c r="B26" s="28" t="s">
        <v>5</v>
      </c>
      <c r="C26" s="193" t="s">
        <v>20</v>
      </c>
      <c r="D26" s="193"/>
      <c r="E26" s="28">
        <v>53.68</v>
      </c>
      <c r="F26" s="88">
        <v>1605</v>
      </c>
      <c r="G26" s="88">
        <f t="shared" si="19"/>
        <v>86156.4</v>
      </c>
      <c r="H26" s="30" t="s">
        <v>53</v>
      </c>
      <c r="I26" s="95">
        <v>16</v>
      </c>
      <c r="J26" s="13">
        <v>1500</v>
      </c>
      <c r="K26" s="12">
        <f t="shared" si="1"/>
        <v>93.75</v>
      </c>
      <c r="L26" s="95">
        <v>16</v>
      </c>
      <c r="M26" s="13">
        <f t="shared" si="20"/>
        <v>1437.3134328358192</v>
      </c>
      <c r="N26" s="12">
        <f t="shared" si="3"/>
        <v>89.832089552238699</v>
      </c>
      <c r="O26" s="14">
        <f t="shared" si="4"/>
        <v>0</v>
      </c>
      <c r="P26" s="15">
        <f t="shared" si="5"/>
        <v>-3.9179104477613009</v>
      </c>
      <c r="Q26" s="91">
        <f t="shared" si="6"/>
        <v>0.9582089552238795</v>
      </c>
      <c r="R26" s="177"/>
      <c r="S26" s="21">
        <v>0.75069444444444444</v>
      </c>
      <c r="T26" s="21">
        <v>0.79722222222222228</v>
      </c>
      <c r="U26" s="88">
        <f t="shared" si="22"/>
        <v>7.9999999999999716</v>
      </c>
      <c r="V26" s="30">
        <f t="shared" si="21"/>
        <v>67.000000000000085</v>
      </c>
      <c r="W26" s="16"/>
      <c r="X26" s="16"/>
      <c r="Y26" s="88"/>
      <c r="Z26" s="88"/>
      <c r="AA26" s="168"/>
      <c r="AB26" s="168"/>
      <c r="AC26" s="18"/>
      <c r="AD26" s="18"/>
      <c r="AE26" s="14">
        <f t="shared" si="8"/>
        <v>-62.686567164180815</v>
      </c>
      <c r="AF26" s="91">
        <f t="shared" si="9"/>
        <v>0.9582089552238795</v>
      </c>
      <c r="AG26" s="177"/>
    </row>
    <row r="27" spans="1:33" ht="15.75" customHeight="1">
      <c r="A27" s="196" t="s">
        <v>170</v>
      </c>
      <c r="B27" s="28" t="s">
        <v>5</v>
      </c>
      <c r="C27" s="193" t="s">
        <v>19</v>
      </c>
      <c r="D27" s="193"/>
      <c r="E27" s="28">
        <v>50.49</v>
      </c>
      <c r="F27" s="88">
        <v>1000</v>
      </c>
      <c r="G27" s="88">
        <f t="shared" si="19"/>
        <v>50490</v>
      </c>
      <c r="H27" s="30">
        <v>2</v>
      </c>
      <c r="I27" s="95">
        <v>15</v>
      </c>
      <c r="J27" s="13">
        <v>2000</v>
      </c>
      <c r="K27" s="12">
        <f t="shared" si="1"/>
        <v>133.33333333333334</v>
      </c>
      <c r="L27" s="95">
        <v>15</v>
      </c>
      <c r="M27" s="13">
        <f t="shared" si="20"/>
        <v>1935.483870967739</v>
      </c>
      <c r="N27" s="12">
        <f t="shared" si="3"/>
        <v>129.03225806451593</v>
      </c>
      <c r="O27" s="14">
        <f t="shared" si="4"/>
        <v>0</v>
      </c>
      <c r="P27" s="15">
        <f t="shared" si="5"/>
        <v>-4.3010752688174136</v>
      </c>
      <c r="Q27" s="91">
        <f t="shared" si="6"/>
        <v>0.96774193548386944</v>
      </c>
      <c r="R27" s="177"/>
      <c r="S27" s="21">
        <v>0.80208333333333337</v>
      </c>
      <c r="T27" s="21">
        <v>0.82361111111111118</v>
      </c>
      <c r="U27" s="88">
        <f t="shared" si="22"/>
        <v>6.9999999999999751</v>
      </c>
      <c r="V27" s="30">
        <f t="shared" si="21"/>
        <v>31.00000000000005</v>
      </c>
      <c r="W27" s="16">
        <f>T27</f>
        <v>0.82361111111111118</v>
      </c>
      <c r="X27" s="16">
        <f>S28</f>
        <v>0.86527777777777781</v>
      </c>
      <c r="Y27" s="21"/>
      <c r="Z27" s="21"/>
      <c r="AA27" s="168"/>
      <c r="AB27" s="168"/>
      <c r="AC27" s="18"/>
      <c r="AD27" s="18"/>
      <c r="AE27" s="14">
        <f t="shared" si="8"/>
        <v>-64.516129032261006</v>
      </c>
      <c r="AF27" s="91">
        <f t="shared" si="9"/>
        <v>0.96774193548386944</v>
      </c>
      <c r="AG27" s="177"/>
    </row>
    <row r="28" spans="1:33" ht="15.75" customHeight="1">
      <c r="A28" s="196" t="s">
        <v>170</v>
      </c>
      <c r="B28" s="28" t="s">
        <v>5</v>
      </c>
      <c r="C28" s="218" t="s">
        <v>19</v>
      </c>
      <c r="D28" s="219"/>
      <c r="E28" s="28">
        <v>50.49</v>
      </c>
      <c r="F28" s="88">
        <v>1199</v>
      </c>
      <c r="G28" s="88">
        <f t="shared" si="19"/>
        <v>60537.51</v>
      </c>
      <c r="H28" s="30" t="s">
        <v>53</v>
      </c>
      <c r="I28" s="95">
        <v>15</v>
      </c>
      <c r="J28" s="13">
        <v>2000</v>
      </c>
      <c r="K28" s="12">
        <f t="shared" si="1"/>
        <v>133.33333333333334</v>
      </c>
      <c r="L28" s="95">
        <v>15</v>
      </c>
      <c r="M28" s="13">
        <f t="shared" si="20"/>
        <v>1944.324324324323</v>
      </c>
      <c r="N28" s="12">
        <f t="shared" si="3"/>
        <v>129.62162162162153</v>
      </c>
      <c r="O28" s="14">
        <f t="shared" si="4"/>
        <v>0</v>
      </c>
      <c r="P28" s="15">
        <f t="shared" si="5"/>
        <v>-3.7117117117118141</v>
      </c>
      <c r="Q28" s="91">
        <f t="shared" si="6"/>
        <v>0.97216216216216145</v>
      </c>
      <c r="R28" s="177"/>
      <c r="S28" s="21">
        <v>0.86527777777777781</v>
      </c>
      <c r="T28" s="21">
        <v>0.89097222222222228</v>
      </c>
      <c r="U28" s="88">
        <f t="shared" si="22"/>
        <v>59.999999999999943</v>
      </c>
      <c r="V28" s="30">
        <f t="shared" si="21"/>
        <v>37.000000000000028</v>
      </c>
      <c r="W28" s="16"/>
      <c r="X28" s="21"/>
      <c r="Y28" s="22"/>
      <c r="Z28" s="22"/>
      <c r="AA28" s="172"/>
      <c r="AB28" s="173"/>
      <c r="AC28" s="18"/>
      <c r="AD28" s="18"/>
      <c r="AE28" s="14">
        <f t="shared" si="8"/>
        <v>-55.675675675676985</v>
      </c>
      <c r="AF28" s="91">
        <f t="shared" si="9"/>
        <v>0.97216216216216156</v>
      </c>
      <c r="AG28" s="177"/>
    </row>
    <row r="29" spans="1:33" ht="15.75" customHeight="1">
      <c r="A29" s="196" t="s">
        <v>170</v>
      </c>
      <c r="B29" s="28" t="s">
        <v>168</v>
      </c>
      <c r="C29" s="178"/>
      <c r="D29" s="178"/>
      <c r="E29" s="92"/>
      <c r="F29" s="88"/>
      <c r="G29" s="88"/>
      <c r="H29" s="88"/>
      <c r="I29" s="23">
        <v>15.142857142857142</v>
      </c>
      <c r="J29" s="13">
        <v>1928.5714285714287</v>
      </c>
      <c r="K29" s="12">
        <f t="shared" si="1"/>
        <v>127.35849056603774</v>
      </c>
      <c r="L29" s="23">
        <v>15.142857142857142</v>
      </c>
      <c r="M29" s="13">
        <f>AVERAGE(M22:M28)</f>
        <v>1853.750962165486</v>
      </c>
      <c r="N29" s="12">
        <f t="shared" si="3"/>
        <v>122.41751636941889</v>
      </c>
      <c r="O29" s="14">
        <f t="shared" si="4"/>
        <v>0</v>
      </c>
      <c r="P29" s="15">
        <f t="shared" si="5"/>
        <v>-4.9409741966188534</v>
      </c>
      <c r="Q29" s="91">
        <f t="shared" si="6"/>
        <v>0.96120420260432604</v>
      </c>
      <c r="R29" s="177"/>
      <c r="S29" s="21"/>
      <c r="T29" s="21"/>
      <c r="U29" s="12"/>
      <c r="V29" s="30"/>
      <c r="W29" s="12"/>
      <c r="X29" s="12"/>
      <c r="Y29" s="24">
        <f>SUM(Y22:Y28)</f>
        <v>0</v>
      </c>
      <c r="Z29" s="24">
        <f>SUM(Z22:Z28)</f>
        <v>0</v>
      </c>
      <c r="AA29" s="167"/>
      <c r="AB29" s="167"/>
      <c r="AC29" s="24">
        <v>7</v>
      </c>
      <c r="AD29" s="24">
        <f>SUM(AD22:AD28)</f>
        <v>0</v>
      </c>
      <c r="AE29" s="14">
        <f t="shared" si="8"/>
        <v>-74.820466405942625</v>
      </c>
      <c r="AF29" s="91">
        <f t="shared" si="9"/>
        <v>0.96120420260432604</v>
      </c>
      <c r="AG29" s="177"/>
    </row>
    <row r="30" spans="1:33" ht="15.75" customHeight="1">
      <c r="A30" s="194" t="s">
        <v>171</v>
      </c>
      <c r="B30" s="28" t="s">
        <v>22</v>
      </c>
      <c r="C30" s="193" t="s">
        <v>23</v>
      </c>
      <c r="D30" s="193"/>
      <c r="E30" s="28">
        <v>31.29</v>
      </c>
      <c r="F30" s="88">
        <v>6700</v>
      </c>
      <c r="G30" s="88">
        <f t="shared" ref="G30:G36" si="23">E30*F30</f>
        <v>209643</v>
      </c>
      <c r="H30" s="30">
        <v>2</v>
      </c>
      <c r="I30" s="95">
        <v>18</v>
      </c>
      <c r="J30" s="13">
        <v>2400</v>
      </c>
      <c r="K30" s="12">
        <f t="shared" si="1"/>
        <v>133.33333333333334</v>
      </c>
      <c r="L30" s="95">
        <v>18</v>
      </c>
      <c r="M30" s="13">
        <f t="shared" ref="M30:M36" si="24">F30/V30*60</f>
        <v>2284.090909090909</v>
      </c>
      <c r="N30" s="12">
        <f t="shared" si="3"/>
        <v>126.89393939393939</v>
      </c>
      <c r="O30" s="14">
        <f t="shared" si="4"/>
        <v>0</v>
      </c>
      <c r="P30" s="15">
        <f t="shared" si="5"/>
        <v>-6.4393939393939519</v>
      </c>
      <c r="Q30" s="91">
        <f t="shared" si="6"/>
        <v>0.95170454545454541</v>
      </c>
      <c r="R30" s="177">
        <f>Q37</f>
        <v>0.95392471001811818</v>
      </c>
      <c r="S30" s="21">
        <v>8.3333333333333329E-2</v>
      </c>
      <c r="T30" s="21">
        <v>0.20555555555555555</v>
      </c>
      <c r="U30" s="88"/>
      <c r="V30" s="30">
        <f t="shared" ref="V30:V36" si="25">(T30-S30)*24*60</f>
        <v>176</v>
      </c>
      <c r="W30" s="16">
        <f>T30</f>
        <v>0.20555555555555555</v>
      </c>
      <c r="X30" s="16">
        <f>S31</f>
        <v>0.22569444444444445</v>
      </c>
      <c r="Y30" s="16"/>
      <c r="Z30" s="16"/>
      <c r="AA30" s="168"/>
      <c r="AB30" s="168"/>
      <c r="AC30" s="18">
        <v>7</v>
      </c>
      <c r="AD30" s="18"/>
      <c r="AE30" s="14">
        <f t="shared" si="8"/>
        <v>-115.90909090909099</v>
      </c>
      <c r="AF30" s="91">
        <f t="shared" si="9"/>
        <v>0.95170454545454541</v>
      </c>
      <c r="AG30" s="177">
        <f>AF37</f>
        <v>0.95392471001811829</v>
      </c>
    </row>
    <row r="31" spans="1:33" ht="15.75" customHeight="1">
      <c r="A31" s="194" t="s">
        <v>171</v>
      </c>
      <c r="B31" s="28" t="s">
        <v>22</v>
      </c>
      <c r="C31" s="193" t="s">
        <v>24</v>
      </c>
      <c r="D31" s="193"/>
      <c r="E31" s="28">
        <v>25.98</v>
      </c>
      <c r="F31" s="88">
        <v>3439</v>
      </c>
      <c r="G31" s="88">
        <f t="shared" si="23"/>
        <v>89345.22</v>
      </c>
      <c r="H31" s="30" t="s">
        <v>53</v>
      </c>
      <c r="I31" s="95">
        <v>21</v>
      </c>
      <c r="J31" s="13">
        <v>2400</v>
      </c>
      <c r="K31" s="12">
        <f t="shared" si="1"/>
        <v>114.28571428571429</v>
      </c>
      <c r="L31" s="95">
        <v>21</v>
      </c>
      <c r="M31" s="13">
        <f t="shared" si="24"/>
        <v>2292.6666666666679</v>
      </c>
      <c r="N31" s="12">
        <f t="shared" si="3"/>
        <v>109.17460317460323</v>
      </c>
      <c r="O31" s="14">
        <f t="shared" si="4"/>
        <v>0</v>
      </c>
      <c r="P31" s="15">
        <f t="shared" si="5"/>
        <v>-5.1111111111110574</v>
      </c>
      <c r="Q31" s="91">
        <f t="shared" si="6"/>
        <v>0.95527777777777823</v>
      </c>
      <c r="R31" s="177"/>
      <c r="S31" s="21">
        <v>0.22569444444444445</v>
      </c>
      <c r="T31" s="21">
        <v>0.28819444444444442</v>
      </c>
      <c r="U31" s="88">
        <f t="shared" ref="U31:U36" si="26">(S31-T30)*24*60</f>
        <v>29.000000000000018</v>
      </c>
      <c r="V31" s="30">
        <f t="shared" si="25"/>
        <v>89.999999999999957</v>
      </c>
      <c r="W31" s="16"/>
      <c r="X31" s="16"/>
      <c r="Y31" s="16"/>
      <c r="Z31" s="16"/>
      <c r="AA31" s="168"/>
      <c r="AB31" s="168"/>
      <c r="AC31" s="18"/>
      <c r="AD31" s="18"/>
      <c r="AE31" s="14">
        <f t="shared" si="8"/>
        <v>-107.33333333333212</v>
      </c>
      <c r="AF31" s="91">
        <f t="shared" si="9"/>
        <v>0.95527777777777834</v>
      </c>
      <c r="AG31" s="177"/>
    </row>
    <row r="32" spans="1:33" ht="15.75" customHeight="1">
      <c r="A32" s="194" t="s">
        <v>171</v>
      </c>
      <c r="B32" s="28" t="s">
        <v>22</v>
      </c>
      <c r="C32" s="193" t="s">
        <v>25</v>
      </c>
      <c r="D32" s="193"/>
      <c r="E32" s="28">
        <v>26.2</v>
      </c>
      <c r="F32" s="88">
        <v>3700</v>
      </c>
      <c r="G32" s="88">
        <f t="shared" si="23"/>
        <v>96940</v>
      </c>
      <c r="H32" s="30">
        <v>2</v>
      </c>
      <c r="I32" s="95">
        <v>20</v>
      </c>
      <c r="J32" s="13">
        <v>2400</v>
      </c>
      <c r="K32" s="12">
        <f t="shared" si="1"/>
        <v>120</v>
      </c>
      <c r="L32" s="95">
        <v>20</v>
      </c>
      <c r="M32" s="13">
        <f t="shared" si="24"/>
        <v>2288.6597938144337</v>
      </c>
      <c r="N32" s="12">
        <f t="shared" si="3"/>
        <v>114.43298969072168</v>
      </c>
      <c r="O32" s="14">
        <f t="shared" si="4"/>
        <v>0</v>
      </c>
      <c r="P32" s="15">
        <f t="shared" si="5"/>
        <v>-5.5670103092783165</v>
      </c>
      <c r="Q32" s="91">
        <f t="shared" si="6"/>
        <v>0.95360824742268069</v>
      </c>
      <c r="R32" s="177"/>
      <c r="S32" s="21">
        <v>0.29166666666666663</v>
      </c>
      <c r="T32" s="21">
        <v>0.35902777777777772</v>
      </c>
      <c r="U32" s="88">
        <f t="shared" si="26"/>
        <v>4.9999999999999822</v>
      </c>
      <c r="V32" s="30">
        <f t="shared" si="25"/>
        <v>96.999999999999972</v>
      </c>
      <c r="W32" s="16"/>
      <c r="X32" s="16"/>
      <c r="Y32" s="16"/>
      <c r="Z32" s="16"/>
      <c r="AA32" s="168"/>
      <c r="AB32" s="168"/>
      <c r="AC32" s="18"/>
      <c r="AD32" s="18"/>
      <c r="AE32" s="14">
        <f t="shared" si="8"/>
        <v>-111.34020618556633</v>
      </c>
      <c r="AF32" s="91">
        <f t="shared" si="9"/>
        <v>0.95360824742268069</v>
      </c>
      <c r="AG32" s="177"/>
    </row>
    <row r="33" spans="1:33" ht="15.75" customHeight="1">
      <c r="A33" s="194" t="s">
        <v>171</v>
      </c>
      <c r="B33" s="28" t="s">
        <v>22</v>
      </c>
      <c r="C33" s="193" t="s">
        <v>26</v>
      </c>
      <c r="D33" s="193"/>
      <c r="E33" s="28">
        <v>25.99</v>
      </c>
      <c r="F33" s="88">
        <v>4649</v>
      </c>
      <c r="G33" s="88">
        <f t="shared" si="23"/>
        <v>120827.51</v>
      </c>
      <c r="H33" s="30" t="s">
        <v>53</v>
      </c>
      <c r="I33" s="95">
        <v>14</v>
      </c>
      <c r="J33" s="13">
        <v>2400</v>
      </c>
      <c r="K33" s="12">
        <f t="shared" si="1"/>
        <v>171.42857142857142</v>
      </c>
      <c r="L33" s="95">
        <v>14</v>
      </c>
      <c r="M33" s="13">
        <f t="shared" si="24"/>
        <v>2286.3934426229516</v>
      </c>
      <c r="N33" s="12">
        <f t="shared" si="3"/>
        <v>163.31381733021084</v>
      </c>
      <c r="O33" s="14">
        <f t="shared" si="4"/>
        <v>0</v>
      </c>
      <c r="P33" s="15">
        <f t="shared" si="5"/>
        <v>-8.1147540983605779</v>
      </c>
      <c r="Q33" s="91">
        <f t="shared" si="6"/>
        <v>0.95266393442622999</v>
      </c>
      <c r="R33" s="177"/>
      <c r="S33" s="21">
        <v>0.36458333333333326</v>
      </c>
      <c r="T33" s="21">
        <v>0.44930555555555546</v>
      </c>
      <c r="U33" s="88">
        <f t="shared" si="26"/>
        <v>7.9999999999999716</v>
      </c>
      <c r="V33" s="30">
        <f t="shared" si="25"/>
        <v>121.99999999999997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-113.60655737704838</v>
      </c>
      <c r="AF33" s="91">
        <f t="shared" si="9"/>
        <v>0.95266393442622987</v>
      </c>
      <c r="AG33" s="177"/>
    </row>
    <row r="34" spans="1:33" ht="15.75" customHeight="1">
      <c r="A34" s="194" t="s">
        <v>171</v>
      </c>
      <c r="B34" s="28" t="s">
        <v>22</v>
      </c>
      <c r="C34" s="193" t="s">
        <v>27</v>
      </c>
      <c r="D34" s="193"/>
      <c r="E34" s="28">
        <v>26.18</v>
      </c>
      <c r="F34" s="88">
        <v>1799</v>
      </c>
      <c r="G34" s="88">
        <f t="shared" si="23"/>
        <v>47097.82</v>
      </c>
      <c r="H34" s="30" t="s">
        <v>53</v>
      </c>
      <c r="I34" s="95">
        <v>19</v>
      </c>
      <c r="J34" s="13">
        <v>2400</v>
      </c>
      <c r="K34" s="12">
        <f t="shared" si="1"/>
        <v>126.31578947368421</v>
      </c>
      <c r="L34" s="95">
        <v>19</v>
      </c>
      <c r="M34" s="13">
        <f t="shared" si="24"/>
        <v>2296.5957446808511</v>
      </c>
      <c r="N34" s="12">
        <f t="shared" si="3"/>
        <v>120.87346024636058</v>
      </c>
      <c r="O34" s="14">
        <f t="shared" si="4"/>
        <v>0</v>
      </c>
      <c r="P34" s="15">
        <f t="shared" si="5"/>
        <v>-5.4423292273236257</v>
      </c>
      <c r="Q34" s="91">
        <f t="shared" si="6"/>
        <v>0.95691489361702131</v>
      </c>
      <c r="R34" s="177"/>
      <c r="S34" s="21">
        <v>0.45416666666666655</v>
      </c>
      <c r="T34" s="21">
        <v>0.48680555555555544</v>
      </c>
      <c r="U34" s="88">
        <f t="shared" si="26"/>
        <v>6.9999999999999751</v>
      </c>
      <c r="V34" s="30">
        <f t="shared" si="25"/>
        <v>46.999999999999993</v>
      </c>
      <c r="W34" s="16">
        <f>T34</f>
        <v>0.48680555555555544</v>
      </c>
      <c r="X34" s="16">
        <f>S35</f>
        <v>0.52708333333333324</v>
      </c>
      <c r="Y34" s="16"/>
      <c r="Z34" s="16"/>
      <c r="AA34" s="168"/>
      <c r="AB34" s="168"/>
      <c r="AC34" s="18"/>
      <c r="AD34" s="18"/>
      <c r="AE34" s="14">
        <f t="shared" si="8"/>
        <v>-103.40425531914889</v>
      </c>
      <c r="AF34" s="91">
        <f t="shared" si="9"/>
        <v>0.95691489361702131</v>
      </c>
      <c r="AG34" s="177"/>
    </row>
    <row r="35" spans="1:33" ht="15.75" customHeight="1">
      <c r="A35" s="194" t="s">
        <v>171</v>
      </c>
      <c r="B35" s="28" t="s">
        <v>22</v>
      </c>
      <c r="C35" s="193" t="s">
        <v>23</v>
      </c>
      <c r="D35" s="193"/>
      <c r="E35" s="28">
        <v>31.29</v>
      </c>
      <c r="F35" s="88">
        <v>3806</v>
      </c>
      <c r="G35" s="88">
        <f t="shared" si="23"/>
        <v>119089.73999999999</v>
      </c>
      <c r="H35" s="30" t="s">
        <v>53</v>
      </c>
      <c r="I35" s="95">
        <v>18</v>
      </c>
      <c r="J35" s="13">
        <v>2400</v>
      </c>
      <c r="K35" s="12">
        <f t="shared" si="1"/>
        <v>133.33333333333334</v>
      </c>
      <c r="L35" s="95">
        <v>18</v>
      </c>
      <c r="M35" s="13">
        <f t="shared" si="24"/>
        <v>2283.6000000000004</v>
      </c>
      <c r="N35" s="12">
        <f t="shared" si="3"/>
        <v>126.86666666666669</v>
      </c>
      <c r="O35" s="14">
        <f t="shared" si="4"/>
        <v>0</v>
      </c>
      <c r="P35" s="15">
        <f t="shared" si="5"/>
        <v>-6.4666666666666544</v>
      </c>
      <c r="Q35" s="91">
        <f t="shared" si="6"/>
        <v>0.95150000000000012</v>
      </c>
      <c r="R35" s="177"/>
      <c r="S35" s="21">
        <v>0.52708333333333324</v>
      </c>
      <c r="T35" s="21">
        <v>0.59652777777777766</v>
      </c>
      <c r="U35" s="88">
        <f t="shared" si="26"/>
        <v>58.000000000000036</v>
      </c>
      <c r="V35" s="30">
        <f t="shared" si="25"/>
        <v>99.999999999999972</v>
      </c>
      <c r="W35" s="16"/>
      <c r="X35" s="16"/>
      <c r="Y35" s="16"/>
      <c r="Z35" s="16"/>
      <c r="AA35" s="168"/>
      <c r="AB35" s="168"/>
      <c r="AC35" s="18"/>
      <c r="AD35" s="18"/>
      <c r="AE35" s="14">
        <f t="shared" si="8"/>
        <v>-116.39999999999964</v>
      </c>
      <c r="AF35" s="91">
        <f t="shared" si="9"/>
        <v>0.95150000000000012</v>
      </c>
      <c r="AG35" s="177"/>
    </row>
    <row r="36" spans="1:33" ht="15.75" customHeight="1">
      <c r="A36" s="194" t="s">
        <v>171</v>
      </c>
      <c r="B36" s="28" t="s">
        <v>22</v>
      </c>
      <c r="C36" s="193" t="s">
        <v>25</v>
      </c>
      <c r="D36" s="193"/>
      <c r="E36" s="28">
        <v>26.2</v>
      </c>
      <c r="F36" s="88">
        <v>2141</v>
      </c>
      <c r="G36" s="88">
        <f t="shared" si="23"/>
        <v>56094.2</v>
      </c>
      <c r="H36" s="30" t="s">
        <v>53</v>
      </c>
      <c r="I36" s="95">
        <v>20</v>
      </c>
      <c r="J36" s="13">
        <v>2400</v>
      </c>
      <c r="K36" s="12">
        <f t="shared" si="1"/>
        <v>120</v>
      </c>
      <c r="L36" s="95">
        <v>20</v>
      </c>
      <c r="M36" s="13">
        <f t="shared" si="24"/>
        <v>2293.9285714285734</v>
      </c>
      <c r="N36" s="12">
        <f t="shared" si="3"/>
        <v>114.69642857142867</v>
      </c>
      <c r="O36" s="14">
        <f t="shared" si="4"/>
        <v>0</v>
      </c>
      <c r="P36" s="15">
        <f t="shared" si="5"/>
        <v>-5.3035714285713311</v>
      </c>
      <c r="Q36" s="91">
        <f t="shared" si="6"/>
        <v>0.9558035714285722</v>
      </c>
      <c r="R36" s="177"/>
      <c r="S36" s="21">
        <v>0.60208333333333319</v>
      </c>
      <c r="T36" s="21">
        <v>0.64097222222222205</v>
      </c>
      <c r="U36" s="88">
        <f t="shared" si="26"/>
        <v>7.9999999999999716</v>
      </c>
      <c r="V36" s="30">
        <f t="shared" si="25"/>
        <v>55.999999999999957</v>
      </c>
      <c r="W36" s="16"/>
      <c r="X36" s="16"/>
      <c r="Y36" s="16"/>
      <c r="Z36" s="16"/>
      <c r="AA36" s="168"/>
      <c r="AB36" s="168"/>
      <c r="AC36" s="18"/>
      <c r="AD36" s="18"/>
      <c r="AE36" s="14">
        <f t="shared" si="8"/>
        <v>-106.07142857142662</v>
      </c>
      <c r="AF36" s="91">
        <f t="shared" si="9"/>
        <v>0.9558035714285722</v>
      </c>
      <c r="AG36" s="177"/>
    </row>
    <row r="37" spans="1:33" ht="15.75" customHeight="1">
      <c r="A37" s="194" t="s">
        <v>171</v>
      </c>
      <c r="B37" s="28" t="s">
        <v>168</v>
      </c>
      <c r="C37" s="178"/>
      <c r="D37" s="178"/>
      <c r="E37" s="92"/>
      <c r="F37" s="88"/>
      <c r="G37" s="88"/>
      <c r="H37" s="88"/>
      <c r="I37" s="23">
        <v>18.571428571428573</v>
      </c>
      <c r="J37" s="13">
        <v>2400</v>
      </c>
      <c r="K37" s="12">
        <f t="shared" si="1"/>
        <v>129.23076923076923</v>
      </c>
      <c r="L37" s="23">
        <v>18.571428571428573</v>
      </c>
      <c r="M37" s="13">
        <f>AVERAGE(M30:M36)</f>
        <v>2289.4193040434839</v>
      </c>
      <c r="N37" s="12">
        <f t="shared" si="3"/>
        <v>123.27642406387989</v>
      </c>
      <c r="O37" s="14">
        <f t="shared" si="4"/>
        <v>0</v>
      </c>
      <c r="P37" s="15">
        <f t="shared" si="5"/>
        <v>-5.9543451668893397</v>
      </c>
      <c r="Q37" s="91">
        <f t="shared" si="6"/>
        <v>0.95392471001811818</v>
      </c>
      <c r="R37" s="177"/>
      <c r="S37" s="21"/>
      <c r="T37" s="21"/>
      <c r="U37" s="88"/>
      <c r="V37" s="30"/>
      <c r="W37" s="88"/>
      <c r="X37" s="88"/>
      <c r="Y37" s="24">
        <f>SUM(Y30:Y36)</f>
        <v>0</v>
      </c>
      <c r="Z37" s="24">
        <f>SUM(Z30:Z36)</f>
        <v>0</v>
      </c>
      <c r="AA37" s="167"/>
      <c r="AB37" s="167"/>
      <c r="AC37" s="24">
        <v>7</v>
      </c>
      <c r="AD37" s="24">
        <f>SUM(AD30:AD36)</f>
        <v>0</v>
      </c>
      <c r="AE37" s="14">
        <f t="shared" si="8"/>
        <v>-110.58069595651614</v>
      </c>
      <c r="AF37" s="91">
        <f t="shared" si="9"/>
        <v>0.95392471001811829</v>
      </c>
      <c r="AG37" s="177"/>
    </row>
    <row r="38" spans="1:33" ht="15.75" customHeight="1">
      <c r="A38" s="191" t="s">
        <v>172</v>
      </c>
      <c r="B38" s="28" t="s">
        <v>22</v>
      </c>
      <c r="C38" s="169" t="s">
        <v>28</v>
      </c>
      <c r="D38" s="169"/>
      <c r="E38" s="28">
        <v>26.2</v>
      </c>
      <c r="F38" s="88">
        <v>4700</v>
      </c>
      <c r="G38" s="88">
        <f t="shared" ref="G38:G44" si="27">E38*F38</f>
        <v>123140</v>
      </c>
      <c r="H38" s="30">
        <v>2</v>
      </c>
      <c r="I38" s="95">
        <v>18</v>
      </c>
      <c r="J38" s="13">
        <v>2400</v>
      </c>
      <c r="K38" s="12">
        <f t="shared" si="1"/>
        <v>133.33333333333334</v>
      </c>
      <c r="L38" s="95">
        <v>18</v>
      </c>
      <c r="M38" s="13">
        <f t="shared" ref="M38:M44" si="28">F38/V38*60</f>
        <v>2292.6829268292686</v>
      </c>
      <c r="N38" s="12">
        <f t="shared" si="3"/>
        <v>127.37127371273715</v>
      </c>
      <c r="O38" s="14">
        <f t="shared" si="4"/>
        <v>0</v>
      </c>
      <c r="P38" s="15">
        <f t="shared" si="5"/>
        <v>-5.9620596205961931</v>
      </c>
      <c r="Q38" s="91">
        <f t="shared" si="6"/>
        <v>0.9552845528455286</v>
      </c>
      <c r="R38" s="177">
        <f>Q45</f>
        <v>0.95655359263676365</v>
      </c>
      <c r="S38" s="21">
        <v>8.3333333333333329E-2</v>
      </c>
      <c r="T38" s="21">
        <v>0.16874999999999998</v>
      </c>
      <c r="U38" s="88"/>
      <c r="V38" s="30">
        <f t="shared" ref="V38:V44" si="29">(T38-S38)*24*60</f>
        <v>122.99999999999999</v>
      </c>
      <c r="W38" s="21">
        <f>T38</f>
        <v>0.16874999999999998</v>
      </c>
      <c r="X38" s="21">
        <f>S39</f>
        <v>0.18958333333333333</v>
      </c>
      <c r="Y38" s="21"/>
      <c r="Z38" s="21"/>
      <c r="AA38" s="168"/>
      <c r="AB38" s="168"/>
      <c r="AC38" s="18">
        <v>7</v>
      </c>
      <c r="AD38" s="18"/>
      <c r="AE38" s="14">
        <f t="shared" si="8"/>
        <v>-107.31707317073142</v>
      </c>
      <c r="AF38" s="91">
        <f t="shared" si="9"/>
        <v>0.9552845528455286</v>
      </c>
      <c r="AG38" s="177">
        <f>AF45</f>
        <v>0.95655359263676376</v>
      </c>
    </row>
    <row r="39" spans="1:33" ht="15.75" customHeight="1">
      <c r="A39" s="191" t="s">
        <v>172</v>
      </c>
      <c r="B39" s="28" t="s">
        <v>22</v>
      </c>
      <c r="C39" s="169" t="s">
        <v>29</v>
      </c>
      <c r="D39" s="169"/>
      <c r="E39" s="28">
        <v>20.52</v>
      </c>
      <c r="F39" s="88">
        <v>4361</v>
      </c>
      <c r="G39" s="88">
        <f t="shared" si="27"/>
        <v>89487.72</v>
      </c>
      <c r="H39" s="30" t="s">
        <v>53</v>
      </c>
      <c r="I39" s="95">
        <v>18</v>
      </c>
      <c r="J39" s="13">
        <v>2400</v>
      </c>
      <c r="K39" s="12">
        <f t="shared" si="1"/>
        <v>133.33333333333334</v>
      </c>
      <c r="L39" s="95">
        <v>18</v>
      </c>
      <c r="M39" s="13">
        <f t="shared" si="28"/>
        <v>2295.2631578947367</v>
      </c>
      <c r="N39" s="12">
        <f t="shared" si="3"/>
        <v>127.51461988304092</v>
      </c>
      <c r="O39" s="14">
        <f t="shared" si="4"/>
        <v>0</v>
      </c>
      <c r="P39" s="15">
        <f t="shared" si="5"/>
        <v>-5.8187134502924209</v>
      </c>
      <c r="Q39" s="91">
        <f t="shared" si="6"/>
        <v>0.9563596491228068</v>
      </c>
      <c r="R39" s="177"/>
      <c r="S39" s="21">
        <v>0.18958333333333333</v>
      </c>
      <c r="T39" s="21">
        <v>0.26874999999999999</v>
      </c>
      <c r="U39" s="88">
        <f t="shared" ref="U39:U44" si="30">(S39-T38)*24*60</f>
        <v>30.000000000000014</v>
      </c>
      <c r="V39" s="30">
        <f t="shared" si="29"/>
        <v>114</v>
      </c>
      <c r="W39" s="88"/>
      <c r="X39" s="88"/>
      <c r="Y39" s="88"/>
      <c r="Z39" s="88"/>
      <c r="AA39" s="168"/>
      <c r="AB39" s="168"/>
      <c r="AC39" s="18"/>
      <c r="AD39" s="18"/>
      <c r="AE39" s="14">
        <f t="shared" si="8"/>
        <v>-104.73684210526335</v>
      </c>
      <c r="AF39" s="91">
        <f t="shared" si="9"/>
        <v>0.95635964912280691</v>
      </c>
      <c r="AG39" s="177"/>
    </row>
    <row r="40" spans="1:33">
      <c r="A40" s="192" t="s">
        <v>172</v>
      </c>
      <c r="B40" s="28" t="s">
        <v>22</v>
      </c>
      <c r="C40" s="169" t="s">
        <v>32</v>
      </c>
      <c r="D40" s="169"/>
      <c r="E40" s="28">
        <v>20.52</v>
      </c>
      <c r="F40" s="88">
        <v>3099</v>
      </c>
      <c r="G40" s="88">
        <f t="shared" si="27"/>
        <v>63591.479999999996</v>
      </c>
      <c r="H40" s="30" t="s">
        <v>53</v>
      </c>
      <c r="I40" s="95">
        <v>18</v>
      </c>
      <c r="J40" s="13">
        <v>2400</v>
      </c>
      <c r="K40" s="12">
        <f t="shared" si="1"/>
        <v>133.33333333333334</v>
      </c>
      <c r="L40" s="95">
        <v>18</v>
      </c>
      <c r="M40" s="13">
        <f t="shared" si="28"/>
        <v>2295.5555555555547</v>
      </c>
      <c r="N40" s="12">
        <f t="shared" si="3"/>
        <v>127.53086419753082</v>
      </c>
      <c r="O40" s="14">
        <f t="shared" si="4"/>
        <v>0</v>
      </c>
      <c r="P40" s="15">
        <f t="shared" si="5"/>
        <v>-5.8024691358025251</v>
      </c>
      <c r="Q40" s="91">
        <f t="shared" si="6"/>
        <v>0.95648148148148104</v>
      </c>
      <c r="R40" s="177"/>
      <c r="S40" s="21">
        <v>0.27430555555555552</v>
      </c>
      <c r="T40" s="21">
        <v>0.33055555555555555</v>
      </c>
      <c r="U40" s="88">
        <f t="shared" si="30"/>
        <v>7.9999999999999716</v>
      </c>
      <c r="V40" s="30">
        <f t="shared" si="29"/>
        <v>81.000000000000028</v>
      </c>
      <c r="W40" s="88"/>
      <c r="X40" s="88"/>
      <c r="Y40" s="88"/>
      <c r="Z40" s="88"/>
      <c r="AA40" s="168"/>
      <c r="AB40" s="168"/>
      <c r="AC40" s="18"/>
      <c r="AD40" s="18"/>
      <c r="AE40" s="14">
        <f t="shared" si="8"/>
        <v>-104.44444444444525</v>
      </c>
      <c r="AF40" s="91">
        <f t="shared" si="9"/>
        <v>0.95648148148148115</v>
      </c>
      <c r="AG40" s="177"/>
    </row>
    <row r="41" spans="1:33">
      <c r="A41" s="192" t="s">
        <v>172</v>
      </c>
      <c r="B41" s="28" t="s">
        <v>22</v>
      </c>
      <c r="C41" s="169" t="s">
        <v>70</v>
      </c>
      <c r="D41" s="169"/>
      <c r="E41" s="28">
        <v>22.69</v>
      </c>
      <c r="F41" s="88">
        <v>5362</v>
      </c>
      <c r="G41" s="88">
        <f t="shared" si="27"/>
        <v>121663.78000000001</v>
      </c>
      <c r="H41" s="30" t="s">
        <v>53</v>
      </c>
      <c r="I41" s="95">
        <v>15</v>
      </c>
      <c r="J41" s="13">
        <v>2400</v>
      </c>
      <c r="K41" s="12">
        <f t="shared" si="1"/>
        <v>160</v>
      </c>
      <c r="L41" s="95">
        <v>15</v>
      </c>
      <c r="M41" s="13">
        <f t="shared" si="28"/>
        <v>2298.0000000000005</v>
      </c>
      <c r="N41" s="12">
        <f t="shared" si="3"/>
        <v>153.20000000000002</v>
      </c>
      <c r="O41" s="14">
        <f t="shared" si="4"/>
        <v>0</v>
      </c>
      <c r="P41" s="15">
        <f t="shared" si="5"/>
        <v>-6.7999999999999829</v>
      </c>
      <c r="Q41" s="91">
        <f t="shared" si="6"/>
        <v>0.95750000000000013</v>
      </c>
      <c r="R41" s="177"/>
      <c r="S41" s="21">
        <v>0.33541666666666664</v>
      </c>
      <c r="T41" s="21">
        <v>0.43263888888888885</v>
      </c>
      <c r="U41" s="88">
        <f t="shared" si="30"/>
        <v>6.9999999999999751</v>
      </c>
      <c r="V41" s="30">
        <f t="shared" si="29"/>
        <v>139.99999999999997</v>
      </c>
      <c r="W41" s="16"/>
      <c r="X41" s="16"/>
      <c r="Y41" s="16"/>
      <c r="Z41" s="16"/>
      <c r="AA41" s="168"/>
      <c r="AB41" s="168"/>
      <c r="AC41" s="18"/>
      <c r="AD41" s="18"/>
      <c r="AE41" s="14">
        <f t="shared" si="8"/>
        <v>-101.99999999999955</v>
      </c>
      <c r="AF41" s="91">
        <f t="shared" si="9"/>
        <v>0.95750000000000024</v>
      </c>
      <c r="AG41" s="177"/>
    </row>
    <row r="42" spans="1:33">
      <c r="A42" s="192" t="s">
        <v>172</v>
      </c>
      <c r="B42" s="28" t="s">
        <v>22</v>
      </c>
      <c r="C42" s="169" t="s">
        <v>30</v>
      </c>
      <c r="D42" s="169"/>
      <c r="E42" s="28">
        <v>26.39</v>
      </c>
      <c r="F42" s="88">
        <v>4200</v>
      </c>
      <c r="G42" s="88">
        <f t="shared" si="27"/>
        <v>110838</v>
      </c>
      <c r="H42" s="30">
        <v>2</v>
      </c>
      <c r="I42" s="95">
        <v>19</v>
      </c>
      <c r="J42" s="13">
        <v>2400</v>
      </c>
      <c r="K42" s="12">
        <f t="shared" si="1"/>
        <v>126.31578947368421</v>
      </c>
      <c r="L42" s="95">
        <v>19</v>
      </c>
      <c r="M42" s="13">
        <f t="shared" si="28"/>
        <v>2290.909090909091</v>
      </c>
      <c r="N42" s="12">
        <f t="shared" si="3"/>
        <v>120.57416267942584</v>
      </c>
      <c r="O42" s="14">
        <f t="shared" si="4"/>
        <v>0</v>
      </c>
      <c r="P42" s="15">
        <f t="shared" si="5"/>
        <v>-5.7416267942583659</v>
      </c>
      <c r="Q42" s="91">
        <f t="shared" si="6"/>
        <v>0.95454545454545459</v>
      </c>
      <c r="R42" s="177"/>
      <c r="S42" s="21">
        <v>0.43749999999999994</v>
      </c>
      <c r="T42" s="21">
        <v>0.51388888888888884</v>
      </c>
      <c r="U42" s="88">
        <f t="shared" si="30"/>
        <v>6.9999999999999751</v>
      </c>
      <c r="V42" s="30">
        <f t="shared" si="29"/>
        <v>110.00000000000001</v>
      </c>
      <c r="W42" s="16">
        <f>T42</f>
        <v>0.51388888888888884</v>
      </c>
      <c r="X42" s="16">
        <f>S43</f>
        <v>0.55555555555555547</v>
      </c>
      <c r="Y42" s="16"/>
      <c r="Z42" s="16"/>
      <c r="AA42" s="168"/>
      <c r="AB42" s="168"/>
      <c r="AC42" s="18"/>
      <c r="AD42" s="18"/>
      <c r="AE42" s="14">
        <f t="shared" si="8"/>
        <v>-109.09090909090901</v>
      </c>
      <c r="AF42" s="91">
        <f t="shared" si="9"/>
        <v>0.95454545454545459</v>
      </c>
      <c r="AG42" s="177"/>
    </row>
    <row r="43" spans="1:33">
      <c r="A43" s="192" t="s">
        <v>172</v>
      </c>
      <c r="B43" s="28" t="s">
        <v>22</v>
      </c>
      <c r="C43" s="169" t="s">
        <v>30</v>
      </c>
      <c r="D43" s="169"/>
      <c r="E43" s="28">
        <v>26.39</v>
      </c>
      <c r="F43" s="88">
        <v>2374</v>
      </c>
      <c r="G43" s="88">
        <f t="shared" si="27"/>
        <v>62649.86</v>
      </c>
      <c r="H43" s="30" t="s">
        <v>53</v>
      </c>
      <c r="I43" s="95">
        <v>19</v>
      </c>
      <c r="J43" s="13">
        <v>2400</v>
      </c>
      <c r="K43" s="12">
        <f t="shared" si="1"/>
        <v>126.31578947368421</v>
      </c>
      <c r="L43" s="95">
        <v>19</v>
      </c>
      <c r="M43" s="13">
        <f t="shared" si="28"/>
        <v>2297.4193548387116</v>
      </c>
      <c r="N43" s="12">
        <f t="shared" si="3"/>
        <v>120.91680814940587</v>
      </c>
      <c r="O43" s="14">
        <f t="shared" si="4"/>
        <v>0</v>
      </c>
      <c r="P43" s="15">
        <f t="shared" si="5"/>
        <v>-5.3989813242783384</v>
      </c>
      <c r="Q43" s="91">
        <f t="shared" si="6"/>
        <v>0.95725806451612983</v>
      </c>
      <c r="R43" s="177"/>
      <c r="S43" s="21">
        <v>0.55555555555555547</v>
      </c>
      <c r="T43" s="21">
        <v>0.59861111111111098</v>
      </c>
      <c r="U43" s="88">
        <f t="shared" si="30"/>
        <v>59.999999999999943</v>
      </c>
      <c r="V43" s="30">
        <f t="shared" si="29"/>
        <v>61.999999999999943</v>
      </c>
      <c r="W43" s="16"/>
      <c r="X43" s="16"/>
      <c r="Y43" s="16"/>
      <c r="Z43" s="16"/>
      <c r="AA43" s="168"/>
      <c r="AB43" s="168"/>
      <c r="AC43" s="18"/>
      <c r="AD43" s="18"/>
      <c r="AE43" s="14">
        <f t="shared" si="8"/>
        <v>-102.58064516128843</v>
      </c>
      <c r="AF43" s="91">
        <f t="shared" si="9"/>
        <v>0.95725806451612983</v>
      </c>
      <c r="AG43" s="177"/>
    </row>
    <row r="44" spans="1:33">
      <c r="A44" s="192" t="s">
        <v>172</v>
      </c>
      <c r="B44" s="28" t="s">
        <v>22</v>
      </c>
      <c r="C44" s="169" t="s">
        <v>28</v>
      </c>
      <c r="D44" s="169"/>
      <c r="E44" s="28">
        <v>26.2</v>
      </c>
      <c r="F44" s="88">
        <v>2837</v>
      </c>
      <c r="G44" s="88">
        <f t="shared" si="27"/>
        <v>74329.399999999994</v>
      </c>
      <c r="H44" s="30" t="s">
        <v>53</v>
      </c>
      <c r="I44" s="95">
        <v>18</v>
      </c>
      <c r="J44" s="13">
        <v>2400</v>
      </c>
      <c r="K44" s="12">
        <f t="shared" si="1"/>
        <v>133.33333333333334</v>
      </c>
      <c r="L44" s="95">
        <v>18</v>
      </c>
      <c r="M44" s="13">
        <f t="shared" si="28"/>
        <v>2300.2702702702686</v>
      </c>
      <c r="N44" s="12">
        <f t="shared" si="3"/>
        <v>127.7927927927927</v>
      </c>
      <c r="O44" s="14">
        <f t="shared" si="4"/>
        <v>0</v>
      </c>
      <c r="P44" s="15">
        <f t="shared" si="5"/>
        <v>-5.5405405405406469</v>
      </c>
      <c r="Q44" s="91">
        <f t="shared" si="6"/>
        <v>0.95844594594594512</v>
      </c>
      <c r="R44" s="177"/>
      <c r="S44" s="21">
        <v>0.60277777777777763</v>
      </c>
      <c r="T44" s="21">
        <v>0.65416666666666656</v>
      </c>
      <c r="U44" s="88">
        <f t="shared" si="30"/>
        <v>5.9999999999999787</v>
      </c>
      <c r="V44" s="30">
        <f t="shared" si="29"/>
        <v>74.000000000000057</v>
      </c>
      <c r="W44" s="16"/>
      <c r="X44" s="16"/>
      <c r="Y44" s="19"/>
      <c r="Z44" s="19"/>
      <c r="AA44" s="172"/>
      <c r="AB44" s="173"/>
      <c r="AC44" s="18"/>
      <c r="AD44" s="18"/>
      <c r="AE44" s="14">
        <f t="shared" si="8"/>
        <v>-99.729729729731389</v>
      </c>
      <c r="AF44" s="91">
        <f t="shared" si="9"/>
        <v>0.95844594594594523</v>
      </c>
      <c r="AG44" s="177"/>
    </row>
    <row r="45" spans="1:33">
      <c r="A45" s="192" t="s">
        <v>172</v>
      </c>
      <c r="B45" s="12" t="s">
        <v>168</v>
      </c>
      <c r="C45" s="178"/>
      <c r="D45" s="178"/>
      <c r="E45" s="92"/>
      <c r="F45" s="12"/>
      <c r="G45" s="12"/>
      <c r="H45" s="88"/>
      <c r="I45" s="23">
        <v>17.857142857142858</v>
      </c>
      <c r="J45" s="13">
        <v>2400</v>
      </c>
      <c r="K45" s="12">
        <f t="shared" si="1"/>
        <v>134.4</v>
      </c>
      <c r="L45" s="23">
        <v>17.857142857142858</v>
      </c>
      <c r="M45" s="13">
        <f>AVERAGE(M38:M44)</f>
        <v>2295.7286223282331</v>
      </c>
      <c r="N45" s="12">
        <f t="shared" si="3"/>
        <v>128.56080285038104</v>
      </c>
      <c r="O45" s="14">
        <f t="shared" si="4"/>
        <v>0</v>
      </c>
      <c r="P45" s="15">
        <f t="shared" si="5"/>
        <v>-5.8391971496189683</v>
      </c>
      <c r="Q45" s="91">
        <f t="shared" si="6"/>
        <v>0.95655359263676365</v>
      </c>
      <c r="R45" s="177"/>
      <c r="S45" s="21"/>
      <c r="T45" s="21"/>
      <c r="U45" s="12"/>
      <c r="V45" s="30"/>
      <c r="W45" s="12"/>
      <c r="X45" s="12"/>
      <c r="Y45" s="24">
        <f>SUM(Y38:Y44)</f>
        <v>0</v>
      </c>
      <c r="Z45" s="24">
        <f>SUM(Z38:Z44)</f>
        <v>0</v>
      </c>
      <c r="AA45" s="167"/>
      <c r="AB45" s="167"/>
      <c r="AC45" s="24">
        <v>7</v>
      </c>
      <c r="AD45" s="24">
        <f>SUM(AD38:AD44)</f>
        <v>0</v>
      </c>
      <c r="AE45" s="14">
        <f t="shared" si="8"/>
        <v>-104.27137767176691</v>
      </c>
      <c r="AF45" s="91">
        <f t="shared" si="9"/>
        <v>0.95655359263676376</v>
      </c>
      <c r="AG45" s="177"/>
    </row>
    <row r="46" spans="1:33" ht="15.75" customHeight="1">
      <c r="A46" s="188" t="s">
        <v>173</v>
      </c>
      <c r="B46" s="28" t="s">
        <v>33</v>
      </c>
      <c r="C46" s="170" t="s">
        <v>72</v>
      </c>
      <c r="D46" s="171"/>
      <c r="E46" s="28">
        <v>34.35</v>
      </c>
      <c r="F46" s="88">
        <v>2967</v>
      </c>
      <c r="G46" s="88">
        <f t="shared" ref="G46:G50" si="31">E46*F46</f>
        <v>101916.45</v>
      </c>
      <c r="H46" s="30" t="s">
        <v>53</v>
      </c>
      <c r="I46" s="95">
        <v>8</v>
      </c>
      <c r="J46" s="13">
        <v>3000</v>
      </c>
      <c r="K46" s="12">
        <f t="shared" si="1"/>
        <v>375</v>
      </c>
      <c r="L46" s="95">
        <v>8</v>
      </c>
      <c r="M46" s="13">
        <f t="shared" ref="M46:M50" si="32">F46/V46*60</f>
        <v>2871.2903225806454</v>
      </c>
      <c r="N46" s="13">
        <f t="shared" si="3"/>
        <v>358.91129032258067</v>
      </c>
      <c r="O46" s="14">
        <f t="shared" si="4"/>
        <v>0</v>
      </c>
      <c r="P46" s="15">
        <f t="shared" si="5"/>
        <v>-16.088709677419331</v>
      </c>
      <c r="Q46" s="91">
        <f t="shared" si="6"/>
        <v>0.95709677419354844</v>
      </c>
      <c r="R46" s="183">
        <f>Q51</f>
        <v>0.95846306541038329</v>
      </c>
      <c r="S46" s="21">
        <v>8.3333333333333329E-2</v>
      </c>
      <c r="T46" s="21">
        <v>0.12638888888888888</v>
      </c>
      <c r="U46" s="21"/>
      <c r="V46" s="30">
        <f t="shared" ref="V46:V50" si="33">(T46-S46)*24*60</f>
        <v>61.999999999999993</v>
      </c>
      <c r="W46" s="16">
        <f>T46</f>
        <v>0.12638888888888888</v>
      </c>
      <c r="X46" s="16">
        <f>S47</f>
        <v>0.14444444444444443</v>
      </c>
      <c r="Y46" s="19"/>
      <c r="Z46" s="19"/>
      <c r="AA46" s="172"/>
      <c r="AB46" s="173"/>
      <c r="AC46" s="18">
        <v>5</v>
      </c>
      <c r="AD46" s="18"/>
      <c r="AE46" s="14">
        <f t="shared" si="8"/>
        <v>-128.70967741935465</v>
      </c>
      <c r="AF46" s="91">
        <f t="shared" si="9"/>
        <v>0.95709677419354844</v>
      </c>
      <c r="AG46" s="183">
        <f>AF51</f>
        <v>0.95846306541038329</v>
      </c>
    </row>
    <row r="47" spans="1:33" ht="15.75" customHeight="1">
      <c r="A47" s="189" t="s">
        <v>173</v>
      </c>
      <c r="B47" s="28" t="s">
        <v>33</v>
      </c>
      <c r="C47" s="170" t="s">
        <v>36</v>
      </c>
      <c r="D47" s="171"/>
      <c r="E47" s="28">
        <v>21.13</v>
      </c>
      <c r="F47" s="88">
        <v>6163</v>
      </c>
      <c r="G47" s="88">
        <f t="shared" si="31"/>
        <v>130224.18999999999</v>
      </c>
      <c r="H47" s="30" t="s">
        <v>53</v>
      </c>
      <c r="I47" s="95">
        <v>10</v>
      </c>
      <c r="J47" s="13">
        <v>3000</v>
      </c>
      <c r="K47" s="12">
        <f t="shared" si="1"/>
        <v>300</v>
      </c>
      <c r="L47" s="95">
        <v>10</v>
      </c>
      <c r="M47" s="13">
        <f t="shared" si="32"/>
        <v>2866.5116279069762</v>
      </c>
      <c r="N47" s="13">
        <f t="shared" si="3"/>
        <v>286.65116279069764</v>
      </c>
      <c r="O47" s="14">
        <f t="shared" si="4"/>
        <v>0</v>
      </c>
      <c r="P47" s="15">
        <f t="shared" si="5"/>
        <v>-13.34883720930236</v>
      </c>
      <c r="Q47" s="91">
        <f t="shared" si="6"/>
        <v>0.95550387596899211</v>
      </c>
      <c r="R47" s="184"/>
      <c r="S47" s="21">
        <v>0.14444444444444443</v>
      </c>
      <c r="T47" s="21">
        <v>0.23402777777777778</v>
      </c>
      <c r="U47" s="88">
        <f t="shared" ref="U47:U50" si="34">(S47-T46)*24*60</f>
        <v>25.999999999999986</v>
      </c>
      <c r="V47" s="30">
        <f t="shared" si="33"/>
        <v>129.00000000000003</v>
      </c>
      <c r="W47" s="16"/>
      <c r="X47" s="16"/>
      <c r="Y47" s="19"/>
      <c r="Z47" s="19"/>
      <c r="AA47" s="172"/>
      <c r="AB47" s="173"/>
      <c r="AC47" s="18"/>
      <c r="AD47" s="18"/>
      <c r="AE47" s="14">
        <f t="shared" si="8"/>
        <v>-133.48837209302383</v>
      </c>
      <c r="AF47" s="91">
        <f t="shared" si="9"/>
        <v>0.95550387596899211</v>
      </c>
      <c r="AG47" s="184"/>
    </row>
    <row r="48" spans="1:33" ht="15.75" customHeight="1">
      <c r="A48" s="189" t="s">
        <v>173</v>
      </c>
      <c r="B48" s="28" t="s">
        <v>33</v>
      </c>
      <c r="C48" s="170" t="s">
        <v>37</v>
      </c>
      <c r="D48" s="171"/>
      <c r="E48" s="28">
        <v>27.17</v>
      </c>
      <c r="F48" s="88">
        <v>7923</v>
      </c>
      <c r="G48" s="88">
        <f t="shared" si="31"/>
        <v>215267.91</v>
      </c>
      <c r="H48" s="30" t="s">
        <v>53</v>
      </c>
      <c r="I48" s="95">
        <v>10</v>
      </c>
      <c r="J48" s="13">
        <v>3000</v>
      </c>
      <c r="K48" s="12">
        <f t="shared" si="1"/>
        <v>300</v>
      </c>
      <c r="L48" s="95">
        <v>10</v>
      </c>
      <c r="M48" s="13">
        <f t="shared" si="32"/>
        <v>2863.734939759036</v>
      </c>
      <c r="N48" s="13">
        <f t="shared" si="3"/>
        <v>286.37349397590361</v>
      </c>
      <c r="O48" s="14">
        <f t="shared" si="4"/>
        <v>0</v>
      </c>
      <c r="P48" s="15">
        <f t="shared" si="5"/>
        <v>-13.626506024096386</v>
      </c>
      <c r="Q48" s="91">
        <f t="shared" si="6"/>
        <v>0.95457831325301201</v>
      </c>
      <c r="R48" s="184"/>
      <c r="S48" s="21">
        <v>0.23819444444444446</v>
      </c>
      <c r="T48" s="21">
        <v>0.35347222222222224</v>
      </c>
      <c r="U48" s="88">
        <f t="shared" si="34"/>
        <v>6.0000000000000187</v>
      </c>
      <c r="V48" s="30">
        <f t="shared" si="33"/>
        <v>166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-136.26506024096398</v>
      </c>
      <c r="AF48" s="91">
        <f t="shared" si="9"/>
        <v>0.95457831325301201</v>
      </c>
      <c r="AG48" s="184"/>
    </row>
    <row r="49" spans="1:33" ht="15.75" customHeight="1">
      <c r="A49" s="189" t="s">
        <v>173</v>
      </c>
      <c r="B49" s="28" t="s">
        <v>33</v>
      </c>
      <c r="C49" s="170" t="s">
        <v>38</v>
      </c>
      <c r="D49" s="171"/>
      <c r="E49" s="28">
        <v>35.869999999999997</v>
      </c>
      <c r="F49" s="88">
        <v>4213</v>
      </c>
      <c r="G49" s="88">
        <f t="shared" si="31"/>
        <v>151120.31</v>
      </c>
      <c r="H49" s="30" t="s">
        <v>53</v>
      </c>
      <c r="I49" s="95">
        <v>9</v>
      </c>
      <c r="J49" s="13">
        <v>3000</v>
      </c>
      <c r="K49" s="12">
        <f t="shared" si="1"/>
        <v>333.33333333333331</v>
      </c>
      <c r="L49" s="95">
        <v>9</v>
      </c>
      <c r="M49" s="13">
        <f t="shared" si="32"/>
        <v>2872.5</v>
      </c>
      <c r="N49" s="13">
        <f t="shared" si="3"/>
        <v>319.16666666666669</v>
      </c>
      <c r="O49" s="14">
        <f t="shared" si="4"/>
        <v>0</v>
      </c>
      <c r="P49" s="15">
        <f t="shared" si="5"/>
        <v>-14.166666666666629</v>
      </c>
      <c r="Q49" s="91">
        <f t="shared" si="6"/>
        <v>0.95750000000000013</v>
      </c>
      <c r="R49" s="184"/>
      <c r="S49" s="21">
        <v>0.35833333333333334</v>
      </c>
      <c r="T49" s="21">
        <v>0.41944444444444445</v>
      </c>
      <c r="U49" s="88">
        <f t="shared" si="34"/>
        <v>6.9999999999999751</v>
      </c>
      <c r="V49" s="30">
        <f t="shared" si="33"/>
        <v>88</v>
      </c>
      <c r="W49" s="16"/>
      <c r="X49" s="16"/>
      <c r="Y49" s="19"/>
      <c r="Z49" s="19"/>
      <c r="AA49" s="172"/>
      <c r="AB49" s="173"/>
      <c r="AC49" s="18"/>
      <c r="AD49" s="18"/>
      <c r="AE49" s="14">
        <f t="shared" si="8"/>
        <v>-127.5</v>
      </c>
      <c r="AF49" s="91">
        <f t="shared" si="9"/>
        <v>0.95750000000000002</v>
      </c>
      <c r="AG49" s="184"/>
    </row>
    <row r="50" spans="1:33" ht="15.75" customHeight="1">
      <c r="A50" s="189" t="s">
        <v>173</v>
      </c>
      <c r="B50" s="28" t="s">
        <v>33</v>
      </c>
      <c r="C50" s="170" t="s">
        <v>756</v>
      </c>
      <c r="D50" s="171"/>
      <c r="E50" s="28">
        <v>37.880000000000003</v>
      </c>
      <c r="F50" s="88">
        <v>2661</v>
      </c>
      <c r="G50" s="88">
        <f t="shared" si="31"/>
        <v>100798.68000000001</v>
      </c>
      <c r="H50" s="30" t="s">
        <v>53</v>
      </c>
      <c r="I50" s="95">
        <v>10</v>
      </c>
      <c r="J50" s="13">
        <v>3000</v>
      </c>
      <c r="K50" s="12">
        <f t="shared" si="1"/>
        <v>300</v>
      </c>
      <c r="L50" s="95">
        <v>10</v>
      </c>
      <c r="M50" s="13">
        <f t="shared" si="32"/>
        <v>2902.9090909090928</v>
      </c>
      <c r="N50" s="13">
        <f t="shared" si="3"/>
        <v>290.29090909090928</v>
      </c>
      <c r="O50" s="14">
        <f t="shared" si="4"/>
        <v>0</v>
      </c>
      <c r="P50" s="15">
        <f t="shared" si="5"/>
        <v>-9.7090909090907189</v>
      </c>
      <c r="Q50" s="91">
        <f t="shared" si="6"/>
        <v>0.96763636363636429</v>
      </c>
      <c r="R50" s="184"/>
      <c r="S50" s="21">
        <v>0.42499999999999999</v>
      </c>
      <c r="T50" s="21">
        <v>0.46319444444444441</v>
      </c>
      <c r="U50" s="88">
        <f t="shared" si="34"/>
        <v>7.9999999999999716</v>
      </c>
      <c r="V50" s="30">
        <f t="shared" si="33"/>
        <v>54.999999999999964</v>
      </c>
      <c r="W50" s="16"/>
      <c r="X50" s="16"/>
      <c r="Y50" s="19"/>
      <c r="Z50" s="19"/>
      <c r="AA50" s="172"/>
      <c r="AB50" s="173"/>
      <c r="AC50" s="18"/>
      <c r="AD50" s="18"/>
      <c r="AE50" s="14">
        <f t="shared" si="8"/>
        <v>-97.090909090907189</v>
      </c>
      <c r="AF50" s="91">
        <f t="shared" si="9"/>
        <v>0.96763636363636429</v>
      </c>
      <c r="AG50" s="184"/>
    </row>
    <row r="51" spans="1:33" ht="15.75" customHeight="1">
      <c r="A51" s="190" t="s">
        <v>173</v>
      </c>
      <c r="B51" s="28" t="s">
        <v>168</v>
      </c>
      <c r="C51" s="165"/>
      <c r="D51" s="166"/>
      <c r="E51" s="89"/>
      <c r="F51" s="88"/>
      <c r="G51" s="88"/>
      <c r="H51" s="88"/>
      <c r="I51" s="23">
        <v>9.4</v>
      </c>
      <c r="J51" s="13">
        <v>3000</v>
      </c>
      <c r="K51" s="12">
        <f t="shared" si="1"/>
        <v>319.14893617021278</v>
      </c>
      <c r="L51" s="23">
        <v>9.4</v>
      </c>
      <c r="M51" s="13">
        <f>AVERAGE(M46:M50)</f>
        <v>2875.38919623115</v>
      </c>
      <c r="N51" s="12">
        <f t="shared" si="3"/>
        <v>305.8924676841649</v>
      </c>
      <c r="O51" s="14">
        <f t="shared" si="4"/>
        <v>0</v>
      </c>
      <c r="P51" s="15">
        <f t="shared" si="5"/>
        <v>-13.256468486047879</v>
      </c>
      <c r="Q51" s="91">
        <f t="shared" si="6"/>
        <v>0.95846306541038329</v>
      </c>
      <c r="R51" s="185"/>
      <c r="S51" s="21"/>
      <c r="T51" s="21"/>
      <c r="U51" s="88"/>
      <c r="V51" s="30"/>
      <c r="W51" s="16"/>
      <c r="X51" s="16"/>
      <c r="Y51" s="24">
        <f>SUM(Y46:Y50)</f>
        <v>0</v>
      </c>
      <c r="Z51" s="24">
        <f>SUM(Z46:Z50)</f>
        <v>0</v>
      </c>
      <c r="AA51" s="186"/>
      <c r="AB51" s="187"/>
      <c r="AC51" s="24">
        <v>5</v>
      </c>
      <c r="AD51" s="24">
        <f>SUM(AD46:AD50)</f>
        <v>0</v>
      </c>
      <c r="AE51" s="14">
        <f t="shared" si="8"/>
        <v>-124.61080376885002</v>
      </c>
      <c r="AF51" s="91">
        <f t="shared" si="9"/>
        <v>0.95846306541038329</v>
      </c>
      <c r="AG51" s="185"/>
    </row>
    <row r="52" spans="1:33" ht="15.75" customHeight="1">
      <c r="A52" s="181" t="s">
        <v>174</v>
      </c>
      <c r="B52" s="28" t="s">
        <v>9</v>
      </c>
      <c r="C52" s="169" t="s">
        <v>39</v>
      </c>
      <c r="D52" s="169"/>
      <c r="E52" s="28">
        <v>46</v>
      </c>
      <c r="F52" s="29">
        <v>2873</v>
      </c>
      <c r="G52" s="88">
        <f t="shared" ref="G52:G57" si="35">E52*F52</f>
        <v>132158</v>
      </c>
      <c r="H52" s="30" t="s">
        <v>53</v>
      </c>
      <c r="I52" s="95">
        <v>17</v>
      </c>
      <c r="J52" s="13">
        <v>2000</v>
      </c>
      <c r="K52" s="12">
        <f t="shared" si="1"/>
        <v>117.64705882352941</v>
      </c>
      <c r="L52" s="95">
        <v>17</v>
      </c>
      <c r="M52" s="13">
        <f t="shared" ref="M52" si="36">F52/V52*60</f>
        <v>1915.3333333333323</v>
      </c>
      <c r="N52" s="13">
        <f t="shared" si="3"/>
        <v>112.66666666666661</v>
      </c>
      <c r="O52" s="14">
        <f t="shared" si="4"/>
        <v>0</v>
      </c>
      <c r="P52" s="15">
        <f t="shared" si="5"/>
        <v>-4.9803921568627914</v>
      </c>
      <c r="Q52" s="91">
        <f t="shared" si="6"/>
        <v>0.95766666666666622</v>
      </c>
      <c r="R52" s="177">
        <f>Q58</f>
        <v>0.95785529186083374</v>
      </c>
      <c r="S52" s="21">
        <v>0.20833333333333334</v>
      </c>
      <c r="T52" s="21">
        <v>0.27083333333333337</v>
      </c>
      <c r="U52" s="21"/>
      <c r="V52" s="30">
        <f t="shared" ref="V52:V57" si="37">(T52-S52)*24*60</f>
        <v>90.000000000000043</v>
      </c>
      <c r="W52" s="21"/>
      <c r="X52" s="21"/>
      <c r="Y52" s="21"/>
      <c r="Z52" s="21"/>
      <c r="AA52" s="168"/>
      <c r="AB52" s="168"/>
      <c r="AC52" s="18">
        <v>6</v>
      </c>
      <c r="AD52" s="18"/>
      <c r="AE52" s="14">
        <f t="shared" si="8"/>
        <v>-84.666666666667652</v>
      </c>
      <c r="AF52" s="91">
        <f t="shared" si="9"/>
        <v>0.95766666666666622</v>
      </c>
      <c r="AG52" s="177">
        <f>AF58</f>
        <v>0.95785529186083385</v>
      </c>
    </row>
    <row r="53" spans="1:33" ht="15.75" customHeight="1">
      <c r="A53" s="181" t="s">
        <v>174</v>
      </c>
      <c r="B53" s="28" t="s">
        <v>5</v>
      </c>
      <c r="C53" s="169" t="s">
        <v>40</v>
      </c>
      <c r="D53" s="169"/>
      <c r="E53" s="28">
        <v>56.43</v>
      </c>
      <c r="F53" s="29">
        <v>1823</v>
      </c>
      <c r="G53" s="88">
        <f t="shared" si="35"/>
        <v>102871.89</v>
      </c>
      <c r="H53" s="30" t="s">
        <v>53</v>
      </c>
      <c r="I53" s="95">
        <v>22</v>
      </c>
      <c r="J53" s="13">
        <v>2000</v>
      </c>
      <c r="K53" s="12">
        <f t="shared" si="1"/>
        <v>90.909090909090907</v>
      </c>
      <c r="L53" s="95">
        <v>22</v>
      </c>
      <c r="M53" s="13">
        <f>F53/V53*60</f>
        <v>1918.9473684210541</v>
      </c>
      <c r="N53" s="13">
        <f t="shared" si="3"/>
        <v>87.224880382775183</v>
      </c>
      <c r="O53" s="14">
        <f t="shared" si="4"/>
        <v>0</v>
      </c>
      <c r="P53" s="15">
        <f t="shared" si="5"/>
        <v>-3.6842105263157237</v>
      </c>
      <c r="Q53" s="91">
        <f t="shared" si="6"/>
        <v>0.95947368421052703</v>
      </c>
      <c r="R53" s="177"/>
      <c r="S53" s="21">
        <v>0.27569444444444446</v>
      </c>
      <c r="T53" s="21">
        <v>0.31527777777777777</v>
      </c>
      <c r="U53" s="88">
        <f t="shared" ref="U53:U57" si="38">IF(S53=TIME(17,0,0),"",(S53-T52)*24*60)</f>
        <v>6.9999999999999751</v>
      </c>
      <c r="V53" s="30">
        <f t="shared" si="37"/>
        <v>56.999999999999957</v>
      </c>
      <c r="W53" s="16"/>
      <c r="X53" s="16"/>
      <c r="Y53" s="16"/>
      <c r="Z53" s="16"/>
      <c r="AA53" s="168"/>
      <c r="AB53" s="168"/>
      <c r="AC53" s="18"/>
      <c r="AD53" s="18"/>
      <c r="AE53" s="14">
        <f t="shared" si="8"/>
        <v>-81.05263157894592</v>
      </c>
      <c r="AF53" s="91">
        <f t="shared" si="9"/>
        <v>0.95947368421052703</v>
      </c>
      <c r="AG53" s="177"/>
    </row>
    <row r="54" spans="1:33" ht="15.75" customHeight="1">
      <c r="A54" s="181" t="s">
        <v>174</v>
      </c>
      <c r="B54" s="28" t="s">
        <v>5</v>
      </c>
      <c r="C54" s="170" t="s">
        <v>41</v>
      </c>
      <c r="D54" s="171"/>
      <c r="E54" s="28">
        <v>51.75</v>
      </c>
      <c r="F54" s="29">
        <v>1193</v>
      </c>
      <c r="G54" s="88">
        <f t="shared" si="35"/>
        <v>61737.75</v>
      </c>
      <c r="H54" s="30" t="s">
        <v>53</v>
      </c>
      <c r="I54" s="95">
        <v>25</v>
      </c>
      <c r="J54" s="13">
        <v>2000</v>
      </c>
      <c r="K54" s="12">
        <f t="shared" si="1"/>
        <v>80</v>
      </c>
      <c r="L54" s="95">
        <v>25</v>
      </c>
      <c r="M54" s="13">
        <f t="shared" ref="M54:M57" si="39">F54/V54*60</f>
        <v>1934.5945945945932</v>
      </c>
      <c r="N54" s="13">
        <f t="shared" si="3"/>
        <v>77.383783783783727</v>
      </c>
      <c r="O54" s="14">
        <f t="shared" si="4"/>
        <v>0</v>
      </c>
      <c r="P54" s="15">
        <f t="shared" si="5"/>
        <v>-2.616216216216273</v>
      </c>
      <c r="Q54" s="91">
        <f t="shared" si="6"/>
        <v>0.96729729729729663</v>
      </c>
      <c r="R54" s="177"/>
      <c r="S54" s="21">
        <v>0.3208333333333333</v>
      </c>
      <c r="T54" s="21">
        <v>0.34652777777777777</v>
      </c>
      <c r="U54" s="88">
        <f t="shared" si="38"/>
        <v>7.9999999999999716</v>
      </c>
      <c r="V54" s="30">
        <f t="shared" si="37"/>
        <v>37.000000000000028</v>
      </c>
      <c r="W54" s="16"/>
      <c r="X54" s="16"/>
      <c r="Y54" s="19"/>
      <c r="Z54" s="19"/>
      <c r="AA54" s="168"/>
      <c r="AB54" s="168"/>
      <c r="AC54" s="18"/>
      <c r="AD54" s="18"/>
      <c r="AE54" s="14">
        <f t="shared" si="8"/>
        <v>-65.405405405406782</v>
      </c>
      <c r="AF54" s="91">
        <f t="shared" si="9"/>
        <v>0.96729729729729663</v>
      </c>
      <c r="AG54" s="177"/>
    </row>
    <row r="55" spans="1:33" ht="15.75" customHeight="1">
      <c r="A55" s="181" t="s">
        <v>174</v>
      </c>
      <c r="B55" s="28" t="s">
        <v>5</v>
      </c>
      <c r="C55" s="93" t="s">
        <v>42</v>
      </c>
      <c r="D55" s="94"/>
      <c r="E55" s="28">
        <v>57.73</v>
      </c>
      <c r="F55" s="29">
        <v>1119</v>
      </c>
      <c r="G55" s="88">
        <f t="shared" si="35"/>
        <v>64599.869999999995</v>
      </c>
      <c r="H55" s="30" t="s">
        <v>53</v>
      </c>
      <c r="I55" s="95">
        <v>16</v>
      </c>
      <c r="J55" s="13">
        <v>1500</v>
      </c>
      <c r="K55" s="12">
        <f t="shared" si="1"/>
        <v>93.75</v>
      </c>
      <c r="L55" s="95">
        <v>16</v>
      </c>
      <c r="M55" s="13">
        <f t="shared" si="39"/>
        <v>1428.5106382978724</v>
      </c>
      <c r="N55" s="13">
        <f t="shared" si="3"/>
        <v>89.281914893617028</v>
      </c>
      <c r="O55" s="14">
        <f t="shared" si="4"/>
        <v>0</v>
      </c>
      <c r="P55" s="15">
        <f t="shared" si="5"/>
        <v>-4.4680851063829721</v>
      </c>
      <c r="Q55" s="91">
        <f t="shared" si="6"/>
        <v>0.952340425531915</v>
      </c>
      <c r="R55" s="177"/>
      <c r="S55" s="21">
        <v>0.70833333333333337</v>
      </c>
      <c r="T55" s="21">
        <v>0.74097222222222225</v>
      </c>
      <c r="U55" s="88" t="str">
        <f t="shared" si="38"/>
        <v/>
      </c>
      <c r="V55" s="30">
        <f t="shared" si="37"/>
        <v>46.999999999999993</v>
      </c>
      <c r="W55" s="16"/>
      <c r="X55" s="16"/>
      <c r="Y55" s="19"/>
      <c r="Z55" s="19"/>
      <c r="AA55" s="168"/>
      <c r="AB55" s="168"/>
      <c r="AC55" s="18"/>
      <c r="AD55" s="18"/>
      <c r="AE55" s="14">
        <f t="shared" si="8"/>
        <v>-71.489361702127553</v>
      </c>
      <c r="AF55" s="91">
        <f t="shared" si="9"/>
        <v>0.952340425531915</v>
      </c>
      <c r="AG55" s="177"/>
    </row>
    <row r="56" spans="1:33" ht="15.75" customHeight="1">
      <c r="A56" s="181" t="s">
        <v>174</v>
      </c>
      <c r="B56" s="28" t="s">
        <v>5</v>
      </c>
      <c r="C56" s="93" t="s">
        <v>44</v>
      </c>
      <c r="D56" s="94"/>
      <c r="E56" s="28">
        <v>55.56</v>
      </c>
      <c r="F56" s="29">
        <v>2263</v>
      </c>
      <c r="G56" s="88">
        <f t="shared" si="35"/>
        <v>125732.28</v>
      </c>
      <c r="H56" s="30" t="s">
        <v>53</v>
      </c>
      <c r="I56" s="95">
        <v>17</v>
      </c>
      <c r="J56" s="13">
        <v>2000</v>
      </c>
      <c r="K56" s="12">
        <f t="shared" si="1"/>
        <v>117.64705882352941</v>
      </c>
      <c r="L56" s="95">
        <v>17</v>
      </c>
      <c r="M56" s="13">
        <f t="shared" si="39"/>
        <v>1912.3943661971812</v>
      </c>
      <c r="N56" s="13">
        <f t="shared" si="3"/>
        <v>112.49378624689301</v>
      </c>
      <c r="O56" s="14">
        <f t="shared" si="4"/>
        <v>0</v>
      </c>
      <c r="P56" s="15">
        <f t="shared" si="5"/>
        <v>-5.1532725766363967</v>
      </c>
      <c r="Q56" s="91">
        <f t="shared" si="6"/>
        <v>0.95619718309859059</v>
      </c>
      <c r="R56" s="177"/>
      <c r="S56" s="21">
        <v>0.74652777777777779</v>
      </c>
      <c r="T56" s="21">
        <v>0.79583333333333339</v>
      </c>
      <c r="U56" s="88">
        <f t="shared" si="38"/>
        <v>7.9999999999999716</v>
      </c>
      <c r="V56" s="30">
        <f t="shared" si="37"/>
        <v>71.000000000000071</v>
      </c>
      <c r="W56" s="16"/>
      <c r="X56" s="16"/>
      <c r="Y56" s="19"/>
      <c r="Z56" s="19"/>
      <c r="AA56" s="168"/>
      <c r="AB56" s="168"/>
      <c r="AC56" s="18"/>
      <c r="AD56" s="18"/>
      <c r="AE56" s="14">
        <f t="shared" si="8"/>
        <v>-87.605633802818829</v>
      </c>
      <c r="AF56" s="91">
        <f t="shared" si="9"/>
        <v>0.95619718309859059</v>
      </c>
      <c r="AG56" s="177"/>
    </row>
    <row r="57" spans="1:33" ht="15.75" customHeight="1">
      <c r="A57" s="181" t="s">
        <v>174</v>
      </c>
      <c r="B57" s="28" t="s">
        <v>5</v>
      </c>
      <c r="C57" s="170" t="s">
        <v>45</v>
      </c>
      <c r="D57" s="171"/>
      <c r="E57" s="28">
        <v>55.32</v>
      </c>
      <c r="F57" s="29">
        <v>1715</v>
      </c>
      <c r="G57" s="88">
        <f t="shared" si="35"/>
        <v>94873.8</v>
      </c>
      <c r="H57" s="30" t="s">
        <v>53</v>
      </c>
      <c r="I57" s="95">
        <v>15</v>
      </c>
      <c r="J57" s="13">
        <v>2000</v>
      </c>
      <c r="K57" s="12">
        <f t="shared" si="1"/>
        <v>133.33333333333334</v>
      </c>
      <c r="L57" s="95">
        <v>15</v>
      </c>
      <c r="M57" s="13">
        <f t="shared" si="39"/>
        <v>1905.5555555555566</v>
      </c>
      <c r="N57" s="13">
        <f t="shared" si="3"/>
        <v>127.03703703703711</v>
      </c>
      <c r="O57" s="14">
        <f t="shared" si="4"/>
        <v>0</v>
      </c>
      <c r="P57" s="15">
        <f t="shared" si="5"/>
        <v>-6.2962962962962337</v>
      </c>
      <c r="Q57" s="91">
        <f t="shared" si="6"/>
        <v>0.95277777777777828</v>
      </c>
      <c r="R57" s="177"/>
      <c r="S57" s="21">
        <v>0.80138888888888893</v>
      </c>
      <c r="T57" s="21">
        <v>0.83888888888888891</v>
      </c>
      <c r="U57" s="88">
        <f t="shared" si="38"/>
        <v>7.9999999999999716</v>
      </c>
      <c r="V57" s="30">
        <f t="shared" si="37"/>
        <v>53.999999999999972</v>
      </c>
      <c r="W57" s="16"/>
      <c r="X57" s="16"/>
      <c r="Y57" s="19"/>
      <c r="Z57" s="19"/>
      <c r="AA57" s="172"/>
      <c r="AB57" s="173"/>
      <c r="AC57" s="18"/>
      <c r="AD57" s="18"/>
      <c r="AE57" s="14">
        <f t="shared" si="8"/>
        <v>-94.444444444443434</v>
      </c>
      <c r="AF57" s="91">
        <f t="shared" si="9"/>
        <v>0.95277777777777828</v>
      </c>
      <c r="AG57" s="177"/>
    </row>
    <row r="58" spans="1:33">
      <c r="A58" s="182" t="s">
        <v>174</v>
      </c>
      <c r="B58" s="28" t="s">
        <v>168</v>
      </c>
      <c r="C58" s="178"/>
      <c r="D58" s="178"/>
      <c r="E58" s="92"/>
      <c r="F58" s="12"/>
      <c r="G58" s="12"/>
      <c r="H58" s="88"/>
      <c r="I58" s="23">
        <v>18.666666666666668</v>
      </c>
      <c r="J58" s="13">
        <v>1916.6666666666667</v>
      </c>
      <c r="K58" s="12">
        <f t="shared" si="1"/>
        <v>102.67857142857143</v>
      </c>
      <c r="L58" s="23">
        <v>18.666666666666668</v>
      </c>
      <c r="M58" s="13">
        <f>AVERAGE(M52:M57)</f>
        <v>1835.8893093999316</v>
      </c>
      <c r="N58" s="12">
        <f t="shared" si="3"/>
        <v>98.35121300356775</v>
      </c>
      <c r="O58" s="14">
        <f t="shared" si="4"/>
        <v>0</v>
      </c>
      <c r="P58" s="15">
        <f t="shared" si="5"/>
        <v>-4.3273584250036805</v>
      </c>
      <c r="Q58" s="91">
        <f t="shared" si="6"/>
        <v>0.95785529186083374</v>
      </c>
      <c r="R58" s="177"/>
      <c r="S58" s="21"/>
      <c r="T58" s="21"/>
      <c r="U58" s="88"/>
      <c r="V58" s="30"/>
      <c r="W58" s="12"/>
      <c r="X58" s="12"/>
      <c r="Y58" s="24">
        <f>SUM(Y52:Y57)</f>
        <v>0</v>
      </c>
      <c r="Z58" s="24">
        <f>SUM(Z52:Z57)</f>
        <v>0</v>
      </c>
      <c r="AA58" s="167"/>
      <c r="AB58" s="167"/>
      <c r="AC58" s="24">
        <v>6</v>
      </c>
      <c r="AD58" s="24">
        <f>SUM(AD52:AD57)</f>
        <v>0</v>
      </c>
      <c r="AE58" s="14">
        <f>M58-J58</f>
        <v>-80.77735726673518</v>
      </c>
      <c r="AF58" s="91">
        <f t="shared" si="9"/>
        <v>0.95785529186083385</v>
      </c>
      <c r="AG58" s="177"/>
    </row>
    <row r="59" spans="1:33" ht="15.75" customHeight="1">
      <c r="A59" s="179" t="s">
        <v>175</v>
      </c>
      <c r="B59" s="88" t="s">
        <v>33</v>
      </c>
      <c r="C59" s="169" t="s">
        <v>46</v>
      </c>
      <c r="D59" s="169"/>
      <c r="E59" s="28">
        <v>37.85</v>
      </c>
      <c r="F59" s="29">
        <v>1430</v>
      </c>
      <c r="G59" s="88">
        <f t="shared" ref="G59:G64" si="40">E59*F59</f>
        <v>54125.5</v>
      </c>
      <c r="H59" s="30" t="s">
        <v>53</v>
      </c>
      <c r="I59" s="95">
        <v>12</v>
      </c>
      <c r="J59" s="13">
        <v>2000</v>
      </c>
      <c r="K59" s="12">
        <f t="shared" si="1"/>
        <v>166.66666666666666</v>
      </c>
      <c r="L59" s="95">
        <v>12</v>
      </c>
      <c r="M59" s="13">
        <f t="shared" ref="M59:M64" si="41">F59/V59*60</f>
        <v>1906.6666666666667</v>
      </c>
      <c r="N59" s="12">
        <f t="shared" si="3"/>
        <v>158.88888888888889</v>
      </c>
      <c r="O59" s="14">
        <f t="shared" si="4"/>
        <v>0</v>
      </c>
      <c r="P59" s="15">
        <f t="shared" si="5"/>
        <v>-7.7777777777777715</v>
      </c>
      <c r="Q59" s="91">
        <f t="shared" si="6"/>
        <v>0.95333333333333337</v>
      </c>
      <c r="R59" s="177">
        <f>Q65</f>
        <v>0.958869124396316</v>
      </c>
      <c r="S59" s="21">
        <v>0.20833333333333334</v>
      </c>
      <c r="T59" s="21">
        <v>0.23958333333333334</v>
      </c>
      <c r="U59" s="88"/>
      <c r="V59" s="30">
        <f t="shared" ref="V59:V64" si="42">(T59-S59)*24*60</f>
        <v>45</v>
      </c>
      <c r="W59" s="21"/>
      <c r="X59" s="21"/>
      <c r="Y59" s="21"/>
      <c r="Z59" s="21"/>
      <c r="AA59" s="168"/>
      <c r="AB59" s="168"/>
      <c r="AC59" s="18">
        <v>6</v>
      </c>
      <c r="AD59" s="18"/>
      <c r="AE59" s="14">
        <f t="shared" ref="AE59:AE73" si="43">M59-J59</f>
        <v>-93.333333333333258</v>
      </c>
      <c r="AF59" s="91">
        <f t="shared" si="9"/>
        <v>0.95333333333333337</v>
      </c>
      <c r="AG59" s="177">
        <f>AF65</f>
        <v>0.958869124396316</v>
      </c>
    </row>
    <row r="60" spans="1:33" ht="15.75" customHeight="1">
      <c r="A60" s="179" t="s">
        <v>175</v>
      </c>
      <c r="B60" s="88" t="s">
        <v>33</v>
      </c>
      <c r="C60" s="169" t="s">
        <v>47</v>
      </c>
      <c r="D60" s="169"/>
      <c r="E60" s="28">
        <v>34.36</v>
      </c>
      <c r="F60" s="29">
        <v>2538</v>
      </c>
      <c r="G60" s="88">
        <f t="shared" si="40"/>
        <v>87205.68</v>
      </c>
      <c r="H60" s="30" t="s">
        <v>53</v>
      </c>
      <c r="I60" s="95">
        <v>10</v>
      </c>
      <c r="J60" s="13">
        <v>3000</v>
      </c>
      <c r="K60" s="12">
        <f t="shared" si="1"/>
        <v>300</v>
      </c>
      <c r="L60" s="95">
        <v>10</v>
      </c>
      <c r="M60" s="13">
        <f t="shared" si="41"/>
        <v>2873.2075471698108</v>
      </c>
      <c r="N60" s="12">
        <f t="shared" si="3"/>
        <v>287.32075471698107</v>
      </c>
      <c r="O60" s="14">
        <f t="shared" si="4"/>
        <v>0</v>
      </c>
      <c r="P60" s="15">
        <f t="shared" si="5"/>
        <v>-12.679245283018929</v>
      </c>
      <c r="Q60" s="91">
        <f t="shared" si="6"/>
        <v>0.95773584905660358</v>
      </c>
      <c r="R60" s="177"/>
      <c r="S60" s="21">
        <v>0.24305555555555555</v>
      </c>
      <c r="T60" s="21">
        <v>0.27986111111111112</v>
      </c>
      <c r="U60" s="88">
        <f t="shared" ref="U60:U64" si="44">(S60-T59)*24*60</f>
        <v>4.9999999999999822</v>
      </c>
      <c r="V60" s="30">
        <f t="shared" si="42"/>
        <v>53.000000000000014</v>
      </c>
      <c r="W60" s="88"/>
      <c r="X60" s="88"/>
      <c r="Y60" s="88"/>
      <c r="Z60" s="88"/>
      <c r="AA60" s="168"/>
      <c r="AB60" s="168"/>
      <c r="AC60" s="18"/>
      <c r="AD60" s="18"/>
      <c r="AE60" s="14">
        <f t="shared" si="43"/>
        <v>-126.79245283018918</v>
      </c>
      <c r="AF60" s="91">
        <f t="shared" si="9"/>
        <v>0.95773584905660358</v>
      </c>
      <c r="AG60" s="177"/>
    </row>
    <row r="61" spans="1:33" ht="15.75" customHeight="1">
      <c r="A61" s="179" t="s">
        <v>175</v>
      </c>
      <c r="B61" s="88" t="s">
        <v>33</v>
      </c>
      <c r="C61" s="169" t="s">
        <v>48</v>
      </c>
      <c r="D61" s="169"/>
      <c r="E61" s="28">
        <v>35.119999999999997</v>
      </c>
      <c r="F61" s="29">
        <v>5992</v>
      </c>
      <c r="G61" s="88">
        <f t="shared" si="40"/>
        <v>210439.03999999998</v>
      </c>
      <c r="H61" s="30" t="s">
        <v>53</v>
      </c>
      <c r="I61" s="95">
        <v>10</v>
      </c>
      <c r="J61" s="13">
        <v>3000</v>
      </c>
      <c r="K61" s="12">
        <f t="shared" si="1"/>
        <v>300</v>
      </c>
      <c r="L61" s="95">
        <v>10</v>
      </c>
      <c r="M61" s="13">
        <f t="shared" si="41"/>
        <v>2853.3333333333326</v>
      </c>
      <c r="N61" s="12">
        <f t="shared" si="3"/>
        <v>285.33333333333326</v>
      </c>
      <c r="O61" s="14">
        <f t="shared" si="4"/>
        <v>0</v>
      </c>
      <c r="P61" s="15">
        <f t="shared" si="5"/>
        <v>-14.666666666666742</v>
      </c>
      <c r="Q61" s="91">
        <f t="shared" si="6"/>
        <v>0.95111111111111091</v>
      </c>
      <c r="R61" s="177"/>
      <c r="S61" s="21">
        <v>0.28402777777777777</v>
      </c>
      <c r="T61" s="21">
        <v>0.37152777777777779</v>
      </c>
      <c r="U61" s="88">
        <f t="shared" si="44"/>
        <v>5.9999999999999787</v>
      </c>
      <c r="V61" s="30">
        <f t="shared" si="42"/>
        <v>126.00000000000003</v>
      </c>
      <c r="W61" s="88"/>
      <c r="X61" s="88"/>
      <c r="Y61" s="88"/>
      <c r="Z61" s="88"/>
      <c r="AA61" s="168"/>
      <c r="AB61" s="168"/>
      <c r="AC61" s="18"/>
      <c r="AD61" s="18"/>
      <c r="AE61" s="14">
        <f t="shared" si="43"/>
        <v>-146.66666666666742</v>
      </c>
      <c r="AF61" s="91">
        <f t="shared" si="9"/>
        <v>0.95111111111111091</v>
      </c>
      <c r="AG61" s="177"/>
    </row>
    <row r="62" spans="1:33" ht="15.75" customHeight="1">
      <c r="A62" s="179" t="s">
        <v>175</v>
      </c>
      <c r="B62" s="88" t="s">
        <v>33</v>
      </c>
      <c r="C62" s="169" t="s">
        <v>34</v>
      </c>
      <c r="D62" s="169"/>
      <c r="E62" s="28">
        <v>34.36</v>
      </c>
      <c r="F62" s="29">
        <v>1779</v>
      </c>
      <c r="G62" s="88">
        <f t="shared" si="40"/>
        <v>61126.44</v>
      </c>
      <c r="H62" s="30" t="s">
        <v>53</v>
      </c>
      <c r="I62" s="95">
        <v>10</v>
      </c>
      <c r="J62" s="13">
        <v>3000</v>
      </c>
      <c r="K62" s="12">
        <f t="shared" si="1"/>
        <v>300</v>
      </c>
      <c r="L62" s="95">
        <v>10</v>
      </c>
      <c r="M62" s="13">
        <f t="shared" si="41"/>
        <v>2884.8648648648627</v>
      </c>
      <c r="N62" s="12">
        <f t="shared" si="3"/>
        <v>288.48648648648629</v>
      </c>
      <c r="O62" s="14">
        <f t="shared" si="4"/>
        <v>0</v>
      </c>
      <c r="P62" s="15">
        <f t="shared" si="5"/>
        <v>-11.513513513513715</v>
      </c>
      <c r="Q62" s="91">
        <f t="shared" si="6"/>
        <v>0.9616216216216209</v>
      </c>
      <c r="R62" s="177"/>
      <c r="S62" s="21">
        <v>0.375</v>
      </c>
      <c r="T62" s="21">
        <v>0.40069444444444446</v>
      </c>
      <c r="U62" s="88">
        <f t="shared" si="44"/>
        <v>4.9999999999999822</v>
      </c>
      <c r="V62" s="30">
        <f t="shared" si="42"/>
        <v>37.000000000000028</v>
      </c>
      <c r="W62" s="88"/>
      <c r="X62" s="88"/>
      <c r="Y62" s="88"/>
      <c r="Z62" s="88"/>
      <c r="AA62" s="168"/>
      <c r="AB62" s="168"/>
      <c r="AC62" s="18"/>
      <c r="AD62" s="18"/>
      <c r="AE62" s="14">
        <f t="shared" si="43"/>
        <v>-115.13513513513726</v>
      </c>
      <c r="AF62" s="91">
        <f t="shared" si="9"/>
        <v>0.9616216216216209</v>
      </c>
      <c r="AG62" s="177"/>
    </row>
    <row r="63" spans="1:33">
      <c r="A63" s="180" t="s">
        <v>175</v>
      </c>
      <c r="B63" s="88" t="s">
        <v>33</v>
      </c>
      <c r="C63" s="169" t="s">
        <v>35</v>
      </c>
      <c r="D63" s="169"/>
      <c r="E63" s="28">
        <v>26.78</v>
      </c>
      <c r="F63" s="29">
        <v>3024</v>
      </c>
      <c r="G63" s="88">
        <f t="shared" si="40"/>
        <v>80982.720000000001</v>
      </c>
      <c r="H63" s="30" t="s">
        <v>53</v>
      </c>
      <c r="I63" s="95">
        <v>10</v>
      </c>
      <c r="J63" s="13">
        <v>3000</v>
      </c>
      <c r="K63" s="12">
        <f t="shared" si="1"/>
        <v>300</v>
      </c>
      <c r="L63" s="95">
        <v>10</v>
      </c>
      <c r="M63" s="13">
        <f t="shared" si="41"/>
        <v>2879.9999999999991</v>
      </c>
      <c r="N63" s="12">
        <f t="shared" si="3"/>
        <v>287.99999999999989</v>
      </c>
      <c r="O63" s="14">
        <f t="shared" si="4"/>
        <v>0</v>
      </c>
      <c r="P63" s="15">
        <f t="shared" si="5"/>
        <v>-12.000000000000114</v>
      </c>
      <c r="Q63" s="91">
        <f t="shared" si="6"/>
        <v>0.95999999999999963</v>
      </c>
      <c r="R63" s="177"/>
      <c r="S63" s="21">
        <v>0.40555555555555556</v>
      </c>
      <c r="T63" s="21">
        <v>0.44930555555555557</v>
      </c>
      <c r="U63" s="88">
        <f t="shared" si="44"/>
        <v>6.9999999999999751</v>
      </c>
      <c r="V63" s="30">
        <f t="shared" si="42"/>
        <v>63.000000000000014</v>
      </c>
      <c r="W63" s="16"/>
      <c r="X63" s="16"/>
      <c r="Y63" s="16"/>
      <c r="Z63" s="16"/>
      <c r="AA63" s="168"/>
      <c r="AB63" s="168"/>
      <c r="AC63" s="18"/>
      <c r="AD63" s="18"/>
      <c r="AE63" s="14">
        <f t="shared" si="43"/>
        <v>-120.00000000000091</v>
      </c>
      <c r="AF63" s="91">
        <f t="shared" si="9"/>
        <v>0.95999999999999974</v>
      </c>
      <c r="AG63" s="177"/>
    </row>
    <row r="64" spans="1:33" ht="15" customHeight="1">
      <c r="A64" s="180" t="s">
        <v>175</v>
      </c>
      <c r="B64" s="88" t="s">
        <v>33</v>
      </c>
      <c r="C64" s="170" t="s">
        <v>71</v>
      </c>
      <c r="D64" s="171"/>
      <c r="E64" s="28">
        <v>28.3</v>
      </c>
      <c r="F64" s="29">
        <v>1790</v>
      </c>
      <c r="G64" s="88">
        <f t="shared" si="40"/>
        <v>50657</v>
      </c>
      <c r="H64" s="30" t="s">
        <v>53</v>
      </c>
      <c r="I64" s="95">
        <v>8</v>
      </c>
      <c r="J64" s="13">
        <v>3000</v>
      </c>
      <c r="K64" s="12">
        <f t="shared" si="1"/>
        <v>375</v>
      </c>
      <c r="L64" s="95">
        <v>8</v>
      </c>
      <c r="M64" s="13">
        <f t="shared" si="41"/>
        <v>2902.7027027027007</v>
      </c>
      <c r="N64" s="12">
        <f t="shared" si="3"/>
        <v>362.83783783783758</v>
      </c>
      <c r="O64" s="14">
        <f t="shared" si="4"/>
        <v>0</v>
      </c>
      <c r="P64" s="15">
        <f t="shared" si="5"/>
        <v>-12.162162162162417</v>
      </c>
      <c r="Q64" s="91">
        <f t="shared" si="6"/>
        <v>0.9675675675675669</v>
      </c>
      <c r="R64" s="177"/>
      <c r="S64" s="21">
        <v>0.45277777777777778</v>
      </c>
      <c r="T64" s="21">
        <v>0.47847222222222224</v>
      </c>
      <c r="U64" s="88">
        <f t="shared" si="44"/>
        <v>4.9999999999999822</v>
      </c>
      <c r="V64" s="30">
        <f t="shared" si="42"/>
        <v>37.000000000000028</v>
      </c>
      <c r="W64" s="88"/>
      <c r="X64" s="88"/>
      <c r="Y64" s="98"/>
      <c r="Z64" s="98"/>
      <c r="AA64" s="172"/>
      <c r="AB64" s="173"/>
      <c r="AC64" s="18"/>
      <c r="AD64" s="18"/>
      <c r="AE64" s="14">
        <f t="shared" si="43"/>
        <v>-97.297297297299338</v>
      </c>
      <c r="AF64" s="91">
        <f t="shared" si="9"/>
        <v>0.9675675675675669</v>
      </c>
      <c r="AG64" s="177"/>
    </row>
    <row r="65" spans="1:33">
      <c r="A65" s="180" t="s">
        <v>175</v>
      </c>
      <c r="B65" s="28" t="s">
        <v>168</v>
      </c>
      <c r="C65" s="178"/>
      <c r="D65" s="178"/>
      <c r="E65" s="92"/>
      <c r="F65" s="12"/>
      <c r="G65" s="12"/>
      <c r="H65" s="88"/>
      <c r="I65" s="23">
        <v>10</v>
      </c>
      <c r="J65" s="13">
        <v>2833.3333333333335</v>
      </c>
      <c r="K65" s="12">
        <f t="shared" si="1"/>
        <v>283.33333333333337</v>
      </c>
      <c r="L65" s="23">
        <v>10</v>
      </c>
      <c r="M65" s="13">
        <f>AVERAGE(M59:M64)</f>
        <v>2716.7958524562287</v>
      </c>
      <c r="N65" s="12">
        <f t="shared" si="3"/>
        <v>271.67958524562289</v>
      </c>
      <c r="O65" s="14">
        <f t="shared" si="4"/>
        <v>0</v>
      </c>
      <c r="P65" s="15">
        <f t="shared" si="5"/>
        <v>-11.653748087710483</v>
      </c>
      <c r="Q65" s="91">
        <f t="shared" si="6"/>
        <v>0.958869124396316</v>
      </c>
      <c r="R65" s="177"/>
      <c r="S65" s="21"/>
      <c r="T65" s="21"/>
      <c r="U65" s="12"/>
      <c r="V65" s="30"/>
      <c r="W65" s="12"/>
      <c r="X65" s="12"/>
      <c r="Y65" s="24">
        <f>SUM(Y59:Y64)</f>
        <v>0</v>
      </c>
      <c r="Z65" s="24">
        <f>SUM(Z59:Z64)</f>
        <v>0</v>
      </c>
      <c r="AA65" s="167"/>
      <c r="AB65" s="167"/>
      <c r="AC65" s="24">
        <v>6</v>
      </c>
      <c r="AD65" s="24">
        <f>SUM(AD59:AD64)</f>
        <v>0</v>
      </c>
      <c r="AE65" s="14">
        <f t="shared" si="43"/>
        <v>-116.53748087710483</v>
      </c>
      <c r="AF65" s="91">
        <f t="shared" si="9"/>
        <v>0.958869124396316</v>
      </c>
      <c r="AG65" s="177"/>
    </row>
    <row r="66" spans="1:33" ht="15.75" customHeight="1">
      <c r="A66" s="174" t="s">
        <v>281</v>
      </c>
      <c r="B66" s="88" t="s">
        <v>22</v>
      </c>
      <c r="C66" s="169" t="s">
        <v>49</v>
      </c>
      <c r="D66" s="169"/>
      <c r="E66" s="28">
        <v>20.2</v>
      </c>
      <c r="F66" s="88">
        <v>2449</v>
      </c>
      <c r="G66" s="88">
        <f t="shared" ref="G66:G72" si="45">E66*F66</f>
        <v>49469.799999999996</v>
      </c>
      <c r="H66" s="30" t="s">
        <v>53</v>
      </c>
      <c r="I66" s="95">
        <v>15</v>
      </c>
      <c r="J66" s="13">
        <v>2400</v>
      </c>
      <c r="K66" s="12">
        <f t="shared" si="1"/>
        <v>160</v>
      </c>
      <c r="L66" s="95">
        <v>15</v>
      </c>
      <c r="M66" s="13">
        <f t="shared" ref="M66:M72" si="46">F66/V66*60</f>
        <v>2295.9375000000005</v>
      </c>
      <c r="N66" s="12">
        <f t="shared" si="3"/>
        <v>153.06250000000003</v>
      </c>
      <c r="O66" s="14">
        <f t="shared" si="4"/>
        <v>0</v>
      </c>
      <c r="P66" s="15">
        <f t="shared" si="5"/>
        <v>-6.9374999999999716</v>
      </c>
      <c r="Q66" s="91">
        <f t="shared" si="6"/>
        <v>0.95664062500000013</v>
      </c>
      <c r="R66" s="177">
        <f>Q73</f>
        <v>0.95783696073508118</v>
      </c>
      <c r="S66" s="21">
        <v>8.3333333333333329E-2</v>
      </c>
      <c r="T66" s="21">
        <v>0.12777777777777777</v>
      </c>
      <c r="U66" s="21"/>
      <c r="V66" s="30">
        <f t="shared" ref="V66:V72" si="47">(T66-S66)*24*60</f>
        <v>63.999999999999986</v>
      </c>
      <c r="W66" s="16">
        <f>T66</f>
        <v>0.12777777777777777</v>
      </c>
      <c r="X66" s="16">
        <f>S67</f>
        <v>0.1472222222222222</v>
      </c>
      <c r="Y66" s="16"/>
      <c r="Z66" s="16"/>
      <c r="AA66" s="168"/>
      <c r="AB66" s="168"/>
      <c r="AC66" s="18">
        <v>7</v>
      </c>
      <c r="AD66" s="18"/>
      <c r="AE66" s="14">
        <f t="shared" si="43"/>
        <v>-104.06249999999955</v>
      </c>
      <c r="AF66" s="91">
        <f t="shared" si="9"/>
        <v>0.95664062500000024</v>
      </c>
      <c r="AG66" s="177">
        <f>AF73</f>
        <v>0.95783696073508107</v>
      </c>
    </row>
    <row r="67" spans="1:33" ht="15.75" customHeight="1">
      <c r="A67" s="175" t="s">
        <v>281</v>
      </c>
      <c r="B67" s="88" t="s">
        <v>22</v>
      </c>
      <c r="C67" s="169" t="s">
        <v>50</v>
      </c>
      <c r="D67" s="169"/>
      <c r="E67" s="28">
        <v>24.45</v>
      </c>
      <c r="F67" s="88">
        <v>2843</v>
      </c>
      <c r="G67" s="88">
        <f t="shared" si="45"/>
        <v>69511.349999999991</v>
      </c>
      <c r="H67" s="30" t="s">
        <v>53</v>
      </c>
      <c r="I67" s="95">
        <v>19</v>
      </c>
      <c r="J67" s="13">
        <v>2400</v>
      </c>
      <c r="K67" s="12">
        <f t="shared" si="1"/>
        <v>126.31578947368421</v>
      </c>
      <c r="L67" s="95">
        <v>19</v>
      </c>
      <c r="M67" s="13">
        <f t="shared" si="46"/>
        <v>2305.1351351351345</v>
      </c>
      <c r="N67" s="12">
        <f t="shared" si="3"/>
        <v>121.3229018492176</v>
      </c>
      <c r="O67" s="14">
        <f t="shared" si="4"/>
        <v>0</v>
      </c>
      <c r="P67" s="15">
        <f t="shared" si="5"/>
        <v>-4.9928876244666043</v>
      </c>
      <c r="Q67" s="91">
        <f t="shared" si="6"/>
        <v>0.96047297297297274</v>
      </c>
      <c r="R67" s="177"/>
      <c r="S67" s="21">
        <v>0.1472222222222222</v>
      </c>
      <c r="T67" s="21">
        <v>0.1986111111111111</v>
      </c>
      <c r="U67" s="88">
        <f t="shared" ref="U67:U72" si="48">(S67-T66)*24*60</f>
        <v>27.999999999999979</v>
      </c>
      <c r="V67" s="30">
        <f t="shared" si="47"/>
        <v>74.000000000000014</v>
      </c>
      <c r="W67" s="16"/>
      <c r="X67" s="16"/>
      <c r="Y67" s="16"/>
      <c r="Z67" s="16"/>
      <c r="AA67" s="168"/>
      <c r="AB67" s="168"/>
      <c r="AC67" s="18"/>
      <c r="AD67" s="18"/>
      <c r="AE67" s="14">
        <f t="shared" si="43"/>
        <v>-94.864864864865467</v>
      </c>
      <c r="AF67" s="91">
        <f t="shared" si="9"/>
        <v>0.96047297297297274</v>
      </c>
      <c r="AG67" s="177"/>
    </row>
    <row r="68" spans="1:33" ht="15.75" customHeight="1">
      <c r="A68" s="175" t="s">
        <v>281</v>
      </c>
      <c r="B68" s="88" t="s">
        <v>22</v>
      </c>
      <c r="C68" s="169" t="s">
        <v>31</v>
      </c>
      <c r="D68" s="169"/>
      <c r="E68" s="28">
        <v>20.21</v>
      </c>
      <c r="F68" s="88">
        <v>2958</v>
      </c>
      <c r="G68" s="88">
        <f t="shared" si="45"/>
        <v>59781.18</v>
      </c>
      <c r="H68" s="30" t="s">
        <v>53</v>
      </c>
      <c r="I68" s="95">
        <v>15</v>
      </c>
      <c r="J68" s="13">
        <v>2400</v>
      </c>
      <c r="K68" s="12">
        <f t="shared" si="1"/>
        <v>160</v>
      </c>
      <c r="L68" s="95">
        <v>15</v>
      </c>
      <c r="M68" s="13">
        <f t="shared" si="46"/>
        <v>2304.9350649350654</v>
      </c>
      <c r="N68" s="12">
        <f t="shared" si="3"/>
        <v>153.66233766233771</v>
      </c>
      <c r="O68" s="14">
        <f t="shared" si="4"/>
        <v>0</v>
      </c>
      <c r="P68" s="15">
        <f t="shared" si="5"/>
        <v>-6.3376623376622945</v>
      </c>
      <c r="Q68" s="91">
        <f t="shared" si="6"/>
        <v>0.96038961038961068</v>
      </c>
      <c r="R68" s="177"/>
      <c r="S68" s="21">
        <v>0.20277777777777778</v>
      </c>
      <c r="T68" s="21">
        <v>0.25624999999999998</v>
      </c>
      <c r="U68" s="88">
        <f t="shared" si="48"/>
        <v>6.0000000000000187</v>
      </c>
      <c r="V68" s="30">
        <f t="shared" si="47"/>
        <v>76.999999999999972</v>
      </c>
      <c r="W68" s="16"/>
      <c r="X68" s="16"/>
      <c r="Y68" s="16"/>
      <c r="Z68" s="16"/>
      <c r="AA68" s="168"/>
      <c r="AB68" s="168"/>
      <c r="AC68" s="18"/>
      <c r="AD68" s="18"/>
      <c r="AE68" s="14">
        <f t="shared" si="43"/>
        <v>-95.064935064934616</v>
      </c>
      <c r="AF68" s="91">
        <f t="shared" si="9"/>
        <v>0.96038961038961057</v>
      </c>
      <c r="AG68" s="177"/>
    </row>
    <row r="69" spans="1:33" ht="15.75" customHeight="1">
      <c r="A69" s="175" t="s">
        <v>281</v>
      </c>
      <c r="B69" s="88" t="s">
        <v>22</v>
      </c>
      <c r="C69" s="169" t="s">
        <v>51</v>
      </c>
      <c r="D69" s="169"/>
      <c r="E69" s="28">
        <v>24.43</v>
      </c>
      <c r="F69" s="88">
        <v>4500</v>
      </c>
      <c r="G69" s="88">
        <f t="shared" si="45"/>
        <v>109935</v>
      </c>
      <c r="H69" s="30">
        <v>2</v>
      </c>
      <c r="I69" s="95">
        <v>14</v>
      </c>
      <c r="J69" s="13">
        <v>2400</v>
      </c>
      <c r="K69" s="12">
        <f t="shared" ref="K69:K73" si="49">J69/I69</f>
        <v>171.42857142857142</v>
      </c>
      <c r="L69" s="95">
        <v>14</v>
      </c>
      <c r="M69" s="13">
        <f t="shared" si="46"/>
        <v>2288.1355932203396</v>
      </c>
      <c r="N69" s="12">
        <f t="shared" ref="N69:N73" si="50">M69/L69</f>
        <v>163.43825665859569</v>
      </c>
      <c r="O69" s="14">
        <f t="shared" ref="O69:O73" si="51">L69-I69</f>
        <v>0</v>
      </c>
      <c r="P69" s="15">
        <f t="shared" ref="P69:P73" si="52">N69-K69</f>
        <v>-7.9903147699757255</v>
      </c>
      <c r="Q69" s="91">
        <f t="shared" ref="Q69:Q73" si="53">N69/K69</f>
        <v>0.95338983050847492</v>
      </c>
      <c r="R69" s="177"/>
      <c r="S69" s="21">
        <v>0.26111111111111107</v>
      </c>
      <c r="T69" s="21">
        <v>0.3430555555555555</v>
      </c>
      <c r="U69" s="88">
        <f t="shared" si="48"/>
        <v>6.9999999999999751</v>
      </c>
      <c r="V69" s="30">
        <f t="shared" si="47"/>
        <v>117.99999999999999</v>
      </c>
      <c r="W69" s="16"/>
      <c r="X69" s="16"/>
      <c r="Y69" s="16"/>
      <c r="Z69" s="16"/>
      <c r="AA69" s="168"/>
      <c r="AB69" s="168"/>
      <c r="AC69" s="18"/>
      <c r="AD69" s="18"/>
      <c r="AE69" s="14">
        <f t="shared" si="43"/>
        <v>-111.86440677966038</v>
      </c>
      <c r="AF69" s="91">
        <f t="shared" ref="AF69:AF73" si="54">M69/J69</f>
        <v>0.95338983050847481</v>
      </c>
      <c r="AG69" s="177"/>
    </row>
    <row r="70" spans="1:33" ht="15.75" customHeight="1">
      <c r="A70" s="175" t="s">
        <v>281</v>
      </c>
      <c r="B70" s="88" t="s">
        <v>22</v>
      </c>
      <c r="C70" s="169" t="s">
        <v>52</v>
      </c>
      <c r="D70" s="169"/>
      <c r="E70" s="28">
        <v>19.02</v>
      </c>
      <c r="F70" s="88">
        <v>6500</v>
      </c>
      <c r="G70" s="88">
        <f t="shared" si="45"/>
        <v>123630</v>
      </c>
      <c r="H70" s="30">
        <v>2</v>
      </c>
      <c r="I70" s="95">
        <v>14</v>
      </c>
      <c r="J70" s="13">
        <v>2400</v>
      </c>
      <c r="K70" s="12">
        <f t="shared" si="49"/>
        <v>171.42857142857142</v>
      </c>
      <c r="L70" s="95">
        <v>14</v>
      </c>
      <c r="M70" s="13">
        <f t="shared" si="46"/>
        <v>2294.117647058823</v>
      </c>
      <c r="N70" s="12">
        <f t="shared" si="50"/>
        <v>163.86554621848737</v>
      </c>
      <c r="O70" s="14">
        <f t="shared" si="51"/>
        <v>0</v>
      </c>
      <c r="P70" s="15">
        <f t="shared" si="52"/>
        <v>-7.5630252100840494</v>
      </c>
      <c r="Q70" s="91">
        <f t="shared" si="53"/>
        <v>0.95588235294117641</v>
      </c>
      <c r="R70" s="177"/>
      <c r="S70" s="21">
        <v>0.34722222222222215</v>
      </c>
      <c r="T70" s="21">
        <v>0.46527777777777773</v>
      </c>
      <c r="U70" s="88">
        <f t="shared" si="48"/>
        <v>5.9999999999999787</v>
      </c>
      <c r="V70" s="30">
        <f t="shared" si="47"/>
        <v>170.00000000000003</v>
      </c>
      <c r="W70" s="16">
        <f>T70</f>
        <v>0.46527777777777773</v>
      </c>
      <c r="X70" s="16">
        <f>S71</f>
        <v>0.50763888888888875</v>
      </c>
      <c r="Y70" s="16"/>
      <c r="Z70" s="16"/>
      <c r="AA70" s="168"/>
      <c r="AB70" s="168"/>
      <c r="AC70" s="18"/>
      <c r="AD70" s="18"/>
      <c r="AE70" s="14">
        <f t="shared" si="43"/>
        <v>-105.88235294117703</v>
      </c>
      <c r="AF70" s="91">
        <f t="shared" si="54"/>
        <v>0.95588235294117618</v>
      </c>
      <c r="AG70" s="177"/>
    </row>
    <row r="71" spans="1:33" ht="15.75" customHeight="1">
      <c r="A71" s="175" t="s">
        <v>281</v>
      </c>
      <c r="B71" s="88" t="s">
        <v>22</v>
      </c>
      <c r="C71" s="169" t="s">
        <v>52</v>
      </c>
      <c r="D71" s="169"/>
      <c r="E71" s="28">
        <v>19.02</v>
      </c>
      <c r="F71" s="88">
        <v>3843</v>
      </c>
      <c r="G71" s="88">
        <f t="shared" si="45"/>
        <v>73093.86</v>
      </c>
      <c r="H71" s="30" t="s">
        <v>53</v>
      </c>
      <c r="I71" s="95">
        <v>14</v>
      </c>
      <c r="J71" s="13">
        <v>2400</v>
      </c>
      <c r="K71" s="12">
        <f t="shared" si="49"/>
        <v>171.42857142857142</v>
      </c>
      <c r="L71" s="95">
        <v>14</v>
      </c>
      <c r="M71" s="13">
        <f t="shared" si="46"/>
        <v>2305.8000000000006</v>
      </c>
      <c r="N71" s="12">
        <f t="shared" si="50"/>
        <v>164.70000000000005</v>
      </c>
      <c r="O71" s="14">
        <f t="shared" si="51"/>
        <v>0</v>
      </c>
      <c r="P71" s="15">
        <f t="shared" si="52"/>
        <v>-6.7285714285713709</v>
      </c>
      <c r="Q71" s="91">
        <f t="shared" si="53"/>
        <v>0.96075000000000033</v>
      </c>
      <c r="R71" s="177"/>
      <c r="S71" s="21">
        <v>0.50763888888888875</v>
      </c>
      <c r="T71" s="21">
        <v>0.57708333333333317</v>
      </c>
      <c r="U71" s="88">
        <f t="shared" si="48"/>
        <v>60.999999999999865</v>
      </c>
      <c r="V71" s="30">
        <f t="shared" si="47"/>
        <v>99.999999999999972</v>
      </c>
      <c r="W71" s="16"/>
      <c r="X71" s="16"/>
      <c r="Y71" s="16"/>
      <c r="Z71" s="16"/>
      <c r="AA71" s="168"/>
      <c r="AB71" s="168"/>
      <c r="AC71" s="18"/>
      <c r="AD71" s="18"/>
      <c r="AE71" s="14">
        <f t="shared" si="43"/>
        <v>-94.199999999999363</v>
      </c>
      <c r="AF71" s="91">
        <f t="shared" si="54"/>
        <v>0.96075000000000021</v>
      </c>
      <c r="AG71" s="177"/>
    </row>
    <row r="72" spans="1:33" ht="15.75" customHeight="1">
      <c r="A72" s="175" t="s">
        <v>281</v>
      </c>
      <c r="B72" s="88" t="s">
        <v>22</v>
      </c>
      <c r="C72" s="170" t="s">
        <v>51</v>
      </c>
      <c r="D72" s="171"/>
      <c r="E72" s="28">
        <v>24.43</v>
      </c>
      <c r="F72" s="88">
        <v>2872</v>
      </c>
      <c r="G72" s="88">
        <f t="shared" si="45"/>
        <v>70162.960000000006</v>
      </c>
      <c r="H72" s="30" t="s">
        <v>53</v>
      </c>
      <c r="I72" s="95">
        <v>14</v>
      </c>
      <c r="J72" s="13">
        <v>2400</v>
      </c>
      <c r="K72" s="12">
        <f t="shared" si="49"/>
        <v>171.42857142857142</v>
      </c>
      <c r="L72" s="95">
        <v>14</v>
      </c>
      <c r="M72" s="13">
        <f t="shared" si="46"/>
        <v>2297.5999999999981</v>
      </c>
      <c r="N72" s="12">
        <f t="shared" si="50"/>
        <v>164.11428571428559</v>
      </c>
      <c r="O72" s="14">
        <f t="shared" si="51"/>
        <v>0</v>
      </c>
      <c r="P72" s="15">
        <f t="shared" si="52"/>
        <v>-7.3142857142858304</v>
      </c>
      <c r="Q72" s="91">
        <f t="shared" si="53"/>
        <v>0.9573333333333327</v>
      </c>
      <c r="R72" s="177"/>
      <c r="S72" s="21">
        <v>0.58055555555555538</v>
      </c>
      <c r="T72" s="21">
        <v>0.63263888888888875</v>
      </c>
      <c r="U72" s="88">
        <f t="shared" si="48"/>
        <v>4.9999999999999822</v>
      </c>
      <c r="V72" s="30">
        <f t="shared" si="47"/>
        <v>75.000000000000057</v>
      </c>
      <c r="W72" s="16"/>
      <c r="X72" s="16"/>
      <c r="Y72" s="19"/>
      <c r="Z72" s="19"/>
      <c r="AA72" s="172"/>
      <c r="AB72" s="173"/>
      <c r="AC72" s="18"/>
      <c r="AD72" s="18"/>
      <c r="AE72" s="14">
        <f t="shared" si="43"/>
        <v>-102.40000000000191</v>
      </c>
      <c r="AF72" s="91">
        <f t="shared" si="54"/>
        <v>0.95733333333333259</v>
      </c>
      <c r="AG72" s="177"/>
    </row>
    <row r="73" spans="1:33" ht="16.5" customHeight="1">
      <c r="A73" s="176" t="s">
        <v>281</v>
      </c>
      <c r="B73" s="28" t="s">
        <v>168</v>
      </c>
      <c r="C73" s="165"/>
      <c r="D73" s="166"/>
      <c r="E73" s="92"/>
      <c r="F73" s="12"/>
      <c r="G73" s="12"/>
      <c r="H73" s="88"/>
      <c r="I73" s="23">
        <v>15</v>
      </c>
      <c r="J73" s="13">
        <v>2400</v>
      </c>
      <c r="K73" s="12">
        <f t="shared" si="49"/>
        <v>160</v>
      </c>
      <c r="L73" s="23">
        <v>15</v>
      </c>
      <c r="M73" s="13">
        <f>AVERAGE(M66:M72)</f>
        <v>2298.8087057641947</v>
      </c>
      <c r="N73" s="12">
        <f t="shared" si="50"/>
        <v>153.25391371761299</v>
      </c>
      <c r="O73" s="14">
        <f t="shared" si="51"/>
        <v>0</v>
      </c>
      <c r="P73" s="15">
        <f t="shared" si="52"/>
        <v>-6.7460862823870116</v>
      </c>
      <c r="Q73" s="91">
        <f t="shared" si="53"/>
        <v>0.95783696073508118</v>
      </c>
      <c r="R73" s="177"/>
      <c r="S73" s="21"/>
      <c r="T73" s="21"/>
      <c r="U73" s="12"/>
      <c r="V73" s="30"/>
      <c r="W73" s="12"/>
      <c r="X73" s="12"/>
      <c r="Y73" s="24">
        <f>SUM(Y66:Y72)</f>
        <v>0</v>
      </c>
      <c r="Z73" s="24">
        <f>SUM(Z66:Z72)</f>
        <v>0</v>
      </c>
      <c r="AA73" s="167"/>
      <c r="AB73" s="167"/>
      <c r="AC73" s="24">
        <v>7</v>
      </c>
      <c r="AD73" s="24">
        <f>SUM(AD66:AD72)</f>
        <v>0</v>
      </c>
      <c r="AE73" s="14">
        <f t="shared" si="43"/>
        <v>-101.19129423580534</v>
      </c>
      <c r="AF73" s="91">
        <f t="shared" si="54"/>
        <v>0.95783696073508107</v>
      </c>
      <c r="AG73" s="177"/>
    </row>
    <row r="74" spans="1:33">
      <c r="D74" s="87"/>
      <c r="E74" s="87"/>
    </row>
  </sheetData>
  <mergeCells count="195">
    <mergeCell ref="AG66:AG73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66:A73"/>
    <mergeCell ref="C66:D66"/>
    <mergeCell ref="R66:R73"/>
    <mergeCell ref="AA66:AB66"/>
    <mergeCell ref="AA71:AB71"/>
    <mergeCell ref="C72:D72"/>
    <mergeCell ref="AA72:AB72"/>
    <mergeCell ref="C73:D73"/>
    <mergeCell ref="AA73:AB73"/>
    <mergeCell ref="AG59:AG65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C64:D64"/>
    <mergeCell ref="C65:D65"/>
    <mergeCell ref="AA65:AB65"/>
    <mergeCell ref="A59:A65"/>
    <mergeCell ref="C59:D59"/>
    <mergeCell ref="R59:R65"/>
    <mergeCell ref="AA59:AB59"/>
    <mergeCell ref="AA64:AB64"/>
    <mergeCell ref="A52:A58"/>
    <mergeCell ref="C52:D52"/>
    <mergeCell ref="R52:R58"/>
    <mergeCell ref="AA52:AB52"/>
    <mergeCell ref="AG52:AG58"/>
    <mergeCell ref="C53:D53"/>
    <mergeCell ref="AA53:AB53"/>
    <mergeCell ref="C54:D54"/>
    <mergeCell ref="AA54:AB54"/>
    <mergeCell ref="AA55:AB55"/>
    <mergeCell ref="AG46:AG51"/>
    <mergeCell ref="C47:D47"/>
    <mergeCell ref="AA47:AB47"/>
    <mergeCell ref="C48:D48"/>
    <mergeCell ref="AA48:AB48"/>
    <mergeCell ref="C49:D49"/>
    <mergeCell ref="AA49:AB49"/>
    <mergeCell ref="C50:D50"/>
    <mergeCell ref="AA50:AB50"/>
    <mergeCell ref="C51:D51"/>
    <mergeCell ref="AA56:AB56"/>
    <mergeCell ref="C57:D57"/>
    <mergeCell ref="AA57:AB57"/>
    <mergeCell ref="C58:D58"/>
    <mergeCell ref="AA58:AB58"/>
    <mergeCell ref="A38:A45"/>
    <mergeCell ref="C38:D38"/>
    <mergeCell ref="R38:R45"/>
    <mergeCell ref="AA38:AB38"/>
    <mergeCell ref="C44:D44"/>
    <mergeCell ref="AA44:AB44"/>
    <mergeCell ref="C45:D45"/>
    <mergeCell ref="AA45:AB45"/>
    <mergeCell ref="A46:A51"/>
    <mergeCell ref="C46:D46"/>
    <mergeCell ref="R46:R51"/>
    <mergeCell ref="AA46:AB46"/>
    <mergeCell ref="AA51:AB51"/>
    <mergeCell ref="AG38:AG45"/>
    <mergeCell ref="C39:D39"/>
    <mergeCell ref="AA39:AB39"/>
    <mergeCell ref="C40:D40"/>
    <mergeCell ref="AA40:AB40"/>
    <mergeCell ref="AG30:AG37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C41:D41"/>
    <mergeCell ref="AA41:AB41"/>
    <mergeCell ref="C42:D42"/>
    <mergeCell ref="AA42:AB42"/>
    <mergeCell ref="C43:D43"/>
    <mergeCell ref="AA43:AB43"/>
    <mergeCell ref="AA37:AB37"/>
    <mergeCell ref="A22:A29"/>
    <mergeCell ref="C22:D22"/>
    <mergeCell ref="R22:R29"/>
    <mergeCell ref="AA22:AB22"/>
    <mergeCell ref="C29:D29"/>
    <mergeCell ref="AA29:AB29"/>
    <mergeCell ref="A30:A37"/>
    <mergeCell ref="C30:D30"/>
    <mergeCell ref="R30:R37"/>
    <mergeCell ref="AA30:AB30"/>
    <mergeCell ref="AA35:AB35"/>
    <mergeCell ref="C36:D36"/>
    <mergeCell ref="AA36:AB36"/>
    <mergeCell ref="C37:D37"/>
    <mergeCell ref="AG22:AG29"/>
    <mergeCell ref="C23:D23"/>
    <mergeCell ref="AA23:AB23"/>
    <mergeCell ref="C24:D24"/>
    <mergeCell ref="AA24:AB24"/>
    <mergeCell ref="C25:D25"/>
    <mergeCell ref="C17:D17"/>
    <mergeCell ref="AA17:AB17"/>
    <mergeCell ref="C18:D18"/>
    <mergeCell ref="AA18:AB18"/>
    <mergeCell ref="C21:D21"/>
    <mergeCell ref="AA21:AB21"/>
    <mergeCell ref="AA25:AB25"/>
    <mergeCell ref="C26:D26"/>
    <mergeCell ref="AA26:AB26"/>
    <mergeCell ref="C27:D27"/>
    <mergeCell ref="AA27:AB27"/>
    <mergeCell ref="C28:D28"/>
    <mergeCell ref="AA28:AB28"/>
    <mergeCell ref="AA13:AB13"/>
    <mergeCell ref="A14:A21"/>
    <mergeCell ref="C14:D14"/>
    <mergeCell ref="R14:R21"/>
    <mergeCell ref="AA14:AB14"/>
    <mergeCell ref="AG14:AG21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:O73">
    <cfRule type="cellIs" dxfId="104" priority="9" operator="greaterThan">
      <formula>0</formula>
    </cfRule>
  </conditionalFormatting>
  <conditionalFormatting sqref="P5:P73">
    <cfRule type="cellIs" dxfId="103" priority="1" operator="lessThan">
      <formula>0</formula>
    </cfRule>
  </conditionalFormatting>
  <conditionalFormatting sqref="Q5:Q73">
    <cfRule type="cellIs" dxfId="102" priority="10" operator="greaterThan">
      <formula>1</formula>
    </cfRule>
    <cfRule type="cellIs" dxfId="101" priority="11" operator="lessThan">
      <formula>0.8</formula>
    </cfRule>
  </conditionalFormatting>
  <conditionalFormatting sqref="R5:R10 AG5:AG10">
    <cfRule type="cellIs" dxfId="100" priority="54" operator="lessThan">
      <formula>0.8</formula>
    </cfRule>
  </conditionalFormatting>
  <conditionalFormatting sqref="AE5:AE73">
    <cfRule type="cellIs" dxfId="99" priority="17" operator="lessThan">
      <formula>0</formula>
    </cfRule>
  </conditionalFormatting>
  <conditionalFormatting sqref="AF5:AF73">
    <cfRule type="cellIs" dxfId="98" priority="16" operator="lessThan">
      <formula>0.8</formula>
    </cfRule>
    <cfRule type="cellIs" dxfId="97" priority="15" operator="greaterThan">
      <formula>1</formula>
    </cfRule>
  </conditionalFormatting>
  <conditionalFormatting sqref="AG14:AG62 R14:R73">
    <cfRule type="cellIs" dxfId="96" priority="13" operator="lessThan">
      <formula>0.8</formula>
    </cfRule>
  </conditionalFormatting>
  <dataValidations count="1">
    <dataValidation type="list" allowBlank="1" showInputMessage="1" showErrorMessage="1" sqref="AB9 AA5:AB8 AB63:AB64 AB11:AB59 AA9:AA64 AA65:AB73" xr:uid="{00000000-0002-0000-23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32"/>
  <sheetViews>
    <sheetView zoomScale="85" zoomScaleNormal="85" workbookViewId="0">
      <selection activeCell="I3" sqref="I3:J3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1143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599</v>
      </c>
      <c r="C3" s="154" t="str">
        <f>TEXT('0412 4度C'!A2,"yyyy.mm.ddaaaa")</f>
        <v>2026.04.12星期日</v>
      </c>
      <c r="D3" s="155"/>
      <c r="E3" s="33" t="s">
        <v>600</v>
      </c>
      <c r="F3" s="156">
        <f>'0412 4度C'!D1</f>
        <v>186028</v>
      </c>
      <c r="G3" s="157"/>
      <c r="H3" s="33" t="s">
        <v>1144</v>
      </c>
      <c r="I3" s="158">
        <f>'0412 4度C'!F1</f>
        <v>6154559.79</v>
      </c>
      <c r="J3" s="159"/>
      <c r="K3" s="34"/>
      <c r="L3" s="35"/>
      <c r="M3" s="35"/>
      <c r="N3" s="35"/>
    </row>
    <row r="4" spans="2:17" ht="28.5" customHeight="1">
      <c r="B4" s="160" t="s">
        <v>602</v>
      </c>
      <c r="C4" s="146" t="s">
        <v>603</v>
      </c>
      <c r="D4" s="147"/>
      <c r="E4" s="163" t="s">
        <v>865</v>
      </c>
      <c r="F4" s="164"/>
      <c r="G4" s="163" t="s">
        <v>1145</v>
      </c>
      <c r="H4" s="164"/>
      <c r="I4" s="163" t="s">
        <v>867</v>
      </c>
      <c r="J4" s="164"/>
      <c r="K4" s="144" t="s">
        <v>1146</v>
      </c>
      <c r="L4" s="145"/>
      <c r="M4" s="145" t="s">
        <v>1147</v>
      </c>
      <c r="N4" s="145"/>
    </row>
    <row r="5" spans="2:17" ht="28.5" customHeight="1">
      <c r="B5" s="161"/>
      <c r="C5" s="146" t="s">
        <v>1148</v>
      </c>
      <c r="D5" s="147"/>
      <c r="E5" s="146" t="s">
        <v>610</v>
      </c>
      <c r="F5" s="147"/>
      <c r="G5" s="148" t="s">
        <v>611</v>
      </c>
      <c r="H5" s="149"/>
      <c r="I5" s="150" t="s">
        <v>1149</v>
      </c>
      <c r="J5" s="151"/>
      <c r="K5" s="36" t="s">
        <v>1150</v>
      </c>
      <c r="L5" s="37" t="s">
        <v>1151</v>
      </c>
      <c r="M5" s="36" t="s">
        <v>1152</v>
      </c>
      <c r="N5" s="37" t="s">
        <v>1153</v>
      </c>
    </row>
    <row r="6" spans="2:17" ht="28.5" customHeight="1">
      <c r="B6" s="161"/>
      <c r="C6" s="146" t="s">
        <v>54</v>
      </c>
      <c r="D6" s="147"/>
      <c r="E6" s="138">
        <f>AVERAGE(D13:M13)</f>
        <v>156.35962147070782</v>
      </c>
      <c r="F6" s="139">
        <f>AVERAGE(D31:O31,D13:J13)</f>
        <v>162.46036976192167</v>
      </c>
      <c r="G6" s="140">
        <f>AVERAGE(D13:J13)</f>
        <v>162.46036976192167</v>
      </c>
      <c r="H6" s="141"/>
      <c r="I6" s="140">
        <f>AVERAGE(K13:M13)</f>
        <v>142.12454212454213</v>
      </c>
      <c r="J6" s="141"/>
      <c r="K6" s="142">
        <f>'0412 4度C'!Y2</f>
        <v>0</v>
      </c>
      <c r="L6" s="127">
        <f>'0412 4度C'!Z2</f>
        <v>0</v>
      </c>
      <c r="M6" s="143">
        <f>'0412 4度C'!AC2</f>
        <v>57</v>
      </c>
      <c r="N6" s="127">
        <f>'0412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149.81504261594222</v>
      </c>
      <c r="F7" s="131">
        <f>AVERAGE(D32:O32,D14:J14)</f>
        <v>155.78105162906917</v>
      </c>
      <c r="G7" s="132">
        <f>AVERAGE(D14:J14)</f>
        <v>155.78105162906917</v>
      </c>
      <c r="H7" s="133"/>
      <c r="I7" s="132">
        <f>AVERAGE(K14:M14)</f>
        <v>135.89435491864603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0.95827105077401031</v>
      </c>
      <c r="F8" s="135">
        <f>AVERAGE(D15:J15,D33:O33)</f>
        <v>0.95916842600897512</v>
      </c>
      <c r="G8" s="136">
        <f>AVERAGE(D15:J15)</f>
        <v>0.95916842600897512</v>
      </c>
      <c r="H8" s="137"/>
      <c r="I8" s="136">
        <f>AVERAGE(K15:M15)</f>
        <v>0.95617717522575874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1154</v>
      </c>
      <c r="N9" s="35"/>
      <c r="O9" s="35"/>
      <c r="P9" s="35"/>
      <c r="Q9" s="35"/>
    </row>
    <row r="10" spans="2:17" ht="30" customHeight="1">
      <c r="B10" s="110" t="s">
        <v>617</v>
      </c>
      <c r="C10" s="111"/>
      <c r="D10" s="112" t="s">
        <v>880</v>
      </c>
      <c r="E10" s="113"/>
      <c r="F10" s="113"/>
      <c r="G10" s="113"/>
      <c r="H10" s="113"/>
      <c r="I10" s="113"/>
      <c r="J10" s="114"/>
      <c r="K10" s="115" t="s">
        <v>619</v>
      </c>
      <c r="L10" s="116"/>
      <c r="M10" s="117"/>
      <c r="P10" s="41"/>
      <c r="Q10" s="41"/>
    </row>
    <row r="11" spans="2:17" ht="17.25" customHeight="1">
      <c r="B11" s="118" t="s">
        <v>620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1155</v>
      </c>
      <c r="C13" s="48" t="s">
        <v>622</v>
      </c>
      <c r="D13" s="49">
        <f>SUMIFS('0412 4度C'!$K:$K,'0412 4度C'!$A:$A,"新豐6線",'0412 4度C'!$B:$B,"平均")</f>
        <v>117.64705882352941</v>
      </c>
      <c r="E13" s="50">
        <f>SUMIFS('0412 4度C'!$K:$K,'0412 4度C'!$A:$A,"新豐2線",'0412 4度C'!$B:$B,"平均")</f>
        <v>84.905660377358487</v>
      </c>
      <c r="F13" s="51">
        <f>SUMIFS('0412 4度C'!$K:$K,'0412 4度C'!$A:$A,"新豐5線",'0412 4度C'!$B:$B,"平均")</f>
        <v>102.15053763440859</v>
      </c>
      <c r="G13" s="51">
        <f>SUMIFS('0412 4度C'!$K:$K,'0412 4度C'!$A:$A,"新豐7線",'0412 4度C'!$B:$B,"平均")</f>
        <v>127.35849056603774</v>
      </c>
      <c r="H13" s="51">
        <f>SUMIFS('0412 4度C'!$K:$K,'0412 4度C'!$A:$A,"新豐3線",'0412 4度C'!$B:$B,"平均")</f>
        <v>319.14893617021278</v>
      </c>
      <c r="I13" s="51">
        <f>SUMIFS('0412 4度C'!$K:$K,'0412 4度C'!$A:$A,"新豐1線",'0412 4度C'!$B:$B,"平均")</f>
        <v>102.67857142857143</v>
      </c>
      <c r="J13" s="52">
        <f>SUMIFS('0412 4度C'!$K:$K,'0412 4度C'!$A:$A,"新豐10線",'0412 4度C'!$B:$B,"平均")</f>
        <v>283.33333333333337</v>
      </c>
      <c r="K13" s="53">
        <f>SUMIFS('0412 4度C'!$K:$K,'0412 4度C'!$A:$A,"新豐8線",'0412 4度C'!$B:$B,"平均")</f>
        <v>129.23076923076923</v>
      </c>
      <c r="L13" s="54">
        <f>SUMIFS('0412 4度C'!$K:$K,'0412 4度C'!$A:$A,"新豐9線",'0412 4度C'!$B:$B,"平均")</f>
        <v>137.14285714285714</v>
      </c>
      <c r="M13" s="52">
        <f>SUMIFS('0412 4度C'!$K:$K,'0412 4度C'!$A:$A,"新豐4線",'0412 4度C'!$B:$B,"平均")</f>
        <v>160</v>
      </c>
    </row>
    <row r="14" spans="2:17" ht="39.6" customHeight="1">
      <c r="B14" s="123"/>
      <c r="C14" s="55" t="s">
        <v>623</v>
      </c>
      <c r="D14" s="56">
        <f>SUMIFS('0412 4度C'!$N:$N,'0412 4度C'!$A:$A,"新豐6線",'0412 4度C'!$B:$B,"平均")</f>
        <v>112.89221402370715</v>
      </c>
      <c r="E14" s="57">
        <f>SUMIFS('0412 4度C'!$N:$N,'0412 4度C'!$A:$A,"新豐2線",'0412 4度C'!$B:$B,"平均")</f>
        <v>80.99875604272755</v>
      </c>
      <c r="F14" s="57">
        <f>SUMIFS('0412 4度C'!$N:$N,'0412 4度C'!$A:$A,"新豐5線",'0412 4度C'!$B:$B,"平均")</f>
        <v>98.320828236053387</v>
      </c>
      <c r="G14" s="57">
        <f>SUMIFS('0412 4度C'!$N:$N,'0412 4度C'!$A:$A,"新豐7線",'0412 4度C'!$B:$B,"平均")</f>
        <v>122.24559489324446</v>
      </c>
      <c r="H14" s="57">
        <f>SUMIFS('0412 4度C'!$N:$N,'0412 4度C'!$A:$A,"新豐3線",'0412 4度C'!$B:$B,"平均")</f>
        <v>304.50930205516374</v>
      </c>
      <c r="I14" s="57">
        <f>SUMIFS('0412 4度C'!$N:$N,'0412 4度C'!$A:$A,"新豐1線",'0412 4度C'!$B:$B,"平均")</f>
        <v>98.706304915686744</v>
      </c>
      <c r="J14" s="58">
        <f>SUMIFS('0412 4度C'!$N:$N,'0412 4度C'!$A:$A,"新豐10線",'0412 4度C'!$B:$B,"平均")</f>
        <v>272.79436123690112</v>
      </c>
      <c r="K14" s="59">
        <f>SUMIFS('0412 4度C'!$N:$N,'0412 4度C'!$A:$A,"新豐8線",'0412 4度C'!$B:$B,"平均")</f>
        <v>123.46362094914929</v>
      </c>
      <c r="L14" s="60">
        <f>SUMIFS('0412 4度C'!$N:$N,'0412 4度C'!$A:$A,"新豐9線",'0412 4度C'!$B:$B,"平均")</f>
        <v>131.31527475862916</v>
      </c>
      <c r="M14" s="58">
        <f>SUMIFS('0412 4度C'!$N:$N,'0412 4度C'!$A:$A,"新豐4線",'0412 4度C'!$B:$B,"平均")</f>
        <v>152.90416904815964</v>
      </c>
    </row>
    <row r="15" spans="2:17" ht="40.15" customHeight="1">
      <c r="B15" s="124"/>
      <c r="C15" s="61" t="s">
        <v>786</v>
      </c>
      <c r="D15" s="62">
        <f t="shared" ref="D15:M15" si="0">D14/D13</f>
        <v>0.95958381920151081</v>
      </c>
      <c r="E15" s="63">
        <f t="shared" si="0"/>
        <v>0.95398534894768006</v>
      </c>
      <c r="F15" s="63">
        <f t="shared" si="0"/>
        <v>0.96250916062662795</v>
      </c>
      <c r="G15" s="63">
        <f t="shared" si="0"/>
        <v>0.95985430064325272</v>
      </c>
      <c r="H15" s="63">
        <f t="shared" si="0"/>
        <v>0.95412914643951308</v>
      </c>
      <c r="I15" s="63">
        <f t="shared" si="0"/>
        <v>0.96131357830929698</v>
      </c>
      <c r="J15" s="64">
        <f t="shared" si="0"/>
        <v>0.962803627894945</v>
      </c>
      <c r="K15" s="62">
        <f t="shared" si="0"/>
        <v>0.95537325734460765</v>
      </c>
      <c r="L15" s="63">
        <f t="shared" si="0"/>
        <v>0.95750721178167097</v>
      </c>
      <c r="M15" s="64">
        <f t="shared" si="0"/>
        <v>0.9556510565509978</v>
      </c>
    </row>
    <row r="16" spans="2:17" ht="17.25" customHeight="1">
      <c r="B16" s="125" t="s">
        <v>625</v>
      </c>
      <c r="C16" s="65" t="s">
        <v>626</v>
      </c>
      <c r="D16" s="66">
        <f>VLOOKUP("新豐6線",'0412 4度C'!$A:$T,19,0)</f>
        <v>0.70833333333333337</v>
      </c>
      <c r="E16" s="67">
        <f>VLOOKUP("新豐2線",'0412 4度C'!$A:$T,19,0)</f>
        <v>0.20833333333333334</v>
      </c>
      <c r="F16" s="67">
        <f>VLOOKUP("新豐5線",'0412 4度C'!$A:$T,19,0)</f>
        <v>0.20833333333333334</v>
      </c>
      <c r="G16" s="67">
        <f>VLOOKUP("新豐7線",'0412 4度C'!$A:$T,19,0)</f>
        <v>0.20833333333333334</v>
      </c>
      <c r="H16" s="67">
        <f>VLOOKUP("新豐3線",'0412 4度C'!$A:$T,19,0)</f>
        <v>8.3333333333333329E-2</v>
      </c>
      <c r="I16" s="67">
        <f>VLOOKUP("新豐1線",'0412 4度C'!$A:$T,19,0)</f>
        <v>0.20833333333333334</v>
      </c>
      <c r="J16" s="68">
        <f>VLOOKUP("新豐10線",'0412 4度C'!$A:$T,19,0)</f>
        <v>0.20833333333333334</v>
      </c>
      <c r="K16" s="69">
        <f>VLOOKUP("新豐8線",'0412 4度C'!$A:$T,19,0)</f>
        <v>8.3333333333333329E-2</v>
      </c>
      <c r="L16" s="70">
        <f>VLOOKUP("新豐9線",'0412 4度C'!$A:$T,19,0)</f>
        <v>8.3333333333333329E-2</v>
      </c>
      <c r="M16" s="71">
        <f>VLOOKUP("新豐4線",'0412 4度C'!$A:$T,19,0)</f>
        <v>8.3333333333333329E-2</v>
      </c>
    </row>
    <row r="17" spans="2:13" ht="17.25" customHeight="1">
      <c r="B17" s="126"/>
      <c r="C17" s="65" t="s">
        <v>627</v>
      </c>
      <c r="D17" s="69">
        <f>LOOKUP(2,1/(('0412 4度C'!$A:$A="新豐6線")*('0412 4度C'!$T:$T&lt;&gt;"")),'0412 4度C'!$T:$T)</f>
        <v>0.82777777777777772</v>
      </c>
      <c r="E17" s="67">
        <f>LOOKUP(2,1/(('0412 4度C'!$A:$A="新豐2線")*('0412 4度C'!$T:$T&lt;&gt;"")),'0412 4度C'!$T:$T)</f>
        <v>0.67569444444444438</v>
      </c>
      <c r="F17" s="67">
        <f>LOOKUP(2,1/(('0412 4度C'!$A:$A="新豐5線")*('0412 4度C'!$T:$T&lt;&gt;"")),'0412 4度C'!$T:$T)</f>
        <v>0.90902777777777777</v>
      </c>
      <c r="G17" s="67">
        <f>LOOKUP(2,1/(('0412 4度C'!$A:$A="新豐7線")*('0412 4度C'!$T:$T&lt;&gt;"")),'0412 4度C'!$T:$T)</f>
        <v>0.89513888888888893</v>
      </c>
      <c r="H17" s="67">
        <f>LOOKUP(2,1/(('0412 4度C'!$A:$A="新豐3線")*('0412 4度C'!$T:$T&lt;&gt;"")),'0412 4度C'!$T:$T)</f>
        <v>0.52361111111111114</v>
      </c>
      <c r="I17" s="67">
        <f>LOOKUP(2,1/(('0412 4度C'!$A:$A="新豐1線")*('0412 4度C'!$T:$T&lt;&gt;"")),'0412 4度C'!$T:$T)</f>
        <v>0.84027777777777779</v>
      </c>
      <c r="J17" s="68">
        <f>LOOKUP(2,1/(('0412 4度C'!$A:$A="新豐10線")*('0412 4度C'!$T:$T&lt;&gt;"")),'0412 4度C'!$T:$T)</f>
        <v>0.47499999999999998</v>
      </c>
      <c r="K17" s="66">
        <f>LOOKUP(2,1/(('0412 4度C'!$A:$A="新豐8線")*('0412 4度C'!$T:$T&lt;&gt;"")),'0412 4度C'!$T:$T)</f>
        <v>0.71111111111111103</v>
      </c>
      <c r="L17" s="67">
        <f>LOOKUP(2,1/(('0412 4度C'!$A:$A="新豐9線")*('0412 4度C'!$T:$T&lt;&gt;"")),'0412 4度C'!$T:$T)</f>
        <v>0.70347222222222205</v>
      </c>
      <c r="M17" s="68">
        <f>LOOKUP(2,1/(('0412 4度C'!$A:$A="新豐4線")*('0412 4度C'!$T:$T&lt;&gt;"")),'0412 4度C'!$T:$T)</f>
        <v>0.67986111111111103</v>
      </c>
    </row>
    <row r="18" spans="2:13" ht="17.25" customHeight="1">
      <c r="B18" s="104" t="s">
        <v>628</v>
      </c>
      <c r="C18" s="72" t="s">
        <v>570</v>
      </c>
      <c r="D18" s="73">
        <f>SUMIFS('0412 4度C'!$Y:$Y,'0412 4度C'!$A:$A,"新豐6線",'0412 4度C'!$B:$B,"平均")</f>
        <v>0</v>
      </c>
      <c r="E18" s="74">
        <f>SUMIFS('0412 4度C'!$Y:$Y,'0412 4度C'!$A:$A,"新豐2線",'0412 4度C'!$B:$B,"平均")</f>
        <v>0</v>
      </c>
      <c r="F18" s="74">
        <f>SUMIFS('0412 4度C'!$Y:$Y,'0412 4度C'!$A:$A,"新豐5線",'0412 4度C'!$B:$B,"平均")</f>
        <v>0</v>
      </c>
      <c r="G18" s="74">
        <f>SUMIFS('0412 4度C'!$Y:$Y,'0412 4度C'!$A:$A,"新豐7線",'0412 4度C'!$B:$B,"平均")</f>
        <v>0</v>
      </c>
      <c r="H18" s="74">
        <f>SUMIFS('0412 4度C'!$Y:$Y,'0412 4度C'!$A:$A,"新豐3線",'0412 4度C'!$B:$B,"平均")</f>
        <v>0</v>
      </c>
      <c r="I18" s="74">
        <f>SUMIFS('0412 4度C'!$Y:$Y,'0412 4度C'!$A:$A,"新豐1線",'0412 4度C'!$B:$B,"平均")</f>
        <v>0</v>
      </c>
      <c r="J18" s="75">
        <f>SUMIFS('0412 4度C'!$Y:$Y,'0412 4度C'!$A:$A,"新豐10線",'0412 4度C'!$B:$B,"平均")</f>
        <v>0</v>
      </c>
      <c r="K18" s="76">
        <f>SUMIFS('0412 4度C'!$Y:$Y,'0412 4度C'!$A:$A,"新豐8線",'0412 4度C'!$B:$B,"平均")</f>
        <v>0</v>
      </c>
      <c r="L18" s="74">
        <f>SUMIFS('0412 4度C'!$Y:$Y,'0412 4度C'!$A:$A,"新豐9線",'0412 4度C'!$B:$B,"平均")</f>
        <v>0</v>
      </c>
      <c r="M18" s="75">
        <f>SUMIFS('0412 4度C'!$Y:$Y,'0412 4度C'!$A:$A,"新豐4線",'0412 4度C'!$B:$B,"平均")</f>
        <v>0</v>
      </c>
    </row>
    <row r="19" spans="2:13" ht="17.25" customHeight="1">
      <c r="B19" s="105"/>
      <c r="C19" s="72" t="s">
        <v>571</v>
      </c>
      <c r="D19" s="73">
        <f>SUMIFS('0412 4度C'!$Z:$Z,'0412 4度C'!$A:$A,"新豐6線",'0412 4度C'!$B:$B,"平均")</f>
        <v>0</v>
      </c>
      <c r="E19" s="74">
        <f>SUMIFS('0412 4度C'!$Z:$Z,'0412 4度C'!$A:$A,"新豐2線",'0412 4度C'!$B:$B,"平均")</f>
        <v>0</v>
      </c>
      <c r="F19" s="74">
        <f>SUMIFS('0412 4度C'!$Z:$Z,'0412 4度C'!$A:$A,"新豐5線",'0412 4度C'!$B:$B,"平均")</f>
        <v>0</v>
      </c>
      <c r="G19" s="74">
        <f>SUMIFS('0412 4度C'!$Z:$Z,'0412 4度C'!$A:$A,"新豐7線",'0412 4度C'!$B:$B,"平均")</f>
        <v>0</v>
      </c>
      <c r="H19" s="74">
        <f>SUMIFS('0412 4度C'!$Z:$Z,'0412 4度C'!$A:$A,"新豐3線",'0412 4度C'!$B:$B,"平均")</f>
        <v>0</v>
      </c>
      <c r="I19" s="74">
        <f>SUMIFS('0412 4度C'!$Z:$Z,'0412 4度C'!$A:$A,"新豐1線",'0412 4度C'!$B:$B,"平均")</f>
        <v>0</v>
      </c>
      <c r="J19" s="75">
        <f>SUMIFS('0412 4度C'!$Z:$Z,'0412 4度C'!$A:$A,"新豐10線",'0412 4度C'!$B:$B,"平均")</f>
        <v>0</v>
      </c>
      <c r="K19" s="76">
        <f>SUMIFS('0412 4度C'!$Z:$Z,'0412 4度C'!$A:$A,"新豐8線",'0412 4度C'!$B:$B,"平均")</f>
        <v>0</v>
      </c>
      <c r="L19" s="74">
        <f>SUMIFS('0412 4度C'!$Z:$Z,'0412 4度C'!$A:$A,"新豐9線",'0412 4度C'!$B:$B,"平均")</f>
        <v>0</v>
      </c>
      <c r="M19" s="75">
        <f>SUMIFS('0412 4度C'!$Z:$Z,'0412 4度C'!$A:$A,"新豐4線",'0412 4度C'!$B:$B,"平均")</f>
        <v>0</v>
      </c>
    </row>
    <row r="20" spans="2:13" ht="17.25" customHeight="1">
      <c r="B20" s="104" t="s">
        <v>631</v>
      </c>
      <c r="C20" s="72" t="s">
        <v>570</v>
      </c>
      <c r="D20" s="73">
        <f>SUMIFS('0412 4度C'!$AC:$AC,'0412 4度C'!$A:$A,"新豐6線",'0412 4度C'!$B:$B,"平均")</f>
        <v>3</v>
      </c>
      <c r="E20" s="74">
        <f>SUMIFS('0412 4度C'!$AC:$AC,'0412 4度C'!$A:$A,"新豐2線",'0412 4度C'!$B:$B,"平均")</f>
        <v>3</v>
      </c>
      <c r="F20" s="74">
        <f>SUMIFS('0412 4度C'!$AC:$AC,'0412 4度C'!$A:$A,"新豐5線",'0412 4度C'!$B:$B,"平均")</f>
        <v>5</v>
      </c>
      <c r="G20" s="74">
        <f>SUMIFS('0412 4度C'!$AC:$AC,'0412 4度C'!$A:$A,"新豐7線",'0412 4度C'!$B:$B,"平均")</f>
        <v>7</v>
      </c>
      <c r="H20" s="74">
        <f>SUMIFS('0412 4度C'!$AC:$AC,'0412 4度C'!$A:$A,"新豐3線",'0412 4度C'!$B:$B,"平均")</f>
        <v>5</v>
      </c>
      <c r="I20" s="74">
        <f>SUMIFS('0412 4度C'!$AC:$AC,'0412 4度C'!$A:$A,"新豐1線",'0412 4度C'!$B:$B,"平均")</f>
        <v>6</v>
      </c>
      <c r="J20" s="75">
        <f>SUMIFS('0412 4度C'!$AC:$AC,'0412 4度C'!$A:$A,"新豐10線",'0412 4度C'!$B:$B,"平均")</f>
        <v>6</v>
      </c>
      <c r="K20" s="76">
        <f>SUMIFS('0412 4度C'!$AC:$AC,'0412 4度C'!$A:$A,"新豐8線",'0412 4度C'!$B:$B,"平均")</f>
        <v>7</v>
      </c>
      <c r="L20" s="74">
        <f>SUMIFS('0412 4度C'!$AC:$AC,'0412 4度C'!$A:$A,"新豐9線",'0412 4度C'!$B:$B,"平均")</f>
        <v>8</v>
      </c>
      <c r="M20" s="75">
        <f>SUMIFS('0412 4度C'!$AC:$AC,'0412 4度C'!$A:$A,"新豐4線",'0412 4度C'!$B:$B,"平均")</f>
        <v>7</v>
      </c>
    </row>
    <row r="21" spans="2:13" ht="17.25" customHeight="1">
      <c r="B21" s="105"/>
      <c r="C21" s="72" t="s">
        <v>1156</v>
      </c>
      <c r="D21" s="73">
        <f>SUMIFS('0412 4度C'!$AD:$AD,'0412 4度C'!$A:$A,"新豐6線",'0412 4度C'!$B:$B,"平均")</f>
        <v>0</v>
      </c>
      <c r="E21" s="74">
        <f>SUMIFS('0412 4度C'!$AD:$AD,'0412 4度C'!$A:$A,"新豐2線",'0412 4度C'!$B:$B,"平均")</f>
        <v>0</v>
      </c>
      <c r="F21" s="74">
        <f>SUMIFS('0412 4度C'!$AD:$AD,'0412 4度C'!$A:$A,"新豐5線",'0412 4度C'!$B:$B,"平均")</f>
        <v>0</v>
      </c>
      <c r="G21" s="74">
        <f>SUMIFS('0412 4度C'!$AD:$AD,'0412 4度C'!$A:$A,"新豐7線",'0412 4度C'!$B:$B,"平均")</f>
        <v>0</v>
      </c>
      <c r="H21" s="74">
        <f>SUMIFS('0412 4度C'!$AD:$AD,'0412 4度C'!$A:$A,"新豐3線",'0412 4度C'!$B:$B,"平均")</f>
        <v>0</v>
      </c>
      <c r="I21" s="74">
        <f>SUMIFS('0412 4度C'!$AD:$AD,'0412 4度C'!$A:$A,"新豐1線",'0412 4度C'!$B:$B,"平均")</f>
        <v>0</v>
      </c>
      <c r="J21" s="75">
        <f>SUMIFS('0412 4度C'!$AD:$AD,'0412 4度C'!$A:$A,"新豐10線",'0412 4度C'!$B:$B,"平均")</f>
        <v>0</v>
      </c>
      <c r="K21" s="76">
        <f>SUMIFS('0412 4度C'!$AD:$AD,'0412 4度C'!$A:$A,"新豐8線",'0412 4度C'!$B:$B,"平均")</f>
        <v>0</v>
      </c>
      <c r="L21" s="74">
        <f>SUMIFS('0412 4度C'!$AD:$AD,'0412 4度C'!$A:$A,"新豐9線",'0412 4度C'!$B:$B,"平均")</f>
        <v>0</v>
      </c>
      <c r="M21" s="75">
        <f>SUMIFS('0412 4度C'!$AD:$AD,'0412 4度C'!$A:$A,"新豐4線",'0412 4度C'!$B:$B,"平均")</f>
        <v>0</v>
      </c>
    </row>
    <row r="22" spans="2:13" ht="17.25" customHeight="1">
      <c r="B22" s="106" t="s">
        <v>633</v>
      </c>
      <c r="C22" s="107"/>
      <c r="D22" s="77">
        <f>SUMIFS('0412 4度C'!$I:$I,'0412 4度C'!$A:$A,"新豐6線",'0412 4度C'!$B:$B,"平均")</f>
        <v>17</v>
      </c>
      <c r="E22" s="78">
        <f>SUMIFS('0412 4度C'!$I:$I,'0412 4度C'!$A:$A,"新豐2線",'0412 4度C'!$B:$B,"平均")</f>
        <v>17.666666666666668</v>
      </c>
      <c r="F22" s="78">
        <f>SUMIFS('0412 4度C'!$I:$I,'0412 4度C'!$A:$A,"新豐5線",'0412 4度C'!$B:$B,"平均")</f>
        <v>18.600000000000001</v>
      </c>
      <c r="G22" s="78">
        <f>SUMIFS('0412 4度C'!$I:$I,'0412 4度C'!$A:$A,"新豐7線",'0412 4度C'!$B:$B,"平均")</f>
        <v>15.142857142857142</v>
      </c>
      <c r="H22" s="78">
        <f>SUMIFS('0412 4度C'!$I:$I,'0412 4度C'!$A:$A,"新豐3線",'0412 4度C'!$B:$B,"平均")</f>
        <v>9.4</v>
      </c>
      <c r="I22" s="78">
        <f>SUMIFS('0412 4度C'!$I:$I,'0412 4度C'!$A:$A,"新豐1線",'0412 4度C'!$B:$B,"平均")</f>
        <v>18.666666666666668</v>
      </c>
      <c r="J22" s="79">
        <f>SUMIFS('0412 4度C'!$I:$I,'0412 4度C'!$A:$A,"新豐10線",'0412 4度C'!$B:$B,"平均")</f>
        <v>10</v>
      </c>
      <c r="K22" s="77">
        <f>SUMIFS('0412 4度C'!$I:$I,'0412 4度C'!$A:$A,"新豐8線",'0412 4度C'!$B:$B,"平均")</f>
        <v>18.571428571428573</v>
      </c>
      <c r="L22" s="78">
        <f>SUMIFS('0412 4度C'!$I:$I,'0412 4度C'!$A:$A,"新豐9線",'0412 4度C'!$B:$B,"平均")</f>
        <v>17.5</v>
      </c>
      <c r="M22" s="79">
        <f>SUMIFS('0412 4度C'!$I:$I,'0412 4度C'!$A:$A,"新豐4線",'0412 4度C'!$B:$B,"平均")</f>
        <v>15</v>
      </c>
    </row>
    <row r="23" spans="2:13" ht="17.25" customHeight="1">
      <c r="B23" s="106" t="s">
        <v>796</v>
      </c>
      <c r="C23" s="107"/>
      <c r="D23" s="80" t="s">
        <v>67</v>
      </c>
      <c r="E23" s="81" t="s">
        <v>68</v>
      </c>
      <c r="F23" s="81" t="s">
        <v>1157</v>
      </c>
      <c r="G23" s="81" t="s">
        <v>525</v>
      </c>
      <c r="H23" s="81" t="s">
        <v>69</v>
      </c>
      <c r="I23" s="81" t="s">
        <v>67</v>
      </c>
      <c r="J23" s="82" t="s">
        <v>69</v>
      </c>
      <c r="K23" s="80" t="s">
        <v>1158</v>
      </c>
      <c r="L23" s="81" t="s">
        <v>1158</v>
      </c>
      <c r="M23" s="82" t="s">
        <v>799</v>
      </c>
    </row>
    <row r="24" spans="2:13" ht="17.25" customHeight="1">
      <c r="B24" s="106" t="s">
        <v>1159</v>
      </c>
      <c r="C24" s="107"/>
      <c r="D24" s="80"/>
      <c r="E24" s="81"/>
      <c r="F24" s="81" t="s">
        <v>1160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1161</v>
      </c>
      <c r="C25" s="109"/>
      <c r="D25" s="83"/>
      <c r="E25" s="84" t="s">
        <v>530</v>
      </c>
      <c r="F25" s="102" t="s">
        <v>1162</v>
      </c>
      <c r="G25" s="103"/>
      <c r="H25" s="84" t="s">
        <v>532</v>
      </c>
      <c r="I25" s="84" t="s">
        <v>533</v>
      </c>
      <c r="J25" s="85" t="s">
        <v>532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9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工作表13">
    <pageSetUpPr fitToPage="1"/>
  </sheetPr>
  <dimension ref="A1:AG72"/>
  <sheetViews>
    <sheetView zoomScale="80" zoomScaleNormal="80" workbookViewId="0">
      <pane ySplit="4" topLeftCell="A5" activePane="bottomLeft" state="frozen"/>
      <selection activeCell="I3" sqref="I3:J3"/>
      <selection pane="bottomLeft" activeCell="I3" sqref="I3:J3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534</v>
      </c>
      <c r="B1" s="1"/>
      <c r="C1" s="2" t="s">
        <v>535</v>
      </c>
      <c r="D1" s="3">
        <f>SUM(F5:F71)</f>
        <v>186028</v>
      </c>
      <c r="E1" s="88" t="s">
        <v>646</v>
      </c>
      <c r="F1" s="1">
        <f>SUM(G5:G71)</f>
        <v>6154559.79</v>
      </c>
      <c r="G1" s="1" t="s">
        <v>1163</v>
      </c>
      <c r="H1" s="4">
        <f>L8+L12+L49+L56+L18+L63+L34+L43+L26+L71</f>
        <v>157.54761904761907</v>
      </c>
      <c r="I1" s="215" t="s">
        <v>538</v>
      </c>
      <c r="J1" s="215"/>
      <c r="K1" s="215"/>
      <c r="L1" s="215" t="s">
        <v>539</v>
      </c>
      <c r="M1" s="215"/>
      <c r="N1" s="215"/>
      <c r="O1" s="215" t="s">
        <v>650</v>
      </c>
      <c r="P1" s="215"/>
      <c r="Q1" s="215"/>
      <c r="R1" s="215"/>
      <c r="S1" s="215" t="s">
        <v>1164</v>
      </c>
      <c r="T1" s="215"/>
      <c r="U1" s="215"/>
      <c r="V1" s="215"/>
      <c r="W1" s="215"/>
      <c r="X1" s="215"/>
      <c r="Y1" s="5" t="s">
        <v>542</v>
      </c>
      <c r="Z1" s="6" t="s">
        <v>1165</v>
      </c>
      <c r="AA1" s="216" t="s">
        <v>1166</v>
      </c>
      <c r="AB1" s="216"/>
      <c r="AC1" s="97" t="s">
        <v>542</v>
      </c>
      <c r="AD1" s="6" t="s">
        <v>655</v>
      </c>
      <c r="AE1" s="215" t="s">
        <v>656</v>
      </c>
      <c r="AF1" s="217"/>
      <c r="AG1" s="217"/>
    </row>
    <row r="2" spans="1:33" ht="26.25" customHeight="1">
      <c r="A2" s="26">
        <v>46124</v>
      </c>
      <c r="B2" s="27" t="s">
        <v>547</v>
      </c>
      <c r="C2" s="2" t="s">
        <v>548</v>
      </c>
      <c r="D2" s="8">
        <f>AVERAGE(N8,N12,N49,N56,N18,N63,N26,N34,N43,N71)</f>
        <v>149.81504261594222</v>
      </c>
      <c r="E2" s="9" t="s">
        <v>0</v>
      </c>
      <c r="F2" s="10">
        <f>F1/D1</f>
        <v>33.08405073429806</v>
      </c>
      <c r="G2" s="1" t="s">
        <v>549</v>
      </c>
      <c r="H2" s="96">
        <f>COUNT(H5:H71)</f>
        <v>10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SUM(Y8+Y12+Y18+Y26+Y34+Y43+Y49+Y56+Y63+Y71)</f>
        <v>0</v>
      </c>
      <c r="Z2" s="11">
        <f>SUM(Z8+Z12+Z18+Z26+Z34+Z43+Z49+Z56+Z63+Z71)</f>
        <v>0</v>
      </c>
      <c r="AA2" s="216"/>
      <c r="AB2" s="216"/>
      <c r="AC2" s="11">
        <v>57</v>
      </c>
      <c r="AD2" s="11">
        <f>SUM(AD8+AD12+AD18+AD26+AD34+AD43+AD49+AD56+AD63+AD71)</f>
        <v>0</v>
      </c>
      <c r="AE2" s="217"/>
      <c r="AF2" s="217"/>
      <c r="AG2" s="217"/>
    </row>
    <row r="3" spans="1:33" ht="40.5" customHeight="1">
      <c r="A3" s="168" t="s">
        <v>1167</v>
      </c>
      <c r="B3" s="168" t="s">
        <v>551</v>
      </c>
      <c r="C3" s="168" t="s">
        <v>1168</v>
      </c>
      <c r="D3" s="168"/>
      <c r="E3" s="213" t="s">
        <v>662</v>
      </c>
      <c r="F3" s="168" t="s">
        <v>1169</v>
      </c>
      <c r="G3" s="213" t="s">
        <v>723</v>
      </c>
      <c r="H3" s="207" t="s">
        <v>556</v>
      </c>
      <c r="I3" s="205" t="s">
        <v>725</v>
      </c>
      <c r="J3" s="202" t="s">
        <v>558</v>
      </c>
      <c r="K3" s="212" t="s">
        <v>548</v>
      </c>
      <c r="L3" s="205" t="s">
        <v>725</v>
      </c>
      <c r="M3" s="202" t="s">
        <v>558</v>
      </c>
      <c r="N3" s="212" t="s">
        <v>548</v>
      </c>
      <c r="O3" s="205" t="s">
        <v>725</v>
      </c>
      <c r="P3" s="212" t="s">
        <v>548</v>
      </c>
      <c r="Q3" s="203" t="s">
        <v>559</v>
      </c>
      <c r="R3" s="181" t="s">
        <v>670</v>
      </c>
      <c r="S3" s="168" t="s">
        <v>1</v>
      </c>
      <c r="T3" s="168"/>
      <c r="U3" s="207" t="s">
        <v>2</v>
      </c>
      <c r="V3" s="207" t="s">
        <v>561</v>
      </c>
      <c r="W3" s="168" t="s">
        <v>1170</v>
      </c>
      <c r="X3" s="168"/>
      <c r="Y3" s="208" t="s">
        <v>563</v>
      </c>
      <c r="Z3" s="167"/>
      <c r="AA3" s="209" t="s">
        <v>564</v>
      </c>
      <c r="AB3" s="210"/>
      <c r="AC3" s="208" t="s">
        <v>565</v>
      </c>
      <c r="AD3" s="167"/>
      <c r="AE3" s="202" t="s">
        <v>558</v>
      </c>
      <c r="AF3" s="203" t="s">
        <v>559</v>
      </c>
      <c r="AG3" s="181" t="s">
        <v>670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568</v>
      </c>
      <c r="X4" s="88" t="s">
        <v>680</v>
      </c>
      <c r="Y4" s="90" t="s">
        <v>570</v>
      </c>
      <c r="Z4" s="90" t="s">
        <v>571</v>
      </c>
      <c r="AA4" s="211"/>
      <c r="AB4" s="210"/>
      <c r="AC4" s="90" t="s">
        <v>572</v>
      </c>
      <c r="AD4" s="90" t="s">
        <v>1171</v>
      </c>
      <c r="AE4" s="202"/>
      <c r="AF4" s="203"/>
      <c r="AG4" s="181"/>
    </row>
    <row r="5" spans="1:33">
      <c r="A5" s="204" t="s">
        <v>575</v>
      </c>
      <c r="B5" s="28" t="s">
        <v>5</v>
      </c>
      <c r="C5" s="206" t="s">
        <v>6</v>
      </c>
      <c r="D5" s="206"/>
      <c r="E5" s="28">
        <v>50.67</v>
      </c>
      <c r="F5" s="88">
        <v>1723</v>
      </c>
      <c r="G5" s="88">
        <f t="shared" ref="G5:G7" si="0">E5*F5</f>
        <v>87304.41</v>
      </c>
      <c r="H5" s="30" t="s">
        <v>53</v>
      </c>
      <c r="I5" s="95">
        <v>17</v>
      </c>
      <c r="J5" s="13">
        <v>2000</v>
      </c>
      <c r="K5" s="12">
        <f t="shared" ref="K5:K68" si="1">J5/I5</f>
        <v>117.64705882352941</v>
      </c>
      <c r="L5" s="95">
        <v>17</v>
      </c>
      <c r="M5" s="13">
        <f t="shared" ref="M5:M7" si="2">F5/V5*60</f>
        <v>1914.4444444444453</v>
      </c>
      <c r="N5" s="12">
        <f t="shared" ref="N5:N68" si="3">M5/L5</f>
        <v>112.61437908496737</v>
      </c>
      <c r="O5" s="14">
        <f t="shared" ref="O5:O68" si="4">L5-I5</f>
        <v>0</v>
      </c>
      <c r="P5" s="15">
        <f t="shared" ref="P5:P68" si="5">N5-K5</f>
        <v>-5.0326797385620381</v>
      </c>
      <c r="Q5" s="91">
        <f t="shared" ref="Q5:Q68" si="6">N5/K5</f>
        <v>0.95722222222222264</v>
      </c>
      <c r="R5" s="177">
        <f>Q8</f>
        <v>0.95958381920151081</v>
      </c>
      <c r="S5" s="21">
        <v>0.70833333333333337</v>
      </c>
      <c r="T5" s="21">
        <v>0.74583333333333335</v>
      </c>
      <c r="U5" s="88"/>
      <c r="V5" s="30">
        <f t="shared" ref="V5:V7" si="7">(T5-S5)*24*60</f>
        <v>53.999999999999972</v>
      </c>
      <c r="W5" s="16"/>
      <c r="X5" s="17"/>
      <c r="Y5" s="17"/>
      <c r="Z5" s="17"/>
      <c r="AA5" s="168"/>
      <c r="AB5" s="168"/>
      <c r="AC5" s="18">
        <v>3</v>
      </c>
      <c r="AD5" s="18"/>
      <c r="AE5" s="14">
        <f t="shared" ref="AE5:AE55" si="8">M5-J5</f>
        <v>-85.555555555554747</v>
      </c>
      <c r="AF5" s="91">
        <f t="shared" ref="AF5:AF68" si="9">M5/J5</f>
        <v>0.95722222222222264</v>
      </c>
      <c r="AG5" s="177">
        <f>AF8</f>
        <v>0.95958381920151081</v>
      </c>
    </row>
    <row r="6" spans="1:33">
      <c r="A6" s="205" t="s">
        <v>575</v>
      </c>
      <c r="B6" s="28" t="s">
        <v>5</v>
      </c>
      <c r="C6" s="206" t="s">
        <v>7</v>
      </c>
      <c r="D6" s="206"/>
      <c r="E6" s="28">
        <v>54.09</v>
      </c>
      <c r="F6" s="88">
        <v>1468</v>
      </c>
      <c r="G6" s="88">
        <f t="shared" si="0"/>
        <v>79404.12000000001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1914.7826086956522</v>
      </c>
      <c r="N6" s="12">
        <f t="shared" si="3"/>
        <v>100.77803203661328</v>
      </c>
      <c r="O6" s="14">
        <f t="shared" si="4"/>
        <v>0</v>
      </c>
      <c r="P6" s="15">
        <f t="shared" si="5"/>
        <v>-4.4851258581235527</v>
      </c>
      <c r="Q6" s="91">
        <f t="shared" si="6"/>
        <v>0.95739130434782627</v>
      </c>
      <c r="R6" s="177"/>
      <c r="S6" s="21">
        <v>0.75</v>
      </c>
      <c r="T6" s="21">
        <v>0.78194444444444444</v>
      </c>
      <c r="U6" s="88">
        <f t="shared" ref="U6:U7" si="10">IF(S6=TIME(17,0,0),"",(S6-T5)*24*60)</f>
        <v>5.9999999999999787</v>
      </c>
      <c r="V6" s="30">
        <f t="shared" si="7"/>
        <v>46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-85.217391304347757</v>
      </c>
      <c r="AF6" s="91">
        <f t="shared" si="9"/>
        <v>0.95739130434782616</v>
      </c>
      <c r="AG6" s="177"/>
    </row>
    <row r="7" spans="1:33">
      <c r="A7" s="205" t="s">
        <v>575</v>
      </c>
      <c r="B7" s="28" t="s">
        <v>5</v>
      </c>
      <c r="C7" s="200" t="s">
        <v>16</v>
      </c>
      <c r="D7" s="201"/>
      <c r="E7" s="28">
        <v>50.67</v>
      </c>
      <c r="F7" s="88">
        <v>1864</v>
      </c>
      <c r="G7" s="88">
        <f t="shared" si="0"/>
        <v>94448.88</v>
      </c>
      <c r="H7" s="30" t="s">
        <v>53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1928.2758620689669</v>
      </c>
      <c r="N7" s="12">
        <f t="shared" si="3"/>
        <v>128.55172413793113</v>
      </c>
      <c r="O7" s="14">
        <f t="shared" si="4"/>
        <v>0</v>
      </c>
      <c r="P7" s="15">
        <f t="shared" si="5"/>
        <v>-4.7816091954022113</v>
      </c>
      <c r="Q7" s="91">
        <f t="shared" si="6"/>
        <v>0.96413793103448342</v>
      </c>
      <c r="R7" s="177"/>
      <c r="S7" s="21">
        <v>0.78749999999999998</v>
      </c>
      <c r="T7" s="21">
        <v>0.82777777777777772</v>
      </c>
      <c r="U7" s="88">
        <f t="shared" si="10"/>
        <v>7.9999999999999716</v>
      </c>
      <c r="V7" s="30">
        <f t="shared" si="7"/>
        <v>57.999999999999957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-71.724137931033056</v>
      </c>
      <c r="AF7" s="91">
        <f t="shared" si="9"/>
        <v>0.96413793103448342</v>
      </c>
      <c r="AG7" s="177"/>
    </row>
    <row r="8" spans="1:33">
      <c r="A8" s="205" t="s">
        <v>1172</v>
      </c>
      <c r="B8" s="28" t="s">
        <v>1173</v>
      </c>
      <c r="C8" s="178"/>
      <c r="D8" s="178"/>
      <c r="E8" s="92"/>
      <c r="F8" s="12"/>
      <c r="G8" s="12"/>
      <c r="H8" s="88"/>
      <c r="I8" s="23">
        <v>17</v>
      </c>
      <c r="J8" s="13">
        <v>2000</v>
      </c>
      <c r="K8" s="12">
        <f t="shared" si="1"/>
        <v>117.64705882352941</v>
      </c>
      <c r="L8" s="23">
        <v>17</v>
      </c>
      <c r="M8" s="13">
        <f>AVERAGE(M5:M7)</f>
        <v>1919.1676384030216</v>
      </c>
      <c r="N8" s="12">
        <f t="shared" si="3"/>
        <v>112.89221402370715</v>
      </c>
      <c r="O8" s="14">
        <f t="shared" si="4"/>
        <v>0</v>
      </c>
      <c r="P8" s="15">
        <f t="shared" si="5"/>
        <v>-4.7548447998222514</v>
      </c>
      <c r="Q8" s="91">
        <f t="shared" si="6"/>
        <v>0.95958381920151081</v>
      </c>
      <c r="R8" s="177"/>
      <c r="S8" s="21"/>
      <c r="T8" s="21"/>
      <c r="U8" s="88"/>
      <c r="V8" s="30"/>
      <c r="W8" s="12"/>
      <c r="X8" s="12"/>
      <c r="Y8" s="24">
        <f>SUM(Y5:Y7)</f>
        <v>0</v>
      </c>
      <c r="Z8" s="24">
        <f>SUM(Z5:Z7)</f>
        <v>0</v>
      </c>
      <c r="AA8" s="167"/>
      <c r="AB8" s="167"/>
      <c r="AC8" s="24">
        <v>3</v>
      </c>
      <c r="AD8" s="24">
        <f>SUM(AD5:AD7)</f>
        <v>0</v>
      </c>
      <c r="AE8" s="14">
        <f t="shared" si="8"/>
        <v>-80.832361596978444</v>
      </c>
      <c r="AF8" s="91">
        <f t="shared" si="9"/>
        <v>0.95958381920151081</v>
      </c>
      <c r="AG8" s="177"/>
    </row>
    <row r="9" spans="1:33" ht="15.75" customHeight="1">
      <c r="A9" s="199" t="s">
        <v>578</v>
      </c>
      <c r="B9" s="28" t="s">
        <v>9</v>
      </c>
      <c r="C9" s="200" t="s">
        <v>10</v>
      </c>
      <c r="D9" s="201"/>
      <c r="E9" s="28">
        <v>39.619999999999997</v>
      </c>
      <c r="F9" s="88">
        <v>5736</v>
      </c>
      <c r="G9" s="88">
        <f t="shared" ref="G9:G11" si="11">E9*F9</f>
        <v>227260.31999999998</v>
      </c>
      <c r="H9" s="30" t="s">
        <v>53</v>
      </c>
      <c r="I9" s="95">
        <v>19</v>
      </c>
      <c r="J9" s="13">
        <v>1500</v>
      </c>
      <c r="K9" s="12">
        <f t="shared" si="1"/>
        <v>78.94736842105263</v>
      </c>
      <c r="L9" s="95">
        <v>19</v>
      </c>
      <c r="M9" s="13">
        <f t="shared" ref="M9:M11" si="12">F9/V9*60</f>
        <v>1428.0497925311204</v>
      </c>
      <c r="N9" s="12">
        <f t="shared" si="3"/>
        <v>75.160515396374763</v>
      </c>
      <c r="O9" s="14">
        <f t="shared" si="4"/>
        <v>0</v>
      </c>
      <c r="P9" s="15">
        <f t="shared" si="5"/>
        <v>-3.7868530246778676</v>
      </c>
      <c r="Q9" s="91">
        <f t="shared" si="6"/>
        <v>0.95203319502074701</v>
      </c>
      <c r="R9" s="177">
        <f>Q12</f>
        <v>0.95398534894768006</v>
      </c>
      <c r="S9" s="21">
        <v>0.20833333333333334</v>
      </c>
      <c r="T9" s="21">
        <v>0.37569444444444444</v>
      </c>
      <c r="U9" s="88"/>
      <c r="V9" s="30">
        <f t="shared" ref="V9:V11" si="13">(T9-S9)*24*60</f>
        <v>241</v>
      </c>
      <c r="W9" s="16"/>
      <c r="X9" s="16"/>
      <c r="Y9" s="16"/>
      <c r="Z9" s="16"/>
      <c r="AA9" s="168"/>
      <c r="AB9" s="168"/>
      <c r="AC9" s="18">
        <v>3</v>
      </c>
      <c r="AD9" s="18"/>
      <c r="AE9" s="14">
        <f t="shared" si="8"/>
        <v>-71.950207468879626</v>
      </c>
      <c r="AF9" s="91">
        <f t="shared" si="9"/>
        <v>0.9520331950207469</v>
      </c>
      <c r="AG9" s="177">
        <f>AF12</f>
        <v>0.95398534894768017</v>
      </c>
    </row>
    <row r="10" spans="1:33" ht="15.75" customHeight="1">
      <c r="A10" s="199" t="s">
        <v>578</v>
      </c>
      <c r="B10" s="28" t="s">
        <v>9</v>
      </c>
      <c r="C10" s="200" t="s">
        <v>11</v>
      </c>
      <c r="D10" s="201"/>
      <c r="E10" s="28">
        <v>39.799999999999997</v>
      </c>
      <c r="F10" s="88">
        <v>4500</v>
      </c>
      <c r="G10" s="88">
        <f t="shared" si="11"/>
        <v>179100</v>
      </c>
      <c r="H10" s="30">
        <v>2</v>
      </c>
      <c r="I10" s="95">
        <v>17</v>
      </c>
      <c r="J10" s="13">
        <v>1500</v>
      </c>
      <c r="K10" s="12">
        <f t="shared" si="1"/>
        <v>88.235294117647058</v>
      </c>
      <c r="L10" s="95">
        <v>17</v>
      </c>
      <c r="M10" s="13">
        <f t="shared" si="12"/>
        <v>1428.5714285714289</v>
      </c>
      <c r="N10" s="12">
        <f t="shared" si="3"/>
        <v>84.033613445378165</v>
      </c>
      <c r="O10" s="14">
        <f t="shared" si="4"/>
        <v>0</v>
      </c>
      <c r="P10" s="15">
        <f t="shared" si="5"/>
        <v>-4.2016806722688926</v>
      </c>
      <c r="Q10" s="91">
        <f t="shared" si="6"/>
        <v>0.95238095238095255</v>
      </c>
      <c r="R10" s="177"/>
      <c r="S10" s="21">
        <v>0.37916666666666665</v>
      </c>
      <c r="T10" s="21">
        <v>0.51041666666666663</v>
      </c>
      <c r="U10" s="88">
        <f t="shared" ref="U10:U11" si="14">IF(S10=TIME(17,0,0),"",(S10-T9)*24*60)</f>
        <v>4.9999999999999822</v>
      </c>
      <c r="V10" s="30">
        <f t="shared" si="13"/>
        <v>188.99999999999997</v>
      </c>
      <c r="W10" s="16">
        <f>T10</f>
        <v>0.51041666666666663</v>
      </c>
      <c r="X10" s="16">
        <f>S11</f>
        <v>0.55138888888888882</v>
      </c>
      <c r="Y10" s="16"/>
      <c r="Z10" s="16"/>
      <c r="AA10" s="168"/>
      <c r="AB10" s="168"/>
      <c r="AC10" s="18"/>
      <c r="AD10" s="18"/>
      <c r="AE10" s="14">
        <f t="shared" si="8"/>
        <v>-71.428571428571104</v>
      </c>
      <c r="AF10" s="91">
        <f t="shared" si="9"/>
        <v>0.95238095238095255</v>
      </c>
      <c r="AG10" s="177"/>
    </row>
    <row r="11" spans="1:33" ht="15.75" customHeight="1">
      <c r="A11" s="199" t="s">
        <v>578</v>
      </c>
      <c r="B11" s="28" t="s">
        <v>9</v>
      </c>
      <c r="C11" s="200" t="s">
        <v>11</v>
      </c>
      <c r="D11" s="201"/>
      <c r="E11" s="28">
        <v>39.799999999999997</v>
      </c>
      <c r="F11" s="88">
        <v>4285</v>
      </c>
      <c r="G11" s="88">
        <f t="shared" si="11"/>
        <v>170543</v>
      </c>
      <c r="H11" s="30" t="s">
        <v>53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1436.3128491620112</v>
      </c>
      <c r="N11" s="12">
        <f t="shared" si="3"/>
        <v>84.48899112717713</v>
      </c>
      <c r="O11" s="14">
        <f t="shared" si="4"/>
        <v>0</v>
      </c>
      <c r="P11" s="15">
        <f t="shared" si="5"/>
        <v>-3.7463029904699283</v>
      </c>
      <c r="Q11" s="91">
        <f t="shared" si="6"/>
        <v>0.95754189944134083</v>
      </c>
      <c r="R11" s="177"/>
      <c r="S11" s="21">
        <v>0.55138888888888882</v>
      </c>
      <c r="T11" s="21">
        <v>0.67569444444444438</v>
      </c>
      <c r="U11" s="88">
        <f t="shared" si="14"/>
        <v>58.99999999999995</v>
      </c>
      <c r="V11" s="30">
        <f t="shared" si="13"/>
        <v>179</v>
      </c>
      <c r="W11" s="16"/>
      <c r="X11" s="16"/>
      <c r="Y11" s="16"/>
      <c r="Z11" s="16"/>
      <c r="AA11" s="168"/>
      <c r="AB11" s="168"/>
      <c r="AC11" s="18"/>
      <c r="AD11" s="18"/>
      <c r="AE11" s="14">
        <f t="shared" si="8"/>
        <v>-63.687150837988838</v>
      </c>
      <c r="AF11" s="91">
        <f t="shared" si="9"/>
        <v>0.95754189944134083</v>
      </c>
      <c r="AG11" s="177"/>
    </row>
    <row r="12" spans="1:33" ht="16.5" customHeight="1">
      <c r="A12" s="199" t="s">
        <v>1174</v>
      </c>
      <c r="B12" s="28" t="s">
        <v>1175</v>
      </c>
      <c r="C12" s="178"/>
      <c r="D12" s="178"/>
      <c r="E12" s="92"/>
      <c r="F12" s="13"/>
      <c r="G12" s="13"/>
      <c r="H12" s="88"/>
      <c r="I12" s="23">
        <v>17.666666666666668</v>
      </c>
      <c r="J12" s="13">
        <v>1500</v>
      </c>
      <c r="K12" s="12">
        <f t="shared" si="1"/>
        <v>84.905660377358487</v>
      </c>
      <c r="L12" s="23">
        <v>17.666666666666668</v>
      </c>
      <c r="M12" s="13">
        <f>AVERAGE(M9:M11)</f>
        <v>1430.9780234215202</v>
      </c>
      <c r="N12" s="12">
        <f t="shared" si="3"/>
        <v>80.99875604272755</v>
      </c>
      <c r="O12" s="14">
        <f t="shared" si="4"/>
        <v>0</v>
      </c>
      <c r="P12" s="15">
        <f t="shared" si="5"/>
        <v>-3.9069043346309371</v>
      </c>
      <c r="Q12" s="91">
        <f t="shared" si="6"/>
        <v>0.95398534894768006</v>
      </c>
      <c r="R12" s="177"/>
      <c r="S12" s="21"/>
      <c r="T12" s="21"/>
      <c r="U12" s="12"/>
      <c r="V12" s="30"/>
      <c r="W12" s="12"/>
      <c r="X12" s="12"/>
      <c r="Y12" s="24">
        <f>SUM(Y9:Y11)</f>
        <v>0</v>
      </c>
      <c r="Z12" s="24">
        <f>SUM(Z9:Z11)</f>
        <v>0</v>
      </c>
      <c r="AA12" s="167"/>
      <c r="AB12" s="167"/>
      <c r="AC12" s="24">
        <v>3</v>
      </c>
      <c r="AD12" s="24">
        <f>SUM(AD9:AD11)</f>
        <v>0</v>
      </c>
      <c r="AE12" s="14">
        <f t="shared" si="8"/>
        <v>-69.02197657847978</v>
      </c>
      <c r="AF12" s="91">
        <f t="shared" si="9"/>
        <v>0.95398534894768017</v>
      </c>
      <c r="AG12" s="177"/>
    </row>
    <row r="13" spans="1:33" ht="16.5" customHeight="1">
      <c r="A13" s="197" t="s">
        <v>1176</v>
      </c>
      <c r="B13" s="88" t="s">
        <v>12</v>
      </c>
      <c r="C13" s="193" t="s">
        <v>13</v>
      </c>
      <c r="D13" s="193"/>
      <c r="E13" s="28">
        <v>41</v>
      </c>
      <c r="F13" s="88">
        <v>2421</v>
      </c>
      <c r="G13" s="88">
        <f t="shared" ref="G13:G17" si="15">E13*F13</f>
        <v>99261</v>
      </c>
      <c r="H13" s="30" t="s">
        <v>53</v>
      </c>
      <c r="I13" s="95">
        <v>26</v>
      </c>
      <c r="J13" s="13">
        <v>1500</v>
      </c>
      <c r="K13" s="12">
        <f t="shared" si="1"/>
        <v>57.692307692307693</v>
      </c>
      <c r="L13" s="95">
        <v>26</v>
      </c>
      <c r="M13" s="13">
        <f t="shared" ref="M13:M17" si="16">F13/V13*60</f>
        <v>1438.2178217821781</v>
      </c>
      <c r="N13" s="12">
        <f t="shared" si="3"/>
        <v>55.316070068545315</v>
      </c>
      <c r="O13" s="14">
        <f t="shared" si="4"/>
        <v>0</v>
      </c>
      <c r="P13" s="15">
        <f t="shared" si="5"/>
        <v>-2.3762376237623783</v>
      </c>
      <c r="Q13" s="91">
        <f t="shared" si="6"/>
        <v>0.95881188118811878</v>
      </c>
      <c r="R13" s="177">
        <f>Q18</f>
        <v>0.96250916062662795</v>
      </c>
      <c r="S13" s="21">
        <v>0.20833333333333334</v>
      </c>
      <c r="T13" s="21">
        <v>0.27847222222222223</v>
      </c>
      <c r="U13" s="88"/>
      <c r="V13" s="30">
        <f t="shared" ref="V13:V17" si="17">(T13-S13)*24*60</f>
        <v>101</v>
      </c>
      <c r="W13" s="21"/>
      <c r="X13" s="21"/>
      <c r="Y13" s="21"/>
      <c r="Z13" s="21"/>
      <c r="AA13" s="168"/>
      <c r="AB13" s="168"/>
      <c r="AC13" s="18">
        <v>5</v>
      </c>
      <c r="AD13" s="18"/>
      <c r="AE13" s="14">
        <f t="shared" si="8"/>
        <v>-61.782178217821865</v>
      </c>
      <c r="AF13" s="91">
        <f t="shared" si="9"/>
        <v>0.95881188118811878</v>
      </c>
      <c r="AG13" s="177">
        <f>AF18</f>
        <v>0.96250916062662795</v>
      </c>
    </row>
    <row r="14" spans="1:33" ht="16.5" customHeight="1">
      <c r="A14" s="198" t="s">
        <v>1177</v>
      </c>
      <c r="B14" s="88" t="s">
        <v>5</v>
      </c>
      <c r="C14" s="193" t="s">
        <v>14</v>
      </c>
      <c r="D14" s="193"/>
      <c r="E14" s="28">
        <v>50.98</v>
      </c>
      <c r="F14" s="88">
        <v>1000</v>
      </c>
      <c r="G14" s="88">
        <f t="shared" si="15"/>
        <v>50980</v>
      </c>
      <c r="H14" s="30">
        <v>2</v>
      </c>
      <c r="I14" s="95">
        <v>16</v>
      </c>
      <c r="J14" s="13">
        <v>2000</v>
      </c>
      <c r="K14" s="12">
        <f t="shared" si="1"/>
        <v>125</v>
      </c>
      <c r="L14" s="95">
        <v>16</v>
      </c>
      <c r="M14" s="13">
        <f t="shared" si="16"/>
        <v>1935.483870967739</v>
      </c>
      <c r="N14" s="12">
        <f t="shared" si="3"/>
        <v>120.96774193548369</v>
      </c>
      <c r="O14" s="14">
        <f t="shared" si="4"/>
        <v>0</v>
      </c>
      <c r="P14" s="15">
        <f t="shared" si="5"/>
        <v>-4.0322580645163129</v>
      </c>
      <c r="Q14" s="91">
        <f t="shared" si="6"/>
        <v>0.96774193548386944</v>
      </c>
      <c r="R14" s="177"/>
      <c r="S14" s="21">
        <v>0.70833333333333337</v>
      </c>
      <c r="T14" s="21">
        <v>0.72986111111111118</v>
      </c>
      <c r="U14" s="88" t="str">
        <f t="shared" ref="U14:U17" si="18">IF(S14=TIME(17,0,0),"",(S14-T13)*24*60)</f>
        <v/>
      </c>
      <c r="V14" s="30">
        <f t="shared" si="17"/>
        <v>31.00000000000005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8"/>
        <v>-64.516129032261006</v>
      </c>
      <c r="AF14" s="91">
        <f t="shared" si="9"/>
        <v>0.96774193548386944</v>
      </c>
      <c r="AG14" s="177"/>
    </row>
    <row r="15" spans="1:33" ht="16.5" customHeight="1">
      <c r="A15" s="198" t="s">
        <v>1178</v>
      </c>
      <c r="B15" s="88" t="s">
        <v>5</v>
      </c>
      <c r="C15" s="193" t="s">
        <v>15</v>
      </c>
      <c r="D15" s="193"/>
      <c r="E15" s="28">
        <v>50.92</v>
      </c>
      <c r="F15" s="88">
        <v>2695</v>
      </c>
      <c r="G15" s="88">
        <f t="shared" si="15"/>
        <v>137229.4</v>
      </c>
      <c r="H15" s="30" t="s">
        <v>53</v>
      </c>
      <c r="I15" s="95">
        <v>15</v>
      </c>
      <c r="J15" s="13">
        <v>2000</v>
      </c>
      <c r="K15" s="12">
        <f t="shared" si="1"/>
        <v>133.33333333333334</v>
      </c>
      <c r="L15" s="95">
        <v>15</v>
      </c>
      <c r="M15" s="13">
        <f t="shared" si="16"/>
        <v>1902.3529411764703</v>
      </c>
      <c r="N15" s="12">
        <f t="shared" si="3"/>
        <v>126.82352941176468</v>
      </c>
      <c r="O15" s="14">
        <f t="shared" si="4"/>
        <v>0</v>
      </c>
      <c r="P15" s="15">
        <f t="shared" si="5"/>
        <v>-6.5098039215686612</v>
      </c>
      <c r="Q15" s="91">
        <f t="shared" si="6"/>
        <v>0.95117647058823507</v>
      </c>
      <c r="R15" s="177"/>
      <c r="S15" s="21">
        <v>0.73472222222222228</v>
      </c>
      <c r="T15" s="21">
        <v>0.79375000000000007</v>
      </c>
      <c r="U15" s="88">
        <f t="shared" si="18"/>
        <v>6.9999999999999751</v>
      </c>
      <c r="V15" s="30">
        <f t="shared" si="17"/>
        <v>85.000000000000014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-97.647058823529733</v>
      </c>
      <c r="AF15" s="91">
        <f t="shared" si="9"/>
        <v>0.95117647058823518</v>
      </c>
      <c r="AG15" s="177"/>
    </row>
    <row r="16" spans="1:33" ht="16.5" customHeight="1">
      <c r="A16" s="198" t="s">
        <v>1177</v>
      </c>
      <c r="B16" s="88" t="s">
        <v>5</v>
      </c>
      <c r="C16" s="193" t="s">
        <v>43</v>
      </c>
      <c r="D16" s="193"/>
      <c r="E16" s="28">
        <v>54.29</v>
      </c>
      <c r="F16" s="88">
        <v>1389</v>
      </c>
      <c r="G16" s="88">
        <f t="shared" si="15"/>
        <v>75408.81</v>
      </c>
      <c r="H16" s="30" t="s">
        <v>53</v>
      </c>
      <c r="I16" s="95">
        <v>20</v>
      </c>
      <c r="J16" s="13">
        <v>2000</v>
      </c>
      <c r="K16" s="12">
        <f t="shared" si="1"/>
        <v>100</v>
      </c>
      <c r="L16" s="95">
        <v>20</v>
      </c>
      <c r="M16" s="13">
        <f t="shared" si="16"/>
        <v>1938.1395348837207</v>
      </c>
      <c r="N16" s="12">
        <f t="shared" si="3"/>
        <v>96.906976744186039</v>
      </c>
      <c r="O16" s="14">
        <f t="shared" si="4"/>
        <v>0</v>
      </c>
      <c r="P16" s="15">
        <f t="shared" si="5"/>
        <v>-3.0930232558139608</v>
      </c>
      <c r="Q16" s="91">
        <f t="shared" si="6"/>
        <v>0.96906976744186035</v>
      </c>
      <c r="R16" s="177"/>
      <c r="S16" s="21">
        <v>0.7993055555555556</v>
      </c>
      <c r="T16" s="21">
        <v>0.82916666666666672</v>
      </c>
      <c r="U16" s="88">
        <f t="shared" si="18"/>
        <v>7.9999999999999716</v>
      </c>
      <c r="V16" s="30">
        <f t="shared" si="17"/>
        <v>43.000000000000007</v>
      </c>
      <c r="W16" s="16">
        <f>T16</f>
        <v>0.82916666666666672</v>
      </c>
      <c r="X16" s="16">
        <f>S17</f>
        <v>0.87013888888888891</v>
      </c>
      <c r="Y16" s="16"/>
      <c r="Z16" s="16"/>
      <c r="AA16" s="168"/>
      <c r="AB16" s="168"/>
      <c r="AC16" s="18"/>
      <c r="AD16" s="18"/>
      <c r="AE16" s="14">
        <f t="shared" si="8"/>
        <v>-61.860465116279329</v>
      </c>
      <c r="AF16" s="91">
        <f t="shared" si="9"/>
        <v>0.96906976744186035</v>
      </c>
      <c r="AG16" s="177"/>
    </row>
    <row r="17" spans="1:33" ht="16.5" customHeight="1">
      <c r="A17" s="198" t="s">
        <v>1177</v>
      </c>
      <c r="B17" s="88" t="s">
        <v>5</v>
      </c>
      <c r="C17" s="193" t="s">
        <v>14</v>
      </c>
      <c r="D17" s="193"/>
      <c r="E17" s="28">
        <v>50.98</v>
      </c>
      <c r="F17" s="88">
        <v>1801</v>
      </c>
      <c r="G17" s="88">
        <f t="shared" si="15"/>
        <v>91814.98</v>
      </c>
      <c r="H17" s="30" t="s">
        <v>53</v>
      </c>
      <c r="I17" s="95">
        <v>16</v>
      </c>
      <c r="J17" s="13">
        <v>2000</v>
      </c>
      <c r="K17" s="12">
        <f t="shared" si="1"/>
        <v>125</v>
      </c>
      <c r="L17" s="95">
        <v>16</v>
      </c>
      <c r="M17" s="13">
        <f t="shared" si="16"/>
        <v>1929.6428571428587</v>
      </c>
      <c r="N17" s="12">
        <f t="shared" si="3"/>
        <v>120.60267857142867</v>
      </c>
      <c r="O17" s="14">
        <f t="shared" si="4"/>
        <v>0</v>
      </c>
      <c r="P17" s="15">
        <f t="shared" si="5"/>
        <v>-4.3973214285713311</v>
      </c>
      <c r="Q17" s="91">
        <f t="shared" si="6"/>
        <v>0.96482142857142938</v>
      </c>
      <c r="R17" s="177"/>
      <c r="S17" s="21">
        <v>0.87013888888888891</v>
      </c>
      <c r="T17" s="21">
        <v>0.90902777777777777</v>
      </c>
      <c r="U17" s="88">
        <f t="shared" si="18"/>
        <v>58.99999999999995</v>
      </c>
      <c r="V17" s="30">
        <f t="shared" si="17"/>
        <v>55.999999999999957</v>
      </c>
      <c r="W17" s="16"/>
      <c r="X17" s="16"/>
      <c r="Y17" s="16"/>
      <c r="Z17" s="16"/>
      <c r="AA17" s="168"/>
      <c r="AB17" s="168"/>
      <c r="AC17" s="18"/>
      <c r="AD17" s="18"/>
      <c r="AE17" s="14">
        <f t="shared" si="8"/>
        <v>-70.357142857141298</v>
      </c>
      <c r="AF17" s="91">
        <f t="shared" si="9"/>
        <v>0.96482142857142938</v>
      </c>
      <c r="AG17" s="177"/>
    </row>
    <row r="18" spans="1:33" ht="16.5" customHeight="1">
      <c r="A18" s="198" t="s">
        <v>1177</v>
      </c>
      <c r="B18" s="28" t="s">
        <v>576</v>
      </c>
      <c r="C18" s="178"/>
      <c r="D18" s="178"/>
      <c r="E18" s="92"/>
      <c r="F18" s="12"/>
      <c r="G18" s="12"/>
      <c r="H18" s="88"/>
      <c r="I18" s="23">
        <v>18.600000000000001</v>
      </c>
      <c r="J18" s="13">
        <v>1900</v>
      </c>
      <c r="K18" s="12">
        <f t="shared" si="1"/>
        <v>102.15053763440859</v>
      </c>
      <c r="L18" s="23">
        <v>18.600000000000001</v>
      </c>
      <c r="M18" s="13">
        <f>AVERAGE(M13:M17)</f>
        <v>1828.7674051905931</v>
      </c>
      <c r="N18" s="12">
        <f t="shared" si="3"/>
        <v>98.320828236053387</v>
      </c>
      <c r="O18" s="14">
        <f t="shared" si="4"/>
        <v>0</v>
      </c>
      <c r="P18" s="15">
        <f t="shared" si="5"/>
        <v>-3.829709398355206</v>
      </c>
      <c r="Q18" s="91">
        <f t="shared" si="6"/>
        <v>0.96250916062662795</v>
      </c>
      <c r="R18" s="177"/>
      <c r="S18" s="21"/>
      <c r="T18" s="21"/>
      <c r="U18" s="88"/>
      <c r="V18" s="30"/>
      <c r="W18" s="12"/>
      <c r="X18" s="12"/>
      <c r="Y18" s="24">
        <f>SUM(Y13:Y17)</f>
        <v>0</v>
      </c>
      <c r="Z18" s="24">
        <f>SUM(Z13:Z17)</f>
        <v>0</v>
      </c>
      <c r="AA18" s="167"/>
      <c r="AB18" s="167"/>
      <c r="AC18" s="24">
        <v>5</v>
      </c>
      <c r="AD18" s="24">
        <f>SUM(AD13:AD17)</f>
        <v>0</v>
      </c>
      <c r="AE18" s="14">
        <f t="shared" si="8"/>
        <v>-71.232594809406919</v>
      </c>
      <c r="AF18" s="91">
        <f t="shared" si="9"/>
        <v>0.96250916062662795</v>
      </c>
      <c r="AG18" s="177"/>
    </row>
    <row r="19" spans="1:33" ht="15.75" customHeight="1">
      <c r="A19" s="195" t="s">
        <v>1179</v>
      </c>
      <c r="B19" s="28" t="s">
        <v>5</v>
      </c>
      <c r="C19" s="193" t="s">
        <v>17</v>
      </c>
      <c r="D19" s="193"/>
      <c r="E19" s="28">
        <v>57.73</v>
      </c>
      <c r="F19" s="88">
        <v>2862</v>
      </c>
      <c r="G19" s="88">
        <f t="shared" ref="G19:G25" si="19">E19*F19</f>
        <v>165223.25999999998</v>
      </c>
      <c r="H19" s="30" t="s">
        <v>53</v>
      </c>
      <c r="I19" s="95">
        <v>14</v>
      </c>
      <c r="J19" s="13">
        <v>2000</v>
      </c>
      <c r="K19" s="12">
        <f t="shared" si="1"/>
        <v>142.85714285714286</v>
      </c>
      <c r="L19" s="95">
        <v>14</v>
      </c>
      <c r="M19" s="13">
        <f t="shared" ref="M19:M25" si="20">F19/V19*60</f>
        <v>1907.9999999999991</v>
      </c>
      <c r="N19" s="12">
        <f t="shared" si="3"/>
        <v>136.28571428571422</v>
      </c>
      <c r="O19" s="14">
        <f t="shared" si="4"/>
        <v>0</v>
      </c>
      <c r="P19" s="15">
        <f t="shared" si="5"/>
        <v>-6.5714285714286405</v>
      </c>
      <c r="Q19" s="91">
        <f t="shared" si="6"/>
        <v>0.95399999999999952</v>
      </c>
      <c r="R19" s="177">
        <f>Q26</f>
        <v>0.95985430064325272</v>
      </c>
      <c r="S19" s="21">
        <v>0.20833333333333334</v>
      </c>
      <c r="T19" s="21">
        <v>0.27083333333333337</v>
      </c>
      <c r="U19" s="88"/>
      <c r="V19" s="30">
        <f t="shared" ref="V19:V25" si="21">(T19-S19)*24*60</f>
        <v>90.000000000000043</v>
      </c>
      <c r="W19" s="21"/>
      <c r="X19" s="21"/>
      <c r="Y19" s="21"/>
      <c r="Z19" s="21"/>
      <c r="AA19" s="168"/>
      <c r="AB19" s="168"/>
      <c r="AC19" s="18">
        <v>7</v>
      </c>
      <c r="AD19" s="18"/>
      <c r="AE19" s="14">
        <f t="shared" si="8"/>
        <v>-92.000000000000909</v>
      </c>
      <c r="AF19" s="91">
        <f t="shared" si="9"/>
        <v>0.95399999999999952</v>
      </c>
      <c r="AG19" s="177">
        <f>AF26</f>
        <v>0.95985430064325272</v>
      </c>
    </row>
    <row r="20" spans="1:33" ht="15.75" customHeight="1">
      <c r="A20" s="196" t="s">
        <v>1179</v>
      </c>
      <c r="B20" s="28" t="s">
        <v>5</v>
      </c>
      <c r="C20" s="193" t="s">
        <v>18</v>
      </c>
      <c r="D20" s="193"/>
      <c r="E20" s="28">
        <v>53.68</v>
      </c>
      <c r="F20" s="88">
        <v>1518</v>
      </c>
      <c r="G20" s="88">
        <f t="shared" si="19"/>
        <v>81486.240000000005</v>
      </c>
      <c r="H20" s="30" t="s">
        <v>53</v>
      </c>
      <c r="I20" s="95">
        <v>16</v>
      </c>
      <c r="J20" s="13">
        <v>2000</v>
      </c>
      <c r="K20" s="12">
        <f t="shared" si="1"/>
        <v>125</v>
      </c>
      <c r="L20" s="95">
        <v>16</v>
      </c>
      <c r="M20" s="13">
        <f t="shared" si="20"/>
        <v>1937.872340425532</v>
      </c>
      <c r="N20" s="12">
        <f t="shared" si="3"/>
        <v>121.11702127659575</v>
      </c>
      <c r="O20" s="14">
        <f t="shared" si="4"/>
        <v>0</v>
      </c>
      <c r="P20" s="15">
        <f t="shared" si="5"/>
        <v>-3.8829787234042499</v>
      </c>
      <c r="Q20" s="91">
        <f t="shared" si="6"/>
        <v>0.96893617021276601</v>
      </c>
      <c r="R20" s="177"/>
      <c r="S20" s="21">
        <v>0.27500000000000002</v>
      </c>
      <c r="T20" s="21">
        <v>0.30763888888888891</v>
      </c>
      <c r="U20" s="88">
        <f t="shared" ref="U20:U25" si="22">IF(S20=TIME(17,0,0),"",(S20-T19)*24*60)</f>
        <v>5.9999999999999787</v>
      </c>
      <c r="V20" s="30">
        <f t="shared" si="21"/>
        <v>46.999999999999993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-62.127659574467998</v>
      </c>
      <c r="AF20" s="91">
        <f t="shared" si="9"/>
        <v>0.96893617021276601</v>
      </c>
      <c r="AG20" s="177"/>
    </row>
    <row r="21" spans="1:33" ht="15.75" customHeight="1">
      <c r="A21" s="196" t="s">
        <v>1180</v>
      </c>
      <c r="B21" s="28" t="s">
        <v>5</v>
      </c>
      <c r="C21" s="193" t="s">
        <v>73</v>
      </c>
      <c r="D21" s="193"/>
      <c r="E21" s="28">
        <v>50.67</v>
      </c>
      <c r="F21" s="88">
        <v>3188</v>
      </c>
      <c r="G21" s="88">
        <f t="shared" si="19"/>
        <v>161535.96</v>
      </c>
      <c r="H21" s="30" t="s">
        <v>53</v>
      </c>
      <c r="I21" s="95">
        <v>17</v>
      </c>
      <c r="J21" s="13">
        <v>2000</v>
      </c>
      <c r="K21" s="12">
        <f t="shared" si="1"/>
        <v>117.64705882352941</v>
      </c>
      <c r="L21" s="95">
        <v>17</v>
      </c>
      <c r="M21" s="13">
        <f t="shared" si="20"/>
        <v>1912.8000000000006</v>
      </c>
      <c r="N21" s="12">
        <f t="shared" si="3"/>
        <v>112.51764705882357</v>
      </c>
      <c r="O21" s="14">
        <f t="shared" si="4"/>
        <v>0</v>
      </c>
      <c r="P21" s="15">
        <f t="shared" si="5"/>
        <v>-5.1294117647058357</v>
      </c>
      <c r="Q21" s="91">
        <f t="shared" si="6"/>
        <v>0.95640000000000036</v>
      </c>
      <c r="R21" s="177"/>
      <c r="S21" s="21">
        <v>0.31111111111111112</v>
      </c>
      <c r="T21" s="21">
        <v>0.38055555555555554</v>
      </c>
      <c r="U21" s="88">
        <f t="shared" si="22"/>
        <v>4.9999999999999822</v>
      </c>
      <c r="V21" s="30">
        <f t="shared" si="21"/>
        <v>99.999999999999972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8"/>
        <v>-87.199999999999363</v>
      </c>
      <c r="AF21" s="91">
        <f t="shared" si="9"/>
        <v>0.95640000000000036</v>
      </c>
      <c r="AG21" s="177"/>
    </row>
    <row r="22" spans="1:33" ht="15.75" customHeight="1">
      <c r="A22" s="196" t="s">
        <v>581</v>
      </c>
      <c r="B22" s="28" t="s">
        <v>5</v>
      </c>
      <c r="C22" s="193" t="s">
        <v>21</v>
      </c>
      <c r="D22" s="193"/>
      <c r="E22" s="28">
        <v>57.3</v>
      </c>
      <c r="F22" s="88">
        <v>1840</v>
      </c>
      <c r="G22" s="88">
        <f t="shared" si="19"/>
        <v>105432</v>
      </c>
      <c r="H22" s="30" t="s">
        <v>53</v>
      </c>
      <c r="I22" s="95">
        <v>13</v>
      </c>
      <c r="J22" s="13">
        <v>2000</v>
      </c>
      <c r="K22" s="12">
        <f t="shared" si="1"/>
        <v>153.84615384615384</v>
      </c>
      <c r="L22" s="95">
        <v>13</v>
      </c>
      <c r="M22" s="13">
        <f t="shared" si="20"/>
        <v>1903.4482758620702</v>
      </c>
      <c r="N22" s="12">
        <f t="shared" si="3"/>
        <v>146.41909814323617</v>
      </c>
      <c r="O22" s="14">
        <f t="shared" si="4"/>
        <v>0</v>
      </c>
      <c r="P22" s="15">
        <f t="shared" si="5"/>
        <v>-7.42705570291767</v>
      </c>
      <c r="Q22" s="91">
        <f t="shared" si="6"/>
        <v>0.95172413793103516</v>
      </c>
      <c r="R22" s="177"/>
      <c r="S22" s="21">
        <v>0.70833333333333337</v>
      </c>
      <c r="T22" s="21">
        <v>0.74861111111111112</v>
      </c>
      <c r="U22" s="88" t="str">
        <f t="shared" si="22"/>
        <v/>
      </c>
      <c r="V22" s="30">
        <f t="shared" si="21"/>
        <v>57.999999999999957</v>
      </c>
      <c r="W22" s="16"/>
      <c r="X22" s="88"/>
      <c r="Y22" s="88"/>
      <c r="Z22" s="88"/>
      <c r="AA22" s="168"/>
      <c r="AB22" s="168"/>
      <c r="AC22" s="18"/>
      <c r="AD22" s="18"/>
      <c r="AE22" s="14">
        <f t="shared" si="8"/>
        <v>-96.551724137929796</v>
      </c>
      <c r="AF22" s="91">
        <f t="shared" si="9"/>
        <v>0.95172413793103505</v>
      </c>
      <c r="AG22" s="177"/>
    </row>
    <row r="23" spans="1:33" ht="15.75" customHeight="1">
      <c r="A23" s="196" t="s">
        <v>581</v>
      </c>
      <c r="B23" s="28" t="s">
        <v>5</v>
      </c>
      <c r="C23" s="193" t="s">
        <v>20</v>
      </c>
      <c r="D23" s="193"/>
      <c r="E23" s="28">
        <v>53.68</v>
      </c>
      <c r="F23" s="88">
        <v>1670</v>
      </c>
      <c r="G23" s="88">
        <f t="shared" si="19"/>
        <v>89645.6</v>
      </c>
      <c r="H23" s="30" t="s">
        <v>53</v>
      </c>
      <c r="I23" s="95">
        <v>16</v>
      </c>
      <c r="J23" s="13">
        <v>1500</v>
      </c>
      <c r="K23" s="12">
        <f t="shared" si="1"/>
        <v>93.75</v>
      </c>
      <c r="L23" s="95">
        <v>16</v>
      </c>
      <c r="M23" s="13">
        <f t="shared" si="20"/>
        <v>1431.42857142857</v>
      </c>
      <c r="N23" s="12">
        <f t="shared" si="3"/>
        <v>89.464285714285623</v>
      </c>
      <c r="O23" s="14">
        <f t="shared" si="4"/>
        <v>0</v>
      </c>
      <c r="P23" s="15">
        <f t="shared" si="5"/>
        <v>-4.2857142857143771</v>
      </c>
      <c r="Q23" s="91">
        <f t="shared" si="6"/>
        <v>0.95428571428571329</v>
      </c>
      <c r="R23" s="177"/>
      <c r="S23" s="21">
        <v>0.75208333333333333</v>
      </c>
      <c r="T23" s="21">
        <v>0.80069444444444449</v>
      </c>
      <c r="U23" s="88">
        <f t="shared" si="22"/>
        <v>4.9999999999999822</v>
      </c>
      <c r="V23" s="30">
        <f t="shared" si="21"/>
        <v>70.000000000000071</v>
      </c>
      <c r="W23" s="16"/>
      <c r="X23" s="16"/>
      <c r="Y23" s="88"/>
      <c r="Z23" s="88"/>
      <c r="AA23" s="168"/>
      <c r="AB23" s="168"/>
      <c r="AC23" s="18"/>
      <c r="AD23" s="18"/>
      <c r="AE23" s="14">
        <f t="shared" si="8"/>
        <v>-68.571428571430033</v>
      </c>
      <c r="AF23" s="91">
        <f t="shared" si="9"/>
        <v>0.95428571428571329</v>
      </c>
      <c r="AG23" s="177"/>
    </row>
    <row r="24" spans="1:33" ht="15.75" customHeight="1">
      <c r="A24" s="196" t="s">
        <v>581</v>
      </c>
      <c r="B24" s="28" t="s">
        <v>5</v>
      </c>
      <c r="C24" s="193" t="s">
        <v>19</v>
      </c>
      <c r="D24" s="193"/>
      <c r="E24" s="28">
        <v>50.49</v>
      </c>
      <c r="F24" s="88">
        <v>1000</v>
      </c>
      <c r="G24" s="88">
        <f t="shared" si="19"/>
        <v>50490</v>
      </c>
      <c r="H24" s="30">
        <v>2</v>
      </c>
      <c r="I24" s="95">
        <v>15</v>
      </c>
      <c r="J24" s="13">
        <v>2000</v>
      </c>
      <c r="K24" s="12">
        <f t="shared" si="1"/>
        <v>133.33333333333334</v>
      </c>
      <c r="L24" s="95">
        <v>15</v>
      </c>
      <c r="M24" s="13">
        <f t="shared" si="20"/>
        <v>1935.483870967739</v>
      </c>
      <c r="N24" s="12">
        <f t="shared" si="3"/>
        <v>129.03225806451593</v>
      </c>
      <c r="O24" s="14">
        <f t="shared" si="4"/>
        <v>0</v>
      </c>
      <c r="P24" s="15">
        <f t="shared" si="5"/>
        <v>-4.3010752688174136</v>
      </c>
      <c r="Q24" s="91">
        <f t="shared" si="6"/>
        <v>0.96774193548386944</v>
      </c>
      <c r="R24" s="177"/>
      <c r="S24" s="21">
        <v>0.8041666666666667</v>
      </c>
      <c r="T24" s="21">
        <v>0.82569444444444451</v>
      </c>
      <c r="U24" s="88">
        <f t="shared" si="22"/>
        <v>4.9999999999999822</v>
      </c>
      <c r="V24" s="30">
        <f t="shared" si="21"/>
        <v>31.00000000000005</v>
      </c>
      <c r="W24" s="16">
        <f>T24</f>
        <v>0.82569444444444451</v>
      </c>
      <c r="X24" s="16">
        <f>S25</f>
        <v>0.86736111111111114</v>
      </c>
      <c r="Y24" s="21"/>
      <c r="Z24" s="21"/>
      <c r="AA24" s="168"/>
      <c r="AB24" s="168"/>
      <c r="AC24" s="18"/>
      <c r="AD24" s="18"/>
      <c r="AE24" s="14">
        <f t="shared" si="8"/>
        <v>-64.516129032261006</v>
      </c>
      <c r="AF24" s="91">
        <f t="shared" si="9"/>
        <v>0.96774193548386944</v>
      </c>
      <c r="AG24" s="177"/>
    </row>
    <row r="25" spans="1:33" ht="15.75" customHeight="1">
      <c r="A25" s="196" t="s">
        <v>1180</v>
      </c>
      <c r="B25" s="28" t="s">
        <v>5</v>
      </c>
      <c r="C25" s="218" t="s">
        <v>19</v>
      </c>
      <c r="D25" s="219"/>
      <c r="E25" s="28">
        <v>50.49</v>
      </c>
      <c r="F25" s="88">
        <v>1286</v>
      </c>
      <c r="G25" s="88">
        <f t="shared" si="19"/>
        <v>64930.14</v>
      </c>
      <c r="H25" s="30" t="s">
        <v>53</v>
      </c>
      <c r="I25" s="95">
        <v>15</v>
      </c>
      <c r="J25" s="13">
        <v>2000</v>
      </c>
      <c r="K25" s="12">
        <f t="shared" si="1"/>
        <v>133.33333333333334</v>
      </c>
      <c r="L25" s="95">
        <v>15</v>
      </c>
      <c r="M25" s="13">
        <f t="shared" si="20"/>
        <v>1928.9999999999995</v>
      </c>
      <c r="N25" s="12">
        <f t="shared" si="3"/>
        <v>128.59999999999997</v>
      </c>
      <c r="O25" s="14">
        <f t="shared" si="4"/>
        <v>0</v>
      </c>
      <c r="P25" s="15">
        <f t="shared" si="5"/>
        <v>-4.7333333333333769</v>
      </c>
      <c r="Q25" s="91">
        <f t="shared" si="6"/>
        <v>0.96449999999999969</v>
      </c>
      <c r="R25" s="177"/>
      <c r="S25" s="21">
        <v>0.86736111111111114</v>
      </c>
      <c r="T25" s="21">
        <v>0.89513888888888893</v>
      </c>
      <c r="U25" s="88">
        <f t="shared" si="22"/>
        <v>59.999999999999943</v>
      </c>
      <c r="V25" s="30">
        <f t="shared" si="21"/>
        <v>40.000000000000014</v>
      </c>
      <c r="W25" s="16"/>
      <c r="X25" s="21"/>
      <c r="Y25" s="22"/>
      <c r="Z25" s="22"/>
      <c r="AA25" s="172"/>
      <c r="AB25" s="173"/>
      <c r="AC25" s="18"/>
      <c r="AD25" s="18"/>
      <c r="AE25" s="14">
        <f t="shared" si="8"/>
        <v>-71.000000000000455</v>
      </c>
      <c r="AF25" s="91">
        <f t="shared" si="9"/>
        <v>0.9644999999999998</v>
      </c>
      <c r="AG25" s="177"/>
    </row>
    <row r="26" spans="1:33" ht="15.75" customHeight="1">
      <c r="A26" s="196" t="s">
        <v>1181</v>
      </c>
      <c r="B26" s="28" t="s">
        <v>576</v>
      </c>
      <c r="C26" s="178"/>
      <c r="D26" s="178"/>
      <c r="E26" s="92"/>
      <c r="F26" s="88"/>
      <c r="G26" s="88"/>
      <c r="H26" s="88"/>
      <c r="I26" s="23">
        <v>15.142857142857142</v>
      </c>
      <c r="J26" s="13">
        <v>1928.5714285714287</v>
      </c>
      <c r="K26" s="12">
        <f t="shared" si="1"/>
        <v>127.35849056603774</v>
      </c>
      <c r="L26" s="23">
        <v>15.142857142857142</v>
      </c>
      <c r="M26" s="13">
        <f>AVERAGE(M19:M25)</f>
        <v>1851.1475798119875</v>
      </c>
      <c r="N26" s="12">
        <f t="shared" si="3"/>
        <v>122.24559489324446</v>
      </c>
      <c r="O26" s="14">
        <f t="shared" si="4"/>
        <v>0</v>
      </c>
      <c r="P26" s="15">
        <f t="shared" si="5"/>
        <v>-5.1128956727932859</v>
      </c>
      <c r="Q26" s="91">
        <f t="shared" si="6"/>
        <v>0.95985430064325272</v>
      </c>
      <c r="R26" s="177"/>
      <c r="S26" s="21"/>
      <c r="T26" s="21"/>
      <c r="U26" s="12"/>
      <c r="V26" s="30"/>
      <c r="W26" s="12"/>
      <c r="X26" s="12"/>
      <c r="Y26" s="24">
        <f>SUM(Y19:Y25)</f>
        <v>0</v>
      </c>
      <c r="Z26" s="24">
        <f>SUM(Z19:Z25)</f>
        <v>0</v>
      </c>
      <c r="AA26" s="167"/>
      <c r="AB26" s="167"/>
      <c r="AC26" s="24">
        <v>7</v>
      </c>
      <c r="AD26" s="24">
        <f>SUM(AD19:AD25)</f>
        <v>0</v>
      </c>
      <c r="AE26" s="14">
        <f t="shared" si="8"/>
        <v>-77.423848759441171</v>
      </c>
      <c r="AF26" s="91">
        <f t="shared" si="9"/>
        <v>0.95985430064325272</v>
      </c>
      <c r="AG26" s="177"/>
    </row>
    <row r="27" spans="1:33" ht="15.75" customHeight="1">
      <c r="A27" s="194" t="s">
        <v>689</v>
      </c>
      <c r="B27" s="28" t="s">
        <v>22</v>
      </c>
      <c r="C27" s="193" t="s">
        <v>23</v>
      </c>
      <c r="D27" s="193"/>
      <c r="E27" s="28">
        <v>31.29</v>
      </c>
      <c r="F27" s="88">
        <v>6700</v>
      </c>
      <c r="G27" s="88">
        <f t="shared" ref="G27:G33" si="23">E27*F27</f>
        <v>209643</v>
      </c>
      <c r="H27" s="30">
        <v>2</v>
      </c>
      <c r="I27" s="95">
        <v>18</v>
      </c>
      <c r="J27" s="13">
        <v>2400</v>
      </c>
      <c r="K27" s="12">
        <f t="shared" si="1"/>
        <v>133.33333333333334</v>
      </c>
      <c r="L27" s="95">
        <v>18</v>
      </c>
      <c r="M27" s="13">
        <f t="shared" ref="M27:M33" si="24">F27/V27*60</f>
        <v>2284.090909090909</v>
      </c>
      <c r="N27" s="12">
        <f t="shared" si="3"/>
        <v>126.89393939393939</v>
      </c>
      <c r="O27" s="14">
        <f t="shared" si="4"/>
        <v>0</v>
      </c>
      <c r="P27" s="15">
        <f t="shared" si="5"/>
        <v>-6.4393939393939519</v>
      </c>
      <c r="Q27" s="91">
        <f t="shared" si="6"/>
        <v>0.95170454545454541</v>
      </c>
      <c r="R27" s="177">
        <f>Q34</f>
        <v>0.95537325734460765</v>
      </c>
      <c r="S27" s="21">
        <v>8.3333333333333329E-2</v>
      </c>
      <c r="T27" s="21">
        <v>0.20555555555555555</v>
      </c>
      <c r="U27" s="88"/>
      <c r="V27" s="30">
        <f t="shared" ref="V27:V33" si="25">(T27-S27)*24*60</f>
        <v>176</v>
      </c>
      <c r="W27" s="16">
        <f>T27</f>
        <v>0.20555555555555555</v>
      </c>
      <c r="X27" s="16">
        <f>S28</f>
        <v>0.22430555555555554</v>
      </c>
      <c r="Y27" s="16"/>
      <c r="Z27" s="16"/>
      <c r="AA27" s="168"/>
      <c r="AB27" s="168"/>
      <c r="AC27" s="18">
        <v>7</v>
      </c>
      <c r="AD27" s="18"/>
      <c r="AE27" s="14">
        <f t="shared" si="8"/>
        <v>-115.90909090909099</v>
      </c>
      <c r="AF27" s="91">
        <f t="shared" si="9"/>
        <v>0.95170454545454541</v>
      </c>
      <c r="AG27" s="177">
        <f>AF34</f>
        <v>0.95537325734460765</v>
      </c>
    </row>
    <row r="28" spans="1:33" ht="15.75" customHeight="1">
      <c r="A28" s="194" t="s">
        <v>689</v>
      </c>
      <c r="B28" s="28" t="s">
        <v>22</v>
      </c>
      <c r="C28" s="193" t="s">
        <v>24</v>
      </c>
      <c r="D28" s="193"/>
      <c r="E28" s="28">
        <v>25.98</v>
      </c>
      <c r="F28" s="88">
        <v>3849</v>
      </c>
      <c r="G28" s="88">
        <f t="shared" si="23"/>
        <v>99997.02</v>
      </c>
      <c r="H28" s="30" t="s">
        <v>53</v>
      </c>
      <c r="I28" s="95">
        <v>21</v>
      </c>
      <c r="J28" s="13">
        <v>2400</v>
      </c>
      <c r="K28" s="12">
        <f t="shared" si="1"/>
        <v>114.28571428571429</v>
      </c>
      <c r="L28" s="95">
        <v>21</v>
      </c>
      <c r="M28" s="13">
        <f t="shared" si="24"/>
        <v>2286.5346534653472</v>
      </c>
      <c r="N28" s="12">
        <f t="shared" si="3"/>
        <v>108.88260254596892</v>
      </c>
      <c r="O28" s="14">
        <f t="shared" si="4"/>
        <v>0</v>
      </c>
      <c r="P28" s="15">
        <f t="shared" si="5"/>
        <v>-5.4031117397453698</v>
      </c>
      <c r="Q28" s="91">
        <f t="shared" si="6"/>
        <v>0.95272277227722801</v>
      </c>
      <c r="R28" s="177"/>
      <c r="S28" s="21">
        <v>0.22430555555555554</v>
      </c>
      <c r="T28" s="21">
        <v>0.2944444444444444</v>
      </c>
      <c r="U28" s="88">
        <f t="shared" ref="U28:U33" si="26">(S28-T27)*24*60</f>
        <v>26.999999999999986</v>
      </c>
      <c r="V28" s="30">
        <f t="shared" si="25"/>
        <v>100.99999999999996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-113.46534653465278</v>
      </c>
      <c r="AF28" s="91">
        <f t="shared" si="9"/>
        <v>0.95272277227722801</v>
      </c>
      <c r="AG28" s="177"/>
    </row>
    <row r="29" spans="1:33" ht="15.75" customHeight="1">
      <c r="A29" s="194" t="s">
        <v>689</v>
      </c>
      <c r="B29" s="28" t="s">
        <v>22</v>
      </c>
      <c r="C29" s="193" t="s">
        <v>25</v>
      </c>
      <c r="D29" s="193"/>
      <c r="E29" s="28">
        <v>26.2</v>
      </c>
      <c r="F29" s="88">
        <v>3700</v>
      </c>
      <c r="G29" s="88">
        <f t="shared" si="23"/>
        <v>96940</v>
      </c>
      <c r="H29" s="30">
        <v>2</v>
      </c>
      <c r="I29" s="95">
        <v>20</v>
      </c>
      <c r="J29" s="13">
        <v>2400</v>
      </c>
      <c r="K29" s="12">
        <f t="shared" si="1"/>
        <v>120</v>
      </c>
      <c r="L29" s="95">
        <v>20</v>
      </c>
      <c r="M29" s="13">
        <f t="shared" si="24"/>
        <v>2288.6597938144337</v>
      </c>
      <c r="N29" s="12">
        <f t="shared" si="3"/>
        <v>114.43298969072168</v>
      </c>
      <c r="O29" s="14">
        <f t="shared" si="4"/>
        <v>0</v>
      </c>
      <c r="P29" s="15">
        <f t="shared" si="5"/>
        <v>-5.5670103092783165</v>
      </c>
      <c r="Q29" s="91">
        <f t="shared" si="6"/>
        <v>0.95360824742268069</v>
      </c>
      <c r="R29" s="177"/>
      <c r="S29" s="21">
        <v>0.29861111111111105</v>
      </c>
      <c r="T29" s="21">
        <v>0.36597222222222214</v>
      </c>
      <c r="U29" s="88">
        <f t="shared" si="26"/>
        <v>5.9999999999999787</v>
      </c>
      <c r="V29" s="30">
        <f t="shared" si="25"/>
        <v>96.999999999999972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8"/>
        <v>-111.34020618556633</v>
      </c>
      <c r="AF29" s="91">
        <f t="shared" si="9"/>
        <v>0.95360824742268069</v>
      </c>
      <c r="AG29" s="177"/>
    </row>
    <row r="30" spans="1:33" ht="15.75" customHeight="1">
      <c r="A30" s="194" t="s">
        <v>689</v>
      </c>
      <c r="B30" s="28" t="s">
        <v>22</v>
      </c>
      <c r="C30" s="193" t="s">
        <v>26</v>
      </c>
      <c r="D30" s="193"/>
      <c r="E30" s="28">
        <v>25.99</v>
      </c>
      <c r="F30" s="88">
        <v>5081</v>
      </c>
      <c r="G30" s="88">
        <f t="shared" si="23"/>
        <v>132055.19</v>
      </c>
      <c r="H30" s="30" t="s">
        <v>53</v>
      </c>
      <c r="I30" s="95">
        <v>14</v>
      </c>
      <c r="J30" s="13">
        <v>2400</v>
      </c>
      <c r="K30" s="12">
        <f t="shared" si="1"/>
        <v>171.42857142857142</v>
      </c>
      <c r="L30" s="95">
        <v>14</v>
      </c>
      <c r="M30" s="13">
        <f t="shared" si="24"/>
        <v>2292.1804511278197</v>
      </c>
      <c r="N30" s="12">
        <f t="shared" si="3"/>
        <v>163.72717508055854</v>
      </c>
      <c r="O30" s="14">
        <f t="shared" si="4"/>
        <v>0</v>
      </c>
      <c r="P30" s="15">
        <f t="shared" si="5"/>
        <v>-7.701396348012878</v>
      </c>
      <c r="Q30" s="91">
        <f t="shared" si="6"/>
        <v>0.95507518796992485</v>
      </c>
      <c r="R30" s="177"/>
      <c r="S30" s="21">
        <v>0.3701388888888888</v>
      </c>
      <c r="T30" s="21">
        <v>0.46249999999999991</v>
      </c>
      <c r="U30" s="88">
        <f t="shared" si="26"/>
        <v>5.9999999999999787</v>
      </c>
      <c r="V30" s="30">
        <f t="shared" si="25"/>
        <v>133</v>
      </c>
      <c r="W30" s="16"/>
      <c r="X30" s="16"/>
      <c r="Y30" s="16"/>
      <c r="Z30" s="16"/>
      <c r="AA30" s="168"/>
      <c r="AB30" s="168"/>
      <c r="AC30" s="18"/>
      <c r="AD30" s="18"/>
      <c r="AE30" s="14">
        <f t="shared" si="8"/>
        <v>-107.81954887218035</v>
      </c>
      <c r="AF30" s="91">
        <f t="shared" si="9"/>
        <v>0.95507518796992485</v>
      </c>
      <c r="AG30" s="177"/>
    </row>
    <row r="31" spans="1:33" ht="15.75" customHeight="1">
      <c r="A31" s="194" t="s">
        <v>689</v>
      </c>
      <c r="B31" s="28" t="s">
        <v>22</v>
      </c>
      <c r="C31" s="193" t="s">
        <v>27</v>
      </c>
      <c r="D31" s="193"/>
      <c r="E31" s="28">
        <v>26.18</v>
      </c>
      <c r="F31" s="88">
        <v>1999</v>
      </c>
      <c r="G31" s="88">
        <f t="shared" si="23"/>
        <v>52333.82</v>
      </c>
      <c r="H31" s="30" t="s">
        <v>53</v>
      </c>
      <c r="I31" s="95">
        <v>19</v>
      </c>
      <c r="J31" s="13">
        <v>2400</v>
      </c>
      <c r="K31" s="12">
        <f t="shared" si="1"/>
        <v>126.31578947368421</v>
      </c>
      <c r="L31" s="95">
        <v>19</v>
      </c>
      <c r="M31" s="13">
        <f t="shared" si="24"/>
        <v>2306.5384615384628</v>
      </c>
      <c r="N31" s="12">
        <f t="shared" si="3"/>
        <v>121.39676113360331</v>
      </c>
      <c r="O31" s="14">
        <f t="shared" si="4"/>
        <v>0</v>
      </c>
      <c r="P31" s="15">
        <f t="shared" si="5"/>
        <v>-4.9190283400808994</v>
      </c>
      <c r="Q31" s="91">
        <f t="shared" si="6"/>
        <v>0.96105769230769289</v>
      </c>
      <c r="R31" s="177"/>
      <c r="S31" s="21">
        <v>0.46805555555555545</v>
      </c>
      <c r="T31" s="21">
        <v>0.50416666666666654</v>
      </c>
      <c r="U31" s="88">
        <f t="shared" si="26"/>
        <v>7.9999999999999716</v>
      </c>
      <c r="V31" s="30">
        <f t="shared" si="25"/>
        <v>51.999999999999972</v>
      </c>
      <c r="W31" s="16">
        <f>T31</f>
        <v>0.50416666666666654</v>
      </c>
      <c r="X31" s="16">
        <f>S32</f>
        <v>0.54652777777777761</v>
      </c>
      <c r="Y31" s="16"/>
      <c r="Z31" s="16"/>
      <c r="AA31" s="168"/>
      <c r="AB31" s="168"/>
      <c r="AC31" s="18"/>
      <c r="AD31" s="18"/>
      <c r="AE31" s="14">
        <f t="shared" si="8"/>
        <v>-93.461538461537202</v>
      </c>
      <c r="AF31" s="91">
        <f t="shared" si="9"/>
        <v>0.96105769230769278</v>
      </c>
      <c r="AG31" s="177"/>
    </row>
    <row r="32" spans="1:33" ht="15.75" customHeight="1">
      <c r="A32" s="194" t="s">
        <v>689</v>
      </c>
      <c r="B32" s="28" t="s">
        <v>22</v>
      </c>
      <c r="C32" s="193" t="s">
        <v>23</v>
      </c>
      <c r="D32" s="193"/>
      <c r="E32" s="28">
        <v>31.29</v>
      </c>
      <c r="F32" s="88">
        <v>6009</v>
      </c>
      <c r="G32" s="88">
        <f t="shared" si="23"/>
        <v>188021.61</v>
      </c>
      <c r="H32" s="30" t="s">
        <v>53</v>
      </c>
      <c r="I32" s="95">
        <v>18</v>
      </c>
      <c r="J32" s="13">
        <v>2400</v>
      </c>
      <c r="K32" s="12">
        <f t="shared" si="1"/>
        <v>133.33333333333334</v>
      </c>
      <c r="L32" s="95">
        <v>18</v>
      </c>
      <c r="M32" s="13">
        <f t="shared" si="24"/>
        <v>2296.4331210191071</v>
      </c>
      <c r="N32" s="12">
        <f t="shared" si="3"/>
        <v>127.57961783439484</v>
      </c>
      <c r="O32" s="14">
        <f t="shared" si="4"/>
        <v>0</v>
      </c>
      <c r="P32" s="15">
        <f t="shared" si="5"/>
        <v>-5.7537154989385044</v>
      </c>
      <c r="Q32" s="91">
        <f t="shared" si="6"/>
        <v>0.95684713375796127</v>
      </c>
      <c r="R32" s="177"/>
      <c r="S32" s="21">
        <v>0.54652777777777761</v>
      </c>
      <c r="T32" s="21">
        <v>0.65555555555555545</v>
      </c>
      <c r="U32" s="88">
        <f t="shared" si="26"/>
        <v>60.999999999999943</v>
      </c>
      <c r="V32" s="30">
        <f t="shared" si="25"/>
        <v>157.00000000000009</v>
      </c>
      <c r="W32" s="16"/>
      <c r="X32" s="16"/>
      <c r="Y32" s="16"/>
      <c r="Z32" s="16"/>
      <c r="AA32" s="168"/>
      <c r="AB32" s="168"/>
      <c r="AC32" s="18"/>
      <c r="AD32" s="18"/>
      <c r="AE32" s="14">
        <f t="shared" si="8"/>
        <v>-103.56687898089285</v>
      </c>
      <c r="AF32" s="91">
        <f t="shared" si="9"/>
        <v>0.95684713375796127</v>
      </c>
      <c r="AG32" s="177"/>
    </row>
    <row r="33" spans="1:33" ht="15.75" customHeight="1">
      <c r="A33" s="194" t="s">
        <v>689</v>
      </c>
      <c r="B33" s="28" t="s">
        <v>22</v>
      </c>
      <c r="C33" s="193" t="s">
        <v>25</v>
      </c>
      <c r="D33" s="193"/>
      <c r="E33" s="28">
        <v>26.2</v>
      </c>
      <c r="F33" s="88">
        <v>2755</v>
      </c>
      <c r="G33" s="88">
        <f t="shared" si="23"/>
        <v>72181</v>
      </c>
      <c r="H33" s="30" t="s">
        <v>53</v>
      </c>
      <c r="I33" s="95">
        <v>20</v>
      </c>
      <c r="J33" s="13">
        <v>2400</v>
      </c>
      <c r="K33" s="12">
        <f t="shared" si="1"/>
        <v>120</v>
      </c>
      <c r="L33" s="95">
        <v>20</v>
      </c>
      <c r="M33" s="13">
        <f t="shared" si="24"/>
        <v>2295.8333333333312</v>
      </c>
      <c r="N33" s="12">
        <f t="shared" si="3"/>
        <v>114.79166666666656</v>
      </c>
      <c r="O33" s="14">
        <f t="shared" si="4"/>
        <v>0</v>
      </c>
      <c r="P33" s="15">
        <f t="shared" si="5"/>
        <v>-5.2083333333334423</v>
      </c>
      <c r="Q33" s="91">
        <f t="shared" si="6"/>
        <v>0.95659722222222132</v>
      </c>
      <c r="R33" s="177"/>
      <c r="S33" s="21">
        <v>0.66111111111111098</v>
      </c>
      <c r="T33" s="21">
        <v>0.71111111111111103</v>
      </c>
      <c r="U33" s="88">
        <f t="shared" si="26"/>
        <v>7.9999999999999716</v>
      </c>
      <c r="V33" s="30">
        <f t="shared" si="25"/>
        <v>72.000000000000057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-104.16666666666879</v>
      </c>
      <c r="AF33" s="91">
        <f t="shared" si="9"/>
        <v>0.95659722222222132</v>
      </c>
      <c r="AG33" s="177"/>
    </row>
    <row r="34" spans="1:33" ht="15.75" customHeight="1">
      <c r="A34" s="194" t="s">
        <v>689</v>
      </c>
      <c r="B34" s="28" t="s">
        <v>576</v>
      </c>
      <c r="C34" s="178"/>
      <c r="D34" s="178"/>
      <c r="E34" s="92"/>
      <c r="F34" s="88"/>
      <c r="G34" s="88"/>
      <c r="H34" s="88"/>
      <c r="I34" s="23">
        <v>18.571428571428573</v>
      </c>
      <c r="J34" s="13">
        <v>2400</v>
      </c>
      <c r="K34" s="12">
        <f t="shared" si="1"/>
        <v>129.23076923076923</v>
      </c>
      <c r="L34" s="23">
        <v>18.571428571428573</v>
      </c>
      <c r="M34" s="13">
        <f>AVERAGE(M27:M33)</f>
        <v>2292.8958176270585</v>
      </c>
      <c r="N34" s="12">
        <f t="shared" si="3"/>
        <v>123.46362094914929</v>
      </c>
      <c r="O34" s="14">
        <f t="shared" si="4"/>
        <v>0</v>
      </c>
      <c r="P34" s="15">
        <f t="shared" si="5"/>
        <v>-5.7671482816199386</v>
      </c>
      <c r="Q34" s="91">
        <f t="shared" si="6"/>
        <v>0.95537325734460765</v>
      </c>
      <c r="R34" s="177"/>
      <c r="S34" s="21"/>
      <c r="T34" s="21"/>
      <c r="U34" s="88"/>
      <c r="V34" s="30"/>
      <c r="W34" s="88"/>
      <c r="X34" s="88"/>
      <c r="Y34" s="24">
        <f>SUM(Y27:Y33)</f>
        <v>0</v>
      </c>
      <c r="Z34" s="24">
        <f>SUM(Z27:Z33)</f>
        <v>0</v>
      </c>
      <c r="AA34" s="167"/>
      <c r="AB34" s="167"/>
      <c r="AC34" s="24">
        <v>7</v>
      </c>
      <c r="AD34" s="24">
        <f>SUM(AD27:AD33)</f>
        <v>0</v>
      </c>
      <c r="AE34" s="14">
        <f t="shared" si="8"/>
        <v>-107.10418237294152</v>
      </c>
      <c r="AF34" s="91">
        <f t="shared" si="9"/>
        <v>0.95537325734460765</v>
      </c>
      <c r="AG34" s="177"/>
    </row>
    <row r="35" spans="1:33" ht="15.75" customHeight="1">
      <c r="A35" s="191" t="s">
        <v>585</v>
      </c>
      <c r="B35" s="28" t="s">
        <v>22</v>
      </c>
      <c r="C35" s="169" t="s">
        <v>28</v>
      </c>
      <c r="D35" s="169"/>
      <c r="E35" s="28">
        <v>26.2</v>
      </c>
      <c r="F35" s="88">
        <v>4700</v>
      </c>
      <c r="G35" s="88">
        <f t="shared" ref="G35:G42" si="27">E35*F35</f>
        <v>123140</v>
      </c>
      <c r="H35" s="30">
        <v>2</v>
      </c>
      <c r="I35" s="95">
        <v>18</v>
      </c>
      <c r="J35" s="13">
        <v>2400</v>
      </c>
      <c r="K35" s="12">
        <f t="shared" si="1"/>
        <v>133.33333333333334</v>
      </c>
      <c r="L35" s="95">
        <v>18</v>
      </c>
      <c r="M35" s="13">
        <f t="shared" ref="M35:M42" si="28">F35/V35*60</f>
        <v>2292.6829268292686</v>
      </c>
      <c r="N35" s="12">
        <f t="shared" si="3"/>
        <v>127.37127371273715</v>
      </c>
      <c r="O35" s="14">
        <f t="shared" si="4"/>
        <v>0</v>
      </c>
      <c r="P35" s="15">
        <f t="shared" si="5"/>
        <v>-5.9620596205961931</v>
      </c>
      <c r="Q35" s="91">
        <f t="shared" si="6"/>
        <v>0.9552845528455286</v>
      </c>
      <c r="R35" s="177">
        <f>Q43</f>
        <v>0.95750721178167097</v>
      </c>
      <c r="S35" s="21">
        <v>8.3333333333333329E-2</v>
      </c>
      <c r="T35" s="21">
        <v>0.16874999999999998</v>
      </c>
      <c r="U35" s="88"/>
      <c r="V35" s="30">
        <f t="shared" ref="V35:V42" si="29">(T35-S35)*24*60</f>
        <v>122.99999999999999</v>
      </c>
      <c r="W35" s="21">
        <f>T35</f>
        <v>0.16874999999999998</v>
      </c>
      <c r="X35" s="21">
        <f>S36</f>
        <v>0.18749999999999997</v>
      </c>
      <c r="Y35" s="21"/>
      <c r="Z35" s="21"/>
      <c r="AA35" s="168"/>
      <c r="AB35" s="168"/>
      <c r="AC35" s="18">
        <v>8</v>
      </c>
      <c r="AD35" s="18"/>
      <c r="AE35" s="14">
        <f t="shared" si="8"/>
        <v>-107.31707317073142</v>
      </c>
      <c r="AF35" s="91">
        <f t="shared" si="9"/>
        <v>0.9552845528455286</v>
      </c>
      <c r="AG35" s="177">
        <f>AF43</f>
        <v>0.95750721178167097</v>
      </c>
    </row>
    <row r="36" spans="1:33" ht="15.75" customHeight="1">
      <c r="A36" s="191" t="s">
        <v>1182</v>
      </c>
      <c r="B36" s="28" t="s">
        <v>22</v>
      </c>
      <c r="C36" s="169" t="s">
        <v>29</v>
      </c>
      <c r="D36" s="169"/>
      <c r="E36" s="28">
        <v>20.52</v>
      </c>
      <c r="F36" s="88">
        <v>4867</v>
      </c>
      <c r="G36" s="88">
        <f t="shared" si="27"/>
        <v>99870.84</v>
      </c>
      <c r="H36" s="30" t="s">
        <v>53</v>
      </c>
      <c r="I36" s="95">
        <v>18</v>
      </c>
      <c r="J36" s="13">
        <v>2400</v>
      </c>
      <c r="K36" s="12">
        <f t="shared" si="1"/>
        <v>133.33333333333334</v>
      </c>
      <c r="L36" s="95">
        <v>18</v>
      </c>
      <c r="M36" s="13">
        <f t="shared" si="28"/>
        <v>2299.3700787401581</v>
      </c>
      <c r="N36" s="12">
        <f t="shared" si="3"/>
        <v>127.742782152231</v>
      </c>
      <c r="O36" s="14">
        <f t="shared" si="4"/>
        <v>0</v>
      </c>
      <c r="P36" s="15">
        <f t="shared" si="5"/>
        <v>-5.5905511811023416</v>
      </c>
      <c r="Q36" s="91">
        <f t="shared" si="6"/>
        <v>0.95807086614173242</v>
      </c>
      <c r="R36" s="177"/>
      <c r="S36" s="21">
        <v>0.18749999999999997</v>
      </c>
      <c r="T36" s="21">
        <v>0.27569444444444441</v>
      </c>
      <c r="U36" s="88">
        <f t="shared" ref="U36:U42" si="30">(S36-T35)*24*60</f>
        <v>26.999999999999986</v>
      </c>
      <c r="V36" s="30">
        <f t="shared" si="29"/>
        <v>126.99999999999997</v>
      </c>
      <c r="W36" s="88"/>
      <c r="X36" s="88"/>
      <c r="Y36" s="88"/>
      <c r="Z36" s="88"/>
      <c r="AA36" s="168"/>
      <c r="AB36" s="168"/>
      <c r="AC36" s="18"/>
      <c r="AD36" s="18"/>
      <c r="AE36" s="14">
        <f t="shared" si="8"/>
        <v>-100.62992125984192</v>
      </c>
      <c r="AF36" s="91">
        <f t="shared" si="9"/>
        <v>0.95807086614173254</v>
      </c>
      <c r="AG36" s="177"/>
    </row>
    <row r="37" spans="1:33">
      <c r="A37" s="192" t="s">
        <v>1182</v>
      </c>
      <c r="B37" s="28" t="s">
        <v>22</v>
      </c>
      <c r="C37" s="169" t="s">
        <v>32</v>
      </c>
      <c r="D37" s="169"/>
      <c r="E37" s="28">
        <v>20.52</v>
      </c>
      <c r="F37" s="88">
        <v>3441</v>
      </c>
      <c r="G37" s="88">
        <f t="shared" si="27"/>
        <v>70609.319999999992</v>
      </c>
      <c r="H37" s="30" t="s">
        <v>53</v>
      </c>
      <c r="I37" s="95">
        <v>18</v>
      </c>
      <c r="J37" s="13">
        <v>2400</v>
      </c>
      <c r="K37" s="12">
        <f t="shared" si="1"/>
        <v>133.33333333333334</v>
      </c>
      <c r="L37" s="95">
        <v>18</v>
      </c>
      <c r="M37" s="13">
        <f t="shared" si="28"/>
        <v>2294</v>
      </c>
      <c r="N37" s="12">
        <f t="shared" si="3"/>
        <v>127.44444444444444</v>
      </c>
      <c r="O37" s="14">
        <f t="shared" si="4"/>
        <v>0</v>
      </c>
      <c r="P37" s="15">
        <f t="shared" si="5"/>
        <v>-5.8888888888888999</v>
      </c>
      <c r="Q37" s="91">
        <f t="shared" si="6"/>
        <v>0.9558333333333332</v>
      </c>
      <c r="R37" s="177"/>
      <c r="S37" s="21">
        <v>0.2805555555555555</v>
      </c>
      <c r="T37" s="21">
        <v>0.3430555555555555</v>
      </c>
      <c r="U37" s="88">
        <f t="shared" si="30"/>
        <v>6.9999999999999751</v>
      </c>
      <c r="V37" s="30">
        <f t="shared" si="29"/>
        <v>90</v>
      </c>
      <c r="W37" s="88"/>
      <c r="X37" s="88"/>
      <c r="Y37" s="88"/>
      <c r="Z37" s="88"/>
      <c r="AA37" s="168"/>
      <c r="AB37" s="168"/>
      <c r="AC37" s="18"/>
      <c r="AD37" s="18"/>
      <c r="AE37" s="14">
        <f t="shared" si="8"/>
        <v>-106</v>
      </c>
      <c r="AF37" s="91">
        <f t="shared" si="9"/>
        <v>0.95583333333333331</v>
      </c>
      <c r="AG37" s="177"/>
    </row>
    <row r="38" spans="1:33">
      <c r="A38" s="192" t="s">
        <v>1182</v>
      </c>
      <c r="B38" s="28" t="s">
        <v>22</v>
      </c>
      <c r="C38" s="169" t="s">
        <v>70</v>
      </c>
      <c r="D38" s="169"/>
      <c r="E38" s="28">
        <v>22.69</v>
      </c>
      <c r="F38" s="88">
        <v>3600</v>
      </c>
      <c r="G38" s="88">
        <f t="shared" si="27"/>
        <v>81684</v>
      </c>
      <c r="H38" s="30">
        <v>2</v>
      </c>
      <c r="I38" s="95">
        <v>15</v>
      </c>
      <c r="J38" s="13">
        <v>2400</v>
      </c>
      <c r="K38" s="12">
        <f t="shared" si="1"/>
        <v>160</v>
      </c>
      <c r="L38" s="95">
        <v>15</v>
      </c>
      <c r="M38" s="13">
        <f t="shared" si="28"/>
        <v>2297.872340425532</v>
      </c>
      <c r="N38" s="12">
        <f t="shared" si="3"/>
        <v>153.19148936170214</v>
      </c>
      <c r="O38" s="14">
        <f t="shared" si="4"/>
        <v>0</v>
      </c>
      <c r="P38" s="15">
        <f t="shared" si="5"/>
        <v>-6.8085106382978609</v>
      </c>
      <c r="Q38" s="91">
        <f t="shared" si="6"/>
        <v>0.95744680851063835</v>
      </c>
      <c r="R38" s="177"/>
      <c r="S38" s="21">
        <v>0.34652777777777771</v>
      </c>
      <c r="T38" s="21">
        <v>0.41180555555555548</v>
      </c>
      <c r="U38" s="88">
        <f t="shared" si="30"/>
        <v>4.9999999999999822</v>
      </c>
      <c r="V38" s="30">
        <f t="shared" si="29"/>
        <v>93.999999999999986</v>
      </c>
      <c r="W38" s="16"/>
      <c r="X38" s="16"/>
      <c r="Y38" s="16"/>
      <c r="Z38" s="16"/>
      <c r="AA38" s="168"/>
      <c r="AB38" s="168"/>
      <c r="AC38" s="18"/>
      <c r="AD38" s="18"/>
      <c r="AE38" s="14">
        <f t="shared" si="8"/>
        <v>-102.127659574468</v>
      </c>
      <c r="AF38" s="91">
        <f t="shared" si="9"/>
        <v>0.95744680851063835</v>
      </c>
      <c r="AG38" s="177"/>
    </row>
    <row r="39" spans="1:33">
      <c r="A39" s="192" t="s">
        <v>1182</v>
      </c>
      <c r="B39" s="28" t="s">
        <v>22</v>
      </c>
      <c r="C39" s="169" t="s">
        <v>30</v>
      </c>
      <c r="D39" s="169"/>
      <c r="E39" s="28">
        <v>26.39</v>
      </c>
      <c r="F39" s="88">
        <v>4200</v>
      </c>
      <c r="G39" s="88">
        <f t="shared" si="27"/>
        <v>110838</v>
      </c>
      <c r="H39" s="30">
        <v>2</v>
      </c>
      <c r="I39" s="95">
        <v>19</v>
      </c>
      <c r="J39" s="13">
        <v>2400</v>
      </c>
      <c r="K39" s="12">
        <f t="shared" si="1"/>
        <v>126.31578947368421</v>
      </c>
      <c r="L39" s="95">
        <v>19</v>
      </c>
      <c r="M39" s="13">
        <f t="shared" si="28"/>
        <v>2290.909090909091</v>
      </c>
      <c r="N39" s="12">
        <f t="shared" si="3"/>
        <v>120.57416267942584</v>
      </c>
      <c r="O39" s="14">
        <f t="shared" si="4"/>
        <v>0</v>
      </c>
      <c r="P39" s="15">
        <f t="shared" si="5"/>
        <v>-5.7416267942583659</v>
      </c>
      <c r="Q39" s="91">
        <f t="shared" si="6"/>
        <v>0.95454545454545459</v>
      </c>
      <c r="R39" s="177"/>
      <c r="S39" s="21">
        <v>0.41597222222222213</v>
      </c>
      <c r="T39" s="21">
        <v>0.49236111111111103</v>
      </c>
      <c r="U39" s="88">
        <f t="shared" si="30"/>
        <v>5.9999999999999787</v>
      </c>
      <c r="V39" s="30">
        <f t="shared" si="29"/>
        <v>110.00000000000001</v>
      </c>
      <c r="W39" s="16">
        <f>T39</f>
        <v>0.49236111111111103</v>
      </c>
      <c r="X39" s="16">
        <f>S40</f>
        <v>0.53263888888888877</v>
      </c>
      <c r="Y39" s="16"/>
      <c r="Z39" s="16"/>
      <c r="AA39" s="168"/>
      <c r="AB39" s="168"/>
      <c r="AC39" s="18"/>
      <c r="AD39" s="18"/>
      <c r="AE39" s="14">
        <f t="shared" si="8"/>
        <v>-109.09090909090901</v>
      </c>
      <c r="AF39" s="91">
        <f t="shared" si="9"/>
        <v>0.95454545454545459</v>
      </c>
      <c r="AG39" s="177"/>
    </row>
    <row r="40" spans="1:33">
      <c r="A40" s="192" t="s">
        <v>1182</v>
      </c>
      <c r="B40" s="28" t="s">
        <v>22</v>
      </c>
      <c r="C40" s="169" t="s">
        <v>30</v>
      </c>
      <c r="D40" s="169"/>
      <c r="E40" s="28">
        <v>26.39</v>
      </c>
      <c r="F40" s="88">
        <v>2996</v>
      </c>
      <c r="G40" s="88">
        <f t="shared" si="27"/>
        <v>79064.44</v>
      </c>
      <c r="H40" s="30" t="s">
        <v>53</v>
      </c>
      <c r="I40" s="95">
        <v>19</v>
      </c>
      <c r="J40" s="13">
        <v>2400</v>
      </c>
      <c r="K40" s="12">
        <f t="shared" si="1"/>
        <v>126.31578947368421</v>
      </c>
      <c r="L40" s="95">
        <v>19</v>
      </c>
      <c r="M40" s="13">
        <f t="shared" si="28"/>
        <v>2304.6153846153834</v>
      </c>
      <c r="N40" s="12">
        <f t="shared" si="3"/>
        <v>121.29554655870439</v>
      </c>
      <c r="O40" s="14">
        <f t="shared" si="4"/>
        <v>0</v>
      </c>
      <c r="P40" s="15">
        <f t="shared" si="5"/>
        <v>-5.0202429149798178</v>
      </c>
      <c r="Q40" s="91">
        <f t="shared" si="6"/>
        <v>0.96025641025640973</v>
      </c>
      <c r="R40" s="177"/>
      <c r="S40" s="21">
        <v>0.53263888888888877</v>
      </c>
      <c r="T40" s="21">
        <v>0.58680555555555547</v>
      </c>
      <c r="U40" s="88">
        <f t="shared" si="30"/>
        <v>57.999999999999957</v>
      </c>
      <c r="V40" s="30">
        <f t="shared" si="29"/>
        <v>78.000000000000043</v>
      </c>
      <c r="W40" s="16"/>
      <c r="X40" s="16"/>
      <c r="Y40" s="16"/>
      <c r="Z40" s="16"/>
      <c r="AA40" s="168"/>
      <c r="AB40" s="168"/>
      <c r="AC40" s="18"/>
      <c r="AD40" s="18"/>
      <c r="AE40" s="14">
        <f t="shared" si="8"/>
        <v>-95.384615384616609</v>
      </c>
      <c r="AF40" s="91">
        <f t="shared" si="9"/>
        <v>0.96025641025640973</v>
      </c>
      <c r="AG40" s="177"/>
    </row>
    <row r="41" spans="1:33">
      <c r="A41" s="192" t="s">
        <v>1182</v>
      </c>
      <c r="B41" s="28" t="s">
        <v>22</v>
      </c>
      <c r="C41" s="169" t="s">
        <v>70</v>
      </c>
      <c r="D41" s="169"/>
      <c r="E41" s="28">
        <v>22.69</v>
      </c>
      <c r="F41" s="88">
        <v>2425</v>
      </c>
      <c r="G41" s="88">
        <f t="shared" si="27"/>
        <v>55023.25</v>
      </c>
      <c r="H41" s="30" t="s">
        <v>53</v>
      </c>
      <c r="I41" s="95">
        <v>15</v>
      </c>
      <c r="J41" s="13">
        <v>2400</v>
      </c>
      <c r="K41" s="12">
        <f t="shared" si="1"/>
        <v>160</v>
      </c>
      <c r="L41" s="95">
        <v>15</v>
      </c>
      <c r="M41" s="13">
        <f t="shared" si="28"/>
        <v>2309.5238095238119</v>
      </c>
      <c r="N41" s="12">
        <f t="shared" si="3"/>
        <v>153.96825396825412</v>
      </c>
      <c r="O41" s="14">
        <f t="shared" si="4"/>
        <v>0</v>
      </c>
      <c r="P41" s="15">
        <f t="shared" si="5"/>
        <v>-6.0317460317458824</v>
      </c>
      <c r="Q41" s="91">
        <f t="shared" si="6"/>
        <v>0.96230158730158821</v>
      </c>
      <c r="R41" s="177"/>
      <c r="S41" s="21">
        <v>0.59236111111111101</v>
      </c>
      <c r="T41" s="21">
        <v>0.63611111111111096</v>
      </c>
      <c r="U41" s="88">
        <f t="shared" si="30"/>
        <v>7.9999999999999716</v>
      </c>
      <c r="V41" s="30">
        <f t="shared" si="29"/>
        <v>62.999999999999936</v>
      </c>
      <c r="W41" s="16"/>
      <c r="X41" s="16"/>
      <c r="Y41" s="19"/>
      <c r="Z41" s="19"/>
      <c r="AA41" s="172"/>
      <c r="AB41" s="173"/>
      <c r="AC41" s="18"/>
      <c r="AD41" s="18"/>
      <c r="AE41" s="14">
        <f t="shared" si="8"/>
        <v>-90.476190476188094</v>
      </c>
      <c r="AF41" s="91">
        <f t="shared" si="9"/>
        <v>0.96230158730158832</v>
      </c>
      <c r="AG41" s="177"/>
    </row>
    <row r="42" spans="1:33">
      <c r="A42" s="192" t="s">
        <v>1182</v>
      </c>
      <c r="B42" s="28" t="s">
        <v>22</v>
      </c>
      <c r="C42" s="169" t="s">
        <v>28</v>
      </c>
      <c r="D42" s="169"/>
      <c r="E42" s="28">
        <v>26.2</v>
      </c>
      <c r="F42" s="88">
        <v>3481</v>
      </c>
      <c r="G42" s="88">
        <f t="shared" si="27"/>
        <v>91202.2</v>
      </c>
      <c r="H42" s="30" t="s">
        <v>53</v>
      </c>
      <c r="I42" s="95">
        <v>18</v>
      </c>
      <c r="J42" s="13">
        <v>2400</v>
      </c>
      <c r="K42" s="12">
        <f t="shared" si="1"/>
        <v>133.33333333333334</v>
      </c>
      <c r="L42" s="95">
        <v>18</v>
      </c>
      <c r="M42" s="13">
        <f t="shared" si="28"/>
        <v>2295.1648351648355</v>
      </c>
      <c r="N42" s="12">
        <f t="shared" si="3"/>
        <v>127.50915750915753</v>
      </c>
      <c r="O42" s="14">
        <f t="shared" si="4"/>
        <v>0</v>
      </c>
      <c r="P42" s="15">
        <f t="shared" si="5"/>
        <v>-5.8241758241758106</v>
      </c>
      <c r="Q42" s="91">
        <f t="shared" si="6"/>
        <v>0.95631868131868147</v>
      </c>
      <c r="R42" s="177"/>
      <c r="S42" s="21">
        <v>0.64027777777777761</v>
      </c>
      <c r="T42" s="21">
        <v>0.70347222222222205</v>
      </c>
      <c r="U42" s="88">
        <f t="shared" si="30"/>
        <v>5.9999999999999787</v>
      </c>
      <c r="V42" s="30">
        <f t="shared" si="29"/>
        <v>91</v>
      </c>
      <c r="W42" s="16"/>
      <c r="X42" s="16"/>
      <c r="Y42" s="19"/>
      <c r="Z42" s="19"/>
      <c r="AA42" s="172"/>
      <c r="AB42" s="173"/>
      <c r="AC42" s="18"/>
      <c r="AD42" s="18"/>
      <c r="AE42" s="14">
        <f t="shared" si="8"/>
        <v>-104.83516483516451</v>
      </c>
      <c r="AF42" s="91">
        <f t="shared" si="9"/>
        <v>0.95631868131868147</v>
      </c>
      <c r="AG42" s="177"/>
    </row>
    <row r="43" spans="1:33">
      <c r="A43" s="192" t="s">
        <v>1182</v>
      </c>
      <c r="B43" s="12" t="s">
        <v>1183</v>
      </c>
      <c r="C43" s="178"/>
      <c r="D43" s="178"/>
      <c r="E43" s="92"/>
      <c r="F43" s="12"/>
      <c r="G43" s="12"/>
      <c r="H43" s="88"/>
      <c r="I43" s="23">
        <v>17.5</v>
      </c>
      <c r="J43" s="13">
        <v>2400</v>
      </c>
      <c r="K43" s="12">
        <f t="shared" si="1"/>
        <v>137.14285714285714</v>
      </c>
      <c r="L43" s="23">
        <v>17.5</v>
      </c>
      <c r="M43" s="13">
        <f>AVERAGE(M35:M42)</f>
        <v>2298.0173082760102</v>
      </c>
      <c r="N43" s="12">
        <f t="shared" si="3"/>
        <v>131.31527475862916</v>
      </c>
      <c r="O43" s="14">
        <f t="shared" si="4"/>
        <v>0</v>
      </c>
      <c r="P43" s="15">
        <f t="shared" si="5"/>
        <v>-5.8275823842279806</v>
      </c>
      <c r="Q43" s="91">
        <f t="shared" si="6"/>
        <v>0.95750721178167097</v>
      </c>
      <c r="R43" s="177"/>
      <c r="S43" s="21"/>
      <c r="T43" s="21"/>
      <c r="U43" s="12"/>
      <c r="V43" s="30"/>
      <c r="W43" s="12"/>
      <c r="X43" s="12"/>
      <c r="Y43" s="24">
        <f>SUM(Y35:Y42)</f>
        <v>0</v>
      </c>
      <c r="Z43" s="24">
        <f>SUM(Z35:Z42)</f>
        <v>0</v>
      </c>
      <c r="AA43" s="167"/>
      <c r="AB43" s="167"/>
      <c r="AC43" s="24">
        <v>8</v>
      </c>
      <c r="AD43" s="24">
        <f>SUM(AD35:AD42)</f>
        <v>0</v>
      </c>
      <c r="AE43" s="14">
        <f t="shared" si="8"/>
        <v>-101.98269172398977</v>
      </c>
      <c r="AF43" s="91">
        <f t="shared" si="9"/>
        <v>0.95750721178167097</v>
      </c>
      <c r="AG43" s="177"/>
    </row>
    <row r="44" spans="1:33" ht="15.75" customHeight="1">
      <c r="A44" s="188" t="s">
        <v>1184</v>
      </c>
      <c r="B44" s="28" t="s">
        <v>33</v>
      </c>
      <c r="C44" s="170" t="s">
        <v>72</v>
      </c>
      <c r="D44" s="171"/>
      <c r="E44" s="28">
        <v>34.35</v>
      </c>
      <c r="F44" s="88">
        <v>3194</v>
      </c>
      <c r="G44" s="88">
        <f t="shared" ref="G44:G48" si="31">E44*F44</f>
        <v>109713.90000000001</v>
      </c>
      <c r="H44" s="30" t="s">
        <v>53</v>
      </c>
      <c r="I44" s="95">
        <v>8</v>
      </c>
      <c r="J44" s="13">
        <v>3000</v>
      </c>
      <c r="K44" s="12">
        <f t="shared" si="1"/>
        <v>375</v>
      </c>
      <c r="L44" s="95">
        <v>8</v>
      </c>
      <c r="M44" s="13">
        <f t="shared" ref="M44:M48" si="32">F44/V44*60</f>
        <v>2860.2985074626881</v>
      </c>
      <c r="N44" s="13">
        <f t="shared" si="3"/>
        <v>357.53731343283602</v>
      </c>
      <c r="O44" s="14">
        <f t="shared" si="4"/>
        <v>0</v>
      </c>
      <c r="P44" s="15">
        <f t="shared" si="5"/>
        <v>-17.462686567163985</v>
      </c>
      <c r="Q44" s="91">
        <f t="shared" si="6"/>
        <v>0.953432835820896</v>
      </c>
      <c r="R44" s="183">
        <f>Q49</f>
        <v>0.95412914643951308</v>
      </c>
      <c r="S44" s="21">
        <v>8.3333333333333329E-2</v>
      </c>
      <c r="T44" s="21">
        <v>0.12986111111111109</v>
      </c>
      <c r="U44" s="21"/>
      <c r="V44" s="30">
        <f t="shared" ref="V44:V48" si="33">(T44-S44)*24*60</f>
        <v>66.999999999999972</v>
      </c>
      <c r="W44" s="16">
        <f>T44</f>
        <v>0.12986111111111109</v>
      </c>
      <c r="X44" s="16">
        <f>S45</f>
        <v>0.14930555555555555</v>
      </c>
      <c r="Y44" s="19"/>
      <c r="Z44" s="19"/>
      <c r="AA44" s="172"/>
      <c r="AB44" s="173"/>
      <c r="AC44" s="18">
        <v>5</v>
      </c>
      <c r="AD44" s="18"/>
      <c r="AE44" s="14">
        <f t="shared" si="8"/>
        <v>-139.70149253731188</v>
      </c>
      <c r="AF44" s="91">
        <f t="shared" si="9"/>
        <v>0.953432835820896</v>
      </c>
      <c r="AG44" s="183">
        <f>AF49</f>
        <v>0.95412914643951308</v>
      </c>
    </row>
    <row r="45" spans="1:33" ht="15.75" customHeight="1">
      <c r="A45" s="189" t="s">
        <v>1184</v>
      </c>
      <c r="B45" s="28" t="s">
        <v>33</v>
      </c>
      <c r="C45" s="170" t="s">
        <v>36</v>
      </c>
      <c r="D45" s="171"/>
      <c r="E45" s="28">
        <v>21.13</v>
      </c>
      <c r="F45" s="88">
        <v>6565</v>
      </c>
      <c r="G45" s="88">
        <f t="shared" si="31"/>
        <v>138718.44999999998</v>
      </c>
      <c r="H45" s="30" t="s">
        <v>53</v>
      </c>
      <c r="I45" s="95">
        <v>10</v>
      </c>
      <c r="J45" s="13">
        <v>3000</v>
      </c>
      <c r="K45" s="12">
        <f t="shared" si="1"/>
        <v>300</v>
      </c>
      <c r="L45" s="95">
        <v>10</v>
      </c>
      <c r="M45" s="13">
        <f t="shared" si="32"/>
        <v>2854.3478260869565</v>
      </c>
      <c r="N45" s="13">
        <f t="shared" si="3"/>
        <v>285.43478260869563</v>
      </c>
      <c r="O45" s="14">
        <f t="shared" si="4"/>
        <v>0</v>
      </c>
      <c r="P45" s="15">
        <f t="shared" si="5"/>
        <v>-14.565217391304373</v>
      </c>
      <c r="Q45" s="91">
        <f t="shared" si="6"/>
        <v>0.95144927536231871</v>
      </c>
      <c r="R45" s="184"/>
      <c r="S45" s="21">
        <v>0.14930555555555555</v>
      </c>
      <c r="T45" s="21">
        <v>0.24513888888888888</v>
      </c>
      <c r="U45" s="88">
        <f t="shared" ref="U45:U48" si="34">(S45-T44)*24*60</f>
        <v>28.000000000000021</v>
      </c>
      <c r="V45" s="30">
        <f t="shared" si="33"/>
        <v>138</v>
      </c>
      <c r="W45" s="16"/>
      <c r="X45" s="16"/>
      <c r="Y45" s="19"/>
      <c r="Z45" s="19"/>
      <c r="AA45" s="172"/>
      <c r="AB45" s="173"/>
      <c r="AC45" s="18"/>
      <c r="AD45" s="18"/>
      <c r="AE45" s="14">
        <f t="shared" si="8"/>
        <v>-145.6521739130435</v>
      </c>
      <c r="AF45" s="91">
        <f t="shared" si="9"/>
        <v>0.95144927536231882</v>
      </c>
      <c r="AG45" s="184"/>
    </row>
    <row r="46" spans="1:33" ht="15.75" customHeight="1">
      <c r="A46" s="189" t="s">
        <v>587</v>
      </c>
      <c r="B46" s="28" t="s">
        <v>33</v>
      </c>
      <c r="C46" s="170" t="s">
        <v>37</v>
      </c>
      <c r="D46" s="171"/>
      <c r="E46" s="28">
        <v>27.17</v>
      </c>
      <c r="F46" s="88">
        <v>8460</v>
      </c>
      <c r="G46" s="88">
        <f t="shared" si="31"/>
        <v>229858.2</v>
      </c>
      <c r="H46" s="30" t="s">
        <v>53</v>
      </c>
      <c r="I46" s="95">
        <v>10</v>
      </c>
      <c r="J46" s="13">
        <v>3000</v>
      </c>
      <c r="K46" s="12">
        <f t="shared" si="1"/>
        <v>300</v>
      </c>
      <c r="L46" s="95">
        <v>10</v>
      </c>
      <c r="M46" s="13">
        <f t="shared" si="32"/>
        <v>2867.7966101694906</v>
      </c>
      <c r="N46" s="13">
        <f t="shared" si="3"/>
        <v>286.77966101694904</v>
      </c>
      <c r="O46" s="14">
        <f t="shared" si="4"/>
        <v>0</v>
      </c>
      <c r="P46" s="15">
        <f t="shared" si="5"/>
        <v>-13.220338983050965</v>
      </c>
      <c r="Q46" s="91">
        <f t="shared" si="6"/>
        <v>0.95593220338983009</v>
      </c>
      <c r="R46" s="184"/>
      <c r="S46" s="21">
        <v>0.24861111111111109</v>
      </c>
      <c r="T46" s="21">
        <v>0.37152777777777779</v>
      </c>
      <c r="U46" s="88">
        <f t="shared" si="34"/>
        <v>4.9999999999999822</v>
      </c>
      <c r="V46" s="30">
        <f t="shared" si="33"/>
        <v>177.00000000000006</v>
      </c>
      <c r="W46" s="16"/>
      <c r="X46" s="16"/>
      <c r="Y46" s="19"/>
      <c r="Z46" s="19"/>
      <c r="AA46" s="172"/>
      <c r="AB46" s="173"/>
      <c r="AC46" s="18"/>
      <c r="AD46" s="18"/>
      <c r="AE46" s="14">
        <f t="shared" si="8"/>
        <v>-132.20338983050942</v>
      </c>
      <c r="AF46" s="91">
        <f t="shared" si="9"/>
        <v>0.9559322033898302</v>
      </c>
      <c r="AG46" s="184"/>
    </row>
    <row r="47" spans="1:33" ht="15.75" customHeight="1">
      <c r="A47" s="189" t="s">
        <v>1184</v>
      </c>
      <c r="B47" s="28" t="s">
        <v>33</v>
      </c>
      <c r="C47" s="170" t="s">
        <v>38</v>
      </c>
      <c r="D47" s="171"/>
      <c r="E47" s="28">
        <v>35.869999999999997</v>
      </c>
      <c r="F47" s="88">
        <v>4282</v>
      </c>
      <c r="G47" s="88">
        <f t="shared" si="31"/>
        <v>153595.34</v>
      </c>
      <c r="H47" s="30" t="s">
        <v>53</v>
      </c>
      <c r="I47" s="95">
        <v>9</v>
      </c>
      <c r="J47" s="13">
        <v>3000</v>
      </c>
      <c r="K47" s="12">
        <f t="shared" si="1"/>
        <v>333.33333333333331</v>
      </c>
      <c r="L47" s="95">
        <v>9</v>
      </c>
      <c r="M47" s="13">
        <f t="shared" si="32"/>
        <v>2854.6666666666665</v>
      </c>
      <c r="N47" s="13">
        <f t="shared" si="3"/>
        <v>317.18518518518516</v>
      </c>
      <c r="O47" s="14">
        <f t="shared" si="4"/>
        <v>0</v>
      </c>
      <c r="P47" s="15">
        <f t="shared" si="5"/>
        <v>-16.148148148148152</v>
      </c>
      <c r="Q47" s="91">
        <f t="shared" si="6"/>
        <v>0.95155555555555549</v>
      </c>
      <c r="R47" s="184"/>
      <c r="S47" s="21">
        <v>0.375</v>
      </c>
      <c r="T47" s="21">
        <v>0.4375</v>
      </c>
      <c r="U47" s="88">
        <f t="shared" si="34"/>
        <v>4.9999999999999822</v>
      </c>
      <c r="V47" s="30">
        <f t="shared" si="33"/>
        <v>90</v>
      </c>
      <c r="W47" s="16"/>
      <c r="X47" s="16"/>
      <c r="Y47" s="19"/>
      <c r="Z47" s="19"/>
      <c r="AA47" s="172"/>
      <c r="AB47" s="173"/>
      <c r="AC47" s="18"/>
      <c r="AD47" s="18"/>
      <c r="AE47" s="14">
        <f t="shared" si="8"/>
        <v>-145.33333333333348</v>
      </c>
      <c r="AF47" s="91">
        <f t="shared" si="9"/>
        <v>0.95155555555555549</v>
      </c>
      <c r="AG47" s="184"/>
    </row>
    <row r="48" spans="1:33" ht="15.75" customHeight="1">
      <c r="A48" s="189" t="s">
        <v>1184</v>
      </c>
      <c r="B48" s="28" t="s">
        <v>33</v>
      </c>
      <c r="C48" s="170" t="s">
        <v>756</v>
      </c>
      <c r="D48" s="171"/>
      <c r="E48" s="28">
        <v>37.880000000000003</v>
      </c>
      <c r="F48" s="88">
        <v>5558</v>
      </c>
      <c r="G48" s="88">
        <f t="shared" si="31"/>
        <v>210537.04</v>
      </c>
      <c r="H48" s="30" t="s">
        <v>53</v>
      </c>
      <c r="I48" s="95">
        <v>10</v>
      </c>
      <c r="J48" s="13">
        <v>3000</v>
      </c>
      <c r="K48" s="12">
        <f t="shared" si="1"/>
        <v>300</v>
      </c>
      <c r="L48" s="95">
        <v>10</v>
      </c>
      <c r="M48" s="13">
        <f t="shared" si="32"/>
        <v>2874.8275862068949</v>
      </c>
      <c r="N48" s="13">
        <f t="shared" si="3"/>
        <v>287.48275862068948</v>
      </c>
      <c r="O48" s="14">
        <f t="shared" si="4"/>
        <v>0</v>
      </c>
      <c r="P48" s="15">
        <f t="shared" si="5"/>
        <v>-12.517241379310519</v>
      </c>
      <c r="Q48" s="91">
        <f t="shared" si="6"/>
        <v>0.95827586206896498</v>
      </c>
      <c r="R48" s="184"/>
      <c r="S48" s="21">
        <v>0.44305555555555554</v>
      </c>
      <c r="T48" s="21">
        <v>0.52361111111111114</v>
      </c>
      <c r="U48" s="88">
        <f t="shared" si="34"/>
        <v>7.9999999999999716</v>
      </c>
      <c r="V48" s="30">
        <f t="shared" si="33"/>
        <v>116.00000000000007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-125.17241379310508</v>
      </c>
      <c r="AF48" s="91">
        <f t="shared" si="9"/>
        <v>0.95827586206896498</v>
      </c>
      <c r="AG48" s="184"/>
    </row>
    <row r="49" spans="1:33" ht="15.75" customHeight="1">
      <c r="A49" s="190" t="s">
        <v>1185</v>
      </c>
      <c r="B49" s="28" t="s">
        <v>1183</v>
      </c>
      <c r="C49" s="165"/>
      <c r="D49" s="166"/>
      <c r="E49" s="89"/>
      <c r="F49" s="88"/>
      <c r="G49" s="88"/>
      <c r="H49" s="88"/>
      <c r="I49" s="23">
        <v>9.4</v>
      </c>
      <c r="J49" s="13">
        <v>3000</v>
      </c>
      <c r="K49" s="12">
        <f t="shared" si="1"/>
        <v>319.14893617021278</v>
      </c>
      <c r="L49" s="23">
        <v>9.4</v>
      </c>
      <c r="M49" s="13">
        <f>AVERAGE(M44:M48)</f>
        <v>2862.3874393185392</v>
      </c>
      <c r="N49" s="12">
        <f t="shared" si="3"/>
        <v>304.50930205516374</v>
      </c>
      <c r="O49" s="14">
        <f t="shared" si="4"/>
        <v>0</v>
      </c>
      <c r="P49" s="15">
        <f t="shared" si="5"/>
        <v>-14.639634115049034</v>
      </c>
      <c r="Q49" s="91">
        <f t="shared" si="6"/>
        <v>0.95412914643951308</v>
      </c>
      <c r="R49" s="185"/>
      <c r="S49" s="21"/>
      <c r="T49" s="21"/>
      <c r="U49" s="88"/>
      <c r="V49" s="30"/>
      <c r="W49" s="16"/>
      <c r="X49" s="16"/>
      <c r="Y49" s="24">
        <f>SUM(Y44:Y48)</f>
        <v>0</v>
      </c>
      <c r="Z49" s="24">
        <f>SUM(Z44:Z48)</f>
        <v>0</v>
      </c>
      <c r="AA49" s="186"/>
      <c r="AB49" s="187"/>
      <c r="AC49" s="24">
        <v>5</v>
      </c>
      <c r="AD49" s="24">
        <f>SUM(AD44:AD48)</f>
        <v>0</v>
      </c>
      <c r="AE49" s="14">
        <f t="shared" si="8"/>
        <v>-137.61256068146076</v>
      </c>
      <c r="AF49" s="91">
        <f t="shared" si="9"/>
        <v>0.95412914643951308</v>
      </c>
      <c r="AG49" s="185"/>
    </row>
    <row r="50" spans="1:33" ht="15.75" customHeight="1">
      <c r="A50" s="181" t="s">
        <v>589</v>
      </c>
      <c r="B50" s="28" t="s">
        <v>9</v>
      </c>
      <c r="C50" s="169" t="s">
        <v>39</v>
      </c>
      <c r="D50" s="169"/>
      <c r="E50" s="28">
        <v>46</v>
      </c>
      <c r="F50" s="29">
        <v>2835</v>
      </c>
      <c r="G50" s="88">
        <f t="shared" ref="G50:G55" si="35">E50*F50</f>
        <v>130410</v>
      </c>
      <c r="H50" s="30" t="s">
        <v>53</v>
      </c>
      <c r="I50" s="95">
        <v>17</v>
      </c>
      <c r="J50" s="13">
        <v>2000</v>
      </c>
      <c r="K50" s="12">
        <f t="shared" si="1"/>
        <v>117.64705882352941</v>
      </c>
      <c r="L50" s="95">
        <v>17</v>
      </c>
      <c r="M50" s="13">
        <f t="shared" ref="M50" si="36">F50/V50*60</f>
        <v>1911.2359550561787</v>
      </c>
      <c r="N50" s="13">
        <f t="shared" si="3"/>
        <v>112.42564441506933</v>
      </c>
      <c r="O50" s="14">
        <f t="shared" si="4"/>
        <v>0</v>
      </c>
      <c r="P50" s="15">
        <f t="shared" si="5"/>
        <v>-5.2214144084600775</v>
      </c>
      <c r="Q50" s="91">
        <f t="shared" si="6"/>
        <v>0.9556179775280893</v>
      </c>
      <c r="R50" s="177">
        <f>Q56</f>
        <v>0.96131357830929698</v>
      </c>
      <c r="S50" s="21">
        <v>0.20833333333333334</v>
      </c>
      <c r="T50" s="21">
        <v>0.27013888888888893</v>
      </c>
      <c r="U50" s="21"/>
      <c r="V50" s="30">
        <f t="shared" ref="V50:V55" si="37">(T50-S50)*24*60</f>
        <v>89.000000000000043</v>
      </c>
      <c r="W50" s="21"/>
      <c r="X50" s="21"/>
      <c r="Y50" s="21"/>
      <c r="Z50" s="21"/>
      <c r="AA50" s="168"/>
      <c r="AB50" s="168"/>
      <c r="AC50" s="18">
        <v>6</v>
      </c>
      <c r="AD50" s="18"/>
      <c r="AE50" s="14">
        <f t="shared" si="8"/>
        <v>-88.764044943821318</v>
      </c>
      <c r="AF50" s="91">
        <f t="shared" si="9"/>
        <v>0.9556179775280893</v>
      </c>
      <c r="AG50" s="177">
        <f>AF56</f>
        <v>0.96131357830929709</v>
      </c>
    </row>
    <row r="51" spans="1:33" ht="15.75" customHeight="1">
      <c r="A51" s="181" t="s">
        <v>1186</v>
      </c>
      <c r="B51" s="28" t="s">
        <v>5</v>
      </c>
      <c r="C51" s="169" t="s">
        <v>40</v>
      </c>
      <c r="D51" s="169"/>
      <c r="E51" s="28">
        <v>56.43</v>
      </c>
      <c r="F51" s="29">
        <v>1883</v>
      </c>
      <c r="G51" s="88">
        <f t="shared" si="35"/>
        <v>106257.69</v>
      </c>
      <c r="H51" s="30" t="s">
        <v>53</v>
      </c>
      <c r="I51" s="95">
        <v>22</v>
      </c>
      <c r="J51" s="13">
        <v>2000</v>
      </c>
      <c r="K51" s="12">
        <f t="shared" si="1"/>
        <v>90.909090909090907</v>
      </c>
      <c r="L51" s="95">
        <v>22</v>
      </c>
      <c r="M51" s="13">
        <f>F51/V51*60</f>
        <v>1914.9152542372872</v>
      </c>
      <c r="N51" s="13">
        <f t="shared" si="3"/>
        <v>87.041602465331238</v>
      </c>
      <c r="O51" s="14">
        <f t="shared" si="4"/>
        <v>0</v>
      </c>
      <c r="P51" s="15">
        <f t="shared" si="5"/>
        <v>-3.8674884437596688</v>
      </c>
      <c r="Q51" s="91">
        <f t="shared" si="6"/>
        <v>0.95745762711864368</v>
      </c>
      <c r="R51" s="177"/>
      <c r="S51" s="21">
        <v>0.27500000000000002</v>
      </c>
      <c r="T51" s="21">
        <v>0.31597222222222227</v>
      </c>
      <c r="U51" s="88">
        <f t="shared" ref="U51:U55" si="38">IF(S51=TIME(17,0,0),"",(S51-T50)*24*60)</f>
        <v>6.9999999999999751</v>
      </c>
      <c r="V51" s="30">
        <f t="shared" si="37"/>
        <v>59.000000000000028</v>
      </c>
      <c r="W51" s="16"/>
      <c r="X51" s="16"/>
      <c r="Y51" s="16"/>
      <c r="Z51" s="16"/>
      <c r="AA51" s="168"/>
      <c r="AB51" s="168"/>
      <c r="AC51" s="18"/>
      <c r="AD51" s="18"/>
      <c r="AE51" s="14">
        <f t="shared" si="8"/>
        <v>-85.084745762712828</v>
      </c>
      <c r="AF51" s="91">
        <f t="shared" si="9"/>
        <v>0.95745762711864357</v>
      </c>
      <c r="AG51" s="177"/>
    </row>
    <row r="52" spans="1:33" ht="15.75" customHeight="1">
      <c r="A52" s="181" t="s">
        <v>1186</v>
      </c>
      <c r="B52" s="28" t="s">
        <v>5</v>
      </c>
      <c r="C52" s="170" t="s">
        <v>41</v>
      </c>
      <c r="D52" s="171"/>
      <c r="E52" s="28">
        <v>51.75</v>
      </c>
      <c r="F52" s="29">
        <v>1132</v>
      </c>
      <c r="G52" s="88">
        <f t="shared" si="35"/>
        <v>58581</v>
      </c>
      <c r="H52" s="30" t="s">
        <v>53</v>
      </c>
      <c r="I52" s="95">
        <v>25</v>
      </c>
      <c r="J52" s="13">
        <v>2000</v>
      </c>
      <c r="K52" s="12">
        <f t="shared" si="1"/>
        <v>80</v>
      </c>
      <c r="L52" s="95">
        <v>25</v>
      </c>
      <c r="M52" s="13">
        <f t="shared" ref="M52:M55" si="39">F52/V52*60</f>
        <v>1940.5714285714268</v>
      </c>
      <c r="N52" s="13">
        <f t="shared" si="3"/>
        <v>77.622857142857072</v>
      </c>
      <c r="O52" s="14">
        <f t="shared" si="4"/>
        <v>0</v>
      </c>
      <c r="P52" s="15">
        <f t="shared" si="5"/>
        <v>-2.3771428571429283</v>
      </c>
      <c r="Q52" s="91">
        <f t="shared" si="6"/>
        <v>0.97028571428571342</v>
      </c>
      <c r="R52" s="177"/>
      <c r="S52" s="21">
        <v>0.31944444444444448</v>
      </c>
      <c r="T52" s="21">
        <v>0.34375000000000006</v>
      </c>
      <c r="U52" s="88">
        <f t="shared" si="38"/>
        <v>4.9999999999999822</v>
      </c>
      <c r="V52" s="30">
        <f t="shared" si="37"/>
        <v>35.000000000000036</v>
      </c>
      <c r="W52" s="16"/>
      <c r="X52" s="16"/>
      <c r="Y52" s="19"/>
      <c r="Z52" s="19"/>
      <c r="AA52" s="168"/>
      <c r="AB52" s="168"/>
      <c r="AC52" s="18"/>
      <c r="AD52" s="18"/>
      <c r="AE52" s="14">
        <f t="shared" si="8"/>
        <v>-59.42857142857315</v>
      </c>
      <c r="AF52" s="91">
        <f t="shared" si="9"/>
        <v>0.97028571428571342</v>
      </c>
      <c r="AG52" s="177"/>
    </row>
    <row r="53" spans="1:33" ht="15.75" customHeight="1">
      <c r="A53" s="181" t="s">
        <v>1186</v>
      </c>
      <c r="B53" s="28" t="s">
        <v>5</v>
      </c>
      <c r="C53" s="93" t="s">
        <v>42</v>
      </c>
      <c r="D53" s="94"/>
      <c r="E53" s="28">
        <v>57.73</v>
      </c>
      <c r="F53" s="29">
        <v>1134</v>
      </c>
      <c r="G53" s="88">
        <f t="shared" si="35"/>
        <v>65465.82</v>
      </c>
      <c r="H53" s="30" t="s">
        <v>53</v>
      </c>
      <c r="I53" s="95">
        <v>16</v>
      </c>
      <c r="J53" s="13">
        <v>1500</v>
      </c>
      <c r="K53" s="12">
        <f t="shared" si="1"/>
        <v>93.75</v>
      </c>
      <c r="L53" s="95">
        <v>16</v>
      </c>
      <c r="M53" s="13">
        <f t="shared" si="39"/>
        <v>1447.6595744680853</v>
      </c>
      <c r="N53" s="13">
        <f t="shared" si="3"/>
        <v>90.478723404255334</v>
      </c>
      <c r="O53" s="14">
        <f t="shared" si="4"/>
        <v>0</v>
      </c>
      <c r="P53" s="15">
        <f t="shared" si="5"/>
        <v>-3.2712765957446663</v>
      </c>
      <c r="Q53" s="91">
        <f t="shared" si="6"/>
        <v>0.96510638297872353</v>
      </c>
      <c r="R53" s="177"/>
      <c r="S53" s="21">
        <v>0.70833333333333337</v>
      </c>
      <c r="T53" s="21">
        <v>0.74097222222222225</v>
      </c>
      <c r="U53" s="88" t="str">
        <f t="shared" si="38"/>
        <v/>
      </c>
      <c r="V53" s="30">
        <f t="shared" si="37"/>
        <v>46.999999999999993</v>
      </c>
      <c r="W53" s="16"/>
      <c r="X53" s="16"/>
      <c r="Y53" s="19"/>
      <c r="Z53" s="19"/>
      <c r="AA53" s="168"/>
      <c r="AB53" s="168"/>
      <c r="AC53" s="18"/>
      <c r="AD53" s="18"/>
      <c r="AE53" s="14">
        <f t="shared" si="8"/>
        <v>-52.340425531914661</v>
      </c>
      <c r="AF53" s="91">
        <f t="shared" si="9"/>
        <v>0.96510638297872353</v>
      </c>
      <c r="AG53" s="177"/>
    </row>
    <row r="54" spans="1:33" ht="15.75" customHeight="1">
      <c r="A54" s="181" t="s">
        <v>1186</v>
      </c>
      <c r="B54" s="28" t="s">
        <v>5</v>
      </c>
      <c r="C54" s="93" t="s">
        <v>44</v>
      </c>
      <c r="D54" s="94"/>
      <c r="E54" s="28">
        <v>55.56</v>
      </c>
      <c r="F54" s="29">
        <v>2357</v>
      </c>
      <c r="G54" s="88">
        <f t="shared" si="35"/>
        <v>130954.92</v>
      </c>
      <c r="H54" s="30" t="s">
        <v>53</v>
      </c>
      <c r="I54" s="95">
        <v>17</v>
      </c>
      <c r="J54" s="13">
        <v>2000</v>
      </c>
      <c r="K54" s="12">
        <f t="shared" si="1"/>
        <v>117.64705882352941</v>
      </c>
      <c r="L54" s="95">
        <v>17</v>
      </c>
      <c r="M54" s="13">
        <f t="shared" si="39"/>
        <v>1911.0810810810794</v>
      </c>
      <c r="N54" s="13">
        <f t="shared" si="3"/>
        <v>112.41653418123997</v>
      </c>
      <c r="O54" s="14">
        <f t="shared" si="4"/>
        <v>0</v>
      </c>
      <c r="P54" s="15">
        <f t="shared" si="5"/>
        <v>-5.2305246422894385</v>
      </c>
      <c r="Q54" s="91">
        <f t="shared" si="6"/>
        <v>0.95554054054053972</v>
      </c>
      <c r="R54" s="177"/>
      <c r="S54" s="21">
        <v>0.74513888888888891</v>
      </c>
      <c r="T54" s="21">
        <v>0.79652777777777783</v>
      </c>
      <c r="U54" s="88">
        <f t="shared" si="38"/>
        <v>5.9999999999999787</v>
      </c>
      <c r="V54" s="30">
        <f t="shared" si="37"/>
        <v>74.000000000000057</v>
      </c>
      <c r="W54" s="16"/>
      <c r="X54" s="16"/>
      <c r="Y54" s="19"/>
      <c r="Z54" s="19"/>
      <c r="AA54" s="168"/>
      <c r="AB54" s="168"/>
      <c r="AC54" s="18"/>
      <c r="AD54" s="18"/>
      <c r="AE54" s="14">
        <f t="shared" si="8"/>
        <v>-88.918918918920554</v>
      </c>
      <c r="AF54" s="91">
        <f t="shared" si="9"/>
        <v>0.95554054054053972</v>
      </c>
      <c r="AG54" s="177"/>
    </row>
    <row r="55" spans="1:33" ht="15.75" customHeight="1">
      <c r="A55" s="181" t="s">
        <v>1186</v>
      </c>
      <c r="B55" s="28" t="s">
        <v>5</v>
      </c>
      <c r="C55" s="170" t="s">
        <v>45</v>
      </c>
      <c r="D55" s="171"/>
      <c r="E55" s="28">
        <v>55.32</v>
      </c>
      <c r="F55" s="29">
        <v>1801</v>
      </c>
      <c r="G55" s="88">
        <f t="shared" si="35"/>
        <v>99631.32</v>
      </c>
      <c r="H55" s="30" t="s">
        <v>53</v>
      </c>
      <c r="I55" s="95">
        <v>15</v>
      </c>
      <c r="J55" s="13">
        <v>2000</v>
      </c>
      <c r="K55" s="12">
        <f t="shared" si="1"/>
        <v>133.33333333333334</v>
      </c>
      <c r="L55" s="95">
        <v>15</v>
      </c>
      <c r="M55" s="13">
        <f t="shared" si="39"/>
        <v>1929.6428571428587</v>
      </c>
      <c r="N55" s="13">
        <f t="shared" si="3"/>
        <v>128.64285714285725</v>
      </c>
      <c r="O55" s="14">
        <f t="shared" si="4"/>
        <v>0</v>
      </c>
      <c r="P55" s="15">
        <f t="shared" si="5"/>
        <v>-4.6904761904760903</v>
      </c>
      <c r="Q55" s="91">
        <f t="shared" si="6"/>
        <v>0.96482142857142927</v>
      </c>
      <c r="R55" s="177"/>
      <c r="S55" s="21">
        <v>0.80138888888888893</v>
      </c>
      <c r="T55" s="21">
        <v>0.84027777777777779</v>
      </c>
      <c r="U55" s="88">
        <f t="shared" si="38"/>
        <v>6.9999999999999751</v>
      </c>
      <c r="V55" s="30">
        <f t="shared" si="37"/>
        <v>55.999999999999957</v>
      </c>
      <c r="W55" s="16"/>
      <c r="X55" s="16"/>
      <c r="Y55" s="19"/>
      <c r="Z55" s="19"/>
      <c r="AA55" s="172"/>
      <c r="AB55" s="173"/>
      <c r="AC55" s="18"/>
      <c r="AD55" s="18"/>
      <c r="AE55" s="14">
        <f t="shared" si="8"/>
        <v>-70.357142857141298</v>
      </c>
      <c r="AF55" s="91">
        <f t="shared" si="9"/>
        <v>0.96482142857142938</v>
      </c>
      <c r="AG55" s="177"/>
    </row>
    <row r="56" spans="1:33">
      <c r="A56" s="182" t="s">
        <v>1187</v>
      </c>
      <c r="B56" s="28" t="s">
        <v>1183</v>
      </c>
      <c r="C56" s="178"/>
      <c r="D56" s="178"/>
      <c r="E56" s="92"/>
      <c r="F56" s="12"/>
      <c r="G56" s="12"/>
      <c r="H56" s="88"/>
      <c r="I56" s="23">
        <v>18.666666666666668</v>
      </c>
      <c r="J56" s="13">
        <v>1916.6666666666667</v>
      </c>
      <c r="K56" s="12">
        <f t="shared" si="1"/>
        <v>102.67857142857143</v>
      </c>
      <c r="L56" s="23">
        <v>18.666666666666668</v>
      </c>
      <c r="M56" s="13">
        <f>AVERAGE(M50:M55)</f>
        <v>1842.5176917594861</v>
      </c>
      <c r="N56" s="12">
        <f t="shared" si="3"/>
        <v>98.706304915686744</v>
      </c>
      <c r="O56" s="14">
        <f t="shared" si="4"/>
        <v>0</v>
      </c>
      <c r="P56" s="15">
        <f t="shared" si="5"/>
        <v>-3.972266512884687</v>
      </c>
      <c r="Q56" s="91">
        <f t="shared" si="6"/>
        <v>0.96131357830929698</v>
      </c>
      <c r="R56" s="177"/>
      <c r="S56" s="21"/>
      <c r="T56" s="21"/>
      <c r="U56" s="88"/>
      <c r="V56" s="30"/>
      <c r="W56" s="12"/>
      <c r="X56" s="12"/>
      <c r="Y56" s="24">
        <f>SUM(Y50:Y55)</f>
        <v>0</v>
      </c>
      <c r="Z56" s="24">
        <f>SUM(Z50:Z55)</f>
        <v>0</v>
      </c>
      <c r="AA56" s="167"/>
      <c r="AB56" s="167"/>
      <c r="AC56" s="24">
        <v>6</v>
      </c>
      <c r="AD56" s="24">
        <f>SUM(AD50:AD55)</f>
        <v>0</v>
      </c>
      <c r="AE56" s="14">
        <f>M56-J56</f>
        <v>-74.148974907180673</v>
      </c>
      <c r="AF56" s="91">
        <f t="shared" si="9"/>
        <v>0.96131357830929709</v>
      </c>
      <c r="AG56" s="177"/>
    </row>
    <row r="57" spans="1:33" ht="15.75" customHeight="1">
      <c r="A57" s="179" t="s">
        <v>1188</v>
      </c>
      <c r="B57" s="88" t="s">
        <v>33</v>
      </c>
      <c r="C57" s="169" t="s">
        <v>46</v>
      </c>
      <c r="D57" s="169"/>
      <c r="E57" s="28">
        <v>37.85</v>
      </c>
      <c r="F57" s="29">
        <v>1286</v>
      </c>
      <c r="G57" s="88">
        <f t="shared" ref="G57:G62" si="40">E57*F57</f>
        <v>48675.1</v>
      </c>
      <c r="H57" s="30" t="s">
        <v>53</v>
      </c>
      <c r="I57" s="95">
        <v>12</v>
      </c>
      <c r="J57" s="13">
        <v>2000</v>
      </c>
      <c r="K57" s="12">
        <f t="shared" si="1"/>
        <v>166.66666666666666</v>
      </c>
      <c r="L57" s="95">
        <v>12</v>
      </c>
      <c r="M57" s="13">
        <f t="shared" ref="M57:M62" si="41">F57/V57*60</f>
        <v>1929.0000000000011</v>
      </c>
      <c r="N57" s="12">
        <f t="shared" si="3"/>
        <v>160.75000000000009</v>
      </c>
      <c r="O57" s="14">
        <f t="shared" si="4"/>
        <v>0</v>
      </c>
      <c r="P57" s="15">
        <f t="shared" si="5"/>
        <v>-5.9166666666665719</v>
      </c>
      <c r="Q57" s="91">
        <f t="shared" si="6"/>
        <v>0.96450000000000058</v>
      </c>
      <c r="R57" s="177">
        <f>Q63</f>
        <v>0.962803627894945</v>
      </c>
      <c r="S57" s="21">
        <v>0.20833333333333334</v>
      </c>
      <c r="T57" s="21">
        <v>0.2361111111111111</v>
      </c>
      <c r="U57" s="88"/>
      <c r="V57" s="30">
        <f t="shared" ref="V57:V62" si="42">(T57-S57)*24*60</f>
        <v>39.999999999999979</v>
      </c>
      <c r="W57" s="21"/>
      <c r="X57" s="21"/>
      <c r="Y57" s="21"/>
      <c r="Z57" s="21"/>
      <c r="AA57" s="168"/>
      <c r="AB57" s="168"/>
      <c r="AC57" s="18">
        <v>6</v>
      </c>
      <c r="AD57" s="18"/>
      <c r="AE57" s="14">
        <f t="shared" ref="AE57:AE71" si="43">M57-J57</f>
        <v>-70.999999999998863</v>
      </c>
      <c r="AF57" s="91">
        <f t="shared" si="9"/>
        <v>0.96450000000000058</v>
      </c>
      <c r="AG57" s="177">
        <f>AF63</f>
        <v>0.962803627894945</v>
      </c>
    </row>
    <row r="58" spans="1:33" ht="15.75" customHeight="1">
      <c r="A58" s="179" t="s">
        <v>1188</v>
      </c>
      <c r="B58" s="88" t="s">
        <v>33</v>
      </c>
      <c r="C58" s="169" t="s">
        <v>47</v>
      </c>
      <c r="D58" s="169"/>
      <c r="E58" s="28">
        <v>34.36</v>
      </c>
      <c r="F58" s="29">
        <v>2577</v>
      </c>
      <c r="G58" s="88">
        <f t="shared" si="40"/>
        <v>88545.72</v>
      </c>
      <c r="H58" s="30" t="s">
        <v>53</v>
      </c>
      <c r="I58" s="95">
        <v>10</v>
      </c>
      <c r="J58" s="13">
        <v>3000</v>
      </c>
      <c r="K58" s="12">
        <f t="shared" si="1"/>
        <v>300</v>
      </c>
      <c r="L58" s="95">
        <v>10</v>
      </c>
      <c r="M58" s="13">
        <f t="shared" si="41"/>
        <v>2863.333333333333</v>
      </c>
      <c r="N58" s="12">
        <f t="shared" si="3"/>
        <v>286.33333333333331</v>
      </c>
      <c r="O58" s="14">
        <f t="shared" si="4"/>
        <v>0</v>
      </c>
      <c r="P58" s="15">
        <f t="shared" si="5"/>
        <v>-13.666666666666686</v>
      </c>
      <c r="Q58" s="91">
        <f t="shared" si="6"/>
        <v>0.95444444444444443</v>
      </c>
      <c r="R58" s="177"/>
      <c r="S58" s="21">
        <v>0.24097222222222223</v>
      </c>
      <c r="T58" s="21">
        <v>0.27847222222222223</v>
      </c>
      <c r="U58" s="88">
        <f t="shared" ref="U58:U62" si="44">(S58-T57)*24*60</f>
        <v>7.0000000000000151</v>
      </c>
      <c r="V58" s="30">
        <f t="shared" si="42"/>
        <v>54.000000000000007</v>
      </c>
      <c r="W58" s="88"/>
      <c r="X58" s="88"/>
      <c r="Y58" s="88"/>
      <c r="Z58" s="88"/>
      <c r="AA58" s="168"/>
      <c r="AB58" s="168"/>
      <c r="AC58" s="18"/>
      <c r="AD58" s="18"/>
      <c r="AE58" s="14">
        <f t="shared" si="43"/>
        <v>-136.66666666666697</v>
      </c>
      <c r="AF58" s="91">
        <f t="shared" si="9"/>
        <v>0.95444444444444432</v>
      </c>
      <c r="AG58" s="177"/>
    </row>
    <row r="59" spans="1:33" ht="15.75" customHeight="1">
      <c r="A59" s="179" t="s">
        <v>1188</v>
      </c>
      <c r="B59" s="88" t="s">
        <v>33</v>
      </c>
      <c r="C59" s="169" t="s">
        <v>48</v>
      </c>
      <c r="D59" s="169"/>
      <c r="E59" s="28">
        <v>35.119999999999997</v>
      </c>
      <c r="F59" s="29">
        <v>6394</v>
      </c>
      <c r="G59" s="88">
        <f t="shared" si="40"/>
        <v>224557.27999999997</v>
      </c>
      <c r="H59" s="30" t="s">
        <v>53</v>
      </c>
      <c r="I59" s="95">
        <v>10</v>
      </c>
      <c r="J59" s="13">
        <v>3000</v>
      </c>
      <c r="K59" s="12">
        <f t="shared" si="1"/>
        <v>300</v>
      </c>
      <c r="L59" s="95">
        <v>10</v>
      </c>
      <c r="M59" s="13">
        <f t="shared" si="41"/>
        <v>2862.9850746268658</v>
      </c>
      <c r="N59" s="12">
        <f t="shared" si="3"/>
        <v>286.29850746268659</v>
      </c>
      <c r="O59" s="14">
        <f t="shared" si="4"/>
        <v>0</v>
      </c>
      <c r="P59" s="15">
        <f t="shared" si="5"/>
        <v>-13.701492537313413</v>
      </c>
      <c r="Q59" s="91">
        <f t="shared" si="6"/>
        <v>0.95432835820895534</v>
      </c>
      <c r="R59" s="177"/>
      <c r="S59" s="21">
        <v>0.28194444444444444</v>
      </c>
      <c r="T59" s="21">
        <v>0.375</v>
      </c>
      <c r="U59" s="88">
        <f t="shared" si="44"/>
        <v>4.9999999999999822</v>
      </c>
      <c r="V59" s="30">
        <f t="shared" si="42"/>
        <v>134</v>
      </c>
      <c r="W59" s="88"/>
      <c r="X59" s="88"/>
      <c r="Y59" s="88"/>
      <c r="Z59" s="88"/>
      <c r="AA59" s="168"/>
      <c r="AB59" s="168"/>
      <c r="AC59" s="18"/>
      <c r="AD59" s="18"/>
      <c r="AE59" s="14">
        <f t="shared" si="43"/>
        <v>-137.01492537313425</v>
      </c>
      <c r="AF59" s="91">
        <f t="shared" si="9"/>
        <v>0.95432835820895523</v>
      </c>
      <c r="AG59" s="177"/>
    </row>
    <row r="60" spans="1:33" ht="15.75" customHeight="1">
      <c r="A60" s="179" t="s">
        <v>858</v>
      </c>
      <c r="B60" s="88" t="s">
        <v>33</v>
      </c>
      <c r="C60" s="169" t="s">
        <v>34</v>
      </c>
      <c r="D60" s="169"/>
      <c r="E60" s="28">
        <v>34.36</v>
      </c>
      <c r="F60" s="29">
        <v>1555</v>
      </c>
      <c r="G60" s="88">
        <f t="shared" si="40"/>
        <v>53429.799999999996</v>
      </c>
      <c r="H60" s="30" t="s">
        <v>53</v>
      </c>
      <c r="I60" s="95">
        <v>10</v>
      </c>
      <c r="J60" s="13">
        <v>3000</v>
      </c>
      <c r="K60" s="12">
        <f t="shared" si="1"/>
        <v>300</v>
      </c>
      <c r="L60" s="95">
        <v>10</v>
      </c>
      <c r="M60" s="13">
        <f t="shared" si="41"/>
        <v>2915.6250000000036</v>
      </c>
      <c r="N60" s="12">
        <f t="shared" si="3"/>
        <v>291.56250000000034</v>
      </c>
      <c r="O60" s="14">
        <f t="shared" si="4"/>
        <v>0</v>
      </c>
      <c r="P60" s="15">
        <f t="shared" si="5"/>
        <v>-8.4374999999996589</v>
      </c>
      <c r="Q60" s="91">
        <f t="shared" si="6"/>
        <v>0.97187500000000115</v>
      </c>
      <c r="R60" s="177"/>
      <c r="S60" s="21">
        <v>0.37916666666666665</v>
      </c>
      <c r="T60" s="21">
        <v>0.40138888888888885</v>
      </c>
      <c r="U60" s="88">
        <f t="shared" si="44"/>
        <v>5.9999999999999787</v>
      </c>
      <c r="V60" s="30">
        <f t="shared" si="42"/>
        <v>31.999999999999964</v>
      </c>
      <c r="W60" s="88"/>
      <c r="X60" s="88"/>
      <c r="Y60" s="88"/>
      <c r="Z60" s="88"/>
      <c r="AA60" s="168"/>
      <c r="AB60" s="168"/>
      <c r="AC60" s="18"/>
      <c r="AD60" s="18"/>
      <c r="AE60" s="14">
        <f t="shared" si="43"/>
        <v>-84.374999999996362</v>
      </c>
      <c r="AF60" s="91">
        <f t="shared" si="9"/>
        <v>0.97187500000000127</v>
      </c>
      <c r="AG60" s="177"/>
    </row>
    <row r="61" spans="1:33">
      <c r="A61" s="180" t="s">
        <v>1188</v>
      </c>
      <c r="B61" s="88" t="s">
        <v>33</v>
      </c>
      <c r="C61" s="169" t="s">
        <v>35</v>
      </c>
      <c r="D61" s="169"/>
      <c r="E61" s="28">
        <v>26.78</v>
      </c>
      <c r="F61" s="29">
        <v>2734</v>
      </c>
      <c r="G61" s="88">
        <f t="shared" si="40"/>
        <v>73216.52</v>
      </c>
      <c r="H61" s="30" t="s">
        <v>53</v>
      </c>
      <c r="I61" s="95">
        <v>10</v>
      </c>
      <c r="J61" s="13">
        <v>3000</v>
      </c>
      <c r="K61" s="12">
        <f t="shared" si="1"/>
        <v>300</v>
      </c>
      <c r="L61" s="95">
        <v>10</v>
      </c>
      <c r="M61" s="13">
        <f t="shared" si="41"/>
        <v>2877.8947368421036</v>
      </c>
      <c r="N61" s="12">
        <f t="shared" si="3"/>
        <v>287.78947368421035</v>
      </c>
      <c r="O61" s="14">
        <f t="shared" si="4"/>
        <v>0</v>
      </c>
      <c r="P61" s="15">
        <f t="shared" si="5"/>
        <v>-12.21052631578965</v>
      </c>
      <c r="Q61" s="91">
        <f t="shared" si="6"/>
        <v>0.95929824561403454</v>
      </c>
      <c r="R61" s="177"/>
      <c r="S61" s="21">
        <v>0.40624999999999994</v>
      </c>
      <c r="T61" s="21">
        <v>0.4458333333333333</v>
      </c>
      <c r="U61" s="88">
        <f t="shared" si="44"/>
        <v>6.9999999999999751</v>
      </c>
      <c r="V61" s="30">
        <f t="shared" si="42"/>
        <v>57.000000000000036</v>
      </c>
      <c r="W61" s="16"/>
      <c r="X61" s="16"/>
      <c r="Y61" s="16"/>
      <c r="Z61" s="16"/>
      <c r="AA61" s="168"/>
      <c r="AB61" s="168"/>
      <c r="AC61" s="18"/>
      <c r="AD61" s="18"/>
      <c r="AE61" s="14">
        <f t="shared" si="43"/>
        <v>-122.10526315789639</v>
      </c>
      <c r="AF61" s="91">
        <f t="shared" si="9"/>
        <v>0.95929824561403454</v>
      </c>
      <c r="AG61" s="177"/>
    </row>
    <row r="62" spans="1:33" ht="15" customHeight="1">
      <c r="A62" s="180" t="s">
        <v>1188</v>
      </c>
      <c r="B62" s="88" t="s">
        <v>33</v>
      </c>
      <c r="C62" s="170" t="s">
        <v>71</v>
      </c>
      <c r="D62" s="171"/>
      <c r="E62" s="28">
        <v>28.3</v>
      </c>
      <c r="F62" s="29">
        <v>1654</v>
      </c>
      <c r="G62" s="88">
        <f t="shared" si="40"/>
        <v>46808.200000000004</v>
      </c>
      <c r="H62" s="30" t="s">
        <v>53</v>
      </c>
      <c r="I62" s="95">
        <v>8</v>
      </c>
      <c r="J62" s="13">
        <v>3000</v>
      </c>
      <c r="K62" s="12">
        <f t="shared" si="1"/>
        <v>375</v>
      </c>
      <c r="L62" s="95">
        <v>8</v>
      </c>
      <c r="M62" s="13">
        <f t="shared" si="41"/>
        <v>2918.8235294117608</v>
      </c>
      <c r="N62" s="12">
        <f t="shared" si="3"/>
        <v>364.8529411764701</v>
      </c>
      <c r="O62" s="14">
        <f t="shared" si="4"/>
        <v>0</v>
      </c>
      <c r="P62" s="15">
        <f t="shared" si="5"/>
        <v>-10.147058823529903</v>
      </c>
      <c r="Q62" s="91">
        <f t="shared" si="6"/>
        <v>0.97294117647058698</v>
      </c>
      <c r="R62" s="177"/>
      <c r="S62" s="21">
        <v>0.45138888888888884</v>
      </c>
      <c r="T62" s="21">
        <v>0.47499999999999998</v>
      </c>
      <c r="U62" s="88">
        <f t="shared" si="44"/>
        <v>7.9999999999999716</v>
      </c>
      <c r="V62" s="30">
        <f t="shared" si="42"/>
        <v>34.000000000000043</v>
      </c>
      <c r="W62" s="88"/>
      <c r="X62" s="88"/>
      <c r="Y62" s="98"/>
      <c r="Z62" s="98"/>
      <c r="AA62" s="172"/>
      <c r="AB62" s="173"/>
      <c r="AC62" s="18"/>
      <c r="AD62" s="18"/>
      <c r="AE62" s="14">
        <f t="shared" si="43"/>
        <v>-81.176470588239226</v>
      </c>
      <c r="AF62" s="91">
        <f t="shared" si="9"/>
        <v>0.97294117647058698</v>
      </c>
      <c r="AG62" s="177"/>
    </row>
    <row r="63" spans="1:33">
      <c r="A63" s="180" t="s">
        <v>1188</v>
      </c>
      <c r="B63" s="28" t="s">
        <v>576</v>
      </c>
      <c r="C63" s="178"/>
      <c r="D63" s="178"/>
      <c r="E63" s="92"/>
      <c r="F63" s="12"/>
      <c r="G63" s="12"/>
      <c r="H63" s="88"/>
      <c r="I63" s="23">
        <v>10</v>
      </c>
      <c r="J63" s="13">
        <v>2833.3333333333335</v>
      </c>
      <c r="K63" s="12">
        <f t="shared" si="1"/>
        <v>283.33333333333337</v>
      </c>
      <c r="L63" s="23">
        <v>10</v>
      </c>
      <c r="M63" s="13">
        <f>AVERAGE(M57:M62)</f>
        <v>2727.9436123690111</v>
      </c>
      <c r="N63" s="12">
        <f t="shared" si="3"/>
        <v>272.79436123690112</v>
      </c>
      <c r="O63" s="14">
        <f t="shared" si="4"/>
        <v>0</v>
      </c>
      <c r="P63" s="15">
        <f t="shared" si="5"/>
        <v>-10.538972096432246</v>
      </c>
      <c r="Q63" s="91">
        <f t="shared" si="6"/>
        <v>0.962803627894945</v>
      </c>
      <c r="R63" s="177"/>
      <c r="S63" s="21"/>
      <c r="T63" s="21"/>
      <c r="U63" s="12"/>
      <c r="V63" s="30"/>
      <c r="W63" s="12"/>
      <c r="X63" s="12"/>
      <c r="Y63" s="24">
        <f>SUM(Y57:Y62)</f>
        <v>0</v>
      </c>
      <c r="Z63" s="24">
        <f>SUM(Z57:Z62)</f>
        <v>0</v>
      </c>
      <c r="AA63" s="167"/>
      <c r="AB63" s="167"/>
      <c r="AC63" s="24">
        <v>6</v>
      </c>
      <c r="AD63" s="24">
        <f>SUM(AD57:AD62)</f>
        <v>0</v>
      </c>
      <c r="AE63" s="14">
        <f t="shared" si="43"/>
        <v>-105.38972096432235</v>
      </c>
      <c r="AF63" s="91">
        <f t="shared" si="9"/>
        <v>0.962803627894945</v>
      </c>
      <c r="AG63" s="177"/>
    </row>
    <row r="64" spans="1:33" ht="15.75" customHeight="1">
      <c r="A64" s="174" t="s">
        <v>593</v>
      </c>
      <c r="B64" s="88" t="s">
        <v>22</v>
      </c>
      <c r="C64" s="169" t="s">
        <v>49</v>
      </c>
      <c r="D64" s="169"/>
      <c r="E64" s="28">
        <v>20.2</v>
      </c>
      <c r="F64" s="88">
        <v>2586</v>
      </c>
      <c r="G64" s="88">
        <f t="shared" ref="G64:G70" si="45">E64*F64</f>
        <v>52237.2</v>
      </c>
      <c r="H64" s="30" t="s">
        <v>53</v>
      </c>
      <c r="I64" s="95">
        <v>15</v>
      </c>
      <c r="J64" s="13">
        <v>2400</v>
      </c>
      <c r="K64" s="12">
        <f t="shared" si="1"/>
        <v>160</v>
      </c>
      <c r="L64" s="95">
        <v>15</v>
      </c>
      <c r="M64" s="13">
        <f t="shared" ref="M64:M70" si="46">F64/V64*60</f>
        <v>2315.820895522389</v>
      </c>
      <c r="N64" s="12">
        <f t="shared" si="3"/>
        <v>154.38805970149261</v>
      </c>
      <c r="O64" s="14">
        <f t="shared" si="4"/>
        <v>0</v>
      </c>
      <c r="P64" s="15">
        <f t="shared" si="5"/>
        <v>-5.6119402985073918</v>
      </c>
      <c r="Q64" s="91">
        <f t="shared" si="6"/>
        <v>0.9649253731343288</v>
      </c>
      <c r="R64" s="177">
        <f>Q71</f>
        <v>0.9556510565509978</v>
      </c>
      <c r="S64" s="21">
        <v>8.3333333333333329E-2</v>
      </c>
      <c r="T64" s="21">
        <v>0.12986111111111109</v>
      </c>
      <c r="U64" s="21"/>
      <c r="V64" s="30">
        <f t="shared" ref="V64:V70" si="47">(T64-S64)*24*60</f>
        <v>66.999999999999972</v>
      </c>
      <c r="W64" s="16">
        <f>T64</f>
        <v>0.12986111111111109</v>
      </c>
      <c r="X64" s="16">
        <f>S65</f>
        <v>0.14791666666666664</v>
      </c>
      <c r="Y64" s="16"/>
      <c r="Z64" s="16"/>
      <c r="AA64" s="168"/>
      <c r="AB64" s="168"/>
      <c r="AC64" s="18">
        <v>7</v>
      </c>
      <c r="AD64" s="18"/>
      <c r="AE64" s="14">
        <f t="shared" si="43"/>
        <v>-84.179104477610963</v>
      </c>
      <c r="AF64" s="91">
        <f t="shared" si="9"/>
        <v>0.9649253731343288</v>
      </c>
      <c r="AG64" s="177">
        <f>AF71</f>
        <v>0.9556510565509978</v>
      </c>
    </row>
    <row r="65" spans="1:33" ht="15.75" customHeight="1">
      <c r="A65" s="175" t="s">
        <v>593</v>
      </c>
      <c r="B65" s="88" t="s">
        <v>22</v>
      </c>
      <c r="C65" s="169" t="s">
        <v>50</v>
      </c>
      <c r="D65" s="169"/>
      <c r="E65" s="28">
        <v>24.45</v>
      </c>
      <c r="F65" s="88">
        <v>3209</v>
      </c>
      <c r="G65" s="88">
        <f t="shared" si="45"/>
        <v>78460.05</v>
      </c>
      <c r="H65" s="30" t="s">
        <v>53</v>
      </c>
      <c r="I65" s="95">
        <v>19</v>
      </c>
      <c r="J65" s="13">
        <v>2400</v>
      </c>
      <c r="K65" s="12">
        <f t="shared" si="1"/>
        <v>126.31578947368421</v>
      </c>
      <c r="L65" s="95">
        <v>19</v>
      </c>
      <c r="M65" s="13">
        <f t="shared" si="46"/>
        <v>2292.1428571428573</v>
      </c>
      <c r="N65" s="12">
        <f t="shared" si="3"/>
        <v>120.63909774436091</v>
      </c>
      <c r="O65" s="14">
        <f t="shared" si="4"/>
        <v>0</v>
      </c>
      <c r="P65" s="15">
        <f t="shared" si="5"/>
        <v>-5.676691729323295</v>
      </c>
      <c r="Q65" s="91">
        <f t="shared" si="6"/>
        <v>0.95505952380952386</v>
      </c>
      <c r="R65" s="177"/>
      <c r="S65" s="21">
        <v>0.14791666666666664</v>
      </c>
      <c r="T65" s="21">
        <v>0.20624999999999996</v>
      </c>
      <c r="U65" s="88">
        <f t="shared" ref="U65:U70" si="48">(S65-T64)*24*60</f>
        <v>25.999999999999986</v>
      </c>
      <c r="V65" s="30">
        <f t="shared" si="47"/>
        <v>83.999999999999986</v>
      </c>
      <c r="W65" s="16"/>
      <c r="X65" s="16"/>
      <c r="Y65" s="16"/>
      <c r="Z65" s="16"/>
      <c r="AA65" s="168"/>
      <c r="AB65" s="168"/>
      <c r="AC65" s="18"/>
      <c r="AD65" s="18"/>
      <c r="AE65" s="14">
        <f t="shared" si="43"/>
        <v>-107.85714285714266</v>
      </c>
      <c r="AF65" s="91">
        <f t="shared" si="9"/>
        <v>0.95505952380952386</v>
      </c>
      <c r="AG65" s="177"/>
    </row>
    <row r="66" spans="1:33" ht="15.75" customHeight="1">
      <c r="A66" s="175" t="s">
        <v>593</v>
      </c>
      <c r="B66" s="88" t="s">
        <v>22</v>
      </c>
      <c r="C66" s="169" t="s">
        <v>31</v>
      </c>
      <c r="D66" s="169"/>
      <c r="E66" s="28">
        <v>20.21</v>
      </c>
      <c r="F66" s="88">
        <v>3277</v>
      </c>
      <c r="G66" s="88">
        <f t="shared" si="45"/>
        <v>66228.17</v>
      </c>
      <c r="H66" s="30" t="s">
        <v>53</v>
      </c>
      <c r="I66" s="95">
        <v>15</v>
      </c>
      <c r="J66" s="13">
        <v>2400</v>
      </c>
      <c r="K66" s="12">
        <f t="shared" si="1"/>
        <v>160</v>
      </c>
      <c r="L66" s="95">
        <v>15</v>
      </c>
      <c r="M66" s="13">
        <f t="shared" si="46"/>
        <v>2286.2790697674413</v>
      </c>
      <c r="N66" s="12">
        <f t="shared" si="3"/>
        <v>152.41860465116275</v>
      </c>
      <c r="O66" s="14">
        <f t="shared" si="4"/>
        <v>0</v>
      </c>
      <c r="P66" s="15">
        <f t="shared" si="5"/>
        <v>-7.5813953488372476</v>
      </c>
      <c r="Q66" s="91">
        <f t="shared" si="6"/>
        <v>0.9526162790697672</v>
      </c>
      <c r="R66" s="177"/>
      <c r="S66" s="21">
        <v>0.21180555555555552</v>
      </c>
      <c r="T66" s="21">
        <v>0.27152777777777776</v>
      </c>
      <c r="U66" s="88">
        <f t="shared" si="48"/>
        <v>8.0000000000000107</v>
      </c>
      <c r="V66" s="30">
        <f t="shared" si="47"/>
        <v>86.000000000000014</v>
      </c>
      <c r="W66" s="16"/>
      <c r="X66" s="16"/>
      <c r="Y66" s="16"/>
      <c r="Z66" s="16"/>
      <c r="AA66" s="168"/>
      <c r="AB66" s="168"/>
      <c r="AC66" s="18"/>
      <c r="AD66" s="18"/>
      <c r="AE66" s="14">
        <f t="shared" si="43"/>
        <v>-113.72093023255866</v>
      </c>
      <c r="AF66" s="91">
        <f t="shared" si="9"/>
        <v>0.9526162790697672</v>
      </c>
      <c r="AG66" s="177"/>
    </row>
    <row r="67" spans="1:33" ht="15.75" customHeight="1">
      <c r="A67" s="175" t="s">
        <v>593</v>
      </c>
      <c r="B67" s="88" t="s">
        <v>22</v>
      </c>
      <c r="C67" s="169" t="s">
        <v>51</v>
      </c>
      <c r="D67" s="169"/>
      <c r="E67" s="28">
        <v>24.43</v>
      </c>
      <c r="F67" s="88">
        <v>4500</v>
      </c>
      <c r="G67" s="88">
        <f t="shared" si="45"/>
        <v>109935</v>
      </c>
      <c r="H67" s="30">
        <v>2</v>
      </c>
      <c r="I67" s="95">
        <v>14</v>
      </c>
      <c r="J67" s="13">
        <v>2400</v>
      </c>
      <c r="K67" s="12">
        <f t="shared" si="1"/>
        <v>171.42857142857142</v>
      </c>
      <c r="L67" s="95">
        <v>14</v>
      </c>
      <c r="M67" s="13">
        <f t="shared" si="46"/>
        <v>2288.1355932203396</v>
      </c>
      <c r="N67" s="12">
        <f t="shared" si="3"/>
        <v>163.43825665859569</v>
      </c>
      <c r="O67" s="14">
        <f t="shared" si="4"/>
        <v>0</v>
      </c>
      <c r="P67" s="15">
        <f t="shared" si="5"/>
        <v>-7.9903147699757255</v>
      </c>
      <c r="Q67" s="91">
        <f t="shared" si="6"/>
        <v>0.95338983050847492</v>
      </c>
      <c r="R67" s="177"/>
      <c r="S67" s="21">
        <v>0.27638888888888885</v>
      </c>
      <c r="T67" s="21">
        <v>0.35833333333333328</v>
      </c>
      <c r="U67" s="88">
        <f t="shared" si="48"/>
        <v>6.9999999999999751</v>
      </c>
      <c r="V67" s="30">
        <f t="shared" si="47"/>
        <v>117.99999999999999</v>
      </c>
      <c r="W67" s="16"/>
      <c r="X67" s="16"/>
      <c r="Y67" s="16"/>
      <c r="Z67" s="16"/>
      <c r="AA67" s="168"/>
      <c r="AB67" s="168"/>
      <c r="AC67" s="18"/>
      <c r="AD67" s="18"/>
      <c r="AE67" s="14">
        <f t="shared" si="43"/>
        <v>-111.86440677966038</v>
      </c>
      <c r="AF67" s="91">
        <f t="shared" si="9"/>
        <v>0.95338983050847481</v>
      </c>
      <c r="AG67" s="177"/>
    </row>
    <row r="68" spans="1:33" ht="15.75" customHeight="1">
      <c r="A68" s="175" t="s">
        <v>593</v>
      </c>
      <c r="B68" s="88" t="s">
        <v>22</v>
      </c>
      <c r="C68" s="169" t="s">
        <v>52</v>
      </c>
      <c r="D68" s="169"/>
      <c r="E68" s="28">
        <v>19.02</v>
      </c>
      <c r="F68" s="88">
        <v>6500</v>
      </c>
      <c r="G68" s="88">
        <f t="shared" si="45"/>
        <v>123630</v>
      </c>
      <c r="H68" s="30">
        <v>2</v>
      </c>
      <c r="I68" s="95">
        <v>14</v>
      </c>
      <c r="J68" s="13">
        <v>2400</v>
      </c>
      <c r="K68" s="12">
        <f t="shared" si="1"/>
        <v>171.42857142857142</v>
      </c>
      <c r="L68" s="95">
        <v>14</v>
      </c>
      <c r="M68" s="13">
        <f t="shared" si="46"/>
        <v>2294.117647058823</v>
      </c>
      <c r="N68" s="12">
        <f t="shared" si="3"/>
        <v>163.86554621848737</v>
      </c>
      <c r="O68" s="14">
        <f t="shared" si="4"/>
        <v>0</v>
      </c>
      <c r="P68" s="15">
        <f t="shared" si="5"/>
        <v>-7.5630252100840494</v>
      </c>
      <c r="Q68" s="91">
        <f t="shared" si="6"/>
        <v>0.95588235294117641</v>
      </c>
      <c r="R68" s="177"/>
      <c r="S68" s="21">
        <v>0.36388888888888882</v>
      </c>
      <c r="T68" s="21">
        <v>0.4819444444444444</v>
      </c>
      <c r="U68" s="88">
        <f t="shared" si="48"/>
        <v>7.9999999999999716</v>
      </c>
      <c r="V68" s="30">
        <f t="shared" si="47"/>
        <v>170.00000000000003</v>
      </c>
      <c r="W68" s="16">
        <f>T68</f>
        <v>0.4819444444444444</v>
      </c>
      <c r="X68" s="16">
        <f>S69</f>
        <v>0.5215277777777777</v>
      </c>
      <c r="Y68" s="16"/>
      <c r="Z68" s="16"/>
      <c r="AA68" s="168"/>
      <c r="AB68" s="168"/>
      <c r="AC68" s="18"/>
      <c r="AD68" s="18"/>
      <c r="AE68" s="14">
        <f t="shared" si="43"/>
        <v>-105.88235294117703</v>
      </c>
      <c r="AF68" s="91">
        <f t="shared" si="9"/>
        <v>0.95588235294117618</v>
      </c>
      <c r="AG68" s="177"/>
    </row>
    <row r="69" spans="1:33" ht="15.75" customHeight="1">
      <c r="A69" s="175" t="s">
        <v>593</v>
      </c>
      <c r="B69" s="88" t="s">
        <v>22</v>
      </c>
      <c r="C69" s="169" t="s">
        <v>52</v>
      </c>
      <c r="D69" s="169"/>
      <c r="E69" s="28">
        <v>19.02</v>
      </c>
      <c r="F69" s="88">
        <v>4952</v>
      </c>
      <c r="G69" s="88">
        <f t="shared" si="45"/>
        <v>94187.04</v>
      </c>
      <c r="H69" s="30" t="s">
        <v>53</v>
      </c>
      <c r="I69" s="95">
        <v>14</v>
      </c>
      <c r="J69" s="13">
        <v>2400</v>
      </c>
      <c r="K69" s="12">
        <f t="shared" ref="K69:K71" si="49">J69/I69</f>
        <v>171.42857142857142</v>
      </c>
      <c r="L69" s="95">
        <v>14</v>
      </c>
      <c r="M69" s="13">
        <f t="shared" si="46"/>
        <v>2285.538461538461</v>
      </c>
      <c r="N69" s="12">
        <f t="shared" ref="N69:N71" si="50">M69/L69</f>
        <v>163.25274725274721</v>
      </c>
      <c r="O69" s="14">
        <f t="shared" ref="O69:O71" si="51">L69-I69</f>
        <v>0</v>
      </c>
      <c r="P69" s="15">
        <f t="shared" ref="P69:P71" si="52">N69-K69</f>
        <v>-8.1758241758242036</v>
      </c>
      <c r="Q69" s="91">
        <f t="shared" ref="Q69:Q71" si="53">N69/K69</f>
        <v>0.95230769230769219</v>
      </c>
      <c r="R69" s="177"/>
      <c r="S69" s="21">
        <v>0.5215277777777777</v>
      </c>
      <c r="T69" s="21">
        <v>0.61180555555555549</v>
      </c>
      <c r="U69" s="88">
        <f t="shared" si="48"/>
        <v>56.999999999999957</v>
      </c>
      <c r="V69" s="30">
        <f t="shared" si="47"/>
        <v>130.00000000000003</v>
      </c>
      <c r="W69" s="16"/>
      <c r="X69" s="16"/>
      <c r="Y69" s="16"/>
      <c r="Z69" s="16"/>
      <c r="AA69" s="168"/>
      <c r="AB69" s="168"/>
      <c r="AC69" s="18"/>
      <c r="AD69" s="18"/>
      <c r="AE69" s="14">
        <f t="shared" si="43"/>
        <v>-114.46153846153902</v>
      </c>
      <c r="AF69" s="91">
        <f t="shared" ref="AF69:AF71" si="54">M69/J69</f>
        <v>0.95230769230769208</v>
      </c>
      <c r="AG69" s="177"/>
    </row>
    <row r="70" spans="1:33" ht="15.75" customHeight="1">
      <c r="A70" s="175" t="s">
        <v>593</v>
      </c>
      <c r="B70" s="88" t="s">
        <v>22</v>
      </c>
      <c r="C70" s="170" t="s">
        <v>51</v>
      </c>
      <c r="D70" s="171"/>
      <c r="E70" s="28">
        <v>24.43</v>
      </c>
      <c r="F70" s="88">
        <v>3554</v>
      </c>
      <c r="G70" s="88">
        <f t="shared" si="45"/>
        <v>86824.22</v>
      </c>
      <c r="H70" s="30" t="s">
        <v>53</v>
      </c>
      <c r="I70" s="95">
        <v>14</v>
      </c>
      <c r="J70" s="13">
        <v>2400</v>
      </c>
      <c r="K70" s="12">
        <f t="shared" si="49"/>
        <v>171.42857142857142</v>
      </c>
      <c r="L70" s="95">
        <v>14</v>
      </c>
      <c r="M70" s="13">
        <f t="shared" si="46"/>
        <v>2292.9032258064517</v>
      </c>
      <c r="N70" s="12">
        <f t="shared" si="50"/>
        <v>163.77880184331798</v>
      </c>
      <c r="O70" s="14">
        <f t="shared" si="51"/>
        <v>0</v>
      </c>
      <c r="P70" s="15">
        <f t="shared" si="52"/>
        <v>-7.6497695852534378</v>
      </c>
      <c r="Q70" s="91">
        <f t="shared" si="53"/>
        <v>0.95537634408602157</v>
      </c>
      <c r="R70" s="177"/>
      <c r="S70" s="21">
        <v>0.6152777777777777</v>
      </c>
      <c r="T70" s="21">
        <v>0.67986111111111103</v>
      </c>
      <c r="U70" s="88">
        <f t="shared" si="48"/>
        <v>4.9999999999999822</v>
      </c>
      <c r="V70" s="30">
        <f t="shared" si="47"/>
        <v>92.999999999999986</v>
      </c>
      <c r="W70" s="16"/>
      <c r="X70" s="16"/>
      <c r="Y70" s="19"/>
      <c r="Z70" s="19"/>
      <c r="AA70" s="172"/>
      <c r="AB70" s="173"/>
      <c r="AC70" s="18"/>
      <c r="AD70" s="18"/>
      <c r="AE70" s="14">
        <f t="shared" si="43"/>
        <v>-107.0967741935483</v>
      </c>
      <c r="AF70" s="91">
        <f t="shared" si="54"/>
        <v>0.95537634408602157</v>
      </c>
      <c r="AG70" s="177"/>
    </row>
    <row r="71" spans="1:33" ht="16.5" customHeight="1">
      <c r="A71" s="176" t="s">
        <v>593</v>
      </c>
      <c r="B71" s="28" t="s">
        <v>1183</v>
      </c>
      <c r="C71" s="165"/>
      <c r="D71" s="166"/>
      <c r="E71" s="92"/>
      <c r="F71" s="12"/>
      <c r="G71" s="12"/>
      <c r="H71" s="88"/>
      <c r="I71" s="23">
        <v>15</v>
      </c>
      <c r="J71" s="13">
        <v>2400</v>
      </c>
      <c r="K71" s="12">
        <f t="shared" si="49"/>
        <v>160</v>
      </c>
      <c r="L71" s="23">
        <v>15</v>
      </c>
      <c r="M71" s="13">
        <f>AVERAGE(M64:M70)</f>
        <v>2293.5625357223948</v>
      </c>
      <c r="N71" s="12">
        <f t="shared" si="50"/>
        <v>152.90416904815964</v>
      </c>
      <c r="O71" s="14">
        <f t="shared" si="51"/>
        <v>0</v>
      </c>
      <c r="P71" s="15">
        <f t="shared" si="52"/>
        <v>-7.0958309518403553</v>
      </c>
      <c r="Q71" s="91">
        <f t="shared" si="53"/>
        <v>0.9556510565509978</v>
      </c>
      <c r="R71" s="177"/>
      <c r="S71" s="21"/>
      <c r="T71" s="21"/>
      <c r="U71" s="12"/>
      <c r="V71" s="30"/>
      <c r="W71" s="12"/>
      <c r="X71" s="12"/>
      <c r="Y71" s="24">
        <f>SUM(Y64:Y70)</f>
        <v>0</v>
      </c>
      <c r="Z71" s="24">
        <f>SUM(Z64:Z70)</f>
        <v>0</v>
      </c>
      <c r="AA71" s="167"/>
      <c r="AB71" s="167"/>
      <c r="AC71" s="24">
        <v>7</v>
      </c>
      <c r="AD71" s="24">
        <f>SUM(AD64:AD70)</f>
        <v>0</v>
      </c>
      <c r="AE71" s="14">
        <f t="shared" si="43"/>
        <v>-106.43746427760516</v>
      </c>
      <c r="AF71" s="91">
        <f t="shared" si="54"/>
        <v>0.9556510565509978</v>
      </c>
      <c r="AG71" s="177"/>
    </row>
    <row r="72" spans="1:33">
      <c r="D72" s="87"/>
      <c r="E72" s="87"/>
    </row>
  </sheetData>
  <mergeCells count="195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18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18:D18"/>
    <mergeCell ref="AA18:AB18"/>
    <mergeCell ref="A19:A26"/>
    <mergeCell ref="C19:D19"/>
    <mergeCell ref="R19:R26"/>
    <mergeCell ref="AA19:AB19"/>
    <mergeCell ref="AA24:AB24"/>
    <mergeCell ref="A13:A18"/>
    <mergeCell ref="C13:D13"/>
    <mergeCell ref="R13:R18"/>
    <mergeCell ref="AA13:AB13"/>
    <mergeCell ref="AG19:AG26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C25:D25"/>
    <mergeCell ref="AA25:AB25"/>
    <mergeCell ref="C26:D26"/>
    <mergeCell ref="AA26:AB26"/>
    <mergeCell ref="A27:A34"/>
    <mergeCell ref="C27:D27"/>
    <mergeCell ref="R27:R34"/>
    <mergeCell ref="AA27:AB27"/>
    <mergeCell ref="AA32:AB32"/>
    <mergeCell ref="C33:D33"/>
    <mergeCell ref="AG27:AG34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AA33:AB33"/>
    <mergeCell ref="C34:D34"/>
    <mergeCell ref="AA34:AB34"/>
    <mergeCell ref="A35:A43"/>
    <mergeCell ref="C35:D35"/>
    <mergeCell ref="R35:R43"/>
    <mergeCell ref="AA35:AB35"/>
    <mergeCell ref="AA40:AB40"/>
    <mergeCell ref="C41:D41"/>
    <mergeCell ref="AA41:AB41"/>
    <mergeCell ref="AG35:AG43"/>
    <mergeCell ref="C36:D36"/>
    <mergeCell ref="AA36:AB36"/>
    <mergeCell ref="C37:D37"/>
    <mergeCell ref="AA37:AB37"/>
    <mergeCell ref="C38:D38"/>
    <mergeCell ref="AA38:AB38"/>
    <mergeCell ref="C39:D39"/>
    <mergeCell ref="AA39:AB39"/>
    <mergeCell ref="C40:D40"/>
    <mergeCell ref="C42:D42"/>
    <mergeCell ref="AA42:AB42"/>
    <mergeCell ref="C43:D43"/>
    <mergeCell ref="AA43:AB43"/>
    <mergeCell ref="A44:A49"/>
    <mergeCell ref="C44:D44"/>
    <mergeCell ref="R44:R49"/>
    <mergeCell ref="AA44:AB44"/>
    <mergeCell ref="AA49:AB49"/>
    <mergeCell ref="AG50:AG56"/>
    <mergeCell ref="C51:D51"/>
    <mergeCell ref="AA51:AB51"/>
    <mergeCell ref="C52:D52"/>
    <mergeCell ref="AA52:AB52"/>
    <mergeCell ref="AA53:AB53"/>
    <mergeCell ref="AG44:AG49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C49:D49"/>
    <mergeCell ref="AA54:AB54"/>
    <mergeCell ref="C55:D55"/>
    <mergeCell ref="AA55:AB55"/>
    <mergeCell ref="C56:D56"/>
    <mergeCell ref="AA56:AB56"/>
    <mergeCell ref="A57:A63"/>
    <mergeCell ref="C57:D57"/>
    <mergeCell ref="R57:R63"/>
    <mergeCell ref="AA57:AB57"/>
    <mergeCell ref="AA62:AB62"/>
    <mergeCell ref="A50:A56"/>
    <mergeCell ref="C50:D50"/>
    <mergeCell ref="R50:R56"/>
    <mergeCell ref="AA50:AB50"/>
    <mergeCell ref="AG57:AG63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62:D62"/>
    <mergeCell ref="C63:D63"/>
    <mergeCell ref="AA63:AB63"/>
    <mergeCell ref="A64:A71"/>
    <mergeCell ref="C64:D64"/>
    <mergeCell ref="R64:R71"/>
    <mergeCell ref="AA64:AB64"/>
    <mergeCell ref="AA69:AB69"/>
    <mergeCell ref="C70:D70"/>
    <mergeCell ref="AA70:AB70"/>
    <mergeCell ref="C71:D71"/>
    <mergeCell ref="AA71:AB71"/>
    <mergeCell ref="AG64:AG71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</mergeCells>
  <phoneticPr fontId="3" type="noConversion"/>
  <conditionalFormatting sqref="O5:O71">
    <cfRule type="cellIs" dxfId="94" priority="9" operator="greaterThan">
      <formula>0</formula>
    </cfRule>
  </conditionalFormatting>
  <conditionalFormatting sqref="P5:P71">
    <cfRule type="cellIs" dxfId="93" priority="1" operator="lessThan">
      <formula>0</formula>
    </cfRule>
  </conditionalFormatting>
  <conditionalFormatting sqref="Q5:Q71 AF5:AF71">
    <cfRule type="cellIs" dxfId="92" priority="10" operator="greaterThan">
      <formula>1</formula>
    </cfRule>
    <cfRule type="cellIs" dxfId="91" priority="11" operator="lessThan">
      <formula>0.8</formula>
    </cfRule>
  </conditionalFormatting>
  <conditionalFormatting sqref="R5:R9 AG5:AG9">
    <cfRule type="cellIs" dxfId="90" priority="49" operator="lessThan">
      <formula>0.8</formula>
    </cfRule>
  </conditionalFormatting>
  <conditionalFormatting sqref="AE5:AE71">
    <cfRule type="cellIs" dxfId="89" priority="12" operator="lessThan">
      <formula>0</formula>
    </cfRule>
  </conditionalFormatting>
  <conditionalFormatting sqref="AG13:AG60 R13:R71">
    <cfRule type="cellIs" dxfId="88" priority="13" operator="lessThan">
      <formula>0.8</formula>
    </cfRule>
  </conditionalFormatting>
  <dataValidations count="1">
    <dataValidation type="list" allowBlank="1" showInputMessage="1" showErrorMessage="1" sqref="AB8 AA5:AB7 AB61:AB62 AB10:AB57 AA8:AA62 AA63:AB71" xr:uid="{00000000-0002-0000-25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Q32"/>
  <sheetViews>
    <sheetView zoomScale="85" zoomScaleNormal="85" workbookViewId="0">
      <selection activeCell="G15" sqref="G15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1063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1064</v>
      </c>
      <c r="C3" s="154" t="str">
        <f>TEXT('0411 4度C'!A2,"yyyy.mm.ddaaaa")</f>
        <v>2026.04.11星期六</v>
      </c>
      <c r="D3" s="155"/>
      <c r="E3" s="33" t="s">
        <v>1065</v>
      </c>
      <c r="F3" s="156">
        <f>'0411 4度C'!D1</f>
        <v>142611</v>
      </c>
      <c r="G3" s="157"/>
      <c r="H3" s="33" t="s">
        <v>78</v>
      </c>
      <c r="I3" s="158">
        <f>'0411 4度C'!F1</f>
        <v>4834809.9399999995</v>
      </c>
      <c r="J3" s="159"/>
      <c r="K3" s="34"/>
      <c r="L3" s="35"/>
      <c r="M3" s="35"/>
      <c r="N3" s="35"/>
    </row>
    <row r="4" spans="2:17" ht="28.5" customHeight="1">
      <c r="B4" s="160" t="s">
        <v>1066</v>
      </c>
      <c r="C4" s="146" t="s">
        <v>383</v>
      </c>
      <c r="D4" s="147"/>
      <c r="E4" s="163" t="s">
        <v>604</v>
      </c>
      <c r="F4" s="164"/>
      <c r="G4" s="163" t="s">
        <v>1067</v>
      </c>
      <c r="H4" s="164"/>
      <c r="I4" s="163" t="s">
        <v>1068</v>
      </c>
      <c r="J4" s="164"/>
      <c r="K4" s="144" t="s">
        <v>1069</v>
      </c>
      <c r="L4" s="145"/>
      <c r="M4" s="145" t="s">
        <v>1070</v>
      </c>
      <c r="N4" s="145"/>
    </row>
    <row r="5" spans="2:17" ht="28.5" customHeight="1">
      <c r="B5" s="161"/>
      <c r="C5" s="146" t="s">
        <v>1071</v>
      </c>
      <c r="D5" s="147"/>
      <c r="E5" s="146" t="s">
        <v>1072</v>
      </c>
      <c r="F5" s="147"/>
      <c r="G5" s="148" t="s">
        <v>1073</v>
      </c>
      <c r="H5" s="149"/>
      <c r="I5" s="150" t="s">
        <v>1074</v>
      </c>
      <c r="J5" s="151"/>
      <c r="K5" s="36" t="s">
        <v>1075</v>
      </c>
      <c r="L5" s="37" t="s">
        <v>1076</v>
      </c>
      <c r="M5" s="36" t="s">
        <v>1077</v>
      </c>
      <c r="N5" s="37" t="s">
        <v>1078</v>
      </c>
    </row>
    <row r="6" spans="2:17" ht="28.5" customHeight="1">
      <c r="B6" s="161"/>
      <c r="C6" s="146" t="s">
        <v>54</v>
      </c>
      <c r="D6" s="147"/>
      <c r="E6" s="138">
        <f>AVERAGE(D13:M13)</f>
        <v>155.41323587257173</v>
      </c>
      <c r="F6" s="139">
        <f>AVERAGE(D31:O31,D13:J13)</f>
        <v>161.64139770131848</v>
      </c>
      <c r="G6" s="140">
        <f>AVERAGE(D13:J13)</f>
        <v>161.64139770131848</v>
      </c>
      <c r="H6" s="141"/>
      <c r="I6" s="140">
        <f>AVERAGE(K13:M13)</f>
        <v>140.88085827216261</v>
      </c>
      <c r="J6" s="141"/>
      <c r="K6" s="142">
        <f>'0411 4度C'!Y2</f>
        <v>0</v>
      </c>
      <c r="L6" s="127">
        <f>'0411 4度C'!Z2</f>
        <v>0</v>
      </c>
      <c r="M6" s="143">
        <f>'0411 4度C'!AC2</f>
        <v>48</v>
      </c>
      <c r="N6" s="127">
        <f>'0411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149.05003080762509</v>
      </c>
      <c r="F7" s="131">
        <f>AVERAGE(D32:O32,D14:J14)</f>
        <v>155.09893089686551</v>
      </c>
      <c r="G7" s="132">
        <f>AVERAGE(D14:J14)</f>
        <v>155.09893089686551</v>
      </c>
      <c r="H7" s="133"/>
      <c r="I7" s="132">
        <f>AVERAGE(K14:M14)</f>
        <v>134.93593059939741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0.95916440247001089</v>
      </c>
      <c r="F8" s="135">
        <f>AVERAGE(D15:J15,D33:O33)</f>
        <v>0.95973299626774067</v>
      </c>
      <c r="G8" s="136">
        <f>AVERAGE(D15:J15)</f>
        <v>0.95973299626774067</v>
      </c>
      <c r="H8" s="137"/>
      <c r="I8" s="136">
        <f>AVERAGE(K15:M15)</f>
        <v>0.95783768360864163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1079</v>
      </c>
      <c r="N9" s="35"/>
      <c r="O9" s="35"/>
      <c r="P9" s="35"/>
      <c r="Q9" s="35"/>
    </row>
    <row r="10" spans="2:17" ht="30" customHeight="1">
      <c r="B10" s="110" t="s">
        <v>1080</v>
      </c>
      <c r="C10" s="111"/>
      <c r="D10" s="112" t="s">
        <v>1081</v>
      </c>
      <c r="E10" s="113"/>
      <c r="F10" s="113"/>
      <c r="G10" s="113"/>
      <c r="H10" s="113"/>
      <c r="I10" s="113"/>
      <c r="J10" s="114"/>
      <c r="K10" s="115" t="s">
        <v>1082</v>
      </c>
      <c r="L10" s="116"/>
      <c r="M10" s="117"/>
      <c r="P10" s="41"/>
      <c r="Q10" s="41"/>
    </row>
    <row r="11" spans="2:17" ht="17.25" customHeight="1">
      <c r="B11" s="118" t="s">
        <v>508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1083</v>
      </c>
      <c r="C13" s="48" t="s">
        <v>1084</v>
      </c>
      <c r="D13" s="49">
        <f>SUMIFS('0411 4度C'!$K:$K,'0411 4度C'!$A:$A,"新豐6線",'0411 4度C'!$B:$B,"平均")</f>
        <v>117.64705882352941</v>
      </c>
      <c r="E13" s="50">
        <f>SUMIFS('0411 4度C'!$K:$K,'0411 4度C'!$A:$A,"新豐2線",'0411 4度C'!$B:$B,"平均")</f>
        <v>84.905660377358487</v>
      </c>
      <c r="F13" s="51">
        <f>SUMIFS('0411 4度C'!$K:$K,'0411 4度C'!$A:$A,"新豐5線",'0411 4度C'!$B:$B,"平均")</f>
        <v>97.402597402597408</v>
      </c>
      <c r="G13" s="51">
        <f>SUMIFS('0411 4度C'!$K:$K,'0411 4度C'!$A:$A,"新豐7線",'0411 4度C'!$B:$B,"平均")</f>
        <v>126.37362637362638</v>
      </c>
      <c r="H13" s="51">
        <f>SUMIFS('0411 4度C'!$K:$K,'0411 4度C'!$A:$A,"新豐3線",'0411 4度C'!$B:$B,"平均")</f>
        <v>319.14893617021278</v>
      </c>
      <c r="I13" s="51">
        <f>SUMIFS('0411 4度C'!$K:$K,'0411 4度C'!$A:$A,"新豐1線",'0411 4度C'!$B:$B,"平均")</f>
        <v>102.67857142857143</v>
      </c>
      <c r="J13" s="52">
        <f>SUMIFS('0411 4度C'!$K:$K,'0411 4度C'!$A:$A,"新豐10線",'0411 4度C'!$B:$B,"平均")</f>
        <v>283.33333333333337</v>
      </c>
      <c r="K13" s="53">
        <f>SUMIFS('0411 4度C'!$K:$K,'0411 4度C'!$A:$A,"新豐8線",'0411 4度C'!$B:$B,"平均")</f>
        <v>130.43478260869566</v>
      </c>
      <c r="L13" s="54">
        <f>SUMIFS('0411 4度C'!$K:$K,'0411 4度C'!$A:$A,"新豐9線",'0411 4度C'!$B:$B,"平均")</f>
        <v>136.36363636363635</v>
      </c>
      <c r="M13" s="52">
        <f>SUMIFS('0411 4度C'!$K:$K,'0411 4度C'!$A:$A,"新豐4線",'0411 4度C'!$B:$B,"平均")</f>
        <v>155.84415584415584</v>
      </c>
    </row>
    <row r="14" spans="2:17" ht="39.6" customHeight="1">
      <c r="B14" s="123"/>
      <c r="C14" s="55" t="s">
        <v>1085</v>
      </c>
      <c r="D14" s="56">
        <f>SUMIFS('0411 4度C'!$N:$N,'0411 4度C'!$A:$A,"新豐6線",'0411 4度C'!$B:$B,"平均")</f>
        <v>112.96281060986944</v>
      </c>
      <c r="E14" s="57">
        <f>SUMIFS('0411 4度C'!$N:$N,'0411 4度C'!$A:$A,"新豐2線",'0411 4度C'!$B:$B,"平均")</f>
        <v>80.927927114620232</v>
      </c>
      <c r="F14" s="57">
        <f>SUMIFS('0411 4度C'!$N:$N,'0411 4度C'!$A:$A,"新豐5線",'0411 4度C'!$B:$B,"平均")</f>
        <v>93.940468475572771</v>
      </c>
      <c r="G14" s="57">
        <f>SUMIFS('0411 4度C'!$N:$N,'0411 4度C'!$A:$A,"新豐7線",'0411 4度C'!$B:$B,"平均")</f>
        <v>121.51185573346589</v>
      </c>
      <c r="H14" s="57">
        <f>SUMIFS('0411 4度C'!$N:$N,'0411 4度C'!$A:$A,"新豐3線",'0411 4度C'!$B:$B,"平均")</f>
        <v>305.26481261410737</v>
      </c>
      <c r="I14" s="57">
        <f>SUMIFS('0411 4度C'!$N:$N,'0411 4度C'!$A:$A,"新豐1線",'0411 4度C'!$B:$B,"平均")</f>
        <v>98.652610156923785</v>
      </c>
      <c r="J14" s="58">
        <f>SUMIFS('0411 4度C'!$N:$N,'0411 4度C'!$A:$A,"新豐10線",'0411 4度C'!$B:$B,"平均")</f>
        <v>272.43203157349905</v>
      </c>
      <c r="K14" s="59">
        <f>SUMIFS('0411 4度C'!$N:$N,'0411 4度C'!$A:$A,"新豐8線",'0411 4度C'!$B:$B,"平均")</f>
        <v>125.07120855425595</v>
      </c>
      <c r="L14" s="60">
        <f>SUMIFS('0411 4度C'!$N:$N,'0411 4度C'!$A:$A,"新豐9線",'0411 4度C'!$B:$B,"平均")</f>
        <v>130.53531937604137</v>
      </c>
      <c r="M14" s="58">
        <f>SUMIFS('0411 4度C'!$N:$N,'0411 4度C'!$A:$A,"新豐4線",'0411 4度C'!$B:$B,"平均")</f>
        <v>149.20126386789491</v>
      </c>
    </row>
    <row r="15" spans="2:17" ht="40.15" customHeight="1">
      <c r="B15" s="124"/>
      <c r="C15" s="61" t="s">
        <v>1086</v>
      </c>
      <c r="D15" s="62">
        <f t="shared" ref="D15:M15" si="0">D14/D13</f>
        <v>0.96018389018389028</v>
      </c>
      <c r="E15" s="63">
        <f t="shared" si="0"/>
        <v>0.95315114157219394</v>
      </c>
      <c r="F15" s="63">
        <f t="shared" si="0"/>
        <v>0.96445547634921369</v>
      </c>
      <c r="G15" s="63">
        <f t="shared" si="0"/>
        <v>0.96152859754307785</v>
      </c>
      <c r="H15" s="63">
        <f t="shared" si="0"/>
        <v>0.95649641285753639</v>
      </c>
      <c r="I15" s="63">
        <f t="shared" si="0"/>
        <v>0.96079063805004028</v>
      </c>
      <c r="J15" s="64">
        <f t="shared" si="0"/>
        <v>0.96152481731823181</v>
      </c>
      <c r="K15" s="62">
        <f t="shared" si="0"/>
        <v>0.95887926558262893</v>
      </c>
      <c r="L15" s="63">
        <f t="shared" si="0"/>
        <v>0.95725900875763681</v>
      </c>
      <c r="M15" s="64">
        <f t="shared" si="0"/>
        <v>0.95737477648565905</v>
      </c>
    </row>
    <row r="16" spans="2:17" ht="17.25" customHeight="1">
      <c r="B16" s="125" t="s">
        <v>101</v>
      </c>
      <c r="C16" s="65" t="s">
        <v>102</v>
      </c>
      <c r="D16" s="66">
        <f>VLOOKUP("新豐6線",'0411 4度C'!$A:$T,19,0)</f>
        <v>0.70833333333333337</v>
      </c>
      <c r="E16" s="67">
        <f>VLOOKUP("新豐2線",'0411 4度C'!$A:$T,19,0)</f>
        <v>0.20833333333333334</v>
      </c>
      <c r="F16" s="67">
        <f>VLOOKUP("新豐5線",'0411 4度C'!$A:$T,19,0)</f>
        <v>0.20833333333333334</v>
      </c>
      <c r="G16" s="67">
        <f>VLOOKUP("新豐7線",'0411 4度C'!$A:$T,19,0)</f>
        <v>0.20833333333333334</v>
      </c>
      <c r="H16" s="67">
        <f>VLOOKUP("新豐3線",'0411 4度C'!$A:$T,19,0)</f>
        <v>8.3333333333333329E-2</v>
      </c>
      <c r="I16" s="67">
        <f>VLOOKUP("新豐1線",'0411 4度C'!$A:$T,19,0)</f>
        <v>0.20833333333333334</v>
      </c>
      <c r="J16" s="68">
        <f>VLOOKUP("新豐10線",'0411 4度C'!$A:$T,19,0)</f>
        <v>0.20833333333333334</v>
      </c>
      <c r="K16" s="69">
        <f>VLOOKUP("新豐8線",'0411 4度C'!$A:$T,19,0)</f>
        <v>8.3333333333333329E-2</v>
      </c>
      <c r="L16" s="70">
        <f>VLOOKUP("新豐9線",'0411 4度C'!$A:$T,19,0)</f>
        <v>8.3333333333333329E-2</v>
      </c>
      <c r="M16" s="71">
        <f>VLOOKUP("新豐4線",'0411 4度C'!$A:$T,19,0)</f>
        <v>8.3333333333333329E-2</v>
      </c>
    </row>
    <row r="17" spans="2:13" ht="17.25" customHeight="1">
      <c r="B17" s="126"/>
      <c r="C17" s="65" t="s">
        <v>408</v>
      </c>
      <c r="D17" s="69">
        <f>LOOKUP(2,1/(('0411 4度C'!$A:$A="新豐6線")*('0411 4度C'!$T:$T&lt;&gt;"")),'0411 4度C'!$T:$T)</f>
        <v>0.81041666666666667</v>
      </c>
      <c r="E17" s="67">
        <f>LOOKUP(2,1/(('0411 4度C'!$A:$A="新豐2線")*('0411 4度C'!$T:$T&lt;&gt;"")),'0411 4度C'!$T:$T)</f>
        <v>0.60555555555555562</v>
      </c>
      <c r="F17" s="67">
        <f>LOOKUP(2,1/(('0411 4度C'!$A:$A="新豐5線")*('0411 4度C'!$T:$T&lt;&gt;"")),'0411 4度C'!$T:$T)</f>
        <v>0.84513888888888899</v>
      </c>
      <c r="G17" s="67">
        <f>LOOKUP(2,1/(('0411 4度C'!$A:$A="新豐7線")*('0411 4度C'!$T:$T&lt;&gt;"")),'0411 4度C'!$T:$T)</f>
        <v>0.84027777777777768</v>
      </c>
      <c r="H17" s="67">
        <f>LOOKUP(2,1/(('0411 4度C'!$A:$A="新豐3線")*('0411 4度C'!$T:$T&lt;&gt;"")),'0411 4度C'!$T:$T)</f>
        <v>0.4284722222222222</v>
      </c>
      <c r="I17" s="67">
        <f>LOOKUP(2,1/(('0411 4度C'!$A:$A="新豐1線")*('0411 4度C'!$T:$T&lt;&gt;"")),'0411 4度C'!$T:$T)</f>
        <v>0.82152777777777775</v>
      </c>
      <c r="J17" s="68">
        <f>LOOKUP(2,1/(('0411 4度C'!$A:$A="新豐10線")*('0411 4度C'!$T:$T&lt;&gt;"")),'0411 4度C'!$T:$T)</f>
        <v>0.44374999999999992</v>
      </c>
      <c r="K17" s="66">
        <f>LOOKUP(2,1/(('0411 4度C'!$A:$A="新豐8線")*('0411 4度C'!$T:$T&lt;&gt;"")),'0411 4度C'!$T:$T)</f>
        <v>0.48124999999999996</v>
      </c>
      <c r="L17" s="67">
        <f>LOOKUP(2,1/(('0411 4度C'!$A:$A="新豐9線")*('0411 4度C'!$T:$T&lt;&gt;"")),'0411 4度C'!$T:$T)</f>
        <v>0.49513888888888885</v>
      </c>
      <c r="M17" s="68">
        <f>LOOKUP(2,1/(('0411 4度C'!$A:$A="新豐4線")*('0411 4度C'!$T:$T&lt;&gt;"")),'0411 4度C'!$T:$T)</f>
        <v>0.48333333333333328</v>
      </c>
    </row>
    <row r="18" spans="2:13" ht="17.25" customHeight="1">
      <c r="B18" s="104" t="s">
        <v>104</v>
      </c>
      <c r="C18" s="72" t="s">
        <v>105</v>
      </c>
      <c r="D18" s="73">
        <f>SUMIFS('0411 4度C'!$Y:$Y,'0411 4度C'!$A:$A,"新豐6線",'0411 4度C'!$B:$B,"平均")</f>
        <v>0</v>
      </c>
      <c r="E18" s="74">
        <f>SUMIFS('0411 4度C'!$Y:$Y,'0411 4度C'!$A:$A,"新豐2線",'0411 4度C'!$B:$B,"平均")</f>
        <v>0</v>
      </c>
      <c r="F18" s="74">
        <f>SUMIFS('0411 4度C'!$Y:$Y,'0411 4度C'!$A:$A,"新豐5線",'0411 4度C'!$B:$B,"平均")</f>
        <v>0</v>
      </c>
      <c r="G18" s="74">
        <f>SUMIFS('0411 4度C'!$Y:$Y,'0411 4度C'!$A:$A,"新豐7線",'0411 4度C'!$B:$B,"平均")</f>
        <v>0</v>
      </c>
      <c r="H18" s="74">
        <f>SUMIFS('0411 4度C'!$Y:$Y,'0411 4度C'!$A:$A,"新豐3線",'0411 4度C'!$B:$B,"平均")</f>
        <v>0</v>
      </c>
      <c r="I18" s="74">
        <f>SUMIFS('0411 4度C'!$Y:$Y,'0411 4度C'!$A:$A,"新豐1線",'0411 4度C'!$B:$B,"平均")</f>
        <v>0</v>
      </c>
      <c r="J18" s="75">
        <f>SUMIFS('0411 4度C'!$Y:$Y,'0411 4度C'!$A:$A,"新豐10線",'0411 4度C'!$B:$B,"平均")</f>
        <v>0</v>
      </c>
      <c r="K18" s="76">
        <f>SUMIFS('0411 4度C'!$Y:$Y,'0411 4度C'!$A:$A,"新豐8線",'0411 4度C'!$B:$B,"平均")</f>
        <v>0</v>
      </c>
      <c r="L18" s="74">
        <f>SUMIFS('0411 4度C'!$Y:$Y,'0411 4度C'!$A:$A,"新豐9線",'0411 4度C'!$B:$B,"平均")</f>
        <v>0</v>
      </c>
      <c r="M18" s="75">
        <f>SUMIFS('0411 4度C'!$Y:$Y,'0411 4度C'!$A:$A,"新豐4線",'0411 4度C'!$B:$B,"平均")</f>
        <v>0</v>
      </c>
    </row>
    <row r="19" spans="2:13" ht="17.25" customHeight="1">
      <c r="B19" s="105"/>
      <c r="C19" s="72" t="s">
        <v>411</v>
      </c>
      <c r="D19" s="73">
        <f>SUMIFS('0411 4度C'!$Z:$Z,'0411 4度C'!$A:$A,"新豐6線",'0411 4度C'!$B:$B,"平均")</f>
        <v>0</v>
      </c>
      <c r="E19" s="74">
        <f>SUMIFS('0411 4度C'!$Z:$Z,'0411 4度C'!$A:$A,"新豐2線",'0411 4度C'!$B:$B,"平均")</f>
        <v>0</v>
      </c>
      <c r="F19" s="74">
        <f>SUMIFS('0411 4度C'!$Z:$Z,'0411 4度C'!$A:$A,"新豐5線",'0411 4度C'!$B:$B,"平均")</f>
        <v>0</v>
      </c>
      <c r="G19" s="74">
        <f>SUMIFS('0411 4度C'!$Z:$Z,'0411 4度C'!$A:$A,"新豐7線",'0411 4度C'!$B:$B,"平均")</f>
        <v>0</v>
      </c>
      <c r="H19" s="74">
        <f>SUMIFS('0411 4度C'!$Z:$Z,'0411 4度C'!$A:$A,"新豐3線",'0411 4度C'!$B:$B,"平均")</f>
        <v>0</v>
      </c>
      <c r="I19" s="74">
        <f>SUMIFS('0411 4度C'!$Z:$Z,'0411 4度C'!$A:$A,"新豐1線",'0411 4度C'!$B:$B,"平均")</f>
        <v>0</v>
      </c>
      <c r="J19" s="75">
        <f>SUMIFS('0411 4度C'!$Z:$Z,'0411 4度C'!$A:$A,"新豐10線",'0411 4度C'!$B:$B,"平均")</f>
        <v>0</v>
      </c>
      <c r="K19" s="76">
        <f>SUMIFS('0411 4度C'!$Z:$Z,'0411 4度C'!$A:$A,"新豐8線",'0411 4度C'!$B:$B,"平均")</f>
        <v>0</v>
      </c>
      <c r="L19" s="74">
        <f>SUMIFS('0411 4度C'!$Z:$Z,'0411 4度C'!$A:$A,"新豐9線",'0411 4度C'!$B:$B,"平均")</f>
        <v>0</v>
      </c>
      <c r="M19" s="75">
        <f>SUMIFS('0411 4度C'!$Z:$Z,'0411 4度C'!$A:$A,"新豐4線",'0411 4度C'!$B:$B,"平均")</f>
        <v>0</v>
      </c>
    </row>
    <row r="20" spans="2:13" ht="17.25" customHeight="1">
      <c r="B20" s="104" t="s">
        <v>1087</v>
      </c>
      <c r="C20" s="72" t="s">
        <v>1088</v>
      </c>
      <c r="D20" s="73">
        <f>SUMIFS('0411 4度C'!$AC:$AC,'0411 4度C'!$A:$A,"新豐6線",'0411 4度C'!$B:$B,"平均")</f>
        <v>3</v>
      </c>
      <c r="E20" s="74">
        <f>SUMIFS('0411 4度C'!$AC:$AC,'0411 4度C'!$A:$A,"新豐2線",'0411 4度C'!$B:$B,"平均")</f>
        <v>3</v>
      </c>
      <c r="F20" s="74">
        <f>SUMIFS('0411 4度C'!$AC:$AC,'0411 4度C'!$A:$A,"新豐5線",'0411 4度C'!$B:$B,"平均")</f>
        <v>4</v>
      </c>
      <c r="G20" s="74">
        <f>SUMIFS('0411 4度C'!$AC:$AC,'0411 4度C'!$A:$A,"新豐7線",'0411 4度C'!$B:$B,"平均")</f>
        <v>6</v>
      </c>
      <c r="H20" s="74">
        <f>SUMIFS('0411 4度C'!$AC:$AC,'0411 4度C'!$A:$A,"新豐3線",'0411 4度C'!$B:$B,"平均")</f>
        <v>5</v>
      </c>
      <c r="I20" s="74">
        <f>SUMIFS('0411 4度C'!$AC:$AC,'0411 4度C'!$A:$A,"新豐1線",'0411 4度C'!$B:$B,"平均")</f>
        <v>6</v>
      </c>
      <c r="J20" s="75">
        <f>SUMIFS('0411 4度C'!$AC:$AC,'0411 4度C'!$A:$A,"新豐10線",'0411 4度C'!$B:$B,"平均")</f>
        <v>6</v>
      </c>
      <c r="K20" s="76">
        <f>SUMIFS('0411 4度C'!$AC:$AC,'0411 4度C'!$A:$A,"新豐8線",'0411 4度C'!$B:$B,"平均")</f>
        <v>5</v>
      </c>
      <c r="L20" s="74">
        <f>SUMIFS('0411 4度C'!$AC:$AC,'0411 4度C'!$A:$A,"新豐9線",'0411 4度C'!$B:$B,"平均")</f>
        <v>5</v>
      </c>
      <c r="M20" s="75">
        <f>SUMIFS('0411 4度C'!$AC:$AC,'0411 4度C'!$A:$A,"新豐4線",'0411 4度C'!$B:$B,"平均")</f>
        <v>5</v>
      </c>
    </row>
    <row r="21" spans="2:13" ht="17.25" customHeight="1">
      <c r="B21" s="105"/>
      <c r="C21" s="72" t="s">
        <v>1089</v>
      </c>
      <c r="D21" s="73">
        <f>SUMIFS('0411 4度C'!$AD:$AD,'0411 4度C'!$A:$A,"新豐6線",'0411 4度C'!$B:$B,"平均")</f>
        <v>0</v>
      </c>
      <c r="E21" s="74">
        <f>SUMIFS('0411 4度C'!$AD:$AD,'0411 4度C'!$A:$A,"新豐2線",'0411 4度C'!$B:$B,"平均")</f>
        <v>0</v>
      </c>
      <c r="F21" s="74">
        <f>SUMIFS('0411 4度C'!$AD:$AD,'0411 4度C'!$A:$A,"新豐5線",'0411 4度C'!$B:$B,"平均")</f>
        <v>0</v>
      </c>
      <c r="G21" s="74">
        <f>SUMIFS('0411 4度C'!$AD:$AD,'0411 4度C'!$A:$A,"新豐7線",'0411 4度C'!$B:$B,"平均")</f>
        <v>0</v>
      </c>
      <c r="H21" s="74">
        <f>SUMIFS('0411 4度C'!$AD:$AD,'0411 4度C'!$A:$A,"新豐3線",'0411 4度C'!$B:$B,"平均")</f>
        <v>0</v>
      </c>
      <c r="I21" s="74">
        <f>SUMIFS('0411 4度C'!$AD:$AD,'0411 4度C'!$A:$A,"新豐1線",'0411 4度C'!$B:$B,"平均")</f>
        <v>0</v>
      </c>
      <c r="J21" s="75">
        <f>SUMIFS('0411 4度C'!$AD:$AD,'0411 4度C'!$A:$A,"新豐10線",'0411 4度C'!$B:$B,"平均")</f>
        <v>0</v>
      </c>
      <c r="K21" s="76">
        <f>SUMIFS('0411 4度C'!$AD:$AD,'0411 4度C'!$A:$A,"新豐8線",'0411 4度C'!$B:$B,"平均")</f>
        <v>0</v>
      </c>
      <c r="L21" s="74">
        <f>SUMIFS('0411 4度C'!$AD:$AD,'0411 4度C'!$A:$A,"新豐9線",'0411 4度C'!$B:$B,"平均")</f>
        <v>0</v>
      </c>
      <c r="M21" s="75">
        <f>SUMIFS('0411 4度C'!$AD:$AD,'0411 4度C'!$A:$A,"新豐4線",'0411 4度C'!$B:$B,"平均")</f>
        <v>0</v>
      </c>
    </row>
    <row r="22" spans="2:13" ht="17.25" customHeight="1">
      <c r="B22" s="106" t="s">
        <v>315</v>
      </c>
      <c r="C22" s="107"/>
      <c r="D22" s="77">
        <f>SUMIFS('0411 4度C'!$I:$I,'0411 4度C'!$A:$A,"新豐6線",'0411 4度C'!$B:$B,"平均")</f>
        <v>17</v>
      </c>
      <c r="E22" s="78">
        <f>SUMIFS('0411 4度C'!$I:$I,'0411 4度C'!$A:$A,"新豐2線",'0411 4度C'!$B:$B,"平均")</f>
        <v>17.666666666666668</v>
      </c>
      <c r="F22" s="78">
        <f>SUMIFS('0411 4度C'!$I:$I,'0411 4度C'!$A:$A,"新豐5線",'0411 4度C'!$B:$B,"平均")</f>
        <v>19.25</v>
      </c>
      <c r="G22" s="78">
        <f>SUMIFS('0411 4度C'!$I:$I,'0411 4度C'!$A:$A,"新豐7線",'0411 4度C'!$B:$B,"平均")</f>
        <v>15.166666666666666</v>
      </c>
      <c r="H22" s="78">
        <f>SUMIFS('0411 4度C'!$I:$I,'0411 4度C'!$A:$A,"新豐3線",'0411 4度C'!$B:$B,"平均")</f>
        <v>9.4</v>
      </c>
      <c r="I22" s="78">
        <f>SUMIFS('0411 4度C'!$I:$I,'0411 4度C'!$A:$A,"新豐1線",'0411 4度C'!$B:$B,"平均")</f>
        <v>18.666666666666668</v>
      </c>
      <c r="J22" s="79">
        <f>SUMIFS('0411 4度C'!$I:$I,'0411 4度C'!$A:$A,"新豐10線",'0411 4度C'!$B:$B,"平均")</f>
        <v>10</v>
      </c>
      <c r="K22" s="77">
        <f>SUMIFS('0411 4度C'!$I:$I,'0411 4度C'!$A:$A,"新豐8線",'0411 4度C'!$B:$B,"平均")</f>
        <v>18.399999999999999</v>
      </c>
      <c r="L22" s="78">
        <f>SUMIFS('0411 4度C'!$I:$I,'0411 4度C'!$A:$A,"新豐9線",'0411 4度C'!$B:$B,"平均")</f>
        <v>17.600000000000001</v>
      </c>
      <c r="M22" s="79">
        <f>SUMIFS('0411 4度C'!$I:$I,'0411 4度C'!$A:$A,"新豐4線",'0411 4度C'!$B:$B,"平均")</f>
        <v>15.4</v>
      </c>
    </row>
    <row r="23" spans="2:13" ht="17.25" customHeight="1">
      <c r="B23" s="106" t="s">
        <v>316</v>
      </c>
      <c r="C23" s="107"/>
      <c r="D23" s="80" t="s">
        <v>67</v>
      </c>
      <c r="E23" s="81" t="s">
        <v>68</v>
      </c>
      <c r="F23" s="81" t="s">
        <v>111</v>
      </c>
      <c r="G23" s="81" t="s">
        <v>111</v>
      </c>
      <c r="H23" s="81" t="s">
        <v>69</v>
      </c>
      <c r="I23" s="81" t="s">
        <v>67</v>
      </c>
      <c r="J23" s="82" t="s">
        <v>69</v>
      </c>
      <c r="K23" s="80" t="s">
        <v>318</v>
      </c>
      <c r="L23" s="81" t="s">
        <v>1090</v>
      </c>
      <c r="M23" s="82" t="s">
        <v>318</v>
      </c>
    </row>
    <row r="24" spans="2:13" ht="17.25" customHeight="1">
      <c r="B24" s="106" t="s">
        <v>1091</v>
      </c>
      <c r="C24" s="107"/>
      <c r="D24" s="80"/>
      <c r="E24" s="81"/>
      <c r="F24" s="81" t="s">
        <v>114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1092</v>
      </c>
      <c r="C25" s="109"/>
      <c r="D25" s="83"/>
      <c r="E25" s="84" t="s">
        <v>116</v>
      </c>
      <c r="F25" s="102" t="s">
        <v>117</v>
      </c>
      <c r="G25" s="103"/>
      <c r="H25" s="84" t="s">
        <v>118</v>
      </c>
      <c r="I25" s="84" t="s">
        <v>222</v>
      </c>
      <c r="J25" s="85" t="s">
        <v>118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8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工作表13">
    <pageSetUpPr fitToPage="1"/>
  </sheetPr>
  <dimension ref="A1:AG63"/>
  <sheetViews>
    <sheetView zoomScale="80" zoomScaleNormal="80" workbookViewId="0">
      <pane ySplit="4" topLeftCell="A5" activePane="bottomLeft" state="frozen"/>
      <selection activeCell="J13" sqref="J13"/>
      <selection pane="bottomLeft" activeCell="G15" sqref="G15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1093</v>
      </c>
      <c r="B1" s="1"/>
      <c r="C1" s="2" t="s">
        <v>1094</v>
      </c>
      <c r="D1" s="3">
        <f>SUM(F5:F62)</f>
        <v>142611</v>
      </c>
      <c r="E1" s="88" t="s">
        <v>1095</v>
      </c>
      <c r="F1" s="1">
        <f>SUM(G5:G62)</f>
        <v>4834809.9399999995</v>
      </c>
      <c r="G1" s="1" t="s">
        <v>1096</v>
      </c>
      <c r="H1" s="4">
        <f>L8+L12+L42+L49+L17+L56+L30+L36+L24+L62</f>
        <v>158.54999999999998</v>
      </c>
      <c r="I1" s="215" t="s">
        <v>1097</v>
      </c>
      <c r="J1" s="215"/>
      <c r="K1" s="215"/>
      <c r="L1" s="215" t="s">
        <v>1098</v>
      </c>
      <c r="M1" s="215"/>
      <c r="N1" s="215"/>
      <c r="O1" s="215" t="s">
        <v>1099</v>
      </c>
      <c r="P1" s="215"/>
      <c r="Q1" s="215"/>
      <c r="R1" s="215"/>
      <c r="S1" s="215" t="s">
        <v>1100</v>
      </c>
      <c r="T1" s="215"/>
      <c r="U1" s="215"/>
      <c r="V1" s="215"/>
      <c r="W1" s="215"/>
      <c r="X1" s="215"/>
      <c r="Y1" s="5" t="s">
        <v>1101</v>
      </c>
      <c r="Z1" s="6" t="s">
        <v>1102</v>
      </c>
      <c r="AA1" s="216" t="s">
        <v>1103</v>
      </c>
      <c r="AB1" s="216"/>
      <c r="AC1" s="97" t="s">
        <v>1101</v>
      </c>
      <c r="AD1" s="6" t="s">
        <v>1104</v>
      </c>
      <c r="AE1" s="215" t="s">
        <v>1105</v>
      </c>
      <c r="AF1" s="217"/>
      <c r="AG1" s="217"/>
    </row>
    <row r="2" spans="1:33" ht="26.25" customHeight="1">
      <c r="A2" s="26">
        <v>46123</v>
      </c>
      <c r="B2" s="27" t="s">
        <v>437</v>
      </c>
      <c r="C2" s="2" t="s">
        <v>1106</v>
      </c>
      <c r="D2" s="8">
        <f>AVERAGE(N8,N12,N42,N49,N17,N56,N24,N30,N36,N62)</f>
        <v>149.05003080762509</v>
      </c>
      <c r="E2" s="9" t="s">
        <v>0</v>
      </c>
      <c r="F2" s="10">
        <f>F1/D1</f>
        <v>33.902082868782912</v>
      </c>
      <c r="G2" s="1" t="s">
        <v>1107</v>
      </c>
      <c r="H2" s="96">
        <f>COUNT(H5:H62)</f>
        <v>1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SUM(Y8+Y12+Y17+Y24+Y30+Y36+Y42+Y49+Y56+Y62)</f>
        <v>0</v>
      </c>
      <c r="Z2" s="11">
        <f>SUM(Z8+Z12+Z17+Z24+Z30+Z36+Z42+Z49+Z56+Z62)</f>
        <v>0</v>
      </c>
      <c r="AA2" s="216"/>
      <c r="AB2" s="216"/>
      <c r="AC2" s="11">
        <v>48</v>
      </c>
      <c r="AD2" s="11">
        <f>SUM(AD8+AD12+AD17+AD24+AD30+AD36+AD42+AD49+AD56+AD62)</f>
        <v>0</v>
      </c>
      <c r="AE2" s="217"/>
      <c r="AF2" s="217"/>
      <c r="AG2" s="217"/>
    </row>
    <row r="3" spans="1:33" ht="40.5" customHeight="1">
      <c r="A3" s="168" t="s">
        <v>1108</v>
      </c>
      <c r="B3" s="168" t="s">
        <v>1109</v>
      </c>
      <c r="C3" s="168" t="s">
        <v>1110</v>
      </c>
      <c r="D3" s="168"/>
      <c r="E3" s="213" t="s">
        <v>1111</v>
      </c>
      <c r="F3" s="168" t="s">
        <v>1112</v>
      </c>
      <c r="G3" s="213" t="s">
        <v>1113</v>
      </c>
      <c r="H3" s="207" t="s">
        <v>1114</v>
      </c>
      <c r="I3" s="205" t="s">
        <v>1115</v>
      </c>
      <c r="J3" s="202" t="s">
        <v>1116</v>
      </c>
      <c r="K3" s="212" t="s">
        <v>1106</v>
      </c>
      <c r="L3" s="205" t="s">
        <v>1115</v>
      </c>
      <c r="M3" s="202" t="s">
        <v>1116</v>
      </c>
      <c r="N3" s="212" t="s">
        <v>1106</v>
      </c>
      <c r="O3" s="205" t="s">
        <v>1115</v>
      </c>
      <c r="P3" s="212" t="s">
        <v>1106</v>
      </c>
      <c r="Q3" s="203" t="s">
        <v>1117</v>
      </c>
      <c r="R3" s="181" t="s">
        <v>1118</v>
      </c>
      <c r="S3" s="168" t="s">
        <v>1</v>
      </c>
      <c r="T3" s="168"/>
      <c r="U3" s="207" t="s">
        <v>2</v>
      </c>
      <c r="V3" s="207" t="s">
        <v>1119</v>
      </c>
      <c r="W3" s="168" t="s">
        <v>1120</v>
      </c>
      <c r="X3" s="168"/>
      <c r="Y3" s="208" t="s">
        <v>1121</v>
      </c>
      <c r="Z3" s="167"/>
      <c r="AA3" s="209" t="s">
        <v>1122</v>
      </c>
      <c r="AB3" s="210"/>
      <c r="AC3" s="208" t="s">
        <v>1123</v>
      </c>
      <c r="AD3" s="167"/>
      <c r="AE3" s="202" t="s">
        <v>1124</v>
      </c>
      <c r="AF3" s="203" t="s">
        <v>1125</v>
      </c>
      <c r="AG3" s="181" t="s">
        <v>1118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1126</v>
      </c>
      <c r="X4" s="88" t="s">
        <v>1127</v>
      </c>
      <c r="Y4" s="90" t="s">
        <v>1128</v>
      </c>
      <c r="Z4" s="90" t="s">
        <v>1129</v>
      </c>
      <c r="AA4" s="211"/>
      <c r="AB4" s="210"/>
      <c r="AC4" s="90" t="s">
        <v>1130</v>
      </c>
      <c r="AD4" s="90" t="s">
        <v>1131</v>
      </c>
      <c r="AE4" s="202"/>
      <c r="AF4" s="203"/>
      <c r="AG4" s="181"/>
    </row>
    <row r="5" spans="1:33">
      <c r="A5" s="204" t="s">
        <v>1132</v>
      </c>
      <c r="B5" s="28" t="s">
        <v>5</v>
      </c>
      <c r="C5" s="206" t="s">
        <v>6</v>
      </c>
      <c r="D5" s="206"/>
      <c r="E5" s="28">
        <v>50.67</v>
      </c>
      <c r="F5" s="88">
        <v>1410</v>
      </c>
      <c r="G5" s="88">
        <v>71444.7</v>
      </c>
      <c r="H5" s="30" t="s">
        <v>53</v>
      </c>
      <c r="I5" s="95">
        <v>17</v>
      </c>
      <c r="J5" s="13">
        <v>2000</v>
      </c>
      <c r="K5" s="12">
        <f t="shared" ref="K5:K62" si="0">J5/I5</f>
        <v>117.64705882352941</v>
      </c>
      <c r="L5" s="95">
        <v>17</v>
      </c>
      <c r="M5" s="13">
        <f t="shared" ref="M5:M7" si="1">F5/V5*60</f>
        <v>1922.7272727272727</v>
      </c>
      <c r="N5" s="12">
        <f t="shared" ref="N5:N62" si="2">M5/L5</f>
        <v>113.10160427807487</v>
      </c>
      <c r="O5" s="14">
        <f t="shared" ref="O5:O62" si="3">L5-I5</f>
        <v>0</v>
      </c>
      <c r="P5" s="15">
        <f t="shared" ref="P5:P62" si="4">N5-K5</f>
        <v>-4.5454545454545325</v>
      </c>
      <c r="Q5" s="91">
        <f t="shared" ref="Q5:Q62" si="5">N5/K5</f>
        <v>0.96136363636363642</v>
      </c>
      <c r="R5" s="177">
        <f>Q8</f>
        <v>0.96018389018389028</v>
      </c>
      <c r="S5" s="21">
        <v>0.70833333333333337</v>
      </c>
      <c r="T5" s="21">
        <v>0.73888888888888893</v>
      </c>
      <c r="U5" s="88"/>
      <c r="V5" s="30">
        <f t="shared" ref="V5:V7" si="6">(T5-S5)*24*60</f>
        <v>44</v>
      </c>
      <c r="W5" s="16"/>
      <c r="X5" s="17"/>
      <c r="Y5" s="17"/>
      <c r="Z5" s="17"/>
      <c r="AA5" s="168"/>
      <c r="AB5" s="168"/>
      <c r="AC5" s="18">
        <v>3</v>
      </c>
      <c r="AD5" s="18"/>
      <c r="AE5" s="14">
        <f t="shared" ref="AE5:AE48" si="7">M5-J5</f>
        <v>-77.272727272727252</v>
      </c>
      <c r="AF5" s="91">
        <f t="shared" ref="AF5:AF62" si="8">M5/J5</f>
        <v>0.96136363636363642</v>
      </c>
      <c r="AG5" s="177">
        <f>AF8</f>
        <v>0.96018389018389017</v>
      </c>
    </row>
    <row r="6" spans="1:33">
      <c r="A6" s="205" t="s">
        <v>349</v>
      </c>
      <c r="B6" s="28" t="s">
        <v>5</v>
      </c>
      <c r="C6" s="206" t="s">
        <v>7</v>
      </c>
      <c r="D6" s="206"/>
      <c r="E6" s="28">
        <v>54.09</v>
      </c>
      <c r="F6" s="88">
        <v>1239</v>
      </c>
      <c r="G6" s="88">
        <v>67017.510000000009</v>
      </c>
      <c r="H6" s="30" t="s">
        <v>53</v>
      </c>
      <c r="I6" s="95">
        <v>19</v>
      </c>
      <c r="J6" s="13">
        <v>2000</v>
      </c>
      <c r="K6" s="12">
        <f t="shared" si="0"/>
        <v>105.26315789473684</v>
      </c>
      <c r="L6" s="95">
        <v>19</v>
      </c>
      <c r="M6" s="13">
        <f t="shared" si="1"/>
        <v>1906.1538461538451</v>
      </c>
      <c r="N6" s="12">
        <f t="shared" si="2"/>
        <v>100.32388663967606</v>
      </c>
      <c r="O6" s="14">
        <f t="shared" si="3"/>
        <v>0</v>
      </c>
      <c r="P6" s="15">
        <f t="shared" si="4"/>
        <v>-4.939271255060774</v>
      </c>
      <c r="Q6" s="91">
        <f t="shared" si="5"/>
        <v>0.9530769230769226</v>
      </c>
      <c r="R6" s="177"/>
      <c r="S6" s="21">
        <v>0.74236111111111114</v>
      </c>
      <c r="T6" s="21">
        <v>0.76944444444444449</v>
      </c>
      <c r="U6" s="88">
        <f t="shared" ref="U6:U7" si="9">IF(S6=TIME(17,0,0),"",(S6-T5)*24*60)</f>
        <v>4.9999999999999822</v>
      </c>
      <c r="V6" s="30">
        <f t="shared" si="6"/>
        <v>39.000000000000021</v>
      </c>
      <c r="W6" s="16"/>
      <c r="X6" s="16"/>
      <c r="Y6" s="16"/>
      <c r="Z6" s="16"/>
      <c r="AA6" s="168"/>
      <c r="AB6" s="168"/>
      <c r="AC6" s="18"/>
      <c r="AD6" s="18"/>
      <c r="AE6" s="14">
        <f t="shared" si="7"/>
        <v>-93.846153846154948</v>
      </c>
      <c r="AF6" s="91">
        <f t="shared" si="8"/>
        <v>0.95307692307692249</v>
      </c>
      <c r="AG6" s="177"/>
    </row>
    <row r="7" spans="1:33">
      <c r="A7" s="205" t="s">
        <v>349</v>
      </c>
      <c r="B7" s="28" t="s">
        <v>5</v>
      </c>
      <c r="C7" s="200" t="s">
        <v>16</v>
      </c>
      <c r="D7" s="201"/>
      <c r="E7" s="28">
        <v>50.67</v>
      </c>
      <c r="F7" s="88">
        <v>1739</v>
      </c>
      <c r="G7" s="88">
        <v>88115.13</v>
      </c>
      <c r="H7" s="30" t="s">
        <v>53</v>
      </c>
      <c r="I7" s="95">
        <v>15</v>
      </c>
      <c r="J7" s="13">
        <v>2000</v>
      </c>
      <c r="K7" s="12">
        <f t="shared" si="0"/>
        <v>133.33333333333334</v>
      </c>
      <c r="L7" s="95">
        <v>15</v>
      </c>
      <c r="M7" s="13">
        <f t="shared" si="1"/>
        <v>1932.2222222222235</v>
      </c>
      <c r="N7" s="12">
        <f t="shared" si="2"/>
        <v>128.81481481481489</v>
      </c>
      <c r="O7" s="14">
        <f t="shared" si="3"/>
        <v>0</v>
      </c>
      <c r="P7" s="15">
        <f t="shared" si="4"/>
        <v>-4.518518518518448</v>
      </c>
      <c r="Q7" s="91">
        <f t="shared" si="5"/>
        <v>0.9661111111111117</v>
      </c>
      <c r="R7" s="177"/>
      <c r="S7" s="21">
        <v>0.7729166666666667</v>
      </c>
      <c r="T7" s="21">
        <v>0.81041666666666667</v>
      </c>
      <c r="U7" s="88">
        <f t="shared" si="9"/>
        <v>4.9999999999999822</v>
      </c>
      <c r="V7" s="30">
        <f t="shared" si="6"/>
        <v>53.999999999999972</v>
      </c>
      <c r="W7" s="16"/>
      <c r="X7" s="16"/>
      <c r="Y7" s="19"/>
      <c r="Z7" s="19"/>
      <c r="AA7" s="172"/>
      <c r="AB7" s="173"/>
      <c r="AC7" s="18"/>
      <c r="AD7" s="20"/>
      <c r="AE7" s="14">
        <f t="shared" si="7"/>
        <v>-67.777777777776464</v>
      </c>
      <c r="AF7" s="91">
        <f t="shared" si="8"/>
        <v>0.96611111111111181</v>
      </c>
      <c r="AG7" s="177"/>
    </row>
    <row r="8" spans="1:33">
      <c r="A8" s="205" t="s">
        <v>349</v>
      </c>
      <c r="B8" s="28" t="s">
        <v>351</v>
      </c>
      <c r="C8" s="178"/>
      <c r="D8" s="178"/>
      <c r="E8" s="92"/>
      <c r="F8" s="12"/>
      <c r="G8" s="12"/>
      <c r="H8" s="88"/>
      <c r="I8" s="23">
        <v>17</v>
      </c>
      <c r="J8" s="13">
        <v>2000</v>
      </c>
      <c r="K8" s="12">
        <f t="shared" si="0"/>
        <v>117.64705882352941</v>
      </c>
      <c r="L8" s="23">
        <v>17</v>
      </c>
      <c r="M8" s="13">
        <f>AVERAGE(M5:M7)</f>
        <v>1920.3677803677804</v>
      </c>
      <c r="N8" s="12">
        <f t="shared" si="2"/>
        <v>112.96281060986944</v>
      </c>
      <c r="O8" s="14">
        <f t="shared" si="3"/>
        <v>0</v>
      </c>
      <c r="P8" s="15">
        <f t="shared" si="4"/>
        <v>-4.6842482136599699</v>
      </c>
      <c r="Q8" s="91">
        <f t="shared" si="5"/>
        <v>0.96018389018389028</v>
      </c>
      <c r="R8" s="177"/>
      <c r="S8" s="21"/>
      <c r="T8" s="21"/>
      <c r="U8" s="88"/>
      <c r="V8" s="30"/>
      <c r="W8" s="12"/>
      <c r="X8" s="12"/>
      <c r="Y8" s="24">
        <f>SUM(Y5:Y7)</f>
        <v>0</v>
      </c>
      <c r="Z8" s="24">
        <f>SUM(Z5:Z7)</f>
        <v>0</v>
      </c>
      <c r="AA8" s="167"/>
      <c r="AB8" s="167"/>
      <c r="AC8" s="24">
        <v>3</v>
      </c>
      <c r="AD8" s="24">
        <f>SUM(AD5:AD7)</f>
        <v>0</v>
      </c>
      <c r="AE8" s="14">
        <f t="shared" si="7"/>
        <v>-79.632219632219631</v>
      </c>
      <c r="AF8" s="91">
        <f t="shared" si="8"/>
        <v>0.96018389018389017</v>
      </c>
      <c r="AG8" s="177"/>
    </row>
    <row r="9" spans="1:33" ht="15.75" customHeight="1">
      <c r="A9" s="199" t="s">
        <v>350</v>
      </c>
      <c r="B9" s="28" t="s">
        <v>9</v>
      </c>
      <c r="C9" s="200" t="s">
        <v>10</v>
      </c>
      <c r="D9" s="201"/>
      <c r="E9" s="28">
        <v>39.619999999999997</v>
      </c>
      <c r="F9" s="88">
        <v>4985</v>
      </c>
      <c r="G9" s="88">
        <v>197505.69999999998</v>
      </c>
      <c r="H9" s="30" t="s">
        <v>53</v>
      </c>
      <c r="I9" s="95">
        <v>19</v>
      </c>
      <c r="J9" s="13">
        <v>1500</v>
      </c>
      <c r="K9" s="12">
        <f t="shared" si="0"/>
        <v>78.94736842105263</v>
      </c>
      <c r="L9" s="95">
        <v>19</v>
      </c>
      <c r="M9" s="13">
        <f t="shared" ref="M9:M11" si="10">F9/V9*60</f>
        <v>1431.1004784688994</v>
      </c>
      <c r="N9" s="12">
        <f t="shared" si="2"/>
        <v>75.321077814152602</v>
      </c>
      <c r="O9" s="14">
        <f t="shared" si="3"/>
        <v>0</v>
      </c>
      <c r="P9" s="15">
        <f t="shared" si="4"/>
        <v>-3.626290606900028</v>
      </c>
      <c r="Q9" s="91">
        <f t="shared" si="5"/>
        <v>0.95406698564593295</v>
      </c>
      <c r="R9" s="177">
        <f>Q12</f>
        <v>0.95315114157219394</v>
      </c>
      <c r="S9" s="21">
        <v>0.20833333333333334</v>
      </c>
      <c r="T9" s="21">
        <v>0.35347222222222224</v>
      </c>
      <c r="U9" s="88"/>
      <c r="V9" s="30">
        <f t="shared" ref="V9:V11" si="11">(T9-S9)*24*60</f>
        <v>209</v>
      </c>
      <c r="W9" s="16"/>
      <c r="X9" s="16"/>
      <c r="Y9" s="16"/>
      <c r="Z9" s="16"/>
      <c r="AA9" s="168"/>
      <c r="AB9" s="168"/>
      <c r="AC9" s="18">
        <v>3</v>
      </c>
      <c r="AD9" s="18"/>
      <c r="AE9" s="14">
        <f t="shared" si="7"/>
        <v>-68.899521531100618</v>
      </c>
      <c r="AF9" s="91">
        <f t="shared" si="8"/>
        <v>0.95406698564593295</v>
      </c>
      <c r="AG9" s="177">
        <f>AF12</f>
        <v>0.95315114157219383</v>
      </c>
    </row>
    <row r="10" spans="1:33" ht="15.75" customHeight="1">
      <c r="A10" s="199" t="s">
        <v>350</v>
      </c>
      <c r="B10" s="28" t="s">
        <v>9</v>
      </c>
      <c r="C10" s="200" t="s">
        <v>11</v>
      </c>
      <c r="D10" s="201"/>
      <c r="E10" s="28">
        <v>39.799999999999997</v>
      </c>
      <c r="F10" s="88">
        <v>4400</v>
      </c>
      <c r="G10" s="88">
        <v>175120</v>
      </c>
      <c r="H10" s="30">
        <v>2</v>
      </c>
      <c r="I10" s="95">
        <v>17</v>
      </c>
      <c r="J10" s="13">
        <v>1500</v>
      </c>
      <c r="K10" s="12">
        <f t="shared" si="0"/>
        <v>88.235294117647058</v>
      </c>
      <c r="L10" s="95">
        <v>17</v>
      </c>
      <c r="M10" s="13">
        <f t="shared" si="10"/>
        <v>1427.0270270270266</v>
      </c>
      <c r="N10" s="12">
        <f t="shared" si="2"/>
        <v>83.942766295707443</v>
      </c>
      <c r="O10" s="14">
        <f t="shared" si="3"/>
        <v>0</v>
      </c>
      <c r="P10" s="15">
        <f t="shared" si="4"/>
        <v>-4.2925278219396148</v>
      </c>
      <c r="Q10" s="91">
        <f t="shared" si="5"/>
        <v>0.95135135135135107</v>
      </c>
      <c r="R10" s="177"/>
      <c r="S10" s="21">
        <v>0.35833333333333334</v>
      </c>
      <c r="T10" s="21">
        <v>0.4868055555555556</v>
      </c>
      <c r="U10" s="88">
        <f t="shared" ref="U10:U11" si="12">IF(S10=TIME(17,0,0),"",(S10-T9)*24*60)</f>
        <v>6.9999999999999751</v>
      </c>
      <c r="V10" s="30">
        <f t="shared" si="11"/>
        <v>185.00000000000006</v>
      </c>
      <c r="W10" s="16">
        <f>T10</f>
        <v>0.4868055555555556</v>
      </c>
      <c r="X10" s="16">
        <f>S11</f>
        <v>0.52638888888888891</v>
      </c>
      <c r="Y10" s="16"/>
      <c r="Z10" s="16"/>
      <c r="AA10" s="168"/>
      <c r="AB10" s="168"/>
      <c r="AC10" s="18"/>
      <c r="AD10" s="18"/>
      <c r="AE10" s="14">
        <f t="shared" si="7"/>
        <v>-72.972972972973366</v>
      </c>
      <c r="AF10" s="91">
        <f t="shared" si="8"/>
        <v>0.95135135135135107</v>
      </c>
      <c r="AG10" s="177"/>
    </row>
    <row r="11" spans="1:33" ht="15.75" customHeight="1">
      <c r="A11" s="199" t="s">
        <v>350</v>
      </c>
      <c r="B11" s="28" t="s">
        <v>9</v>
      </c>
      <c r="C11" s="200" t="s">
        <v>11</v>
      </c>
      <c r="D11" s="201"/>
      <c r="E11" s="28">
        <v>39.799999999999997</v>
      </c>
      <c r="F11" s="88">
        <v>2719</v>
      </c>
      <c r="G11" s="88">
        <v>108216.2</v>
      </c>
      <c r="H11" s="30" t="s">
        <v>53</v>
      </c>
      <c r="I11" s="95">
        <v>17</v>
      </c>
      <c r="J11" s="13">
        <v>1500</v>
      </c>
      <c r="K11" s="12">
        <f t="shared" si="0"/>
        <v>88.235294117647058</v>
      </c>
      <c r="L11" s="95">
        <v>17</v>
      </c>
      <c r="M11" s="13">
        <f t="shared" si="10"/>
        <v>1431.0526315789464</v>
      </c>
      <c r="N11" s="12">
        <f t="shared" si="2"/>
        <v>84.179566563467432</v>
      </c>
      <c r="O11" s="14">
        <f t="shared" si="3"/>
        <v>0</v>
      </c>
      <c r="P11" s="15">
        <f t="shared" si="4"/>
        <v>-4.0557275541796258</v>
      </c>
      <c r="Q11" s="91">
        <f t="shared" si="5"/>
        <v>0.95403508771929757</v>
      </c>
      <c r="R11" s="177"/>
      <c r="S11" s="21">
        <v>0.52638888888888891</v>
      </c>
      <c r="T11" s="21">
        <v>0.60555555555555562</v>
      </c>
      <c r="U11" s="88">
        <f t="shared" si="12"/>
        <v>56.999999999999957</v>
      </c>
      <c r="V11" s="30">
        <f t="shared" si="11"/>
        <v>114.00000000000007</v>
      </c>
      <c r="W11" s="16"/>
      <c r="X11" s="16"/>
      <c r="Y11" s="16"/>
      <c r="Z11" s="16"/>
      <c r="AA11" s="168"/>
      <c r="AB11" s="168"/>
      <c r="AC11" s="18"/>
      <c r="AD11" s="18"/>
      <c r="AE11" s="14">
        <f t="shared" si="7"/>
        <v>-68.947368421053625</v>
      </c>
      <c r="AF11" s="91">
        <f t="shared" si="8"/>
        <v>0.95403508771929757</v>
      </c>
      <c r="AG11" s="177"/>
    </row>
    <row r="12" spans="1:33" ht="16.5" customHeight="1">
      <c r="A12" s="199" t="s">
        <v>350</v>
      </c>
      <c r="B12" s="28" t="s">
        <v>351</v>
      </c>
      <c r="C12" s="178"/>
      <c r="D12" s="178"/>
      <c r="E12" s="92"/>
      <c r="F12" s="13"/>
      <c r="G12" s="13"/>
      <c r="H12" s="88"/>
      <c r="I12" s="23">
        <v>17.666666666666668</v>
      </c>
      <c r="J12" s="13">
        <v>1500</v>
      </c>
      <c r="K12" s="12">
        <f t="shared" si="0"/>
        <v>84.905660377358487</v>
      </c>
      <c r="L12" s="23">
        <v>17.666666666666668</v>
      </c>
      <c r="M12" s="13">
        <f>AVERAGE(M9:M11)</f>
        <v>1429.7267123582908</v>
      </c>
      <c r="N12" s="12">
        <f t="shared" si="2"/>
        <v>80.927927114620232</v>
      </c>
      <c r="O12" s="14">
        <f t="shared" si="3"/>
        <v>0</v>
      </c>
      <c r="P12" s="15">
        <f t="shared" si="4"/>
        <v>-3.9777332627382549</v>
      </c>
      <c r="Q12" s="91">
        <f t="shared" si="5"/>
        <v>0.95315114157219394</v>
      </c>
      <c r="R12" s="177"/>
      <c r="S12" s="21"/>
      <c r="T12" s="21"/>
      <c r="U12" s="12"/>
      <c r="V12" s="30"/>
      <c r="W12" s="12"/>
      <c r="X12" s="12"/>
      <c r="Y12" s="24">
        <f>SUM(Y9:Y11)</f>
        <v>0</v>
      </c>
      <c r="Z12" s="24">
        <f>SUM(Z9:Z11)</f>
        <v>0</v>
      </c>
      <c r="AA12" s="167"/>
      <c r="AB12" s="167"/>
      <c r="AC12" s="24">
        <v>3</v>
      </c>
      <c r="AD12" s="24">
        <f>SUM(AD9:AD11)</f>
        <v>0</v>
      </c>
      <c r="AE12" s="14">
        <f t="shared" si="7"/>
        <v>-70.273287641709203</v>
      </c>
      <c r="AF12" s="91">
        <f t="shared" si="8"/>
        <v>0.95315114157219383</v>
      </c>
      <c r="AG12" s="177"/>
    </row>
    <row r="13" spans="1:33" ht="16.5" customHeight="1">
      <c r="A13" s="197" t="s">
        <v>352</v>
      </c>
      <c r="B13" s="88" t="s">
        <v>12</v>
      </c>
      <c r="C13" s="193" t="s">
        <v>13</v>
      </c>
      <c r="D13" s="193"/>
      <c r="E13" s="28">
        <v>41</v>
      </c>
      <c r="F13" s="88">
        <v>2218</v>
      </c>
      <c r="G13" s="88">
        <v>90938</v>
      </c>
      <c r="H13" s="30" t="s">
        <v>53</v>
      </c>
      <c r="I13" s="95">
        <v>26</v>
      </c>
      <c r="J13" s="13">
        <v>1500</v>
      </c>
      <c r="K13" s="12">
        <f t="shared" si="0"/>
        <v>57.692307692307693</v>
      </c>
      <c r="L13" s="95">
        <v>26</v>
      </c>
      <c r="M13" s="13">
        <f t="shared" ref="M13:M16" si="13">F13/V13*60</f>
        <v>1430.9677419354834</v>
      </c>
      <c r="N13" s="12">
        <f t="shared" si="2"/>
        <v>55.037220843672443</v>
      </c>
      <c r="O13" s="14">
        <f t="shared" si="3"/>
        <v>0</v>
      </c>
      <c r="P13" s="15">
        <f t="shared" si="4"/>
        <v>-2.6550868486352499</v>
      </c>
      <c r="Q13" s="91">
        <f t="shared" si="5"/>
        <v>0.95397849462365569</v>
      </c>
      <c r="R13" s="177">
        <f>Q17</f>
        <v>0.96445547634921369</v>
      </c>
      <c r="S13" s="21">
        <v>0.20833333333333334</v>
      </c>
      <c r="T13" s="21">
        <v>0.2729166666666667</v>
      </c>
      <c r="U13" s="88"/>
      <c r="V13" s="30">
        <f t="shared" ref="V13:V16" si="14">(T13-S13)*24*60</f>
        <v>93.000000000000028</v>
      </c>
      <c r="W13" s="21"/>
      <c r="X13" s="21"/>
      <c r="Y13" s="21"/>
      <c r="Z13" s="21"/>
      <c r="AA13" s="168"/>
      <c r="AB13" s="168"/>
      <c r="AC13" s="18">
        <v>4</v>
      </c>
      <c r="AD13" s="18"/>
      <c r="AE13" s="14">
        <f t="shared" si="7"/>
        <v>-69.032258064516554</v>
      </c>
      <c r="AF13" s="91">
        <f t="shared" si="8"/>
        <v>0.95397849462365558</v>
      </c>
      <c r="AG13" s="177">
        <f>AF17</f>
        <v>0.96445547634921369</v>
      </c>
    </row>
    <row r="14" spans="1:33" ht="16.5" customHeight="1">
      <c r="A14" s="198" t="s">
        <v>352</v>
      </c>
      <c r="B14" s="88" t="s">
        <v>5</v>
      </c>
      <c r="C14" s="193" t="s">
        <v>14</v>
      </c>
      <c r="D14" s="193"/>
      <c r="E14" s="28">
        <v>50.98</v>
      </c>
      <c r="F14" s="88">
        <v>2432</v>
      </c>
      <c r="G14" s="88">
        <v>123983.35999999999</v>
      </c>
      <c r="H14" s="30" t="s">
        <v>53</v>
      </c>
      <c r="I14" s="95">
        <v>16</v>
      </c>
      <c r="J14" s="13">
        <v>2000</v>
      </c>
      <c r="K14" s="12">
        <f t="shared" si="0"/>
        <v>125</v>
      </c>
      <c r="L14" s="95">
        <v>16</v>
      </c>
      <c r="M14" s="13">
        <f t="shared" si="13"/>
        <v>1919.9999999999984</v>
      </c>
      <c r="N14" s="12">
        <f t="shared" si="2"/>
        <v>119.9999999999999</v>
      </c>
      <c r="O14" s="14">
        <f t="shared" si="3"/>
        <v>0</v>
      </c>
      <c r="P14" s="15">
        <f t="shared" si="4"/>
        <v>-5.0000000000000995</v>
      </c>
      <c r="Q14" s="91">
        <f t="shared" si="5"/>
        <v>0.95999999999999919</v>
      </c>
      <c r="R14" s="177"/>
      <c r="S14" s="21">
        <v>0.70833333333333337</v>
      </c>
      <c r="T14" s="21">
        <v>0.76111111111111118</v>
      </c>
      <c r="U14" s="88" t="str">
        <f t="shared" ref="U14:U16" si="15">IF(S14=TIME(17,0,0),"",(S14-T13)*24*60)</f>
        <v/>
      </c>
      <c r="V14" s="30">
        <f t="shared" si="14"/>
        <v>76.000000000000057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7"/>
        <v>-80.000000000001592</v>
      </c>
      <c r="AF14" s="91">
        <f t="shared" si="8"/>
        <v>0.95999999999999919</v>
      </c>
      <c r="AG14" s="177"/>
    </row>
    <row r="15" spans="1:33" ht="16.5" customHeight="1">
      <c r="A15" s="198" t="s">
        <v>352</v>
      </c>
      <c r="B15" s="88" t="s">
        <v>5</v>
      </c>
      <c r="C15" s="193" t="s">
        <v>15</v>
      </c>
      <c r="D15" s="193"/>
      <c r="E15" s="28">
        <v>50.92</v>
      </c>
      <c r="F15" s="88">
        <v>2379</v>
      </c>
      <c r="G15" s="88">
        <v>121138.68000000001</v>
      </c>
      <c r="H15" s="30" t="s">
        <v>53</v>
      </c>
      <c r="I15" s="95">
        <v>15</v>
      </c>
      <c r="J15" s="13">
        <v>2000</v>
      </c>
      <c r="K15" s="12">
        <f t="shared" si="0"/>
        <v>133.33333333333334</v>
      </c>
      <c r="L15" s="95">
        <v>15</v>
      </c>
      <c r="M15" s="13">
        <f t="shared" si="13"/>
        <v>1928.9189189189174</v>
      </c>
      <c r="N15" s="12">
        <f t="shared" si="2"/>
        <v>128.5945945945945</v>
      </c>
      <c r="O15" s="14">
        <f t="shared" si="3"/>
        <v>0</v>
      </c>
      <c r="P15" s="15">
        <f t="shared" si="4"/>
        <v>-4.7387387387388458</v>
      </c>
      <c r="Q15" s="91">
        <f t="shared" si="5"/>
        <v>0.96445945945945866</v>
      </c>
      <c r="R15" s="177"/>
      <c r="S15" s="21">
        <v>0.76458333333333339</v>
      </c>
      <c r="T15" s="21">
        <v>0.81597222222222232</v>
      </c>
      <c r="U15" s="88">
        <f t="shared" si="15"/>
        <v>4.9999999999999822</v>
      </c>
      <c r="V15" s="30">
        <f t="shared" si="14"/>
        <v>74.000000000000057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7"/>
        <v>-71.08108108108263</v>
      </c>
      <c r="AF15" s="91">
        <f t="shared" si="8"/>
        <v>0.96445945945945866</v>
      </c>
      <c r="AG15" s="177"/>
    </row>
    <row r="16" spans="1:33" ht="16.5" customHeight="1">
      <c r="A16" s="198" t="s">
        <v>352</v>
      </c>
      <c r="B16" s="88" t="s">
        <v>5</v>
      </c>
      <c r="C16" s="193" t="s">
        <v>43</v>
      </c>
      <c r="D16" s="193"/>
      <c r="E16" s="28">
        <v>54.29</v>
      </c>
      <c r="F16" s="88">
        <v>1107</v>
      </c>
      <c r="G16" s="88">
        <v>60099.03</v>
      </c>
      <c r="H16" s="30" t="s">
        <v>53</v>
      </c>
      <c r="I16" s="95">
        <v>20</v>
      </c>
      <c r="J16" s="13">
        <v>2000</v>
      </c>
      <c r="K16" s="12">
        <f t="shared" si="0"/>
        <v>100</v>
      </c>
      <c r="L16" s="95">
        <v>20</v>
      </c>
      <c r="M16" s="13">
        <f t="shared" si="13"/>
        <v>1953.5294117647036</v>
      </c>
      <c r="N16" s="12">
        <f t="shared" si="2"/>
        <v>97.676470588235176</v>
      </c>
      <c r="O16" s="14">
        <f t="shared" si="3"/>
        <v>0</v>
      </c>
      <c r="P16" s="15">
        <f t="shared" si="4"/>
        <v>-2.3235294117648237</v>
      </c>
      <c r="Q16" s="91">
        <f t="shared" si="5"/>
        <v>0.97676470588235176</v>
      </c>
      <c r="R16" s="177"/>
      <c r="S16" s="21">
        <v>0.82152777777777786</v>
      </c>
      <c r="T16" s="21">
        <v>0.84513888888888899</v>
      </c>
      <c r="U16" s="88">
        <f t="shared" si="15"/>
        <v>7.9999999999999716</v>
      </c>
      <c r="V16" s="30">
        <f t="shared" si="14"/>
        <v>34.000000000000043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7"/>
        <v>-46.470588235296418</v>
      </c>
      <c r="AF16" s="91">
        <f t="shared" si="8"/>
        <v>0.97676470588235176</v>
      </c>
      <c r="AG16" s="177"/>
    </row>
    <row r="17" spans="1:33" ht="16.5" customHeight="1">
      <c r="A17" s="198" t="s">
        <v>352</v>
      </c>
      <c r="B17" s="28" t="s">
        <v>351</v>
      </c>
      <c r="C17" s="178"/>
      <c r="D17" s="178"/>
      <c r="E17" s="92"/>
      <c r="F17" s="12"/>
      <c r="G17" s="12"/>
      <c r="H17" s="88"/>
      <c r="I17" s="23">
        <v>19.25</v>
      </c>
      <c r="J17" s="13">
        <v>1875</v>
      </c>
      <c r="K17" s="12">
        <f t="shared" si="0"/>
        <v>97.402597402597408</v>
      </c>
      <c r="L17" s="23">
        <v>19.25</v>
      </c>
      <c r="M17" s="13">
        <f>AVERAGE(M13:M16)</f>
        <v>1808.3540181547758</v>
      </c>
      <c r="N17" s="12">
        <f t="shared" si="2"/>
        <v>93.940468475572771</v>
      </c>
      <c r="O17" s="14">
        <f t="shared" si="3"/>
        <v>0</v>
      </c>
      <c r="P17" s="15">
        <f t="shared" si="4"/>
        <v>-3.4621289270246365</v>
      </c>
      <c r="Q17" s="91">
        <f t="shared" si="5"/>
        <v>0.96445547634921369</v>
      </c>
      <c r="R17" s="177"/>
      <c r="S17" s="21"/>
      <c r="T17" s="21"/>
      <c r="U17" s="88"/>
      <c r="V17" s="30"/>
      <c r="W17" s="12"/>
      <c r="X17" s="12"/>
      <c r="Y17" s="24">
        <f>SUM(Y13:Y16)</f>
        <v>0</v>
      </c>
      <c r="Z17" s="24">
        <f>SUM(Z13:Z16)</f>
        <v>0</v>
      </c>
      <c r="AA17" s="167"/>
      <c r="AB17" s="167"/>
      <c r="AC17" s="24">
        <v>4</v>
      </c>
      <c r="AD17" s="24">
        <f>SUM(AD13:AD16)</f>
        <v>0</v>
      </c>
      <c r="AE17" s="14">
        <f t="shared" si="7"/>
        <v>-66.645981845224242</v>
      </c>
      <c r="AF17" s="91">
        <f t="shared" si="8"/>
        <v>0.96445547634921369</v>
      </c>
      <c r="AG17" s="177"/>
    </row>
    <row r="18" spans="1:33" ht="15.75" customHeight="1">
      <c r="A18" s="195" t="s">
        <v>355</v>
      </c>
      <c r="B18" s="28" t="s">
        <v>5</v>
      </c>
      <c r="C18" s="193" t="s">
        <v>17</v>
      </c>
      <c r="D18" s="193"/>
      <c r="E18" s="28">
        <v>57.73</v>
      </c>
      <c r="F18" s="88">
        <v>2261</v>
      </c>
      <c r="G18" s="88">
        <v>130527.53</v>
      </c>
      <c r="H18" s="30" t="s">
        <v>53</v>
      </c>
      <c r="I18" s="95">
        <v>14</v>
      </c>
      <c r="J18" s="13">
        <v>2000</v>
      </c>
      <c r="K18" s="12">
        <f t="shared" si="0"/>
        <v>142.85714285714286</v>
      </c>
      <c r="L18" s="95">
        <v>14</v>
      </c>
      <c r="M18" s="13">
        <f t="shared" ref="M18:M23" si="16">F18/V18*60</f>
        <v>1910.704225352112</v>
      </c>
      <c r="N18" s="12">
        <f t="shared" si="2"/>
        <v>136.47887323943658</v>
      </c>
      <c r="O18" s="14">
        <f t="shared" si="3"/>
        <v>0</v>
      </c>
      <c r="P18" s="15">
        <f t="shared" si="4"/>
        <v>-6.3782696177062803</v>
      </c>
      <c r="Q18" s="91">
        <f t="shared" si="5"/>
        <v>0.95535211267605602</v>
      </c>
      <c r="R18" s="177">
        <f>Q24</f>
        <v>0.96152859754307785</v>
      </c>
      <c r="S18" s="21">
        <v>0.20833333333333334</v>
      </c>
      <c r="T18" s="21">
        <v>0.25763888888888892</v>
      </c>
      <c r="U18" s="88"/>
      <c r="V18" s="30">
        <f t="shared" ref="V18:V23" si="17">(T18-S18)*24*60</f>
        <v>71.000000000000028</v>
      </c>
      <c r="W18" s="21"/>
      <c r="X18" s="21"/>
      <c r="Y18" s="21"/>
      <c r="Z18" s="21"/>
      <c r="AA18" s="168"/>
      <c r="AB18" s="168"/>
      <c r="AC18" s="18">
        <v>6</v>
      </c>
      <c r="AD18" s="18"/>
      <c r="AE18" s="14">
        <f t="shared" si="7"/>
        <v>-89.295774647888038</v>
      </c>
      <c r="AF18" s="91">
        <f t="shared" si="8"/>
        <v>0.95535211267605602</v>
      </c>
      <c r="AG18" s="177">
        <f>AF24</f>
        <v>0.96152859754307785</v>
      </c>
    </row>
    <row r="19" spans="1:33" ht="15.75" customHeight="1">
      <c r="A19" s="196" t="s">
        <v>355</v>
      </c>
      <c r="B19" s="28" t="s">
        <v>5</v>
      </c>
      <c r="C19" s="193" t="s">
        <v>18</v>
      </c>
      <c r="D19" s="193"/>
      <c r="E19" s="28">
        <v>53.68</v>
      </c>
      <c r="F19" s="88">
        <v>1326</v>
      </c>
      <c r="G19" s="88">
        <v>71179.679999999993</v>
      </c>
      <c r="H19" s="30" t="s">
        <v>53</v>
      </c>
      <c r="I19" s="95">
        <v>16</v>
      </c>
      <c r="J19" s="13">
        <v>2000</v>
      </c>
      <c r="K19" s="12">
        <f t="shared" si="0"/>
        <v>125</v>
      </c>
      <c r="L19" s="95">
        <v>16</v>
      </c>
      <c r="M19" s="13">
        <f t="shared" si="16"/>
        <v>1940.4878048780481</v>
      </c>
      <c r="N19" s="12">
        <f t="shared" si="2"/>
        <v>121.28048780487801</v>
      </c>
      <c r="O19" s="14">
        <f t="shared" si="3"/>
        <v>0</v>
      </c>
      <c r="P19" s="15">
        <f t="shared" si="4"/>
        <v>-3.7195121951219932</v>
      </c>
      <c r="Q19" s="91">
        <f t="shared" si="5"/>
        <v>0.97024390243902403</v>
      </c>
      <c r="R19" s="177"/>
      <c r="S19" s="21">
        <v>0.26111111111111113</v>
      </c>
      <c r="T19" s="21">
        <v>0.28958333333333336</v>
      </c>
      <c r="U19" s="88">
        <f t="shared" ref="U19:U23" si="18">IF(S19=TIME(17,0,0),"",(S19-T18)*24*60)</f>
        <v>4.9999999999999822</v>
      </c>
      <c r="V19" s="30">
        <f t="shared" si="17"/>
        <v>41.000000000000014</v>
      </c>
      <c r="W19" s="16"/>
      <c r="X19" s="88"/>
      <c r="Y19" s="88"/>
      <c r="Z19" s="88"/>
      <c r="AA19" s="168"/>
      <c r="AB19" s="168"/>
      <c r="AC19" s="18"/>
      <c r="AD19" s="18"/>
      <c r="AE19" s="14">
        <f t="shared" si="7"/>
        <v>-59.512195121951891</v>
      </c>
      <c r="AF19" s="91">
        <f t="shared" si="8"/>
        <v>0.97024390243902403</v>
      </c>
      <c r="AG19" s="177"/>
    </row>
    <row r="20" spans="1:33" ht="15.75" customHeight="1">
      <c r="A20" s="196" t="s">
        <v>355</v>
      </c>
      <c r="B20" s="28" t="s">
        <v>5</v>
      </c>
      <c r="C20" s="193" t="s">
        <v>73</v>
      </c>
      <c r="D20" s="193"/>
      <c r="E20" s="28">
        <v>50.67</v>
      </c>
      <c r="F20" s="88">
        <v>2367</v>
      </c>
      <c r="G20" s="88">
        <v>119935.89</v>
      </c>
      <c r="H20" s="30" t="s">
        <v>53</v>
      </c>
      <c r="I20" s="95">
        <v>17</v>
      </c>
      <c r="J20" s="13">
        <v>2000</v>
      </c>
      <c r="K20" s="12">
        <f t="shared" si="0"/>
        <v>117.64705882352941</v>
      </c>
      <c r="L20" s="95">
        <v>17</v>
      </c>
      <c r="M20" s="13">
        <f t="shared" si="16"/>
        <v>1919.1891891891898</v>
      </c>
      <c r="N20" s="12">
        <f t="shared" si="2"/>
        <v>112.89348171701117</v>
      </c>
      <c r="O20" s="14">
        <f t="shared" si="3"/>
        <v>0</v>
      </c>
      <c r="P20" s="15">
        <f t="shared" si="4"/>
        <v>-4.753577106518236</v>
      </c>
      <c r="Q20" s="91">
        <f t="shared" si="5"/>
        <v>0.95959459459459495</v>
      </c>
      <c r="R20" s="177"/>
      <c r="S20" s="21">
        <v>0.29375000000000001</v>
      </c>
      <c r="T20" s="21">
        <v>0.34513888888888888</v>
      </c>
      <c r="U20" s="88">
        <f t="shared" si="18"/>
        <v>5.9999999999999787</v>
      </c>
      <c r="V20" s="30">
        <f t="shared" si="17"/>
        <v>73.999999999999972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7"/>
        <v>-80.810810810810153</v>
      </c>
      <c r="AF20" s="91">
        <f t="shared" si="8"/>
        <v>0.95959459459459495</v>
      </c>
      <c r="AG20" s="177"/>
    </row>
    <row r="21" spans="1:33" ht="15.75" customHeight="1">
      <c r="A21" s="196" t="s">
        <v>355</v>
      </c>
      <c r="B21" s="28" t="s">
        <v>5</v>
      </c>
      <c r="C21" s="193" t="s">
        <v>21</v>
      </c>
      <c r="D21" s="193"/>
      <c r="E21" s="28">
        <v>57.3</v>
      </c>
      <c r="F21" s="88">
        <v>1705</v>
      </c>
      <c r="G21" s="88">
        <v>97696.5</v>
      </c>
      <c r="H21" s="30" t="s">
        <v>53</v>
      </c>
      <c r="I21" s="95">
        <v>13</v>
      </c>
      <c r="J21" s="13">
        <v>2000</v>
      </c>
      <c r="K21" s="12">
        <f t="shared" si="0"/>
        <v>153.84615384615384</v>
      </c>
      <c r="L21" s="95">
        <v>13</v>
      </c>
      <c r="M21" s="13">
        <f t="shared" si="16"/>
        <v>1930.188679245284</v>
      </c>
      <c r="N21" s="12">
        <f t="shared" si="2"/>
        <v>148.47605224963723</v>
      </c>
      <c r="O21" s="14">
        <f t="shared" si="3"/>
        <v>0</v>
      </c>
      <c r="P21" s="15">
        <f t="shared" si="4"/>
        <v>-5.370101596516605</v>
      </c>
      <c r="Q21" s="91">
        <f t="shared" si="5"/>
        <v>0.96509433962264202</v>
      </c>
      <c r="R21" s="177"/>
      <c r="S21" s="21">
        <v>0.70833333333333337</v>
      </c>
      <c r="T21" s="21">
        <v>0.74513888888888891</v>
      </c>
      <c r="U21" s="88" t="str">
        <f t="shared" si="18"/>
        <v/>
      </c>
      <c r="V21" s="30">
        <f t="shared" si="17"/>
        <v>52.999999999999972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7"/>
        <v>-69.811320754716007</v>
      </c>
      <c r="AF21" s="91">
        <f t="shared" si="8"/>
        <v>0.96509433962264202</v>
      </c>
      <c r="AG21" s="177"/>
    </row>
    <row r="22" spans="1:33" ht="15.75" customHeight="1">
      <c r="A22" s="196" t="s">
        <v>355</v>
      </c>
      <c r="B22" s="28" t="s">
        <v>5</v>
      </c>
      <c r="C22" s="193" t="s">
        <v>20</v>
      </c>
      <c r="D22" s="193"/>
      <c r="E22" s="28">
        <v>53.68</v>
      </c>
      <c r="F22" s="88">
        <v>1420</v>
      </c>
      <c r="G22" s="88">
        <v>76225.600000000006</v>
      </c>
      <c r="H22" s="30" t="s">
        <v>53</v>
      </c>
      <c r="I22" s="95">
        <v>16</v>
      </c>
      <c r="J22" s="13">
        <v>1500</v>
      </c>
      <c r="K22" s="12">
        <f t="shared" si="0"/>
        <v>93.75</v>
      </c>
      <c r="L22" s="95">
        <v>16</v>
      </c>
      <c r="M22" s="13">
        <f t="shared" si="16"/>
        <v>1444.0677966101707</v>
      </c>
      <c r="N22" s="12">
        <f t="shared" si="2"/>
        <v>90.25423728813567</v>
      </c>
      <c r="O22" s="14">
        <f t="shared" si="3"/>
        <v>0</v>
      </c>
      <c r="P22" s="15">
        <f t="shared" si="4"/>
        <v>-3.4957627118643302</v>
      </c>
      <c r="Q22" s="91">
        <f t="shared" si="5"/>
        <v>0.96271186440678047</v>
      </c>
      <c r="R22" s="177"/>
      <c r="S22" s="21">
        <v>0.74861111111111112</v>
      </c>
      <c r="T22" s="21">
        <v>0.7895833333333333</v>
      </c>
      <c r="U22" s="88">
        <f t="shared" si="18"/>
        <v>4.9999999999999822</v>
      </c>
      <c r="V22" s="30">
        <f t="shared" si="17"/>
        <v>58.99999999999995</v>
      </c>
      <c r="W22" s="16"/>
      <c r="X22" s="16"/>
      <c r="Y22" s="88"/>
      <c r="Z22" s="88"/>
      <c r="AA22" s="168"/>
      <c r="AB22" s="168"/>
      <c r="AC22" s="18"/>
      <c r="AD22" s="18"/>
      <c r="AE22" s="14">
        <f t="shared" si="7"/>
        <v>-55.932203389829283</v>
      </c>
      <c r="AF22" s="91">
        <f t="shared" si="8"/>
        <v>0.96271186440678047</v>
      </c>
      <c r="AG22" s="177"/>
    </row>
    <row r="23" spans="1:33" ht="15.75" customHeight="1">
      <c r="A23" s="196" t="s">
        <v>355</v>
      </c>
      <c r="B23" s="28" t="s">
        <v>5</v>
      </c>
      <c r="C23" s="193" t="s">
        <v>19</v>
      </c>
      <c r="D23" s="193"/>
      <c r="E23" s="28">
        <v>50.49</v>
      </c>
      <c r="F23" s="88">
        <v>2168</v>
      </c>
      <c r="G23" s="88">
        <v>109462.32</v>
      </c>
      <c r="H23" s="30" t="s">
        <v>53</v>
      </c>
      <c r="I23" s="95">
        <v>15</v>
      </c>
      <c r="J23" s="13">
        <v>2000</v>
      </c>
      <c r="K23" s="12">
        <f t="shared" si="0"/>
        <v>133.33333333333334</v>
      </c>
      <c r="L23" s="95">
        <v>15</v>
      </c>
      <c r="M23" s="13">
        <f t="shared" si="16"/>
        <v>1912.9411764705906</v>
      </c>
      <c r="N23" s="12">
        <f t="shared" si="2"/>
        <v>127.52941176470604</v>
      </c>
      <c r="O23" s="14">
        <f t="shared" si="3"/>
        <v>0</v>
      </c>
      <c r="P23" s="15">
        <f t="shared" si="4"/>
        <v>-5.8039215686273025</v>
      </c>
      <c r="Q23" s="91">
        <f t="shared" si="5"/>
        <v>0.95647058823529518</v>
      </c>
      <c r="R23" s="177"/>
      <c r="S23" s="21">
        <v>0.79305555555555551</v>
      </c>
      <c r="T23" s="21">
        <v>0.84027777777777768</v>
      </c>
      <c r="U23" s="88">
        <f t="shared" si="18"/>
        <v>4.9999999999999822</v>
      </c>
      <c r="V23" s="30">
        <f t="shared" si="17"/>
        <v>67.999999999999915</v>
      </c>
      <c r="W23" s="16"/>
      <c r="X23" s="21"/>
      <c r="Y23" s="21"/>
      <c r="Z23" s="21"/>
      <c r="AA23" s="168"/>
      <c r="AB23" s="168"/>
      <c r="AC23" s="18"/>
      <c r="AD23" s="18"/>
      <c r="AE23" s="14">
        <f t="shared" si="7"/>
        <v>-87.058823529409437</v>
      </c>
      <c r="AF23" s="91">
        <f t="shared" si="8"/>
        <v>0.95647058823529529</v>
      </c>
      <c r="AG23" s="177"/>
    </row>
    <row r="24" spans="1:33" ht="15.75" customHeight="1">
      <c r="A24" s="196" t="s">
        <v>1133</v>
      </c>
      <c r="B24" s="28" t="s">
        <v>351</v>
      </c>
      <c r="C24" s="178"/>
      <c r="D24" s="178"/>
      <c r="E24" s="92"/>
      <c r="F24" s="88"/>
      <c r="G24" s="88"/>
      <c r="H24" s="88"/>
      <c r="I24" s="23">
        <v>15.166666666666666</v>
      </c>
      <c r="J24" s="13">
        <v>1916.6666666666667</v>
      </c>
      <c r="K24" s="12">
        <f t="shared" si="0"/>
        <v>126.37362637362638</v>
      </c>
      <c r="L24" s="23">
        <v>15.166666666666666</v>
      </c>
      <c r="M24" s="13">
        <f>AVERAGE(M18:M23)</f>
        <v>1842.929811957566</v>
      </c>
      <c r="N24" s="12">
        <f t="shared" si="2"/>
        <v>121.51185573346589</v>
      </c>
      <c r="O24" s="14">
        <f t="shared" si="3"/>
        <v>0</v>
      </c>
      <c r="P24" s="15">
        <f t="shared" si="4"/>
        <v>-4.8617706401604863</v>
      </c>
      <c r="Q24" s="91">
        <f t="shared" si="5"/>
        <v>0.96152859754307785</v>
      </c>
      <c r="R24" s="177"/>
      <c r="S24" s="21"/>
      <c r="T24" s="21"/>
      <c r="U24" s="12"/>
      <c r="V24" s="30"/>
      <c r="W24" s="12"/>
      <c r="X24" s="12"/>
      <c r="Y24" s="24">
        <f>SUM(Y18:Y23)</f>
        <v>0</v>
      </c>
      <c r="Z24" s="24">
        <f>SUM(Z18:Z23)</f>
        <v>0</v>
      </c>
      <c r="AA24" s="167"/>
      <c r="AB24" s="167"/>
      <c r="AC24" s="24">
        <v>6</v>
      </c>
      <c r="AD24" s="24">
        <f>SUM(AD18:AD23)</f>
        <v>0</v>
      </c>
      <c r="AE24" s="14">
        <f t="shared" si="7"/>
        <v>-73.736854709100726</v>
      </c>
      <c r="AF24" s="91">
        <f t="shared" si="8"/>
        <v>0.96152859754307785</v>
      </c>
      <c r="AG24" s="177"/>
    </row>
    <row r="25" spans="1:33" ht="15.75" customHeight="1">
      <c r="A25" s="194" t="s">
        <v>361</v>
      </c>
      <c r="B25" s="28" t="s">
        <v>22</v>
      </c>
      <c r="C25" s="193" t="s">
        <v>23</v>
      </c>
      <c r="D25" s="193"/>
      <c r="E25" s="28">
        <v>31.29</v>
      </c>
      <c r="F25" s="88">
        <v>8131</v>
      </c>
      <c r="G25" s="88">
        <v>254418.99</v>
      </c>
      <c r="H25" s="30" t="s">
        <v>53</v>
      </c>
      <c r="I25" s="95">
        <v>18</v>
      </c>
      <c r="J25" s="13">
        <v>2400</v>
      </c>
      <c r="K25" s="12">
        <f t="shared" si="0"/>
        <v>133.33333333333334</v>
      </c>
      <c r="L25" s="95">
        <v>18</v>
      </c>
      <c r="M25" s="13">
        <f t="shared" ref="M25:M29" si="19">F25/V25*60</f>
        <v>2290.4225352112671</v>
      </c>
      <c r="N25" s="12">
        <f t="shared" si="2"/>
        <v>127.24569640062595</v>
      </c>
      <c r="O25" s="14">
        <f t="shared" si="3"/>
        <v>0</v>
      </c>
      <c r="P25" s="15">
        <f t="shared" si="4"/>
        <v>-6.0876369327073974</v>
      </c>
      <c r="Q25" s="91">
        <f t="shared" si="5"/>
        <v>0.95434272300469447</v>
      </c>
      <c r="R25" s="177">
        <f>Q30</f>
        <v>0.95887926558262893</v>
      </c>
      <c r="S25" s="21">
        <v>8.3333333333333329E-2</v>
      </c>
      <c r="T25" s="21">
        <v>0.23125000000000001</v>
      </c>
      <c r="U25" s="88"/>
      <c r="V25" s="30">
        <f t="shared" ref="V25:V29" si="20">(T25-S25)*24*60</f>
        <v>213.00000000000006</v>
      </c>
      <c r="W25" s="16">
        <f>T25</f>
        <v>0.23125000000000001</v>
      </c>
      <c r="X25" s="16">
        <f>S26</f>
        <v>0.25</v>
      </c>
      <c r="Y25" s="16"/>
      <c r="Z25" s="16"/>
      <c r="AA25" s="168"/>
      <c r="AB25" s="168"/>
      <c r="AC25" s="18">
        <v>5</v>
      </c>
      <c r="AD25" s="18"/>
      <c r="AE25" s="14">
        <f t="shared" si="7"/>
        <v>-109.57746478873287</v>
      </c>
      <c r="AF25" s="91">
        <f t="shared" si="8"/>
        <v>0.95434272300469469</v>
      </c>
      <c r="AG25" s="177">
        <f>AF30</f>
        <v>0.95887926558262881</v>
      </c>
    </row>
    <row r="26" spans="1:33" ht="15.75" customHeight="1">
      <c r="A26" s="194" t="s">
        <v>361</v>
      </c>
      <c r="B26" s="28" t="s">
        <v>22</v>
      </c>
      <c r="C26" s="193" t="s">
        <v>24</v>
      </c>
      <c r="D26" s="193"/>
      <c r="E26" s="28">
        <v>25.98</v>
      </c>
      <c r="F26" s="88">
        <v>2626</v>
      </c>
      <c r="G26" s="88">
        <v>68223.48</v>
      </c>
      <c r="H26" s="30" t="s">
        <v>53</v>
      </c>
      <c r="I26" s="95">
        <v>21</v>
      </c>
      <c r="J26" s="13">
        <v>2400</v>
      </c>
      <c r="K26" s="12">
        <f t="shared" si="0"/>
        <v>114.28571428571429</v>
      </c>
      <c r="L26" s="95">
        <v>21</v>
      </c>
      <c r="M26" s="13">
        <f t="shared" si="19"/>
        <v>2283.478260869565</v>
      </c>
      <c r="N26" s="12">
        <f t="shared" si="2"/>
        <v>108.73706004140786</v>
      </c>
      <c r="O26" s="14">
        <f t="shared" si="3"/>
        <v>0</v>
      </c>
      <c r="P26" s="15">
        <f t="shared" si="4"/>
        <v>-5.5486542443064337</v>
      </c>
      <c r="Q26" s="91">
        <f t="shared" si="5"/>
        <v>0.95144927536231871</v>
      </c>
      <c r="R26" s="177"/>
      <c r="S26" s="21">
        <v>0.25</v>
      </c>
      <c r="T26" s="21">
        <v>0.29791666666666666</v>
      </c>
      <c r="U26" s="88">
        <f t="shared" ref="U26:U29" si="21">(S26-T25)*24*60</f>
        <v>26.999999999999986</v>
      </c>
      <c r="V26" s="30">
        <f t="shared" si="20"/>
        <v>69</v>
      </c>
      <c r="W26" s="16"/>
      <c r="X26" s="16"/>
      <c r="Y26" s="16"/>
      <c r="Z26" s="16"/>
      <c r="AA26" s="168"/>
      <c r="AB26" s="168"/>
      <c r="AC26" s="18"/>
      <c r="AD26" s="18"/>
      <c r="AE26" s="14">
        <f t="shared" si="7"/>
        <v>-116.52173913043498</v>
      </c>
      <c r="AF26" s="91">
        <f t="shared" si="8"/>
        <v>0.95144927536231871</v>
      </c>
      <c r="AG26" s="177"/>
    </row>
    <row r="27" spans="1:33" ht="15.75" customHeight="1">
      <c r="A27" s="194" t="s">
        <v>361</v>
      </c>
      <c r="B27" s="28" t="s">
        <v>22</v>
      </c>
      <c r="C27" s="193" t="s">
        <v>25</v>
      </c>
      <c r="D27" s="193"/>
      <c r="E27" s="28">
        <v>26.2</v>
      </c>
      <c r="F27" s="88">
        <v>4567</v>
      </c>
      <c r="G27" s="88">
        <v>119655.4</v>
      </c>
      <c r="H27" s="30" t="s">
        <v>53</v>
      </c>
      <c r="I27" s="95">
        <v>20</v>
      </c>
      <c r="J27" s="13">
        <v>2400</v>
      </c>
      <c r="K27" s="12">
        <f t="shared" si="0"/>
        <v>120</v>
      </c>
      <c r="L27" s="95">
        <v>20</v>
      </c>
      <c r="M27" s="13">
        <f t="shared" si="19"/>
        <v>2302.6890756302528</v>
      </c>
      <c r="N27" s="12">
        <f t="shared" si="2"/>
        <v>115.13445378151263</v>
      </c>
      <c r="O27" s="14">
        <f t="shared" si="3"/>
        <v>0</v>
      </c>
      <c r="P27" s="15">
        <f t="shared" si="4"/>
        <v>-4.865546218487367</v>
      </c>
      <c r="Q27" s="91">
        <f t="shared" si="5"/>
        <v>0.9594537815126053</v>
      </c>
      <c r="R27" s="177"/>
      <c r="S27" s="21">
        <v>0.30277777777777776</v>
      </c>
      <c r="T27" s="21">
        <v>0.38541666666666663</v>
      </c>
      <c r="U27" s="88">
        <f t="shared" si="21"/>
        <v>6.9999999999999751</v>
      </c>
      <c r="V27" s="30">
        <f t="shared" si="20"/>
        <v>118.99999999999997</v>
      </c>
      <c r="W27" s="16"/>
      <c r="X27" s="16"/>
      <c r="Y27" s="16"/>
      <c r="Z27" s="16"/>
      <c r="AA27" s="168"/>
      <c r="AB27" s="168"/>
      <c r="AC27" s="18"/>
      <c r="AD27" s="18"/>
      <c r="AE27" s="14">
        <f t="shared" si="7"/>
        <v>-97.310924369747227</v>
      </c>
      <c r="AF27" s="91">
        <f t="shared" si="8"/>
        <v>0.9594537815126053</v>
      </c>
      <c r="AG27" s="177"/>
    </row>
    <row r="28" spans="1:33" ht="15.75" customHeight="1">
      <c r="A28" s="194" t="s">
        <v>1134</v>
      </c>
      <c r="B28" s="28" t="s">
        <v>22</v>
      </c>
      <c r="C28" s="193" t="s">
        <v>26</v>
      </c>
      <c r="D28" s="193"/>
      <c r="E28" s="28">
        <v>25.99</v>
      </c>
      <c r="F28" s="88">
        <v>3599</v>
      </c>
      <c r="G28" s="88">
        <v>93538.01</v>
      </c>
      <c r="H28" s="30" t="s">
        <v>53</v>
      </c>
      <c r="I28" s="95">
        <v>14</v>
      </c>
      <c r="J28" s="13">
        <v>2400</v>
      </c>
      <c r="K28" s="12">
        <f t="shared" si="0"/>
        <v>171.42857142857142</v>
      </c>
      <c r="L28" s="95">
        <v>14</v>
      </c>
      <c r="M28" s="13">
        <f t="shared" si="19"/>
        <v>2297.2340425531916</v>
      </c>
      <c r="N28" s="12">
        <f t="shared" si="2"/>
        <v>164.08814589665653</v>
      </c>
      <c r="O28" s="14">
        <f t="shared" si="3"/>
        <v>0</v>
      </c>
      <c r="P28" s="15">
        <f t="shared" si="4"/>
        <v>-7.3404255319148888</v>
      </c>
      <c r="Q28" s="91">
        <f t="shared" si="5"/>
        <v>0.95718085106382977</v>
      </c>
      <c r="R28" s="177"/>
      <c r="S28" s="21">
        <v>0.38958333333333328</v>
      </c>
      <c r="T28" s="21">
        <v>0.45486111111111105</v>
      </c>
      <c r="U28" s="88">
        <f t="shared" si="21"/>
        <v>5.9999999999999787</v>
      </c>
      <c r="V28" s="30">
        <f t="shared" si="20"/>
        <v>93.999999999999986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7"/>
        <v>-102.76595744680844</v>
      </c>
      <c r="AF28" s="91">
        <f t="shared" si="8"/>
        <v>0.95718085106382977</v>
      </c>
      <c r="AG28" s="177"/>
    </row>
    <row r="29" spans="1:33" ht="15.75" customHeight="1">
      <c r="A29" s="194" t="s">
        <v>1134</v>
      </c>
      <c r="B29" s="28" t="s">
        <v>22</v>
      </c>
      <c r="C29" s="193" t="s">
        <v>27</v>
      </c>
      <c r="D29" s="193"/>
      <c r="E29" s="28">
        <v>26.18</v>
      </c>
      <c r="F29" s="88">
        <v>1283</v>
      </c>
      <c r="G29" s="88">
        <v>33588.94</v>
      </c>
      <c r="H29" s="30" t="s">
        <v>53</v>
      </c>
      <c r="I29" s="95">
        <v>19</v>
      </c>
      <c r="J29" s="13">
        <v>2400</v>
      </c>
      <c r="K29" s="12">
        <f t="shared" si="0"/>
        <v>126.31578947368421</v>
      </c>
      <c r="L29" s="95">
        <v>19</v>
      </c>
      <c r="M29" s="13">
        <f t="shared" si="19"/>
        <v>2332.7272727272693</v>
      </c>
      <c r="N29" s="12">
        <f t="shared" si="2"/>
        <v>122.7751196172247</v>
      </c>
      <c r="O29" s="14">
        <f t="shared" si="3"/>
        <v>0</v>
      </c>
      <c r="P29" s="15">
        <f t="shared" si="4"/>
        <v>-3.5406698564595018</v>
      </c>
      <c r="Q29" s="91">
        <f t="shared" si="5"/>
        <v>0.9719696969696956</v>
      </c>
      <c r="R29" s="177"/>
      <c r="S29" s="21">
        <v>0.45833333333333326</v>
      </c>
      <c r="T29" s="21">
        <v>0.48124999999999996</v>
      </c>
      <c r="U29" s="88">
        <f t="shared" si="21"/>
        <v>4.9999999999999822</v>
      </c>
      <c r="V29" s="30">
        <f t="shared" si="20"/>
        <v>33.000000000000043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7"/>
        <v>-67.272727272730663</v>
      </c>
      <c r="AF29" s="91">
        <f t="shared" si="8"/>
        <v>0.9719696969696956</v>
      </c>
      <c r="AG29" s="177"/>
    </row>
    <row r="30" spans="1:33" ht="15.75" customHeight="1">
      <c r="A30" s="194" t="s">
        <v>361</v>
      </c>
      <c r="B30" s="28" t="s">
        <v>1135</v>
      </c>
      <c r="C30" s="178"/>
      <c r="D30" s="178"/>
      <c r="E30" s="92"/>
      <c r="F30" s="88"/>
      <c r="G30" s="88"/>
      <c r="H30" s="88"/>
      <c r="I30" s="23">
        <v>18.399999999999999</v>
      </c>
      <c r="J30" s="13">
        <v>2400</v>
      </c>
      <c r="K30" s="12">
        <f t="shared" si="0"/>
        <v>130.43478260869566</v>
      </c>
      <c r="L30" s="23">
        <v>18.399999999999999</v>
      </c>
      <c r="M30" s="13">
        <f>AVERAGE(M25:M29)</f>
        <v>2301.3102373983093</v>
      </c>
      <c r="N30" s="12">
        <f t="shared" si="2"/>
        <v>125.07120855425595</v>
      </c>
      <c r="O30" s="14">
        <f t="shared" si="3"/>
        <v>0</v>
      </c>
      <c r="P30" s="15">
        <f t="shared" si="4"/>
        <v>-5.3635740544397095</v>
      </c>
      <c r="Q30" s="91">
        <f t="shared" si="5"/>
        <v>0.95887926558262893</v>
      </c>
      <c r="R30" s="177"/>
      <c r="S30" s="21"/>
      <c r="T30" s="21"/>
      <c r="U30" s="88"/>
      <c r="V30" s="30"/>
      <c r="W30" s="88"/>
      <c r="X30" s="88"/>
      <c r="Y30" s="24">
        <f>SUM(Y25:Y29)</f>
        <v>0</v>
      </c>
      <c r="Z30" s="24">
        <f>SUM(Z25:Z29)</f>
        <v>0</v>
      </c>
      <c r="AA30" s="167"/>
      <c r="AB30" s="167"/>
      <c r="AC30" s="24">
        <v>5</v>
      </c>
      <c r="AD30" s="24">
        <f>SUM(AD25:AD29)</f>
        <v>0</v>
      </c>
      <c r="AE30" s="14">
        <f t="shared" si="7"/>
        <v>-98.689762601690745</v>
      </c>
      <c r="AF30" s="91">
        <f t="shared" si="8"/>
        <v>0.95887926558262881</v>
      </c>
      <c r="AG30" s="177"/>
    </row>
    <row r="31" spans="1:33" ht="15.75" customHeight="1">
      <c r="A31" s="191" t="s">
        <v>1136</v>
      </c>
      <c r="B31" s="28" t="s">
        <v>22</v>
      </c>
      <c r="C31" s="169" t="s">
        <v>28</v>
      </c>
      <c r="D31" s="169"/>
      <c r="E31" s="28">
        <v>26.2</v>
      </c>
      <c r="F31" s="88">
        <v>5857</v>
      </c>
      <c r="G31" s="88">
        <v>153453.4</v>
      </c>
      <c r="H31" s="30" t="s">
        <v>53</v>
      </c>
      <c r="I31" s="95">
        <v>18</v>
      </c>
      <c r="J31" s="13">
        <v>2400</v>
      </c>
      <c r="K31" s="12">
        <f t="shared" si="0"/>
        <v>133.33333333333334</v>
      </c>
      <c r="L31" s="95">
        <v>18</v>
      </c>
      <c r="M31" s="13">
        <f t="shared" ref="M31:M35" si="22">F31/V31*60</f>
        <v>2296.8627450980393</v>
      </c>
      <c r="N31" s="12">
        <f t="shared" si="2"/>
        <v>127.60348583877996</v>
      </c>
      <c r="O31" s="14">
        <f t="shared" si="3"/>
        <v>0</v>
      </c>
      <c r="P31" s="15">
        <f t="shared" si="4"/>
        <v>-5.7298474945533826</v>
      </c>
      <c r="Q31" s="91">
        <f t="shared" si="5"/>
        <v>0.9570261437908496</v>
      </c>
      <c r="R31" s="177">
        <f>Q36</f>
        <v>0.95725900875763681</v>
      </c>
      <c r="S31" s="21">
        <v>8.3333333333333329E-2</v>
      </c>
      <c r="T31" s="21">
        <v>0.18958333333333333</v>
      </c>
      <c r="U31" s="88"/>
      <c r="V31" s="30">
        <f t="shared" ref="V31:V35" si="23">(T31-S31)*24*60</f>
        <v>153</v>
      </c>
      <c r="W31" s="21">
        <f>T31</f>
        <v>0.18958333333333333</v>
      </c>
      <c r="X31" s="21">
        <f>S32</f>
        <v>0.20902777777777778</v>
      </c>
      <c r="Y31" s="21"/>
      <c r="Z31" s="21"/>
      <c r="AA31" s="168"/>
      <c r="AB31" s="168"/>
      <c r="AC31" s="18">
        <v>5</v>
      </c>
      <c r="AD31" s="18"/>
      <c r="AE31" s="14">
        <f t="shared" si="7"/>
        <v>-103.13725490196066</v>
      </c>
      <c r="AF31" s="91">
        <f t="shared" si="8"/>
        <v>0.95702614379084971</v>
      </c>
      <c r="AG31" s="177">
        <f>AF36</f>
        <v>0.95725900875763692</v>
      </c>
    </row>
    <row r="32" spans="1:33" ht="15.75" customHeight="1">
      <c r="A32" s="191" t="s">
        <v>481</v>
      </c>
      <c r="B32" s="28" t="s">
        <v>22</v>
      </c>
      <c r="C32" s="169" t="s">
        <v>29</v>
      </c>
      <c r="D32" s="169"/>
      <c r="E32" s="28">
        <v>20.52</v>
      </c>
      <c r="F32" s="88">
        <v>3139</v>
      </c>
      <c r="G32" s="88">
        <v>64412.28</v>
      </c>
      <c r="H32" s="30" t="s">
        <v>53</v>
      </c>
      <c r="I32" s="95">
        <v>18</v>
      </c>
      <c r="J32" s="13">
        <v>2400</v>
      </c>
      <c r="K32" s="12">
        <f t="shared" si="0"/>
        <v>133.33333333333334</v>
      </c>
      <c r="L32" s="95">
        <v>18</v>
      </c>
      <c r="M32" s="13">
        <f t="shared" si="22"/>
        <v>2296.8292682926835</v>
      </c>
      <c r="N32" s="12">
        <f t="shared" si="2"/>
        <v>127.6016260162602</v>
      </c>
      <c r="O32" s="14">
        <f t="shared" si="3"/>
        <v>0</v>
      </c>
      <c r="P32" s="15">
        <f t="shared" si="4"/>
        <v>-5.7317073170731447</v>
      </c>
      <c r="Q32" s="91">
        <f t="shared" si="5"/>
        <v>0.95701219512195146</v>
      </c>
      <c r="R32" s="177"/>
      <c r="S32" s="21">
        <v>0.20902777777777778</v>
      </c>
      <c r="T32" s="21">
        <v>0.26597222222222222</v>
      </c>
      <c r="U32" s="88">
        <f t="shared" ref="U32:U35" si="24">(S32-T31)*24*60</f>
        <v>28.000000000000021</v>
      </c>
      <c r="V32" s="30">
        <f t="shared" si="23"/>
        <v>81.999999999999986</v>
      </c>
      <c r="W32" s="88"/>
      <c r="X32" s="88"/>
      <c r="Y32" s="88"/>
      <c r="Z32" s="88"/>
      <c r="AA32" s="168"/>
      <c r="AB32" s="168"/>
      <c r="AC32" s="18"/>
      <c r="AD32" s="18"/>
      <c r="AE32" s="14">
        <f t="shared" si="7"/>
        <v>-103.17073170731646</v>
      </c>
      <c r="AF32" s="91">
        <f t="shared" si="8"/>
        <v>0.95701219512195146</v>
      </c>
      <c r="AG32" s="177"/>
    </row>
    <row r="33" spans="1:33">
      <c r="A33" s="192" t="s">
        <v>481</v>
      </c>
      <c r="B33" s="28" t="s">
        <v>22</v>
      </c>
      <c r="C33" s="169" t="s">
        <v>32</v>
      </c>
      <c r="D33" s="169"/>
      <c r="E33" s="28">
        <v>20.52</v>
      </c>
      <c r="F33" s="88">
        <v>2455</v>
      </c>
      <c r="G33" s="88">
        <v>50376.6</v>
      </c>
      <c r="H33" s="30" t="s">
        <v>53</v>
      </c>
      <c r="I33" s="95">
        <v>18</v>
      </c>
      <c r="J33" s="13">
        <v>2400</v>
      </c>
      <c r="K33" s="12">
        <f t="shared" si="0"/>
        <v>133.33333333333334</v>
      </c>
      <c r="L33" s="95">
        <v>18</v>
      </c>
      <c r="M33" s="13">
        <f t="shared" si="22"/>
        <v>2301.5624999999995</v>
      </c>
      <c r="N33" s="12">
        <f t="shared" si="2"/>
        <v>127.86458333333331</v>
      </c>
      <c r="O33" s="14">
        <f t="shared" si="3"/>
        <v>0</v>
      </c>
      <c r="P33" s="15">
        <f t="shared" si="4"/>
        <v>-5.4687500000000284</v>
      </c>
      <c r="Q33" s="91">
        <f t="shared" si="5"/>
        <v>0.95898437499999978</v>
      </c>
      <c r="R33" s="177"/>
      <c r="S33" s="21">
        <v>0.26944444444444443</v>
      </c>
      <c r="T33" s="21">
        <v>0.31388888888888888</v>
      </c>
      <c r="U33" s="88">
        <f t="shared" si="24"/>
        <v>4.9999999999999822</v>
      </c>
      <c r="V33" s="30">
        <f t="shared" si="23"/>
        <v>64.000000000000014</v>
      </c>
      <c r="W33" s="88"/>
      <c r="X33" s="88"/>
      <c r="Y33" s="88"/>
      <c r="Z33" s="88"/>
      <c r="AA33" s="168"/>
      <c r="AB33" s="168"/>
      <c r="AC33" s="18"/>
      <c r="AD33" s="18"/>
      <c r="AE33" s="14">
        <f t="shared" si="7"/>
        <v>-98.437500000000455</v>
      </c>
      <c r="AF33" s="91">
        <f t="shared" si="8"/>
        <v>0.95898437499999978</v>
      </c>
      <c r="AG33" s="177"/>
    </row>
    <row r="34" spans="1:33">
      <c r="A34" s="192" t="s">
        <v>481</v>
      </c>
      <c r="B34" s="28" t="s">
        <v>22</v>
      </c>
      <c r="C34" s="169" t="s">
        <v>70</v>
      </c>
      <c r="D34" s="169"/>
      <c r="E34" s="28">
        <v>22.69</v>
      </c>
      <c r="F34" s="88">
        <v>4484</v>
      </c>
      <c r="G34" s="88">
        <v>101741.96</v>
      </c>
      <c r="H34" s="30" t="s">
        <v>53</v>
      </c>
      <c r="I34" s="95">
        <v>15</v>
      </c>
      <c r="J34" s="13">
        <v>2400</v>
      </c>
      <c r="K34" s="12">
        <f t="shared" si="0"/>
        <v>160</v>
      </c>
      <c r="L34" s="95">
        <v>15</v>
      </c>
      <c r="M34" s="13">
        <f t="shared" si="22"/>
        <v>2299.4871794871797</v>
      </c>
      <c r="N34" s="12">
        <f t="shared" si="2"/>
        <v>153.29914529914532</v>
      </c>
      <c r="O34" s="14">
        <f t="shared" si="3"/>
        <v>0</v>
      </c>
      <c r="P34" s="15">
        <f t="shared" si="4"/>
        <v>-6.700854700854677</v>
      </c>
      <c r="Q34" s="91">
        <f t="shared" si="5"/>
        <v>0.95811965811965827</v>
      </c>
      <c r="R34" s="177"/>
      <c r="S34" s="21">
        <v>0.31805555555555554</v>
      </c>
      <c r="T34" s="21">
        <v>0.39930555555555552</v>
      </c>
      <c r="U34" s="88">
        <f t="shared" si="24"/>
        <v>5.9999999999999787</v>
      </c>
      <c r="V34" s="30">
        <f t="shared" si="23"/>
        <v>116.99999999999999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7"/>
        <v>-100.51282051282033</v>
      </c>
      <c r="AF34" s="91">
        <f t="shared" si="8"/>
        <v>0.95811965811965816</v>
      </c>
      <c r="AG34" s="177"/>
    </row>
    <row r="35" spans="1:33">
      <c r="A35" s="192" t="s">
        <v>481</v>
      </c>
      <c r="B35" s="28" t="s">
        <v>22</v>
      </c>
      <c r="C35" s="169" t="s">
        <v>30</v>
      </c>
      <c r="D35" s="169"/>
      <c r="E35" s="28">
        <v>26.39</v>
      </c>
      <c r="F35" s="88">
        <v>5005</v>
      </c>
      <c r="G35" s="88">
        <v>132081.95000000001</v>
      </c>
      <c r="H35" s="30" t="s">
        <v>53</v>
      </c>
      <c r="I35" s="95">
        <v>19</v>
      </c>
      <c r="J35" s="13">
        <v>2400</v>
      </c>
      <c r="K35" s="12">
        <f t="shared" si="0"/>
        <v>126.31578947368421</v>
      </c>
      <c r="L35" s="95">
        <v>19</v>
      </c>
      <c r="M35" s="13">
        <f t="shared" si="22"/>
        <v>2292.3664122137407</v>
      </c>
      <c r="N35" s="12">
        <f t="shared" si="2"/>
        <v>120.65086380072319</v>
      </c>
      <c r="O35" s="14">
        <f t="shared" si="3"/>
        <v>0</v>
      </c>
      <c r="P35" s="15">
        <f t="shared" si="4"/>
        <v>-5.6649256729610187</v>
      </c>
      <c r="Q35" s="91">
        <f t="shared" si="5"/>
        <v>0.95515267175572527</v>
      </c>
      <c r="R35" s="177"/>
      <c r="S35" s="21">
        <v>0.40416666666666662</v>
      </c>
      <c r="T35" s="21">
        <v>0.49513888888888885</v>
      </c>
      <c r="U35" s="88">
        <f t="shared" si="24"/>
        <v>6.9999999999999751</v>
      </c>
      <c r="V35" s="30">
        <f t="shared" si="23"/>
        <v>131</v>
      </c>
      <c r="W35" s="16"/>
      <c r="X35" s="16"/>
      <c r="Y35" s="16"/>
      <c r="Z35" s="16"/>
      <c r="AA35" s="168"/>
      <c r="AB35" s="168"/>
      <c r="AC35" s="18"/>
      <c r="AD35" s="18"/>
      <c r="AE35" s="14">
        <f t="shared" si="7"/>
        <v>-107.63358778625934</v>
      </c>
      <c r="AF35" s="91">
        <f t="shared" si="8"/>
        <v>0.95515267175572527</v>
      </c>
      <c r="AG35" s="177"/>
    </row>
    <row r="36" spans="1:33">
      <c r="A36" s="192" t="s">
        <v>481</v>
      </c>
      <c r="B36" s="12" t="s">
        <v>351</v>
      </c>
      <c r="C36" s="178"/>
      <c r="D36" s="178"/>
      <c r="E36" s="92"/>
      <c r="F36" s="12"/>
      <c r="G36" s="12"/>
      <c r="H36" s="88"/>
      <c r="I36" s="23">
        <v>17.600000000000001</v>
      </c>
      <c r="J36" s="13">
        <v>2400</v>
      </c>
      <c r="K36" s="12">
        <f t="shared" si="0"/>
        <v>136.36363636363635</v>
      </c>
      <c r="L36" s="23">
        <v>17.600000000000001</v>
      </c>
      <c r="M36" s="13">
        <f>AVERAGE(M31:M35)</f>
        <v>2297.4216210183286</v>
      </c>
      <c r="N36" s="12">
        <f t="shared" si="2"/>
        <v>130.53531937604137</v>
      </c>
      <c r="O36" s="14">
        <f t="shared" si="3"/>
        <v>0</v>
      </c>
      <c r="P36" s="15">
        <f t="shared" si="4"/>
        <v>-5.8283169875949739</v>
      </c>
      <c r="Q36" s="91">
        <f t="shared" si="5"/>
        <v>0.95725900875763681</v>
      </c>
      <c r="R36" s="177"/>
      <c r="S36" s="21"/>
      <c r="T36" s="21"/>
      <c r="U36" s="12"/>
      <c r="V36" s="30"/>
      <c r="W36" s="12"/>
      <c r="X36" s="12"/>
      <c r="Y36" s="24">
        <f>SUM(Y31:Y35)</f>
        <v>0</v>
      </c>
      <c r="Z36" s="24">
        <f>SUM(Z31:Z35)</f>
        <v>0</v>
      </c>
      <c r="AA36" s="167"/>
      <c r="AB36" s="167"/>
      <c r="AC36" s="24">
        <v>5</v>
      </c>
      <c r="AD36" s="24">
        <f>SUM(AD31:AD35)</f>
        <v>0</v>
      </c>
      <c r="AE36" s="14">
        <f t="shared" si="7"/>
        <v>-102.57837898167145</v>
      </c>
      <c r="AF36" s="91">
        <f t="shared" si="8"/>
        <v>0.95725900875763692</v>
      </c>
      <c r="AG36" s="177"/>
    </row>
    <row r="37" spans="1:33" ht="15.75" customHeight="1">
      <c r="A37" s="188" t="s">
        <v>1137</v>
      </c>
      <c r="B37" s="28" t="s">
        <v>33</v>
      </c>
      <c r="C37" s="170" t="s">
        <v>72</v>
      </c>
      <c r="D37" s="171"/>
      <c r="E37" s="28">
        <v>34.35</v>
      </c>
      <c r="F37" s="88">
        <v>2487</v>
      </c>
      <c r="G37" s="88">
        <v>85428.45</v>
      </c>
      <c r="H37" s="30" t="s">
        <v>53</v>
      </c>
      <c r="I37" s="95">
        <v>8</v>
      </c>
      <c r="J37" s="13">
        <v>3000</v>
      </c>
      <c r="K37" s="12">
        <f t="shared" si="0"/>
        <v>375</v>
      </c>
      <c r="L37" s="95">
        <v>8</v>
      </c>
      <c r="M37" s="13">
        <f t="shared" ref="M37:M41" si="25">F37/V37*60</f>
        <v>2869.6153846153848</v>
      </c>
      <c r="N37" s="13">
        <f t="shared" si="2"/>
        <v>358.70192307692309</v>
      </c>
      <c r="O37" s="14">
        <f t="shared" si="3"/>
        <v>0</v>
      </c>
      <c r="P37" s="15">
        <f t="shared" si="4"/>
        <v>-16.298076923076906</v>
      </c>
      <c r="Q37" s="91">
        <f t="shared" si="5"/>
        <v>0.95653846153846156</v>
      </c>
      <c r="R37" s="183">
        <f>Q42</f>
        <v>0.95649641285753639</v>
      </c>
      <c r="S37" s="21">
        <v>8.3333333333333329E-2</v>
      </c>
      <c r="T37" s="21">
        <v>0.11944444444444444</v>
      </c>
      <c r="U37" s="21"/>
      <c r="V37" s="30">
        <f t="shared" ref="V37:V41" si="26">(T37-S37)*24*60</f>
        <v>51.999999999999993</v>
      </c>
      <c r="W37" s="16">
        <f>T37</f>
        <v>0.11944444444444444</v>
      </c>
      <c r="X37" s="16">
        <f>S38</f>
        <v>0.13750000000000001</v>
      </c>
      <c r="Y37" s="19"/>
      <c r="Z37" s="19"/>
      <c r="AA37" s="172"/>
      <c r="AB37" s="173"/>
      <c r="AC37" s="18">
        <v>5</v>
      </c>
      <c r="AD37" s="18"/>
      <c r="AE37" s="14">
        <f t="shared" si="7"/>
        <v>-130.38461538461524</v>
      </c>
      <c r="AF37" s="91">
        <f t="shared" si="8"/>
        <v>0.95653846153846156</v>
      </c>
      <c r="AG37" s="183">
        <f>AF42</f>
        <v>0.95649641285753639</v>
      </c>
    </row>
    <row r="38" spans="1:33" ht="15.75" customHeight="1">
      <c r="A38" s="189" t="s">
        <v>1138</v>
      </c>
      <c r="B38" s="28" t="s">
        <v>33</v>
      </c>
      <c r="C38" s="170" t="s">
        <v>36</v>
      </c>
      <c r="D38" s="171"/>
      <c r="E38" s="28">
        <v>21.13</v>
      </c>
      <c r="F38" s="88">
        <v>5131</v>
      </c>
      <c r="G38" s="88">
        <v>108418.03</v>
      </c>
      <c r="H38" s="30" t="s">
        <v>53</v>
      </c>
      <c r="I38" s="95">
        <v>10</v>
      </c>
      <c r="J38" s="13">
        <v>3000</v>
      </c>
      <c r="K38" s="12">
        <f t="shared" si="0"/>
        <v>300</v>
      </c>
      <c r="L38" s="95">
        <v>10</v>
      </c>
      <c r="M38" s="13">
        <f t="shared" si="25"/>
        <v>2877.1962616822425</v>
      </c>
      <c r="N38" s="13">
        <f t="shared" si="2"/>
        <v>287.71962616822424</v>
      </c>
      <c r="O38" s="14">
        <f t="shared" si="3"/>
        <v>0</v>
      </c>
      <c r="P38" s="15">
        <f t="shared" si="4"/>
        <v>-12.280373831775762</v>
      </c>
      <c r="Q38" s="91">
        <f t="shared" si="5"/>
        <v>0.95906542056074751</v>
      </c>
      <c r="R38" s="184"/>
      <c r="S38" s="21">
        <v>0.13750000000000001</v>
      </c>
      <c r="T38" s="21">
        <v>0.21180555555555558</v>
      </c>
      <c r="U38" s="88">
        <f t="shared" ref="U38:U41" si="27">(S38-T37)*24*60</f>
        <v>26.000000000000028</v>
      </c>
      <c r="V38" s="30">
        <f t="shared" si="26"/>
        <v>107.00000000000001</v>
      </c>
      <c r="W38" s="16"/>
      <c r="X38" s="16"/>
      <c r="Y38" s="19"/>
      <c r="Z38" s="19"/>
      <c r="AA38" s="172"/>
      <c r="AB38" s="173"/>
      <c r="AC38" s="18"/>
      <c r="AD38" s="18"/>
      <c r="AE38" s="14">
        <f t="shared" si="7"/>
        <v>-122.80373831775751</v>
      </c>
      <c r="AF38" s="91">
        <f t="shared" si="8"/>
        <v>0.95906542056074751</v>
      </c>
      <c r="AG38" s="184"/>
    </row>
    <row r="39" spans="1:33" ht="15.75" customHeight="1">
      <c r="A39" s="189" t="s">
        <v>1138</v>
      </c>
      <c r="B39" s="28" t="s">
        <v>33</v>
      </c>
      <c r="C39" s="170" t="s">
        <v>37</v>
      </c>
      <c r="D39" s="171"/>
      <c r="E39" s="28">
        <v>27.17</v>
      </c>
      <c r="F39" s="88">
        <v>6380</v>
      </c>
      <c r="G39" s="88">
        <v>173344.6</v>
      </c>
      <c r="H39" s="30" t="s">
        <v>53</v>
      </c>
      <c r="I39" s="95">
        <v>10</v>
      </c>
      <c r="J39" s="13">
        <v>3000</v>
      </c>
      <c r="K39" s="12">
        <f t="shared" si="0"/>
        <v>300</v>
      </c>
      <c r="L39" s="95">
        <v>10</v>
      </c>
      <c r="M39" s="13">
        <f t="shared" si="25"/>
        <v>2856.7164179104489</v>
      </c>
      <c r="N39" s="13">
        <f t="shared" si="2"/>
        <v>285.67164179104486</v>
      </c>
      <c r="O39" s="14">
        <f t="shared" si="3"/>
        <v>0</v>
      </c>
      <c r="P39" s="15">
        <f t="shared" si="4"/>
        <v>-14.328358208955137</v>
      </c>
      <c r="Q39" s="91">
        <f t="shared" si="5"/>
        <v>0.95223880597014954</v>
      </c>
      <c r="R39" s="184"/>
      <c r="S39" s="21">
        <v>0.21597222222222226</v>
      </c>
      <c r="T39" s="21">
        <v>0.30902777777777779</v>
      </c>
      <c r="U39" s="88">
        <f t="shared" si="27"/>
        <v>6.0000000000000187</v>
      </c>
      <c r="V39" s="30">
        <f t="shared" si="26"/>
        <v>133.99999999999994</v>
      </c>
      <c r="W39" s="16"/>
      <c r="X39" s="16"/>
      <c r="Y39" s="19"/>
      <c r="Z39" s="19"/>
      <c r="AA39" s="172"/>
      <c r="AB39" s="173"/>
      <c r="AC39" s="18"/>
      <c r="AD39" s="18"/>
      <c r="AE39" s="14">
        <f t="shared" si="7"/>
        <v>-143.28358208955115</v>
      </c>
      <c r="AF39" s="91">
        <f t="shared" si="8"/>
        <v>0.95223880597014965</v>
      </c>
      <c r="AG39" s="184"/>
    </row>
    <row r="40" spans="1:33" ht="15.75" customHeight="1">
      <c r="A40" s="189" t="s">
        <v>1138</v>
      </c>
      <c r="B40" s="28" t="s">
        <v>33</v>
      </c>
      <c r="C40" s="170" t="s">
        <v>38</v>
      </c>
      <c r="D40" s="171"/>
      <c r="E40" s="28">
        <v>35.869999999999997</v>
      </c>
      <c r="F40" s="88">
        <v>3622</v>
      </c>
      <c r="G40" s="88">
        <v>129921.13999999998</v>
      </c>
      <c r="H40" s="30" t="s">
        <v>53</v>
      </c>
      <c r="I40" s="95">
        <v>9</v>
      </c>
      <c r="J40" s="13">
        <v>3000</v>
      </c>
      <c r="K40" s="12">
        <f t="shared" si="0"/>
        <v>333.33333333333331</v>
      </c>
      <c r="L40" s="95">
        <v>9</v>
      </c>
      <c r="M40" s="13">
        <f t="shared" si="25"/>
        <v>2859.4736842105276</v>
      </c>
      <c r="N40" s="13">
        <f t="shared" si="2"/>
        <v>317.7192982456142</v>
      </c>
      <c r="O40" s="14">
        <f t="shared" si="3"/>
        <v>0</v>
      </c>
      <c r="P40" s="15">
        <f t="shared" si="4"/>
        <v>-15.614035087719117</v>
      </c>
      <c r="Q40" s="91">
        <f t="shared" si="5"/>
        <v>0.95315789473684265</v>
      </c>
      <c r="R40" s="184"/>
      <c r="S40" s="21">
        <v>0.31458333333333333</v>
      </c>
      <c r="T40" s="21">
        <v>0.36736111111111108</v>
      </c>
      <c r="U40" s="88">
        <f t="shared" si="27"/>
        <v>7.9999999999999716</v>
      </c>
      <c r="V40" s="30">
        <f t="shared" si="26"/>
        <v>75.999999999999972</v>
      </c>
      <c r="W40" s="16"/>
      <c r="X40" s="16"/>
      <c r="Y40" s="19"/>
      <c r="Z40" s="19"/>
      <c r="AA40" s="172"/>
      <c r="AB40" s="173"/>
      <c r="AC40" s="18"/>
      <c r="AD40" s="18"/>
      <c r="AE40" s="14">
        <f t="shared" si="7"/>
        <v>-140.52631578947239</v>
      </c>
      <c r="AF40" s="91">
        <f t="shared" si="8"/>
        <v>0.95315789473684254</v>
      </c>
      <c r="AG40" s="184"/>
    </row>
    <row r="41" spans="1:33" ht="15.75" customHeight="1">
      <c r="A41" s="189" t="s">
        <v>1138</v>
      </c>
      <c r="B41" s="28" t="s">
        <v>33</v>
      </c>
      <c r="C41" s="170" t="s">
        <v>756</v>
      </c>
      <c r="D41" s="171"/>
      <c r="E41" s="28">
        <v>37.880000000000003</v>
      </c>
      <c r="F41" s="88">
        <v>3894</v>
      </c>
      <c r="G41" s="88">
        <v>147504.72</v>
      </c>
      <c r="H41" s="30" t="s">
        <v>53</v>
      </c>
      <c r="I41" s="95">
        <v>10</v>
      </c>
      <c r="J41" s="13">
        <v>3000</v>
      </c>
      <c r="K41" s="12">
        <f t="shared" si="0"/>
        <v>300</v>
      </c>
      <c r="L41" s="95">
        <v>10</v>
      </c>
      <c r="M41" s="13">
        <f t="shared" si="25"/>
        <v>2884.4444444444434</v>
      </c>
      <c r="N41" s="13">
        <f t="shared" si="2"/>
        <v>288.44444444444434</v>
      </c>
      <c r="O41" s="14">
        <f t="shared" si="3"/>
        <v>0</v>
      </c>
      <c r="P41" s="15">
        <f t="shared" si="4"/>
        <v>-11.555555555555657</v>
      </c>
      <c r="Q41" s="91">
        <f t="shared" si="5"/>
        <v>0.96148148148148116</v>
      </c>
      <c r="R41" s="184"/>
      <c r="S41" s="21">
        <v>0.37222222222222218</v>
      </c>
      <c r="T41" s="21">
        <v>0.4284722222222222</v>
      </c>
      <c r="U41" s="88">
        <f t="shared" si="27"/>
        <v>6.9999999999999751</v>
      </c>
      <c r="V41" s="30">
        <f t="shared" si="26"/>
        <v>81.000000000000028</v>
      </c>
      <c r="W41" s="16"/>
      <c r="X41" s="16"/>
      <c r="Y41" s="19"/>
      <c r="Z41" s="19"/>
      <c r="AA41" s="172"/>
      <c r="AB41" s="173"/>
      <c r="AC41" s="18"/>
      <c r="AD41" s="18"/>
      <c r="AE41" s="14">
        <f t="shared" si="7"/>
        <v>-115.55555555555657</v>
      </c>
      <c r="AF41" s="91">
        <f t="shared" si="8"/>
        <v>0.96148148148148116</v>
      </c>
      <c r="AG41" s="184"/>
    </row>
    <row r="42" spans="1:33" ht="15.75" customHeight="1">
      <c r="A42" s="190" t="s">
        <v>1138</v>
      </c>
      <c r="B42" s="28" t="s">
        <v>1139</v>
      </c>
      <c r="C42" s="165"/>
      <c r="D42" s="166"/>
      <c r="E42" s="89"/>
      <c r="F42" s="88"/>
      <c r="G42" s="88"/>
      <c r="H42" s="88"/>
      <c r="I42" s="23">
        <v>9.4</v>
      </c>
      <c r="J42" s="13">
        <v>3000</v>
      </c>
      <c r="K42" s="12">
        <f t="shared" si="0"/>
        <v>319.14893617021278</v>
      </c>
      <c r="L42" s="23">
        <v>9.4</v>
      </c>
      <c r="M42" s="13">
        <f>AVERAGE(M37:M41)</f>
        <v>2869.4892385726093</v>
      </c>
      <c r="N42" s="12">
        <f t="shared" si="2"/>
        <v>305.26481261410737</v>
      </c>
      <c r="O42" s="14">
        <f t="shared" si="3"/>
        <v>0</v>
      </c>
      <c r="P42" s="15">
        <f t="shared" si="4"/>
        <v>-13.884123556105408</v>
      </c>
      <c r="Q42" s="91">
        <f t="shared" si="5"/>
        <v>0.95649641285753639</v>
      </c>
      <c r="R42" s="185"/>
      <c r="S42" s="21"/>
      <c r="T42" s="21"/>
      <c r="U42" s="88"/>
      <c r="V42" s="30"/>
      <c r="W42" s="16"/>
      <c r="X42" s="16"/>
      <c r="Y42" s="24">
        <f>SUM(Y37:Y41)</f>
        <v>0</v>
      </c>
      <c r="Z42" s="24">
        <f>SUM(Z37:Z41)</f>
        <v>0</v>
      </c>
      <c r="AA42" s="186"/>
      <c r="AB42" s="187"/>
      <c r="AC42" s="24">
        <v>5</v>
      </c>
      <c r="AD42" s="24">
        <f>SUM(AD37:AD41)</f>
        <v>0</v>
      </c>
      <c r="AE42" s="14">
        <f t="shared" si="7"/>
        <v>-130.51076142739066</v>
      </c>
      <c r="AF42" s="91">
        <f t="shared" si="8"/>
        <v>0.95649641285753639</v>
      </c>
      <c r="AG42" s="185"/>
    </row>
    <row r="43" spans="1:33" ht="15.75" customHeight="1">
      <c r="A43" s="181" t="s">
        <v>1140</v>
      </c>
      <c r="B43" s="28" t="s">
        <v>9</v>
      </c>
      <c r="C43" s="169" t="s">
        <v>39</v>
      </c>
      <c r="D43" s="169"/>
      <c r="E43" s="28">
        <v>46</v>
      </c>
      <c r="F43" s="29">
        <v>2637</v>
      </c>
      <c r="G43" s="88">
        <v>121302</v>
      </c>
      <c r="H43" s="30" t="s">
        <v>53</v>
      </c>
      <c r="I43" s="95">
        <v>17</v>
      </c>
      <c r="J43" s="13">
        <v>2000</v>
      </c>
      <c r="K43" s="12">
        <f t="shared" si="0"/>
        <v>117.64705882352941</v>
      </c>
      <c r="L43" s="95">
        <v>17</v>
      </c>
      <c r="M43" s="13">
        <f t="shared" ref="M43" si="28">F43/V43*60</f>
        <v>1906.2650602409642</v>
      </c>
      <c r="N43" s="13">
        <f t="shared" si="2"/>
        <v>112.13323883770377</v>
      </c>
      <c r="O43" s="14">
        <f t="shared" si="3"/>
        <v>0</v>
      </c>
      <c r="P43" s="15">
        <f t="shared" si="4"/>
        <v>-5.5138199858256343</v>
      </c>
      <c r="Q43" s="91">
        <f t="shared" si="5"/>
        <v>0.95313253012048216</v>
      </c>
      <c r="R43" s="177">
        <f>Q49</f>
        <v>0.96079063805004028</v>
      </c>
      <c r="S43" s="21">
        <v>0.20833333333333334</v>
      </c>
      <c r="T43" s="21">
        <v>0.26597222222222222</v>
      </c>
      <c r="U43" s="21"/>
      <c r="V43" s="30">
        <f t="shared" ref="V43:V48" si="29">(T43-S43)*24*60</f>
        <v>82.999999999999986</v>
      </c>
      <c r="W43" s="21"/>
      <c r="X43" s="21"/>
      <c r="Y43" s="21"/>
      <c r="Z43" s="21"/>
      <c r="AA43" s="168"/>
      <c r="AB43" s="168"/>
      <c r="AC43" s="18">
        <v>6</v>
      </c>
      <c r="AD43" s="18"/>
      <c r="AE43" s="14">
        <f t="shared" si="7"/>
        <v>-93.734939759035797</v>
      </c>
      <c r="AF43" s="91">
        <f t="shared" si="8"/>
        <v>0.95313253012048205</v>
      </c>
      <c r="AG43" s="177">
        <f>AF49</f>
        <v>0.96079063805004039</v>
      </c>
    </row>
    <row r="44" spans="1:33" ht="15.75" customHeight="1">
      <c r="A44" s="181" t="s">
        <v>1140</v>
      </c>
      <c r="B44" s="28" t="s">
        <v>5</v>
      </c>
      <c r="C44" s="169" t="s">
        <v>40</v>
      </c>
      <c r="D44" s="169"/>
      <c r="E44" s="28">
        <v>56.43</v>
      </c>
      <c r="F44" s="29">
        <v>1465</v>
      </c>
      <c r="G44" s="88">
        <v>82669.95</v>
      </c>
      <c r="H44" s="30" t="s">
        <v>53</v>
      </c>
      <c r="I44" s="95">
        <v>22</v>
      </c>
      <c r="J44" s="13">
        <v>2000</v>
      </c>
      <c r="K44" s="12">
        <f t="shared" si="0"/>
        <v>90.909090909090907</v>
      </c>
      <c r="L44" s="95">
        <v>22</v>
      </c>
      <c r="M44" s="13">
        <f>F44/V44*60</f>
        <v>1910.8695652173915</v>
      </c>
      <c r="N44" s="13">
        <f t="shared" si="2"/>
        <v>86.857707509881436</v>
      </c>
      <c r="O44" s="14">
        <f t="shared" si="3"/>
        <v>0</v>
      </c>
      <c r="P44" s="15">
        <f t="shared" si="4"/>
        <v>-4.0513833992094703</v>
      </c>
      <c r="Q44" s="91">
        <f t="shared" si="5"/>
        <v>0.95543478260869585</v>
      </c>
      <c r="R44" s="177"/>
      <c r="S44" s="21">
        <v>0.27013888888888887</v>
      </c>
      <c r="T44" s="21">
        <v>0.30208333333333331</v>
      </c>
      <c r="U44" s="88">
        <f t="shared" ref="U44:U48" si="30">IF(S44=TIME(17,0,0),"",(S44-T43)*24*60)</f>
        <v>5.9999999999999787</v>
      </c>
      <c r="V44" s="30">
        <f t="shared" si="29"/>
        <v>46</v>
      </c>
      <c r="W44" s="16"/>
      <c r="X44" s="16"/>
      <c r="Y44" s="16"/>
      <c r="Z44" s="16"/>
      <c r="AA44" s="168"/>
      <c r="AB44" s="168"/>
      <c r="AC44" s="18"/>
      <c r="AD44" s="18"/>
      <c r="AE44" s="14">
        <f t="shared" si="7"/>
        <v>-89.130434782608518</v>
      </c>
      <c r="AF44" s="91">
        <f t="shared" si="8"/>
        <v>0.95543478260869574</v>
      </c>
      <c r="AG44" s="177"/>
    </row>
    <row r="45" spans="1:33" ht="15.75" customHeight="1">
      <c r="A45" s="181" t="s">
        <v>1140</v>
      </c>
      <c r="B45" s="28" t="s">
        <v>5</v>
      </c>
      <c r="C45" s="170" t="s">
        <v>41</v>
      </c>
      <c r="D45" s="171"/>
      <c r="E45" s="28">
        <v>51.75</v>
      </c>
      <c r="F45" s="29">
        <v>1108</v>
      </c>
      <c r="G45" s="88">
        <v>57339</v>
      </c>
      <c r="H45" s="30" t="s">
        <v>53</v>
      </c>
      <c r="I45" s="95">
        <v>25</v>
      </c>
      <c r="J45" s="13">
        <v>2000</v>
      </c>
      <c r="K45" s="12">
        <f t="shared" si="0"/>
        <v>80</v>
      </c>
      <c r="L45" s="95">
        <v>25</v>
      </c>
      <c r="M45" s="13">
        <f t="shared" ref="M45:M48" si="31">F45/V45*60</f>
        <v>1955.2941176470613</v>
      </c>
      <c r="N45" s="13">
        <f t="shared" si="2"/>
        <v>78.211764705882445</v>
      </c>
      <c r="O45" s="14">
        <f t="shared" si="3"/>
        <v>0</v>
      </c>
      <c r="P45" s="15">
        <f t="shared" si="4"/>
        <v>-1.7882352941175554</v>
      </c>
      <c r="Q45" s="91">
        <f t="shared" si="5"/>
        <v>0.97764705882353053</v>
      </c>
      <c r="R45" s="177"/>
      <c r="S45" s="21">
        <v>0.30763888888888885</v>
      </c>
      <c r="T45" s="21">
        <v>0.33124999999999993</v>
      </c>
      <c r="U45" s="88">
        <f t="shared" si="30"/>
        <v>7.9999999999999716</v>
      </c>
      <c r="V45" s="30">
        <f t="shared" si="29"/>
        <v>33.999999999999957</v>
      </c>
      <c r="W45" s="16"/>
      <c r="X45" s="16"/>
      <c r="Y45" s="19"/>
      <c r="Z45" s="19"/>
      <c r="AA45" s="168"/>
      <c r="AB45" s="168"/>
      <c r="AC45" s="18"/>
      <c r="AD45" s="18"/>
      <c r="AE45" s="14">
        <f t="shared" si="7"/>
        <v>-44.705882352938715</v>
      </c>
      <c r="AF45" s="91">
        <f t="shared" si="8"/>
        <v>0.97764705882353065</v>
      </c>
      <c r="AG45" s="177"/>
    </row>
    <row r="46" spans="1:33" ht="15.75" customHeight="1">
      <c r="A46" s="181" t="s">
        <v>1140</v>
      </c>
      <c r="B46" s="28" t="s">
        <v>5</v>
      </c>
      <c r="C46" s="93" t="s">
        <v>42</v>
      </c>
      <c r="D46" s="94"/>
      <c r="E46" s="28">
        <v>57.73</v>
      </c>
      <c r="F46" s="29">
        <v>1010</v>
      </c>
      <c r="G46" s="88">
        <v>58307.299999999996</v>
      </c>
      <c r="H46" s="30" t="s">
        <v>53</v>
      </c>
      <c r="I46" s="95">
        <v>16</v>
      </c>
      <c r="J46" s="13">
        <v>1500</v>
      </c>
      <c r="K46" s="12">
        <f t="shared" si="0"/>
        <v>93.75</v>
      </c>
      <c r="L46" s="95">
        <v>16</v>
      </c>
      <c r="M46" s="13">
        <f t="shared" si="31"/>
        <v>1442.8571428571424</v>
      </c>
      <c r="N46" s="13">
        <f t="shared" si="2"/>
        <v>90.178571428571402</v>
      </c>
      <c r="O46" s="14">
        <f t="shared" si="3"/>
        <v>0</v>
      </c>
      <c r="P46" s="15">
        <f t="shared" si="4"/>
        <v>-3.5714285714285978</v>
      </c>
      <c r="Q46" s="91">
        <f t="shared" si="5"/>
        <v>0.9619047619047616</v>
      </c>
      <c r="R46" s="177"/>
      <c r="S46" s="21">
        <v>0.70833333333333337</v>
      </c>
      <c r="T46" s="21">
        <v>0.73750000000000004</v>
      </c>
      <c r="U46" s="88" t="str">
        <f t="shared" si="30"/>
        <v/>
      </c>
      <c r="V46" s="30">
        <f t="shared" si="29"/>
        <v>42.000000000000014</v>
      </c>
      <c r="W46" s="16"/>
      <c r="X46" s="16"/>
      <c r="Y46" s="19"/>
      <c r="Z46" s="19"/>
      <c r="AA46" s="168"/>
      <c r="AB46" s="168"/>
      <c r="AC46" s="18"/>
      <c r="AD46" s="18"/>
      <c r="AE46" s="14">
        <f t="shared" si="7"/>
        <v>-57.142857142857565</v>
      </c>
      <c r="AF46" s="91">
        <f t="shared" si="8"/>
        <v>0.9619047619047616</v>
      </c>
      <c r="AG46" s="177"/>
    </row>
    <row r="47" spans="1:33" ht="15.75" customHeight="1">
      <c r="A47" s="181" t="s">
        <v>1140</v>
      </c>
      <c r="B47" s="28" t="s">
        <v>5</v>
      </c>
      <c r="C47" s="93" t="s">
        <v>44</v>
      </c>
      <c r="D47" s="94"/>
      <c r="E47" s="28">
        <v>55.56</v>
      </c>
      <c r="F47" s="29">
        <v>1990</v>
      </c>
      <c r="G47" s="88">
        <v>110564.40000000001</v>
      </c>
      <c r="H47" s="30" t="s">
        <v>53</v>
      </c>
      <c r="I47" s="95">
        <v>17</v>
      </c>
      <c r="J47" s="13">
        <v>2000</v>
      </c>
      <c r="K47" s="12">
        <f t="shared" si="0"/>
        <v>117.64705882352941</v>
      </c>
      <c r="L47" s="95">
        <v>17</v>
      </c>
      <c r="M47" s="13">
        <f t="shared" si="31"/>
        <v>1925.8064516129052</v>
      </c>
      <c r="N47" s="13">
        <f t="shared" si="2"/>
        <v>113.28273244781795</v>
      </c>
      <c r="O47" s="14">
        <f t="shared" si="3"/>
        <v>0</v>
      </c>
      <c r="P47" s="15">
        <f t="shared" si="4"/>
        <v>-4.3643263757114568</v>
      </c>
      <c r="Q47" s="91">
        <f t="shared" si="5"/>
        <v>0.9629032258064526</v>
      </c>
      <c r="R47" s="177"/>
      <c r="S47" s="21">
        <v>0.7416666666666667</v>
      </c>
      <c r="T47" s="21">
        <v>0.78472222222222221</v>
      </c>
      <c r="U47" s="88">
        <f t="shared" si="30"/>
        <v>5.9999999999999787</v>
      </c>
      <c r="V47" s="30">
        <f t="shared" si="29"/>
        <v>61.999999999999943</v>
      </c>
      <c r="W47" s="16"/>
      <c r="X47" s="16"/>
      <c r="Y47" s="19"/>
      <c r="Z47" s="19"/>
      <c r="AA47" s="168"/>
      <c r="AB47" s="168"/>
      <c r="AC47" s="18"/>
      <c r="AD47" s="18"/>
      <c r="AE47" s="14">
        <f t="shared" si="7"/>
        <v>-74.193548387094779</v>
      </c>
      <c r="AF47" s="91">
        <f t="shared" si="8"/>
        <v>0.9629032258064526</v>
      </c>
      <c r="AG47" s="177"/>
    </row>
    <row r="48" spans="1:33" ht="15.75" customHeight="1">
      <c r="A48" s="181" t="s">
        <v>1140</v>
      </c>
      <c r="B48" s="28" t="s">
        <v>5</v>
      </c>
      <c r="C48" s="170" t="s">
        <v>45</v>
      </c>
      <c r="D48" s="171"/>
      <c r="E48" s="28">
        <v>55.32</v>
      </c>
      <c r="F48" s="29">
        <v>1431</v>
      </c>
      <c r="G48" s="88">
        <v>79162.92</v>
      </c>
      <c r="H48" s="30" t="s">
        <v>53</v>
      </c>
      <c r="I48" s="95">
        <v>15</v>
      </c>
      <c r="J48" s="13">
        <v>2000</v>
      </c>
      <c r="K48" s="12">
        <f t="shared" si="0"/>
        <v>133.33333333333334</v>
      </c>
      <c r="L48" s="95">
        <v>15</v>
      </c>
      <c r="M48" s="13">
        <f t="shared" si="31"/>
        <v>1908</v>
      </c>
      <c r="N48" s="13">
        <f t="shared" si="2"/>
        <v>127.2</v>
      </c>
      <c r="O48" s="14">
        <f t="shared" si="3"/>
        <v>0</v>
      </c>
      <c r="P48" s="15">
        <f t="shared" si="4"/>
        <v>-6.13333333333334</v>
      </c>
      <c r="Q48" s="91">
        <f t="shared" si="5"/>
        <v>0.95399999999999996</v>
      </c>
      <c r="R48" s="177"/>
      <c r="S48" s="21">
        <v>0.79027777777777775</v>
      </c>
      <c r="T48" s="21">
        <v>0.82152777777777775</v>
      </c>
      <c r="U48" s="88">
        <f t="shared" si="30"/>
        <v>7.9999999999999716</v>
      </c>
      <c r="V48" s="30">
        <f t="shared" si="29"/>
        <v>45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7"/>
        <v>-92</v>
      </c>
      <c r="AF48" s="91">
        <f t="shared" si="8"/>
        <v>0.95399999999999996</v>
      </c>
      <c r="AG48" s="177"/>
    </row>
    <row r="49" spans="1:33">
      <c r="A49" s="182" t="s">
        <v>1140</v>
      </c>
      <c r="B49" s="28" t="s">
        <v>1139</v>
      </c>
      <c r="C49" s="178"/>
      <c r="D49" s="178"/>
      <c r="E49" s="92"/>
      <c r="F49" s="12"/>
      <c r="G49" s="12"/>
      <c r="H49" s="88"/>
      <c r="I49" s="23">
        <v>18.666666666666668</v>
      </c>
      <c r="J49" s="13">
        <v>1916.6666666666667</v>
      </c>
      <c r="K49" s="12">
        <f t="shared" si="0"/>
        <v>102.67857142857143</v>
      </c>
      <c r="L49" s="23">
        <v>18.666666666666668</v>
      </c>
      <c r="M49" s="13">
        <f>AVERAGE(M43:M48)</f>
        <v>1841.5153895959108</v>
      </c>
      <c r="N49" s="12">
        <f t="shared" si="2"/>
        <v>98.652610156923785</v>
      </c>
      <c r="O49" s="14">
        <f t="shared" si="3"/>
        <v>0</v>
      </c>
      <c r="P49" s="15">
        <f t="shared" si="4"/>
        <v>-4.0259612716476454</v>
      </c>
      <c r="Q49" s="91">
        <f t="shared" si="5"/>
        <v>0.96079063805004028</v>
      </c>
      <c r="R49" s="177"/>
      <c r="S49" s="21"/>
      <c r="T49" s="21"/>
      <c r="U49" s="88"/>
      <c r="V49" s="30"/>
      <c r="W49" s="12"/>
      <c r="X49" s="12"/>
      <c r="Y49" s="24">
        <f>SUM(Y43:Y48)</f>
        <v>0</v>
      </c>
      <c r="Z49" s="24">
        <f>SUM(Z43:Z48)</f>
        <v>0</v>
      </c>
      <c r="AA49" s="167"/>
      <c r="AB49" s="167"/>
      <c r="AC49" s="24">
        <v>6</v>
      </c>
      <c r="AD49" s="24">
        <f>SUM(AD43:AD48)</f>
        <v>0</v>
      </c>
      <c r="AE49" s="14">
        <f>M49-J49</f>
        <v>-75.151277070755896</v>
      </c>
      <c r="AF49" s="91">
        <f t="shared" si="8"/>
        <v>0.96079063805004039</v>
      </c>
      <c r="AG49" s="177"/>
    </row>
    <row r="50" spans="1:33" ht="15.75" customHeight="1">
      <c r="A50" s="179" t="s">
        <v>1141</v>
      </c>
      <c r="B50" s="88" t="s">
        <v>33</v>
      </c>
      <c r="C50" s="169" t="s">
        <v>46</v>
      </c>
      <c r="D50" s="169"/>
      <c r="E50" s="28">
        <v>37.85</v>
      </c>
      <c r="F50" s="29">
        <v>1334</v>
      </c>
      <c r="G50" s="88">
        <v>50491.9</v>
      </c>
      <c r="H50" s="30" t="s">
        <v>53</v>
      </c>
      <c r="I50" s="95">
        <v>12</v>
      </c>
      <c r="J50" s="13">
        <v>2000</v>
      </c>
      <c r="K50" s="12">
        <f t="shared" si="0"/>
        <v>166.66666666666666</v>
      </c>
      <c r="L50" s="95">
        <v>12</v>
      </c>
      <c r="M50" s="13">
        <f t="shared" ref="M50:M55" si="32">F50/V50*60</f>
        <v>1905.7142857142851</v>
      </c>
      <c r="N50" s="12">
        <f t="shared" si="2"/>
        <v>158.80952380952377</v>
      </c>
      <c r="O50" s="14">
        <f t="shared" si="3"/>
        <v>0</v>
      </c>
      <c r="P50" s="15">
        <f t="shared" si="4"/>
        <v>-7.8571428571428896</v>
      </c>
      <c r="Q50" s="91">
        <f t="shared" si="5"/>
        <v>0.95285714285714262</v>
      </c>
      <c r="R50" s="177">
        <f>Q56</f>
        <v>0.96152481731823181</v>
      </c>
      <c r="S50" s="21">
        <v>0.20833333333333334</v>
      </c>
      <c r="T50" s="21">
        <v>0.23750000000000002</v>
      </c>
      <c r="U50" s="88"/>
      <c r="V50" s="30">
        <f t="shared" ref="V50:V55" si="33">(T50-S50)*24*60</f>
        <v>42.000000000000014</v>
      </c>
      <c r="W50" s="21"/>
      <c r="X50" s="21"/>
      <c r="Y50" s="21"/>
      <c r="Z50" s="21"/>
      <c r="AA50" s="168"/>
      <c r="AB50" s="168"/>
      <c r="AC50" s="18">
        <v>6</v>
      </c>
      <c r="AD50" s="18"/>
      <c r="AE50" s="14">
        <f t="shared" ref="AE50:AE62" si="34">M50-J50</f>
        <v>-94.285714285714903</v>
      </c>
      <c r="AF50" s="91">
        <f t="shared" si="8"/>
        <v>0.95285714285714251</v>
      </c>
      <c r="AG50" s="177">
        <f>AF56</f>
        <v>0.96152481731823181</v>
      </c>
    </row>
    <row r="51" spans="1:33" ht="15.75" customHeight="1">
      <c r="A51" s="179" t="s">
        <v>1141</v>
      </c>
      <c r="B51" s="88" t="s">
        <v>33</v>
      </c>
      <c r="C51" s="169" t="s">
        <v>47</v>
      </c>
      <c r="D51" s="169"/>
      <c r="E51" s="28">
        <v>34.36</v>
      </c>
      <c r="F51" s="29">
        <v>2227</v>
      </c>
      <c r="G51" s="88">
        <v>76519.72</v>
      </c>
      <c r="H51" s="30" t="s">
        <v>53</v>
      </c>
      <c r="I51" s="95">
        <v>10</v>
      </c>
      <c r="J51" s="13">
        <v>3000</v>
      </c>
      <c r="K51" s="12">
        <f t="shared" si="0"/>
        <v>300</v>
      </c>
      <c r="L51" s="95">
        <v>10</v>
      </c>
      <c r="M51" s="13">
        <f t="shared" si="32"/>
        <v>2904.782608695652</v>
      </c>
      <c r="N51" s="12">
        <f t="shared" si="2"/>
        <v>290.47826086956519</v>
      </c>
      <c r="O51" s="14">
        <f t="shared" si="3"/>
        <v>0</v>
      </c>
      <c r="P51" s="15">
        <f t="shared" si="4"/>
        <v>-9.5217391304348098</v>
      </c>
      <c r="Q51" s="91">
        <f t="shared" si="5"/>
        <v>0.96826086956521729</v>
      </c>
      <c r="R51" s="177"/>
      <c r="S51" s="21">
        <v>0.2416666666666667</v>
      </c>
      <c r="T51" s="21">
        <v>0.27361111111111114</v>
      </c>
      <c r="U51" s="88">
        <f t="shared" ref="U51:U55" si="35">(S51-T50)*24*60</f>
        <v>6.0000000000000187</v>
      </c>
      <c r="V51" s="30">
        <f t="shared" si="33"/>
        <v>46</v>
      </c>
      <c r="W51" s="88"/>
      <c r="X51" s="88"/>
      <c r="Y51" s="88"/>
      <c r="Z51" s="88"/>
      <c r="AA51" s="168"/>
      <c r="AB51" s="168"/>
      <c r="AC51" s="18"/>
      <c r="AD51" s="18"/>
      <c r="AE51" s="14">
        <f t="shared" si="34"/>
        <v>-95.217391304347984</v>
      </c>
      <c r="AF51" s="91">
        <f t="shared" si="8"/>
        <v>0.96826086956521729</v>
      </c>
      <c r="AG51" s="177"/>
    </row>
    <row r="52" spans="1:33" ht="15.75" customHeight="1">
      <c r="A52" s="179" t="s">
        <v>1141</v>
      </c>
      <c r="B52" s="88" t="s">
        <v>33</v>
      </c>
      <c r="C52" s="169" t="s">
        <v>48</v>
      </c>
      <c r="D52" s="169"/>
      <c r="E52" s="28">
        <v>35.119999999999997</v>
      </c>
      <c r="F52" s="29">
        <v>5166</v>
      </c>
      <c r="G52" s="88">
        <v>181429.91999999998</v>
      </c>
      <c r="H52" s="30" t="s">
        <v>53</v>
      </c>
      <c r="I52" s="95">
        <v>10</v>
      </c>
      <c r="J52" s="13">
        <v>3000</v>
      </c>
      <c r="K52" s="12">
        <f t="shared" si="0"/>
        <v>300</v>
      </c>
      <c r="L52" s="95">
        <v>10</v>
      </c>
      <c r="M52" s="13">
        <f t="shared" si="32"/>
        <v>2869.9999999999995</v>
      </c>
      <c r="N52" s="12">
        <f t="shared" si="2"/>
        <v>286.99999999999994</v>
      </c>
      <c r="O52" s="14">
        <f t="shared" si="3"/>
        <v>0</v>
      </c>
      <c r="P52" s="15">
        <f t="shared" si="4"/>
        <v>-13.000000000000057</v>
      </c>
      <c r="Q52" s="91">
        <f t="shared" si="5"/>
        <v>0.95666666666666644</v>
      </c>
      <c r="R52" s="177"/>
      <c r="S52" s="21">
        <v>0.27777777777777779</v>
      </c>
      <c r="T52" s="21">
        <v>0.3527777777777778</v>
      </c>
      <c r="U52" s="88">
        <f t="shared" si="35"/>
        <v>5.9999999999999787</v>
      </c>
      <c r="V52" s="30">
        <f t="shared" si="33"/>
        <v>108.00000000000001</v>
      </c>
      <c r="W52" s="88"/>
      <c r="X52" s="88"/>
      <c r="Y52" s="88"/>
      <c r="Z52" s="88"/>
      <c r="AA52" s="168"/>
      <c r="AB52" s="168"/>
      <c r="AC52" s="18"/>
      <c r="AD52" s="18"/>
      <c r="AE52" s="14">
        <f t="shared" si="34"/>
        <v>-130.00000000000045</v>
      </c>
      <c r="AF52" s="91">
        <f t="shared" si="8"/>
        <v>0.95666666666666655</v>
      </c>
      <c r="AG52" s="177"/>
    </row>
    <row r="53" spans="1:33" ht="15.75" customHeight="1">
      <c r="A53" s="179" t="s">
        <v>1141</v>
      </c>
      <c r="B53" s="88" t="s">
        <v>33</v>
      </c>
      <c r="C53" s="169" t="s">
        <v>34</v>
      </c>
      <c r="D53" s="169"/>
      <c r="E53" s="28">
        <v>34.36</v>
      </c>
      <c r="F53" s="29">
        <v>1452</v>
      </c>
      <c r="G53" s="88">
        <v>49890.720000000001</v>
      </c>
      <c r="H53" s="30" t="s">
        <v>53</v>
      </c>
      <c r="I53" s="95">
        <v>10</v>
      </c>
      <c r="J53" s="13">
        <v>3000</v>
      </c>
      <c r="K53" s="12">
        <f t="shared" si="0"/>
        <v>300</v>
      </c>
      <c r="L53" s="95">
        <v>10</v>
      </c>
      <c r="M53" s="13">
        <f t="shared" si="32"/>
        <v>2904.0000000000027</v>
      </c>
      <c r="N53" s="12">
        <f t="shared" si="2"/>
        <v>290.40000000000026</v>
      </c>
      <c r="O53" s="14">
        <f t="shared" si="3"/>
        <v>0</v>
      </c>
      <c r="P53" s="15">
        <f t="shared" si="4"/>
        <v>-9.5999999999997385</v>
      </c>
      <c r="Q53" s="91">
        <f t="shared" si="5"/>
        <v>0.96800000000000086</v>
      </c>
      <c r="R53" s="177"/>
      <c r="S53" s="21">
        <v>0.35694444444444445</v>
      </c>
      <c r="T53" s="21">
        <v>0.37777777777777777</v>
      </c>
      <c r="U53" s="88">
        <f t="shared" si="35"/>
        <v>5.9999999999999787</v>
      </c>
      <c r="V53" s="30">
        <f t="shared" si="33"/>
        <v>29.999999999999972</v>
      </c>
      <c r="W53" s="88"/>
      <c r="X53" s="88"/>
      <c r="Y53" s="88"/>
      <c r="Z53" s="88"/>
      <c r="AA53" s="168"/>
      <c r="AB53" s="168"/>
      <c r="AC53" s="18"/>
      <c r="AD53" s="18"/>
      <c r="AE53" s="14">
        <f t="shared" si="34"/>
        <v>-95.999999999997272</v>
      </c>
      <c r="AF53" s="91">
        <f t="shared" si="8"/>
        <v>0.96800000000000086</v>
      </c>
      <c r="AG53" s="177"/>
    </row>
    <row r="54" spans="1:33">
      <c r="A54" s="180" t="s">
        <v>1141</v>
      </c>
      <c r="B54" s="88" t="s">
        <v>33</v>
      </c>
      <c r="C54" s="169" t="s">
        <v>35</v>
      </c>
      <c r="D54" s="169"/>
      <c r="E54" s="28">
        <v>26.78</v>
      </c>
      <c r="F54" s="29">
        <v>2409</v>
      </c>
      <c r="G54" s="88">
        <v>64513.020000000004</v>
      </c>
      <c r="H54" s="30" t="s">
        <v>53</v>
      </c>
      <c r="I54" s="95">
        <v>10</v>
      </c>
      <c r="J54" s="13">
        <v>3000</v>
      </c>
      <c r="K54" s="12">
        <f t="shared" si="0"/>
        <v>300</v>
      </c>
      <c r="L54" s="95">
        <v>10</v>
      </c>
      <c r="M54" s="13">
        <f t="shared" si="32"/>
        <v>2890.8000000000006</v>
      </c>
      <c r="N54" s="12">
        <f t="shared" si="2"/>
        <v>289.08000000000004</v>
      </c>
      <c r="O54" s="14">
        <f t="shared" si="3"/>
        <v>0</v>
      </c>
      <c r="P54" s="15">
        <f t="shared" si="4"/>
        <v>-10.919999999999959</v>
      </c>
      <c r="Q54" s="91">
        <f t="shared" si="5"/>
        <v>0.96360000000000012</v>
      </c>
      <c r="R54" s="177"/>
      <c r="S54" s="21">
        <v>0.38124999999999998</v>
      </c>
      <c r="T54" s="21">
        <v>0.41597222222222219</v>
      </c>
      <c r="U54" s="88">
        <f t="shared" si="35"/>
        <v>4.9999999999999822</v>
      </c>
      <c r="V54" s="30">
        <f t="shared" si="33"/>
        <v>49.999999999999986</v>
      </c>
      <c r="W54" s="16"/>
      <c r="X54" s="16"/>
      <c r="Y54" s="16"/>
      <c r="Z54" s="16"/>
      <c r="AA54" s="168"/>
      <c r="AB54" s="168"/>
      <c r="AC54" s="18"/>
      <c r="AD54" s="18"/>
      <c r="AE54" s="14">
        <f t="shared" si="34"/>
        <v>-109.19999999999936</v>
      </c>
      <c r="AF54" s="91">
        <f t="shared" si="8"/>
        <v>0.96360000000000023</v>
      </c>
      <c r="AG54" s="177"/>
    </row>
    <row r="55" spans="1:33" ht="15" customHeight="1">
      <c r="A55" s="180" t="s">
        <v>1141</v>
      </c>
      <c r="B55" s="88" t="s">
        <v>33</v>
      </c>
      <c r="C55" s="170" t="s">
        <v>71</v>
      </c>
      <c r="D55" s="171"/>
      <c r="E55" s="28">
        <v>28.3</v>
      </c>
      <c r="F55" s="29">
        <v>1531</v>
      </c>
      <c r="G55" s="88">
        <v>43327.3</v>
      </c>
      <c r="H55" s="30" t="s">
        <v>53</v>
      </c>
      <c r="I55" s="95">
        <v>8</v>
      </c>
      <c r="J55" s="13">
        <v>3000</v>
      </c>
      <c r="K55" s="12">
        <f t="shared" si="0"/>
        <v>375</v>
      </c>
      <c r="L55" s="95">
        <v>8</v>
      </c>
      <c r="M55" s="13">
        <f t="shared" si="32"/>
        <v>2870.6250000000032</v>
      </c>
      <c r="N55" s="12">
        <f t="shared" si="2"/>
        <v>358.8281250000004</v>
      </c>
      <c r="O55" s="14">
        <f t="shared" si="3"/>
        <v>0</v>
      </c>
      <c r="P55" s="15">
        <f t="shared" si="4"/>
        <v>-16.171874999999602</v>
      </c>
      <c r="Q55" s="91">
        <f t="shared" si="5"/>
        <v>0.95687500000000103</v>
      </c>
      <c r="R55" s="177"/>
      <c r="S55" s="21">
        <v>0.42152777777777772</v>
      </c>
      <c r="T55" s="21">
        <v>0.44374999999999992</v>
      </c>
      <c r="U55" s="88">
        <f t="shared" si="35"/>
        <v>7.9999999999999716</v>
      </c>
      <c r="V55" s="30">
        <f t="shared" si="33"/>
        <v>31.999999999999964</v>
      </c>
      <c r="W55" s="88"/>
      <c r="X55" s="88"/>
      <c r="Y55" s="98"/>
      <c r="Z55" s="98"/>
      <c r="AA55" s="172"/>
      <c r="AB55" s="173"/>
      <c r="AC55" s="18"/>
      <c r="AD55" s="18"/>
      <c r="AE55" s="14">
        <f t="shared" si="34"/>
        <v>-129.37499999999682</v>
      </c>
      <c r="AF55" s="91">
        <f t="shared" si="8"/>
        <v>0.95687500000000103</v>
      </c>
      <c r="AG55" s="177"/>
    </row>
    <row r="56" spans="1:33">
      <c r="A56" s="180" t="s">
        <v>1141</v>
      </c>
      <c r="B56" s="28" t="s">
        <v>1139</v>
      </c>
      <c r="C56" s="178"/>
      <c r="D56" s="178"/>
      <c r="E56" s="92"/>
      <c r="F56" s="12"/>
      <c r="G56" s="12"/>
      <c r="H56" s="88"/>
      <c r="I56" s="23">
        <v>10</v>
      </c>
      <c r="J56" s="13">
        <v>2833.3333333333335</v>
      </c>
      <c r="K56" s="12">
        <f t="shared" si="0"/>
        <v>283.33333333333337</v>
      </c>
      <c r="L56" s="23">
        <v>10</v>
      </c>
      <c r="M56" s="13">
        <f>AVERAGE(M50:M55)</f>
        <v>2724.3203157349903</v>
      </c>
      <c r="N56" s="12">
        <f t="shared" si="2"/>
        <v>272.43203157349905</v>
      </c>
      <c r="O56" s="14">
        <f t="shared" si="3"/>
        <v>0</v>
      </c>
      <c r="P56" s="15">
        <f t="shared" si="4"/>
        <v>-10.901301759834325</v>
      </c>
      <c r="Q56" s="91">
        <f t="shared" si="5"/>
        <v>0.96152481731823181</v>
      </c>
      <c r="R56" s="177"/>
      <c r="S56" s="21"/>
      <c r="T56" s="21"/>
      <c r="U56" s="12"/>
      <c r="V56" s="30"/>
      <c r="W56" s="12"/>
      <c r="X56" s="12"/>
      <c r="Y56" s="24">
        <f>SUM(Y50:Y55)</f>
        <v>0</v>
      </c>
      <c r="Z56" s="24">
        <f>SUM(Z50:Z55)</f>
        <v>0</v>
      </c>
      <c r="AA56" s="167"/>
      <c r="AB56" s="167"/>
      <c r="AC56" s="24">
        <v>6</v>
      </c>
      <c r="AD56" s="24">
        <f>SUM(AD50:AD55)</f>
        <v>0</v>
      </c>
      <c r="AE56" s="14">
        <f t="shared" si="34"/>
        <v>-109.01301759834314</v>
      </c>
      <c r="AF56" s="91">
        <f t="shared" si="8"/>
        <v>0.96152481731823181</v>
      </c>
      <c r="AG56" s="177"/>
    </row>
    <row r="57" spans="1:33" ht="15.75" customHeight="1">
      <c r="A57" s="174" t="s">
        <v>1142</v>
      </c>
      <c r="B57" s="88" t="s">
        <v>22</v>
      </c>
      <c r="C57" s="169" t="s">
        <v>49</v>
      </c>
      <c r="D57" s="169"/>
      <c r="E57" s="28">
        <v>20.2</v>
      </c>
      <c r="F57" s="88">
        <v>1669</v>
      </c>
      <c r="G57" s="88">
        <v>33713.799999999996</v>
      </c>
      <c r="H57" s="30" t="s">
        <v>53</v>
      </c>
      <c r="I57" s="95">
        <v>15</v>
      </c>
      <c r="J57" s="13">
        <v>2400</v>
      </c>
      <c r="K57" s="12">
        <f t="shared" si="0"/>
        <v>160</v>
      </c>
      <c r="L57" s="95">
        <v>15</v>
      </c>
      <c r="M57" s="13">
        <f t="shared" ref="M57:M61" si="36">F57/V57*60</f>
        <v>2328.8372093023249</v>
      </c>
      <c r="N57" s="12">
        <f t="shared" si="2"/>
        <v>155.25581395348834</v>
      </c>
      <c r="O57" s="14">
        <f t="shared" si="3"/>
        <v>0</v>
      </c>
      <c r="P57" s="15">
        <f t="shared" si="4"/>
        <v>-4.7441860465116577</v>
      </c>
      <c r="Q57" s="91">
        <f t="shared" si="5"/>
        <v>0.9703488372093021</v>
      </c>
      <c r="R57" s="177">
        <f>Q62</f>
        <v>0.95737477648565905</v>
      </c>
      <c r="S57" s="21">
        <v>8.3333333333333329E-2</v>
      </c>
      <c r="T57" s="21">
        <v>0.11319444444444444</v>
      </c>
      <c r="U57" s="21"/>
      <c r="V57" s="30">
        <f t="shared" ref="V57:V61" si="37">(T57-S57)*24*60</f>
        <v>43.000000000000007</v>
      </c>
      <c r="W57" s="16">
        <f>T57</f>
        <v>0.11319444444444444</v>
      </c>
      <c r="X57" s="16">
        <f>S58</f>
        <v>0.13194444444444445</v>
      </c>
      <c r="Y57" s="16"/>
      <c r="Z57" s="16"/>
      <c r="AA57" s="168"/>
      <c r="AB57" s="168"/>
      <c r="AC57" s="18">
        <v>5</v>
      </c>
      <c r="AD57" s="18"/>
      <c r="AE57" s="14">
        <f t="shared" si="34"/>
        <v>-71.162790697675064</v>
      </c>
      <c r="AF57" s="91">
        <f t="shared" si="8"/>
        <v>0.9703488372093021</v>
      </c>
      <c r="AG57" s="177">
        <f>AF62</f>
        <v>0.95737477648565894</v>
      </c>
    </row>
    <row r="58" spans="1:33" ht="15.75" customHeight="1">
      <c r="A58" s="175" t="s">
        <v>1142</v>
      </c>
      <c r="B58" s="88" t="s">
        <v>22</v>
      </c>
      <c r="C58" s="169" t="s">
        <v>50</v>
      </c>
      <c r="D58" s="169"/>
      <c r="E58" s="28">
        <v>24.45</v>
      </c>
      <c r="F58" s="88">
        <v>2188</v>
      </c>
      <c r="G58" s="88">
        <v>53496.6</v>
      </c>
      <c r="H58" s="30" t="s">
        <v>53</v>
      </c>
      <c r="I58" s="95">
        <v>19</v>
      </c>
      <c r="J58" s="13">
        <v>2400</v>
      </c>
      <c r="K58" s="12">
        <f t="shared" si="0"/>
        <v>126.31578947368421</v>
      </c>
      <c r="L58" s="95">
        <v>19</v>
      </c>
      <c r="M58" s="13">
        <f t="shared" si="36"/>
        <v>2303.1578947368421</v>
      </c>
      <c r="N58" s="12">
        <f t="shared" si="2"/>
        <v>121.21883656509695</v>
      </c>
      <c r="O58" s="14">
        <f t="shared" si="3"/>
        <v>0</v>
      </c>
      <c r="P58" s="15">
        <f t="shared" si="4"/>
        <v>-5.0969529085872551</v>
      </c>
      <c r="Q58" s="91">
        <f t="shared" si="5"/>
        <v>0.95964912280701753</v>
      </c>
      <c r="R58" s="177"/>
      <c r="S58" s="21">
        <v>0.13194444444444445</v>
      </c>
      <c r="T58" s="21">
        <v>0.17152777777777778</v>
      </c>
      <c r="U58" s="88">
        <f t="shared" ref="U58:U61" si="38">(S58-T57)*24*60</f>
        <v>27.000000000000004</v>
      </c>
      <c r="V58" s="30">
        <f t="shared" si="37"/>
        <v>57</v>
      </c>
      <c r="W58" s="16"/>
      <c r="X58" s="16"/>
      <c r="Y58" s="16"/>
      <c r="Z58" s="16"/>
      <c r="AA58" s="168"/>
      <c r="AB58" s="168"/>
      <c r="AC58" s="18"/>
      <c r="AD58" s="18"/>
      <c r="AE58" s="14">
        <f t="shared" si="34"/>
        <v>-96.842105263157919</v>
      </c>
      <c r="AF58" s="91">
        <f t="shared" si="8"/>
        <v>0.95964912280701753</v>
      </c>
      <c r="AG58" s="177"/>
    </row>
    <row r="59" spans="1:33" ht="15.75" customHeight="1">
      <c r="A59" s="175" t="s">
        <v>1142</v>
      </c>
      <c r="B59" s="88" t="s">
        <v>22</v>
      </c>
      <c r="C59" s="169" t="s">
        <v>31</v>
      </c>
      <c r="D59" s="169"/>
      <c r="E59" s="28">
        <v>20.21</v>
      </c>
      <c r="F59" s="88">
        <v>2361</v>
      </c>
      <c r="G59" s="88">
        <v>47715.810000000005</v>
      </c>
      <c r="H59" s="30" t="s">
        <v>53</v>
      </c>
      <c r="I59" s="95">
        <v>15</v>
      </c>
      <c r="J59" s="13">
        <v>2400</v>
      </c>
      <c r="K59" s="12">
        <f t="shared" si="0"/>
        <v>160</v>
      </c>
      <c r="L59" s="95">
        <v>15</v>
      </c>
      <c r="M59" s="13">
        <f t="shared" si="36"/>
        <v>2284.8387096774186</v>
      </c>
      <c r="N59" s="12">
        <f t="shared" si="2"/>
        <v>152.32258064516125</v>
      </c>
      <c r="O59" s="14">
        <f t="shared" si="3"/>
        <v>0</v>
      </c>
      <c r="P59" s="15">
        <f t="shared" si="4"/>
        <v>-7.6774193548387473</v>
      </c>
      <c r="Q59" s="91">
        <f t="shared" si="5"/>
        <v>0.95201612903225785</v>
      </c>
      <c r="R59" s="177"/>
      <c r="S59" s="21">
        <v>0.17569444444444446</v>
      </c>
      <c r="T59" s="21">
        <v>0.21875000000000003</v>
      </c>
      <c r="U59" s="88">
        <f t="shared" si="38"/>
        <v>6.0000000000000187</v>
      </c>
      <c r="V59" s="30">
        <f t="shared" si="37"/>
        <v>62.000000000000021</v>
      </c>
      <c r="W59" s="16"/>
      <c r="X59" s="16"/>
      <c r="Y59" s="16"/>
      <c r="Z59" s="16"/>
      <c r="AA59" s="168"/>
      <c r="AB59" s="168"/>
      <c r="AC59" s="18"/>
      <c r="AD59" s="18"/>
      <c r="AE59" s="14">
        <f t="shared" si="34"/>
        <v>-115.16129032258141</v>
      </c>
      <c r="AF59" s="91">
        <f t="shared" si="8"/>
        <v>0.95201612903225774</v>
      </c>
      <c r="AG59" s="177"/>
    </row>
    <row r="60" spans="1:33" ht="15.75" customHeight="1">
      <c r="A60" s="175" t="s">
        <v>1142</v>
      </c>
      <c r="B60" s="88" t="s">
        <v>22</v>
      </c>
      <c r="C60" s="169" t="s">
        <v>51</v>
      </c>
      <c r="D60" s="169"/>
      <c r="E60" s="28">
        <v>24.43</v>
      </c>
      <c r="F60" s="88">
        <v>5824</v>
      </c>
      <c r="G60" s="88">
        <v>142280.32000000001</v>
      </c>
      <c r="H60" s="30" t="s">
        <v>53</v>
      </c>
      <c r="I60" s="95">
        <v>14</v>
      </c>
      <c r="J60" s="13">
        <v>2400</v>
      </c>
      <c r="K60" s="12">
        <f t="shared" si="0"/>
        <v>171.42857142857142</v>
      </c>
      <c r="L60" s="95">
        <v>14</v>
      </c>
      <c r="M60" s="13">
        <f t="shared" si="36"/>
        <v>2283.9215686274511</v>
      </c>
      <c r="N60" s="12">
        <f t="shared" si="2"/>
        <v>163.1372549019608</v>
      </c>
      <c r="O60" s="14">
        <f t="shared" si="3"/>
        <v>0</v>
      </c>
      <c r="P60" s="15">
        <f t="shared" si="4"/>
        <v>-8.2913165266106148</v>
      </c>
      <c r="Q60" s="91">
        <f t="shared" si="5"/>
        <v>0.95163398692810475</v>
      </c>
      <c r="R60" s="177"/>
      <c r="S60" s="21">
        <v>0.22222222222222224</v>
      </c>
      <c r="T60" s="21">
        <v>0.32847222222222222</v>
      </c>
      <c r="U60" s="88">
        <f t="shared" si="38"/>
        <v>4.9999999999999822</v>
      </c>
      <c r="V60" s="30">
        <f t="shared" si="37"/>
        <v>153</v>
      </c>
      <c r="W60" s="16"/>
      <c r="X60" s="16"/>
      <c r="Y60" s="16"/>
      <c r="Z60" s="16"/>
      <c r="AA60" s="168"/>
      <c r="AB60" s="168"/>
      <c r="AC60" s="18"/>
      <c r="AD60" s="18"/>
      <c r="AE60" s="14">
        <f t="shared" si="34"/>
        <v>-116.07843137254895</v>
      </c>
      <c r="AF60" s="91">
        <f t="shared" si="8"/>
        <v>0.95163398692810464</v>
      </c>
      <c r="AG60" s="177"/>
    </row>
    <row r="61" spans="1:33" ht="15.75" customHeight="1">
      <c r="A61" s="175" t="s">
        <v>1142</v>
      </c>
      <c r="B61" s="88" t="s">
        <v>22</v>
      </c>
      <c r="C61" s="169" t="s">
        <v>52</v>
      </c>
      <c r="D61" s="169"/>
      <c r="E61" s="28">
        <v>19.02</v>
      </c>
      <c r="F61" s="88">
        <v>8274</v>
      </c>
      <c r="G61" s="88">
        <v>157371.48000000001</v>
      </c>
      <c r="H61" s="30" t="s">
        <v>53</v>
      </c>
      <c r="I61" s="95">
        <v>14</v>
      </c>
      <c r="J61" s="13">
        <v>2400</v>
      </c>
      <c r="K61" s="12">
        <f t="shared" si="0"/>
        <v>171.42857142857142</v>
      </c>
      <c r="L61" s="95">
        <v>14</v>
      </c>
      <c r="M61" s="13">
        <f t="shared" si="36"/>
        <v>2287.7419354838717</v>
      </c>
      <c r="N61" s="12">
        <f t="shared" si="2"/>
        <v>163.41013824884797</v>
      </c>
      <c r="O61" s="14">
        <f t="shared" si="3"/>
        <v>0</v>
      </c>
      <c r="P61" s="15">
        <f t="shared" si="4"/>
        <v>-8.0184331797234449</v>
      </c>
      <c r="Q61" s="91">
        <f t="shared" si="5"/>
        <v>0.95322580645161326</v>
      </c>
      <c r="R61" s="177"/>
      <c r="S61" s="21">
        <v>0.33263888888888887</v>
      </c>
      <c r="T61" s="21">
        <v>0.48333333333333328</v>
      </c>
      <c r="U61" s="88">
        <f t="shared" si="38"/>
        <v>5.9999999999999787</v>
      </c>
      <c r="V61" s="30">
        <f t="shared" si="37"/>
        <v>216.99999999999994</v>
      </c>
      <c r="W61" s="16"/>
      <c r="X61" s="16"/>
      <c r="Y61" s="16"/>
      <c r="Z61" s="16"/>
      <c r="AA61" s="168"/>
      <c r="AB61" s="168"/>
      <c r="AC61" s="18"/>
      <c r="AD61" s="18"/>
      <c r="AE61" s="14">
        <f t="shared" si="34"/>
        <v>-112.25806451612834</v>
      </c>
      <c r="AF61" s="91">
        <f t="shared" si="8"/>
        <v>0.95322580645161314</v>
      </c>
      <c r="AG61" s="177"/>
    </row>
    <row r="62" spans="1:33" ht="16.5" customHeight="1">
      <c r="A62" s="176" t="s">
        <v>1142</v>
      </c>
      <c r="B62" s="28" t="s">
        <v>1139</v>
      </c>
      <c r="C62" s="165"/>
      <c r="D62" s="166"/>
      <c r="E62" s="92"/>
      <c r="F62" s="12"/>
      <c r="G62" s="12"/>
      <c r="H62" s="88"/>
      <c r="I62" s="23">
        <v>15.4</v>
      </c>
      <c r="J62" s="13">
        <v>2400</v>
      </c>
      <c r="K62" s="12">
        <f t="shared" si="0"/>
        <v>155.84415584415584</v>
      </c>
      <c r="L62" s="23">
        <v>15.4</v>
      </c>
      <c r="M62" s="13">
        <f>AVERAGE(M57:M61)</f>
        <v>2297.6994635655815</v>
      </c>
      <c r="N62" s="12">
        <f t="shared" si="2"/>
        <v>149.20126386789491</v>
      </c>
      <c r="O62" s="14">
        <f t="shared" si="3"/>
        <v>0</v>
      </c>
      <c r="P62" s="15">
        <f t="shared" si="4"/>
        <v>-6.6428919762609269</v>
      </c>
      <c r="Q62" s="91">
        <f t="shared" si="5"/>
        <v>0.95737477648565905</v>
      </c>
      <c r="R62" s="177"/>
      <c r="S62" s="21"/>
      <c r="T62" s="21"/>
      <c r="U62" s="12"/>
      <c r="V62" s="30"/>
      <c r="W62" s="12"/>
      <c r="X62" s="12"/>
      <c r="Y62" s="24">
        <f>SUM(Y57:Y61)</f>
        <v>0</v>
      </c>
      <c r="Z62" s="24">
        <f>SUM(Z57:Z61)</f>
        <v>0</v>
      </c>
      <c r="AA62" s="167"/>
      <c r="AB62" s="167"/>
      <c r="AC62" s="24">
        <v>5</v>
      </c>
      <c r="AD62" s="24">
        <f>SUM(AD57:AD61)</f>
        <v>0</v>
      </c>
      <c r="AE62" s="14">
        <f t="shared" si="34"/>
        <v>-102.30053643441852</v>
      </c>
      <c r="AF62" s="91">
        <f t="shared" si="8"/>
        <v>0.95737477648565894</v>
      </c>
      <c r="AG62" s="177"/>
    </row>
    <row r="63" spans="1:33">
      <c r="D63" s="87"/>
      <c r="E63" s="87"/>
    </row>
  </sheetData>
  <mergeCells count="177">
    <mergeCell ref="AA60:AB60"/>
    <mergeCell ref="C61:D61"/>
    <mergeCell ref="AA61:AB61"/>
    <mergeCell ref="A57:A62"/>
    <mergeCell ref="C57:D57"/>
    <mergeCell ref="R57:R62"/>
    <mergeCell ref="AA57:AB57"/>
    <mergeCell ref="AG57:AG62"/>
    <mergeCell ref="C58:D58"/>
    <mergeCell ref="AA58:AB58"/>
    <mergeCell ref="C59:D59"/>
    <mergeCell ref="AA59:AB59"/>
    <mergeCell ref="C60:D60"/>
    <mergeCell ref="C62:D62"/>
    <mergeCell ref="AA62:AB62"/>
    <mergeCell ref="A50:A56"/>
    <mergeCell ref="C50:D50"/>
    <mergeCell ref="R50:R56"/>
    <mergeCell ref="AA50:AB50"/>
    <mergeCell ref="AG50:AG56"/>
    <mergeCell ref="C51:D51"/>
    <mergeCell ref="AA51:AB51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AA56:AB56"/>
    <mergeCell ref="AG43:AG49"/>
    <mergeCell ref="C44:D44"/>
    <mergeCell ref="AA44:AB44"/>
    <mergeCell ref="C45:D45"/>
    <mergeCell ref="AA45:AB45"/>
    <mergeCell ref="AA46:AB46"/>
    <mergeCell ref="AA47:AB47"/>
    <mergeCell ref="C48:D48"/>
    <mergeCell ref="AA48:AB48"/>
    <mergeCell ref="C49:D49"/>
    <mergeCell ref="A43:A49"/>
    <mergeCell ref="C43:D43"/>
    <mergeCell ref="R43:R49"/>
    <mergeCell ref="AA43:AB43"/>
    <mergeCell ref="AA49:AB49"/>
    <mergeCell ref="A37:A42"/>
    <mergeCell ref="C37:D37"/>
    <mergeCell ref="R37:R42"/>
    <mergeCell ref="AA37:AB37"/>
    <mergeCell ref="AG37:AG42"/>
    <mergeCell ref="C38:D38"/>
    <mergeCell ref="AA38:AB38"/>
    <mergeCell ref="C39:D39"/>
    <mergeCell ref="AA39:AB39"/>
    <mergeCell ref="C40:D40"/>
    <mergeCell ref="AG31:AG36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40:AB40"/>
    <mergeCell ref="C41:D41"/>
    <mergeCell ref="AA41:AB41"/>
    <mergeCell ref="C42:D42"/>
    <mergeCell ref="AA42:AB42"/>
    <mergeCell ref="A31:A36"/>
    <mergeCell ref="C31:D31"/>
    <mergeCell ref="R31:R36"/>
    <mergeCell ref="AA31:AB31"/>
    <mergeCell ref="AA36:AB36"/>
    <mergeCell ref="A25:A30"/>
    <mergeCell ref="C25:D25"/>
    <mergeCell ref="R25:R30"/>
    <mergeCell ref="AA25:AB25"/>
    <mergeCell ref="AG25:AG30"/>
    <mergeCell ref="C26:D26"/>
    <mergeCell ref="AA26:AB26"/>
    <mergeCell ref="C27:D27"/>
    <mergeCell ref="AA27:AB27"/>
    <mergeCell ref="C28:D28"/>
    <mergeCell ref="AG18:AG24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A28:AB28"/>
    <mergeCell ref="C29:D29"/>
    <mergeCell ref="AA29:AB29"/>
    <mergeCell ref="C30:D30"/>
    <mergeCell ref="AA30:AB30"/>
    <mergeCell ref="A18:A24"/>
    <mergeCell ref="C18:D18"/>
    <mergeCell ref="R18:R24"/>
    <mergeCell ref="AA18:AB18"/>
    <mergeCell ref="AA23:AB23"/>
    <mergeCell ref="C24:D24"/>
    <mergeCell ref="AA24:AB24"/>
    <mergeCell ref="A13:A17"/>
    <mergeCell ref="C13:D13"/>
    <mergeCell ref="R13:R17"/>
    <mergeCell ref="AA13:AB13"/>
    <mergeCell ref="AG13:AG17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:O62">
    <cfRule type="cellIs" dxfId="86" priority="9" operator="greaterThan">
      <formula>0</formula>
    </cfRule>
  </conditionalFormatting>
  <conditionalFormatting sqref="P5:P62">
    <cfRule type="cellIs" dxfId="85" priority="1" operator="lessThan">
      <formula>0</formula>
    </cfRule>
  </conditionalFormatting>
  <conditionalFormatting sqref="Q5:Q62 AF5:AF62">
    <cfRule type="cellIs" dxfId="84" priority="10" operator="greaterThan">
      <formula>1</formula>
    </cfRule>
    <cfRule type="cellIs" dxfId="83" priority="11" operator="lessThan">
      <formula>0.8</formula>
    </cfRule>
  </conditionalFormatting>
  <conditionalFormatting sqref="R5:R9 AG5:AG9">
    <cfRule type="cellIs" dxfId="82" priority="37" operator="lessThan">
      <formula>0.8</formula>
    </cfRule>
  </conditionalFormatting>
  <conditionalFormatting sqref="AE5:AE62">
    <cfRule type="cellIs" dxfId="81" priority="12" operator="lessThan">
      <formula>0</formula>
    </cfRule>
  </conditionalFormatting>
  <conditionalFormatting sqref="AG13:AG53 R13:R62">
    <cfRule type="cellIs" dxfId="80" priority="13" operator="lessThan">
      <formula>0.8</formula>
    </cfRule>
  </conditionalFormatting>
  <dataValidations count="1">
    <dataValidation type="list" allowBlank="1" showInputMessage="1" showErrorMessage="1" sqref="AB8 AA5:AB7 AB54:AB55 AA8:AA55 AB10:AB50 AA56:AB62" xr:uid="{00000000-0002-0000-27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Q32"/>
  <sheetViews>
    <sheetView zoomScale="85" zoomScaleNormal="85" workbookViewId="0">
      <selection activeCell="N9" sqref="N9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965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966</v>
      </c>
      <c r="C3" s="154" t="str">
        <f>TEXT('0410 4度C'!A2,"yyyy.mm.ddaaaa")</f>
        <v>2026.04.10星期五</v>
      </c>
      <c r="D3" s="155"/>
      <c r="E3" s="33" t="s">
        <v>967</v>
      </c>
      <c r="F3" s="156">
        <f>'0410 4度C'!D1</f>
        <v>130827</v>
      </c>
      <c r="G3" s="157"/>
      <c r="H3" s="33" t="s">
        <v>968</v>
      </c>
      <c r="I3" s="158">
        <f>'0410 4度C'!F1</f>
        <v>4408157.1400000006</v>
      </c>
      <c r="J3" s="159"/>
      <c r="K3" s="34"/>
      <c r="L3" s="35"/>
      <c r="M3" s="35"/>
      <c r="N3" s="35"/>
    </row>
    <row r="4" spans="2:17" ht="28.5" customHeight="1">
      <c r="B4" s="160" t="s">
        <v>969</v>
      </c>
      <c r="C4" s="146" t="s">
        <v>970</v>
      </c>
      <c r="D4" s="147"/>
      <c r="E4" s="163" t="s">
        <v>971</v>
      </c>
      <c r="F4" s="164"/>
      <c r="G4" s="163" t="s">
        <v>972</v>
      </c>
      <c r="H4" s="164"/>
      <c r="I4" s="163" t="s">
        <v>973</v>
      </c>
      <c r="J4" s="164"/>
      <c r="K4" s="144" t="s">
        <v>84</v>
      </c>
      <c r="L4" s="145"/>
      <c r="M4" s="145" t="s">
        <v>974</v>
      </c>
      <c r="N4" s="145"/>
    </row>
    <row r="5" spans="2:17" ht="28.5" customHeight="1">
      <c r="B5" s="161"/>
      <c r="C5" s="146" t="s">
        <v>975</v>
      </c>
      <c r="D5" s="147"/>
      <c r="E5" s="146" t="s">
        <v>976</v>
      </c>
      <c r="F5" s="147"/>
      <c r="G5" s="148" t="s">
        <v>977</v>
      </c>
      <c r="H5" s="149"/>
      <c r="I5" s="150" t="s">
        <v>978</v>
      </c>
      <c r="J5" s="151"/>
      <c r="K5" s="36" t="s">
        <v>979</v>
      </c>
      <c r="L5" s="37" t="s">
        <v>980</v>
      </c>
      <c r="M5" s="36" t="s">
        <v>981</v>
      </c>
      <c r="N5" s="37" t="s">
        <v>982</v>
      </c>
    </row>
    <row r="6" spans="2:17" ht="28.5" customHeight="1">
      <c r="B6" s="161"/>
      <c r="C6" s="146" t="s">
        <v>54</v>
      </c>
      <c r="D6" s="147"/>
      <c r="E6" s="138">
        <f>AVERAGE(D13:M13)</f>
        <v>155.25600316816923</v>
      </c>
      <c r="F6" s="139">
        <f>AVERAGE(D31:O31,D13:J13)</f>
        <v>161.41677955217204</v>
      </c>
      <c r="G6" s="140">
        <f>AVERAGE(D13:J13)</f>
        <v>161.41677955217204</v>
      </c>
      <c r="H6" s="141"/>
      <c r="I6" s="140">
        <f>AVERAGE(K13:M13)</f>
        <v>140.88085827216261</v>
      </c>
      <c r="J6" s="141"/>
      <c r="K6" s="142">
        <f>'0410 4度C'!Y2</f>
        <v>0</v>
      </c>
      <c r="L6" s="127">
        <f>'0410 4度C'!Z2</f>
        <v>0</v>
      </c>
      <c r="M6" s="143">
        <f>'0410 4度C'!AC2</f>
        <v>47</v>
      </c>
      <c r="N6" s="127">
        <f>'0410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149.03815810211046</v>
      </c>
      <c r="F7" s="131">
        <f>AVERAGE(D32:O32,D14:J14)</f>
        <v>155.15981094798857</v>
      </c>
      <c r="G7" s="132">
        <f>AVERAGE(D14:J14)</f>
        <v>155.15981094798857</v>
      </c>
      <c r="H7" s="133"/>
      <c r="I7" s="132">
        <f>AVERAGE(K14:M14)</f>
        <v>134.7543014617282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0.95948884796121214</v>
      </c>
      <c r="F8" s="135">
        <f>AVERAGE(D15:J15,D33:O33)</f>
        <v>0.96077168072955643</v>
      </c>
      <c r="G8" s="136">
        <f>AVERAGE(D15:J15)</f>
        <v>0.96077168072955643</v>
      </c>
      <c r="H8" s="137"/>
      <c r="I8" s="136">
        <f>AVERAGE(K15:M15)</f>
        <v>0.95649557150174225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983</v>
      </c>
      <c r="N9" s="35"/>
      <c r="O9" s="35"/>
      <c r="P9" s="35"/>
      <c r="Q9" s="35"/>
    </row>
    <row r="10" spans="2:17" ht="30" customHeight="1">
      <c r="B10" s="110" t="s">
        <v>984</v>
      </c>
      <c r="C10" s="111"/>
      <c r="D10" s="112" t="s">
        <v>985</v>
      </c>
      <c r="E10" s="113"/>
      <c r="F10" s="113"/>
      <c r="G10" s="113"/>
      <c r="H10" s="113"/>
      <c r="I10" s="113"/>
      <c r="J10" s="114"/>
      <c r="K10" s="115" t="s">
        <v>986</v>
      </c>
      <c r="L10" s="116"/>
      <c r="M10" s="117"/>
      <c r="P10" s="41"/>
      <c r="Q10" s="41"/>
    </row>
    <row r="11" spans="2:17" ht="17.25" customHeight="1">
      <c r="B11" s="118" t="s">
        <v>987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97</v>
      </c>
      <c r="C13" s="48" t="s">
        <v>988</v>
      </c>
      <c r="D13" s="49">
        <f>SUMIFS('0410 4度C'!$K:$K,'0410 4度C'!$A:$A,"新豐6線",'0410 4度C'!$B:$B,"平均")</f>
        <v>117.64705882352941</v>
      </c>
      <c r="E13" s="50">
        <f>SUMIFS('0410 4度C'!$K:$K,'0410 4度C'!$A:$A,"新豐2線",'0410 4度C'!$B:$B,"平均")</f>
        <v>83.333333333333329</v>
      </c>
      <c r="F13" s="51">
        <f>SUMIFS('0410 4度C'!$K:$K,'0410 4度C'!$A:$A,"新豐5線",'0410 4度C'!$B:$B,"平均")</f>
        <v>97.402597402597408</v>
      </c>
      <c r="G13" s="51">
        <f>SUMIFS('0410 4度C'!$K:$K,'0410 4度C'!$A:$A,"新豐7線",'0410 4度C'!$B:$B,"平均")</f>
        <v>126.37362637362638</v>
      </c>
      <c r="H13" s="51">
        <f>SUMIFS('0410 4度C'!$K:$K,'0410 4度C'!$A:$A,"新豐3線",'0410 4度C'!$B:$B,"平均")</f>
        <v>319.14893617021278</v>
      </c>
      <c r="I13" s="51">
        <f>SUMIFS('0410 4度C'!$K:$K,'0410 4度C'!$A:$A,"新豐1線",'0410 4度C'!$B:$B,"平均")</f>
        <v>102.67857142857143</v>
      </c>
      <c r="J13" s="52">
        <f>SUMIFS('0410 4度C'!$K:$K,'0410 4度C'!$A:$A,"新豐10線",'0410 4度C'!$B:$B,"平均")</f>
        <v>283.33333333333337</v>
      </c>
      <c r="K13" s="53">
        <f>SUMIFS('0410 4度C'!$K:$K,'0410 4度C'!$A:$A,"新豐8線",'0410 4度C'!$B:$B,"平均")</f>
        <v>130.43478260869566</v>
      </c>
      <c r="L13" s="54">
        <f>SUMIFS('0410 4度C'!$K:$K,'0410 4度C'!$A:$A,"新豐9線",'0410 4度C'!$B:$B,"平均")</f>
        <v>136.36363636363635</v>
      </c>
      <c r="M13" s="52">
        <f>SUMIFS('0410 4度C'!$K:$K,'0410 4度C'!$A:$A,"新豐4線",'0410 4度C'!$B:$B,"平均")</f>
        <v>155.84415584415584</v>
      </c>
    </row>
    <row r="14" spans="2:17" ht="39.6" customHeight="1">
      <c r="B14" s="123"/>
      <c r="C14" s="55" t="s">
        <v>989</v>
      </c>
      <c r="D14" s="56">
        <f>SUMIFS('0410 4度C'!$N:$N,'0410 4度C'!$A:$A,"新豐6線",'0410 4度C'!$B:$B,"平均")</f>
        <v>112.94281045751632</v>
      </c>
      <c r="E14" s="57">
        <f>SUMIFS('0410 4度C'!$N:$N,'0410 4度C'!$A:$A,"新豐2線",'0410 4度C'!$B:$B,"平均")</f>
        <v>79.482167352537715</v>
      </c>
      <c r="F14" s="57">
        <f>SUMIFS('0410 4度C'!$N:$N,'0410 4度C'!$A:$A,"新豐5線",'0410 4度C'!$B:$B,"平均")</f>
        <v>93.494847543760486</v>
      </c>
      <c r="G14" s="57">
        <f>SUMIFS('0410 4度C'!$N:$N,'0410 4度C'!$A:$A,"新豐7線",'0410 4度C'!$B:$B,"平均")</f>
        <v>121.03128693751826</v>
      </c>
      <c r="H14" s="57">
        <f>SUMIFS('0410 4度C'!$N:$N,'0410 4度C'!$A:$A,"新豐3線",'0410 4度C'!$B:$B,"平均")</f>
        <v>305.56500594687458</v>
      </c>
      <c r="I14" s="57">
        <f>SUMIFS('0410 4度C'!$N:$N,'0410 4度C'!$A:$A,"新豐1線",'0410 4度C'!$B:$B,"平均")</f>
        <v>99.51518687145564</v>
      </c>
      <c r="J14" s="58">
        <f>SUMIFS('0410 4度C'!$N:$N,'0410 4度C'!$A:$A,"新豐10線",'0410 4度C'!$B:$B,"平均")</f>
        <v>274.08737152625707</v>
      </c>
      <c r="K14" s="59">
        <f>SUMIFS('0410 4度C'!$N:$N,'0410 4度C'!$A:$A,"新豐8線",'0410 4度C'!$B:$B,"平均")</f>
        <v>124.64511518230056</v>
      </c>
      <c r="L14" s="60">
        <f>SUMIFS('0410 4度C'!$N:$N,'0410 4度C'!$A:$A,"新豐9線",'0410 4度C'!$B:$B,"平均")</f>
        <v>130.5382007880911</v>
      </c>
      <c r="M14" s="58">
        <f>SUMIFS('0410 4度C'!$N:$N,'0410 4度C'!$A:$A,"新豐4線",'0410 4度C'!$B:$B,"平均")</f>
        <v>149.07958841479288</v>
      </c>
    </row>
    <row r="15" spans="2:17" ht="40.15" customHeight="1">
      <c r="B15" s="124"/>
      <c r="C15" s="61" t="s">
        <v>990</v>
      </c>
      <c r="D15" s="62">
        <f t="shared" ref="D15:M15" si="0">D14/D13</f>
        <v>0.96001388888888872</v>
      </c>
      <c r="E15" s="63">
        <f t="shared" si="0"/>
        <v>0.95378600823045268</v>
      </c>
      <c r="F15" s="63">
        <f t="shared" si="0"/>
        <v>0.95988043478260765</v>
      </c>
      <c r="G15" s="63">
        <f t="shared" si="0"/>
        <v>0.95772583576644876</v>
      </c>
      <c r="H15" s="63">
        <f t="shared" si="0"/>
        <v>0.95743701863354036</v>
      </c>
      <c r="I15" s="63">
        <f t="shared" si="0"/>
        <v>0.96919138518287229</v>
      </c>
      <c r="J15" s="64">
        <f t="shared" si="0"/>
        <v>0.96736719362208368</v>
      </c>
      <c r="K15" s="62">
        <f t="shared" si="0"/>
        <v>0.95561254973097087</v>
      </c>
      <c r="L15" s="63">
        <f t="shared" si="0"/>
        <v>0.95728013911266818</v>
      </c>
      <c r="M15" s="64">
        <f t="shared" si="0"/>
        <v>0.95659402566158769</v>
      </c>
    </row>
    <row r="16" spans="2:17" ht="17.25" customHeight="1">
      <c r="B16" s="125" t="s">
        <v>991</v>
      </c>
      <c r="C16" s="65" t="s">
        <v>992</v>
      </c>
      <c r="D16" s="66">
        <f>VLOOKUP("新豐6線",'0410 4度C'!$A:$T,19,0)</f>
        <v>0.70833333333333337</v>
      </c>
      <c r="E16" s="67">
        <f>VLOOKUP("新豐2線",'0410 4度C'!$A:$T,19,0)</f>
        <v>0.20833333333333334</v>
      </c>
      <c r="F16" s="67">
        <f>VLOOKUP("新豐5線",'0410 4度C'!$A:$T,19,0)</f>
        <v>0.20833333333333334</v>
      </c>
      <c r="G16" s="67">
        <f>VLOOKUP("新豐7線",'0410 4度C'!$A:$T,19,0)</f>
        <v>0.20833333333333334</v>
      </c>
      <c r="H16" s="67">
        <f>VLOOKUP("新豐3線",'0410 4度C'!$A:$T,19,0)</f>
        <v>8.3333333333333329E-2</v>
      </c>
      <c r="I16" s="67">
        <f>VLOOKUP("新豐1線",'0410 4度C'!$A:$T,19,0)</f>
        <v>0.20833333333333334</v>
      </c>
      <c r="J16" s="68">
        <f>VLOOKUP("新豐10線",'0410 4度C'!$A:$T,19,0)</f>
        <v>0.20833333333333334</v>
      </c>
      <c r="K16" s="69">
        <f>VLOOKUP("新豐8線",'0410 4度C'!$A:$T,19,0)</f>
        <v>8.3333333333333329E-2</v>
      </c>
      <c r="L16" s="70">
        <f>VLOOKUP("新豐9線",'0410 4度C'!$A:$T,19,0)</f>
        <v>8.3333333333333329E-2</v>
      </c>
      <c r="M16" s="71">
        <f>VLOOKUP("新豐4線",'0410 4度C'!$A:$T,19,0)</f>
        <v>8.3333333333333329E-2</v>
      </c>
    </row>
    <row r="17" spans="2:13" ht="17.25" customHeight="1">
      <c r="B17" s="126"/>
      <c r="C17" s="65" t="s">
        <v>993</v>
      </c>
      <c r="D17" s="69">
        <f>LOOKUP(2,1/(('0410 4度C'!$A:$A="新豐6線")*('0410 4度C'!$T:$T&lt;&gt;"")),'0410 4度C'!$T:$T)</f>
        <v>0.80902777777777779</v>
      </c>
      <c r="E17" s="67">
        <f>LOOKUP(2,1/(('0410 4度C'!$A:$A="新豐2線")*('0410 4度C'!$T:$T&lt;&gt;"")),'0410 4度C'!$T:$T)</f>
        <v>0.49861111111111112</v>
      </c>
      <c r="F17" s="67">
        <f>LOOKUP(2,1/(('0410 4度C'!$A:$A="新豐5線")*('0410 4度C'!$T:$T&lt;&gt;"")),'0410 4度C'!$T:$T)</f>
        <v>0.83541666666666681</v>
      </c>
      <c r="G17" s="67">
        <f>LOOKUP(2,1/(('0410 4度C'!$A:$A="新豐7線")*('0410 4度C'!$T:$T&lt;&gt;"")),'0410 4度C'!$T:$T)</f>
        <v>0.83055555555555549</v>
      </c>
      <c r="H17" s="67">
        <f>LOOKUP(2,1/(('0410 4度C'!$A:$A="新豐3線")*('0410 4度C'!$T:$T&lt;&gt;"")),'0410 4度C'!$T:$T)</f>
        <v>0.40069444444444441</v>
      </c>
      <c r="I17" s="67">
        <f>LOOKUP(2,1/(('0410 4度C'!$A:$A="新豐1線")*('0410 4度C'!$T:$T&lt;&gt;"")),'0410 4度C'!$T:$T)</f>
        <v>0.81944444444444442</v>
      </c>
      <c r="J17" s="68">
        <f>LOOKUP(2,1/(('0410 4度C'!$A:$A="新豐10線")*('0410 4度C'!$T:$T&lt;&gt;"")),'0410 4度C'!$T:$T)</f>
        <v>0.41666666666666657</v>
      </c>
      <c r="K17" s="66">
        <f>LOOKUP(2,1/(('0410 4度C'!$A:$A="新豐8線")*('0410 4度C'!$T:$T&lt;&gt;"")),'0410 4度C'!$T:$T)</f>
        <v>0.46249999999999991</v>
      </c>
      <c r="L17" s="67">
        <f>LOOKUP(2,1/(('0410 4度C'!$A:$A="新豐9線")*('0410 4度C'!$T:$T&lt;&gt;"")),'0410 4度C'!$T:$T)</f>
        <v>0.47916666666666663</v>
      </c>
      <c r="M17" s="68">
        <f>LOOKUP(2,1/(('0410 4度C'!$A:$A="新豐4線")*('0410 4度C'!$T:$T&lt;&gt;"")),'0410 4度C'!$T:$T)</f>
        <v>0.46666666666666667</v>
      </c>
    </row>
    <row r="18" spans="2:13" ht="17.25" customHeight="1">
      <c r="B18" s="104" t="s">
        <v>994</v>
      </c>
      <c r="C18" s="72" t="s">
        <v>995</v>
      </c>
      <c r="D18" s="73">
        <f>SUMIFS('0410 4度C'!$Y:$Y,'0410 4度C'!$A:$A,"新豐6線",'0410 4度C'!$B:$B,"平均")</f>
        <v>0</v>
      </c>
      <c r="E18" s="74">
        <f>SUMIFS('0410 4度C'!$Y:$Y,'0410 4度C'!$A:$A,"新豐2線",'0410 4度C'!$B:$B,"平均")</f>
        <v>0</v>
      </c>
      <c r="F18" s="74">
        <f>SUMIFS('0410 4度C'!$Y:$Y,'0410 4度C'!$A:$A,"新豐5線",'0410 4度C'!$B:$B,"平均")</f>
        <v>0</v>
      </c>
      <c r="G18" s="74">
        <f>SUMIFS('0410 4度C'!$Y:$Y,'0410 4度C'!$A:$A,"新豐7線",'0410 4度C'!$B:$B,"平均")</f>
        <v>0</v>
      </c>
      <c r="H18" s="74">
        <f>SUMIFS('0410 4度C'!$Y:$Y,'0410 4度C'!$A:$A,"新豐3線",'0410 4度C'!$B:$B,"平均")</f>
        <v>0</v>
      </c>
      <c r="I18" s="74">
        <f>SUMIFS('0410 4度C'!$Y:$Y,'0410 4度C'!$A:$A,"新豐1線",'0410 4度C'!$B:$B,"平均")</f>
        <v>0</v>
      </c>
      <c r="J18" s="75">
        <f>SUMIFS('0410 4度C'!$Y:$Y,'0410 4度C'!$A:$A,"新豐10線",'0410 4度C'!$B:$B,"平均")</f>
        <v>0</v>
      </c>
      <c r="K18" s="76">
        <f>SUMIFS('0410 4度C'!$Y:$Y,'0410 4度C'!$A:$A,"新豐8線",'0410 4度C'!$B:$B,"平均")</f>
        <v>0</v>
      </c>
      <c r="L18" s="74">
        <f>SUMIFS('0410 4度C'!$Y:$Y,'0410 4度C'!$A:$A,"新豐9線",'0410 4度C'!$B:$B,"平均")</f>
        <v>0</v>
      </c>
      <c r="M18" s="75">
        <f>SUMIFS('0410 4度C'!$Y:$Y,'0410 4度C'!$A:$A,"新豐4線",'0410 4度C'!$B:$B,"平均")</f>
        <v>0</v>
      </c>
    </row>
    <row r="19" spans="2:13" ht="17.25" customHeight="1">
      <c r="B19" s="105"/>
      <c r="C19" s="72" t="s">
        <v>996</v>
      </c>
      <c r="D19" s="73">
        <f>SUMIFS('0410 4度C'!$Z:$Z,'0410 4度C'!$A:$A,"新豐6線",'0410 4度C'!$B:$B,"平均")</f>
        <v>0</v>
      </c>
      <c r="E19" s="74">
        <f>SUMIFS('0410 4度C'!$Z:$Z,'0410 4度C'!$A:$A,"新豐2線",'0410 4度C'!$B:$B,"平均")</f>
        <v>0</v>
      </c>
      <c r="F19" s="74">
        <f>SUMIFS('0410 4度C'!$Z:$Z,'0410 4度C'!$A:$A,"新豐5線",'0410 4度C'!$B:$B,"平均")</f>
        <v>0</v>
      </c>
      <c r="G19" s="74">
        <f>SUMIFS('0410 4度C'!$Z:$Z,'0410 4度C'!$A:$A,"新豐7線",'0410 4度C'!$B:$B,"平均")</f>
        <v>0</v>
      </c>
      <c r="H19" s="74">
        <f>SUMIFS('0410 4度C'!$Z:$Z,'0410 4度C'!$A:$A,"新豐3線",'0410 4度C'!$B:$B,"平均")</f>
        <v>0</v>
      </c>
      <c r="I19" s="74">
        <f>SUMIFS('0410 4度C'!$Z:$Z,'0410 4度C'!$A:$A,"新豐1線",'0410 4度C'!$B:$B,"平均")</f>
        <v>0</v>
      </c>
      <c r="J19" s="75">
        <f>SUMIFS('0410 4度C'!$Z:$Z,'0410 4度C'!$A:$A,"新豐10線",'0410 4度C'!$B:$B,"平均")</f>
        <v>0</v>
      </c>
      <c r="K19" s="76">
        <f>SUMIFS('0410 4度C'!$Z:$Z,'0410 4度C'!$A:$A,"新豐8線",'0410 4度C'!$B:$B,"平均")</f>
        <v>0</v>
      </c>
      <c r="L19" s="74">
        <f>SUMIFS('0410 4度C'!$Z:$Z,'0410 4度C'!$A:$A,"新豐9線",'0410 4度C'!$B:$B,"平均")</f>
        <v>0</v>
      </c>
      <c r="M19" s="75">
        <f>SUMIFS('0410 4度C'!$Z:$Z,'0410 4度C'!$A:$A,"新豐4線",'0410 4度C'!$B:$B,"平均")</f>
        <v>0</v>
      </c>
    </row>
    <row r="20" spans="2:13" ht="17.25" customHeight="1">
      <c r="B20" s="104" t="s">
        <v>997</v>
      </c>
      <c r="C20" s="72" t="s">
        <v>995</v>
      </c>
      <c r="D20" s="73">
        <f>SUMIFS('0410 4度C'!$AC:$AC,'0410 4度C'!$A:$A,"新豐6線",'0410 4度C'!$B:$B,"平均")</f>
        <v>3</v>
      </c>
      <c r="E20" s="74">
        <f>SUMIFS('0410 4度C'!$AC:$AC,'0410 4度C'!$A:$A,"新豐2線",'0410 4度C'!$B:$B,"平均")</f>
        <v>2</v>
      </c>
      <c r="F20" s="74">
        <f>SUMIFS('0410 4度C'!$AC:$AC,'0410 4度C'!$A:$A,"新豐5線",'0410 4度C'!$B:$B,"平均")</f>
        <v>4</v>
      </c>
      <c r="G20" s="74">
        <f>SUMIFS('0410 4度C'!$AC:$AC,'0410 4度C'!$A:$A,"新豐7線",'0410 4度C'!$B:$B,"平均")</f>
        <v>6</v>
      </c>
      <c r="H20" s="74">
        <f>SUMIFS('0410 4度C'!$AC:$AC,'0410 4度C'!$A:$A,"新豐3線",'0410 4度C'!$B:$B,"平均")</f>
        <v>5</v>
      </c>
      <c r="I20" s="74">
        <f>SUMIFS('0410 4度C'!$AC:$AC,'0410 4度C'!$A:$A,"新豐1線",'0410 4度C'!$B:$B,"平均")</f>
        <v>6</v>
      </c>
      <c r="J20" s="75">
        <f>SUMIFS('0410 4度C'!$AC:$AC,'0410 4度C'!$A:$A,"新豐10線",'0410 4度C'!$B:$B,"平均")</f>
        <v>6</v>
      </c>
      <c r="K20" s="76">
        <f>SUMIFS('0410 4度C'!$AC:$AC,'0410 4度C'!$A:$A,"新豐8線",'0410 4度C'!$B:$B,"平均")</f>
        <v>5</v>
      </c>
      <c r="L20" s="74">
        <f>SUMIFS('0410 4度C'!$AC:$AC,'0410 4度C'!$A:$A,"新豐9線",'0410 4度C'!$B:$B,"平均")</f>
        <v>5</v>
      </c>
      <c r="M20" s="75">
        <f>SUMIFS('0410 4度C'!$AC:$AC,'0410 4度C'!$A:$A,"新豐4線",'0410 4度C'!$B:$B,"平均")</f>
        <v>5</v>
      </c>
    </row>
    <row r="21" spans="2:13" ht="17.25" customHeight="1">
      <c r="B21" s="105"/>
      <c r="C21" s="72" t="s">
        <v>998</v>
      </c>
      <c r="D21" s="73">
        <f>SUMIFS('0410 4度C'!$AD:$AD,'0410 4度C'!$A:$A,"新豐6線",'0410 4度C'!$B:$B,"平均")</f>
        <v>0</v>
      </c>
      <c r="E21" s="74">
        <f>SUMIFS('0410 4度C'!$AD:$AD,'0410 4度C'!$A:$A,"新豐2線",'0410 4度C'!$B:$B,"平均")</f>
        <v>0</v>
      </c>
      <c r="F21" s="74">
        <f>SUMIFS('0410 4度C'!$AD:$AD,'0410 4度C'!$A:$A,"新豐5線",'0410 4度C'!$B:$B,"平均")</f>
        <v>0</v>
      </c>
      <c r="G21" s="74">
        <f>SUMIFS('0410 4度C'!$AD:$AD,'0410 4度C'!$A:$A,"新豐7線",'0410 4度C'!$B:$B,"平均")</f>
        <v>0</v>
      </c>
      <c r="H21" s="74">
        <f>SUMIFS('0410 4度C'!$AD:$AD,'0410 4度C'!$A:$A,"新豐3線",'0410 4度C'!$B:$B,"平均")</f>
        <v>0</v>
      </c>
      <c r="I21" s="74">
        <f>SUMIFS('0410 4度C'!$AD:$AD,'0410 4度C'!$A:$A,"新豐1線",'0410 4度C'!$B:$B,"平均")</f>
        <v>0</v>
      </c>
      <c r="J21" s="75">
        <f>SUMIFS('0410 4度C'!$AD:$AD,'0410 4度C'!$A:$A,"新豐10線",'0410 4度C'!$B:$B,"平均")</f>
        <v>0</v>
      </c>
      <c r="K21" s="76">
        <f>SUMIFS('0410 4度C'!$AD:$AD,'0410 4度C'!$A:$A,"新豐8線",'0410 4度C'!$B:$B,"平均")</f>
        <v>0</v>
      </c>
      <c r="L21" s="74">
        <f>SUMIFS('0410 4度C'!$AD:$AD,'0410 4度C'!$A:$A,"新豐9線",'0410 4度C'!$B:$B,"平均")</f>
        <v>0</v>
      </c>
      <c r="M21" s="75">
        <f>SUMIFS('0410 4度C'!$AD:$AD,'0410 4度C'!$A:$A,"新豐4線",'0410 4度C'!$B:$B,"平均")</f>
        <v>0</v>
      </c>
    </row>
    <row r="22" spans="2:13" ht="17.25" customHeight="1">
      <c r="B22" s="106" t="s">
        <v>999</v>
      </c>
      <c r="C22" s="107"/>
      <c r="D22" s="77">
        <f>SUMIFS('0410 4度C'!$I:$I,'0410 4度C'!$A:$A,"新豐6線",'0410 4度C'!$B:$B,"平均")</f>
        <v>17</v>
      </c>
      <c r="E22" s="78">
        <f>SUMIFS('0410 4度C'!$I:$I,'0410 4度C'!$A:$A,"新豐2線",'0410 4度C'!$B:$B,"平均")</f>
        <v>18</v>
      </c>
      <c r="F22" s="78">
        <f>SUMIFS('0410 4度C'!$I:$I,'0410 4度C'!$A:$A,"新豐5線",'0410 4度C'!$B:$B,"平均")</f>
        <v>19.25</v>
      </c>
      <c r="G22" s="78">
        <f>SUMIFS('0410 4度C'!$I:$I,'0410 4度C'!$A:$A,"新豐7線",'0410 4度C'!$B:$B,"平均")</f>
        <v>15.166666666666666</v>
      </c>
      <c r="H22" s="78">
        <f>SUMIFS('0410 4度C'!$I:$I,'0410 4度C'!$A:$A,"新豐3線",'0410 4度C'!$B:$B,"平均")</f>
        <v>9.4</v>
      </c>
      <c r="I22" s="78">
        <f>SUMIFS('0410 4度C'!$I:$I,'0410 4度C'!$A:$A,"新豐1線",'0410 4度C'!$B:$B,"平均")</f>
        <v>18.666666666666668</v>
      </c>
      <c r="J22" s="79">
        <f>SUMIFS('0410 4度C'!$I:$I,'0410 4度C'!$A:$A,"新豐10線",'0410 4度C'!$B:$B,"平均")</f>
        <v>10</v>
      </c>
      <c r="K22" s="77">
        <f>SUMIFS('0410 4度C'!$I:$I,'0410 4度C'!$A:$A,"新豐8線",'0410 4度C'!$B:$B,"平均")</f>
        <v>18.399999999999999</v>
      </c>
      <c r="L22" s="78">
        <f>SUMIFS('0410 4度C'!$I:$I,'0410 4度C'!$A:$A,"新豐9線",'0410 4度C'!$B:$B,"平均")</f>
        <v>17.600000000000001</v>
      </c>
      <c r="M22" s="79">
        <f>SUMIFS('0410 4度C'!$I:$I,'0410 4度C'!$A:$A,"新豐4線",'0410 4度C'!$B:$B,"平均")</f>
        <v>15.4</v>
      </c>
    </row>
    <row r="23" spans="2:13" ht="17.25" customHeight="1">
      <c r="B23" s="106" t="s">
        <v>1000</v>
      </c>
      <c r="C23" s="107"/>
      <c r="D23" s="80" t="s">
        <v>67</v>
      </c>
      <c r="E23" s="81" t="s">
        <v>68</v>
      </c>
      <c r="F23" s="81" t="s">
        <v>1001</v>
      </c>
      <c r="G23" s="81" t="s">
        <v>1001</v>
      </c>
      <c r="H23" s="81" t="s">
        <v>69</v>
      </c>
      <c r="I23" s="81" t="s">
        <v>67</v>
      </c>
      <c r="J23" s="82" t="s">
        <v>69</v>
      </c>
      <c r="K23" s="80" t="s">
        <v>1002</v>
      </c>
      <c r="L23" s="81" t="s">
        <v>1002</v>
      </c>
      <c r="M23" s="82" t="s">
        <v>1002</v>
      </c>
    </row>
    <row r="24" spans="2:13" ht="17.25" customHeight="1">
      <c r="B24" s="106" t="s">
        <v>113</v>
      </c>
      <c r="C24" s="107"/>
      <c r="D24" s="80"/>
      <c r="E24" s="81"/>
      <c r="F24" s="81" t="s">
        <v>114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1003</v>
      </c>
      <c r="C25" s="109"/>
      <c r="D25" s="83"/>
      <c r="E25" s="84" t="s">
        <v>1004</v>
      </c>
      <c r="F25" s="102" t="s">
        <v>1005</v>
      </c>
      <c r="G25" s="103"/>
      <c r="H25" s="84" t="s">
        <v>1006</v>
      </c>
      <c r="I25" s="84" t="s">
        <v>1007</v>
      </c>
      <c r="J25" s="85" t="s">
        <v>118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7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工作表13">
    <pageSetUpPr fitToPage="1"/>
  </sheetPr>
  <dimension ref="A1:AG62"/>
  <sheetViews>
    <sheetView zoomScale="80" zoomScaleNormal="80" workbookViewId="0">
      <pane ySplit="4" topLeftCell="A5" activePane="bottomLeft" state="frozen"/>
      <selection activeCell="J13" sqref="J13"/>
      <selection pane="bottomLeft" activeCell="T14" sqref="T14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1008</v>
      </c>
      <c r="B1" s="1"/>
      <c r="C1" s="2" t="s">
        <v>1009</v>
      </c>
      <c r="D1" s="3">
        <f>SUM(F5:F61)</f>
        <v>130827</v>
      </c>
      <c r="E1" s="88" t="s">
        <v>1010</v>
      </c>
      <c r="F1" s="1">
        <f>SUM(G5:G61)</f>
        <v>4408157.1400000006</v>
      </c>
      <c r="G1" s="1" t="s">
        <v>537</v>
      </c>
      <c r="H1" s="4">
        <f>L8+L11+L41+L48+L16+L55+L29+L35+L23+L61</f>
        <v>158.88333333333333</v>
      </c>
      <c r="I1" s="215" t="s">
        <v>1011</v>
      </c>
      <c r="J1" s="215"/>
      <c r="K1" s="215"/>
      <c r="L1" s="215" t="s">
        <v>1012</v>
      </c>
      <c r="M1" s="215"/>
      <c r="N1" s="215"/>
      <c r="O1" s="215" t="s">
        <v>1013</v>
      </c>
      <c r="P1" s="215"/>
      <c r="Q1" s="215"/>
      <c r="R1" s="215"/>
      <c r="S1" s="215" t="s">
        <v>1014</v>
      </c>
      <c r="T1" s="215"/>
      <c r="U1" s="215"/>
      <c r="V1" s="215"/>
      <c r="W1" s="215"/>
      <c r="X1" s="215"/>
      <c r="Y1" s="5" t="s">
        <v>1015</v>
      </c>
      <c r="Z1" s="6" t="s">
        <v>1016</v>
      </c>
      <c r="AA1" s="216" t="s">
        <v>1017</v>
      </c>
      <c r="AB1" s="216"/>
      <c r="AC1" s="97" t="s">
        <v>1018</v>
      </c>
      <c r="AD1" s="6" t="s">
        <v>1019</v>
      </c>
      <c r="AE1" s="215" t="s">
        <v>1020</v>
      </c>
      <c r="AF1" s="217"/>
      <c r="AG1" s="217"/>
    </row>
    <row r="2" spans="1:33" ht="26.25" customHeight="1">
      <c r="A2" s="26">
        <v>46122</v>
      </c>
      <c r="B2" s="27" t="s">
        <v>330</v>
      </c>
      <c r="C2" s="2" t="s">
        <v>1021</v>
      </c>
      <c r="D2" s="8">
        <f>AVERAGE(N8,N11,N41,N48,N16,N55,N23,N29,N35,N61)</f>
        <v>149.03815810211046</v>
      </c>
      <c r="E2" s="9" t="s">
        <v>0</v>
      </c>
      <c r="F2" s="10">
        <f>F1/D1</f>
        <v>33.694551889136036</v>
      </c>
      <c r="G2" s="1" t="s">
        <v>1022</v>
      </c>
      <c r="H2" s="96">
        <f>COUNT(H5:H61)</f>
        <v>0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SUM(Y8+Y11+Y16+Y23+Y29+Y35+Y41+Y48+Y55+Y61)</f>
        <v>0</v>
      </c>
      <c r="Z2" s="11">
        <f>SUM(Z8+Z11+Z16+Z23+Z29+Z35+Z41+Z48+Z55+Z61)</f>
        <v>0</v>
      </c>
      <c r="AA2" s="216"/>
      <c r="AB2" s="216"/>
      <c r="AC2" s="11">
        <v>47</v>
      </c>
      <c r="AD2" s="11">
        <f>SUM(AD8+AD11+AD16+AD23+AD29+AD35+AD41+AD48+AD55+AD61)</f>
        <v>0</v>
      </c>
      <c r="AE2" s="217"/>
      <c r="AF2" s="217"/>
      <c r="AG2" s="217"/>
    </row>
    <row r="3" spans="1:33" ht="40.5" customHeight="1">
      <c r="A3" s="168" t="s">
        <v>823</v>
      </c>
      <c r="B3" s="168" t="s">
        <v>824</v>
      </c>
      <c r="C3" s="168" t="s">
        <v>1023</v>
      </c>
      <c r="D3" s="168"/>
      <c r="E3" s="213" t="s">
        <v>1024</v>
      </c>
      <c r="F3" s="168" t="s">
        <v>554</v>
      </c>
      <c r="G3" s="213" t="s">
        <v>1025</v>
      </c>
      <c r="H3" s="207" t="s">
        <v>1026</v>
      </c>
      <c r="I3" s="205" t="s">
        <v>1027</v>
      </c>
      <c r="J3" s="202" t="s">
        <v>1028</v>
      </c>
      <c r="K3" s="212" t="s">
        <v>97</v>
      </c>
      <c r="L3" s="205" t="s">
        <v>1027</v>
      </c>
      <c r="M3" s="202" t="s">
        <v>1029</v>
      </c>
      <c r="N3" s="212" t="s">
        <v>97</v>
      </c>
      <c r="O3" s="205" t="s">
        <v>1027</v>
      </c>
      <c r="P3" s="212" t="s">
        <v>1021</v>
      </c>
      <c r="Q3" s="203" t="s">
        <v>728</v>
      </c>
      <c r="R3" s="181" t="s">
        <v>567</v>
      </c>
      <c r="S3" s="168" t="s">
        <v>1</v>
      </c>
      <c r="T3" s="168"/>
      <c r="U3" s="207" t="s">
        <v>2</v>
      </c>
      <c r="V3" s="207" t="s">
        <v>1030</v>
      </c>
      <c r="W3" s="168" t="s">
        <v>1031</v>
      </c>
      <c r="X3" s="168"/>
      <c r="Y3" s="208" t="s">
        <v>1032</v>
      </c>
      <c r="Z3" s="167"/>
      <c r="AA3" s="209" t="s">
        <v>1033</v>
      </c>
      <c r="AB3" s="210"/>
      <c r="AC3" s="208" t="s">
        <v>1034</v>
      </c>
      <c r="AD3" s="167"/>
      <c r="AE3" s="202" t="s">
        <v>1035</v>
      </c>
      <c r="AF3" s="203" t="s">
        <v>1036</v>
      </c>
      <c r="AG3" s="181" t="s">
        <v>1037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1038</v>
      </c>
      <c r="X4" s="88" t="s">
        <v>1039</v>
      </c>
      <c r="Y4" s="90" t="s">
        <v>1040</v>
      </c>
      <c r="Z4" s="90" t="s">
        <v>1041</v>
      </c>
      <c r="AA4" s="211"/>
      <c r="AB4" s="210"/>
      <c r="AC4" s="90" t="s">
        <v>1042</v>
      </c>
      <c r="AD4" s="90" t="s">
        <v>1043</v>
      </c>
      <c r="AE4" s="202"/>
      <c r="AF4" s="203"/>
      <c r="AG4" s="181"/>
    </row>
    <row r="5" spans="1:33">
      <c r="A5" s="204" t="s">
        <v>1044</v>
      </c>
      <c r="B5" s="28" t="s">
        <v>5</v>
      </c>
      <c r="C5" s="206" t="s">
        <v>6</v>
      </c>
      <c r="D5" s="206"/>
      <c r="E5" s="28">
        <v>50.67</v>
      </c>
      <c r="F5" s="88">
        <v>1431</v>
      </c>
      <c r="G5" s="88">
        <f t="shared" ref="G5:G7" si="0">E5*F5</f>
        <v>72508.77</v>
      </c>
      <c r="H5" s="30" t="s">
        <v>53</v>
      </c>
      <c r="I5" s="95">
        <v>17</v>
      </c>
      <c r="J5" s="13">
        <v>2000</v>
      </c>
      <c r="K5" s="12">
        <f t="shared" ref="K5:K61" si="1">J5/I5</f>
        <v>117.64705882352941</v>
      </c>
      <c r="L5" s="95">
        <v>17</v>
      </c>
      <c r="M5" s="13">
        <f t="shared" ref="M5:M7" si="2">F5/V5*60</f>
        <v>1908</v>
      </c>
      <c r="N5" s="12">
        <f t="shared" ref="N5:N61" si="3">M5/L5</f>
        <v>112.23529411764706</v>
      </c>
      <c r="O5" s="14">
        <f t="shared" ref="O5:O61" si="4">L5-I5</f>
        <v>0</v>
      </c>
      <c r="P5" s="15">
        <f t="shared" ref="P5:P61" si="5">N5-K5</f>
        <v>-5.4117647058823479</v>
      </c>
      <c r="Q5" s="91">
        <f t="shared" ref="Q5:Q61" si="6">N5/K5</f>
        <v>0.95400000000000007</v>
      </c>
      <c r="R5" s="177">
        <f>Q8</f>
        <v>0.96001388888888872</v>
      </c>
      <c r="S5" s="21">
        <v>0.70833333333333337</v>
      </c>
      <c r="T5" s="21">
        <v>0.73958333333333337</v>
      </c>
      <c r="U5" s="88"/>
      <c r="V5" s="30">
        <f t="shared" ref="V5:V7" si="7">(T5-S5)*24*60</f>
        <v>45</v>
      </c>
      <c r="W5" s="16"/>
      <c r="X5" s="17"/>
      <c r="Y5" s="17"/>
      <c r="Z5" s="17"/>
      <c r="AA5" s="168"/>
      <c r="AB5" s="168"/>
      <c r="AC5" s="18">
        <v>3</v>
      </c>
      <c r="AD5" s="18"/>
      <c r="AE5" s="14">
        <f t="shared" ref="AE5:AE47" si="8">M5-J5</f>
        <v>-92</v>
      </c>
      <c r="AF5" s="91">
        <f t="shared" ref="AF5:AF61" si="9">M5/J5</f>
        <v>0.95399999999999996</v>
      </c>
      <c r="AG5" s="177">
        <f>AF8</f>
        <v>0.96001388888888872</v>
      </c>
    </row>
    <row r="6" spans="1:33">
      <c r="A6" s="205" t="s">
        <v>1045</v>
      </c>
      <c r="B6" s="28" t="s">
        <v>5</v>
      </c>
      <c r="C6" s="206" t="s">
        <v>7</v>
      </c>
      <c r="D6" s="206"/>
      <c r="E6" s="28">
        <v>54.09</v>
      </c>
      <c r="F6" s="88">
        <v>1163</v>
      </c>
      <c r="G6" s="88">
        <f t="shared" si="0"/>
        <v>62906.670000000006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1938.3333333333317</v>
      </c>
      <c r="N6" s="12">
        <f t="shared" si="3"/>
        <v>102.01754385964904</v>
      </c>
      <c r="O6" s="14">
        <f t="shared" si="4"/>
        <v>0</v>
      </c>
      <c r="P6" s="15">
        <f t="shared" si="5"/>
        <v>-3.2456140350877973</v>
      </c>
      <c r="Q6" s="91">
        <f t="shared" si="6"/>
        <v>0.96916666666666595</v>
      </c>
      <c r="R6" s="177"/>
      <c r="S6" s="21">
        <v>0.74513888888888891</v>
      </c>
      <c r="T6" s="21">
        <v>0.77013888888888893</v>
      </c>
      <c r="U6" s="88">
        <f t="shared" ref="U6:U7" si="10">IF(S6=TIME(17,0,0),"",(S6-T5)*24*60)</f>
        <v>7.9999999999999716</v>
      </c>
      <c r="V6" s="30">
        <f t="shared" si="7"/>
        <v>36.000000000000028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-61.666666666668334</v>
      </c>
      <c r="AF6" s="91">
        <f t="shared" si="9"/>
        <v>0.96916666666666584</v>
      </c>
      <c r="AG6" s="177"/>
    </row>
    <row r="7" spans="1:33">
      <c r="A7" s="205" t="s">
        <v>1045</v>
      </c>
      <c r="B7" s="28" t="s">
        <v>5</v>
      </c>
      <c r="C7" s="200" t="s">
        <v>16</v>
      </c>
      <c r="D7" s="201"/>
      <c r="E7" s="28">
        <v>50.67</v>
      </c>
      <c r="F7" s="88">
        <v>1531</v>
      </c>
      <c r="G7" s="88">
        <f t="shared" si="0"/>
        <v>77575.77</v>
      </c>
      <c r="H7" s="30" t="s">
        <v>53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1913.7500000000005</v>
      </c>
      <c r="N7" s="12">
        <f t="shared" si="3"/>
        <v>127.58333333333336</v>
      </c>
      <c r="O7" s="14">
        <f t="shared" si="4"/>
        <v>0</v>
      </c>
      <c r="P7" s="15">
        <f t="shared" si="5"/>
        <v>-5.7499999999999858</v>
      </c>
      <c r="Q7" s="91">
        <f t="shared" si="6"/>
        <v>0.95687500000000014</v>
      </c>
      <c r="R7" s="177"/>
      <c r="S7" s="21">
        <v>0.77569444444444446</v>
      </c>
      <c r="T7" s="21">
        <v>0.80902777777777779</v>
      </c>
      <c r="U7" s="88">
        <f t="shared" si="10"/>
        <v>7.9999999999999716</v>
      </c>
      <c r="V7" s="30">
        <f t="shared" si="7"/>
        <v>47.999999999999986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-86.249999999999545</v>
      </c>
      <c r="AF7" s="91">
        <f t="shared" si="9"/>
        <v>0.95687500000000025</v>
      </c>
      <c r="AG7" s="177"/>
    </row>
    <row r="8" spans="1:33">
      <c r="A8" s="205" t="s">
        <v>1046</v>
      </c>
      <c r="B8" s="28" t="s">
        <v>580</v>
      </c>
      <c r="C8" s="178"/>
      <c r="D8" s="178"/>
      <c r="E8" s="92"/>
      <c r="F8" s="12"/>
      <c r="G8" s="12"/>
      <c r="H8" s="88"/>
      <c r="I8" s="23">
        <v>17</v>
      </c>
      <c r="J8" s="13">
        <v>2000</v>
      </c>
      <c r="K8" s="12">
        <f t="shared" si="1"/>
        <v>117.64705882352941</v>
      </c>
      <c r="L8" s="23">
        <v>17</v>
      </c>
      <c r="M8" s="13">
        <f>AVERAGE(M5:M7)</f>
        <v>1920.0277777777774</v>
      </c>
      <c r="N8" s="12">
        <f t="shared" si="3"/>
        <v>112.94281045751632</v>
      </c>
      <c r="O8" s="14">
        <f t="shared" si="4"/>
        <v>0</v>
      </c>
      <c r="P8" s="15">
        <f t="shared" si="5"/>
        <v>-4.7042483660130898</v>
      </c>
      <c r="Q8" s="91">
        <f t="shared" si="6"/>
        <v>0.96001388888888872</v>
      </c>
      <c r="R8" s="177"/>
      <c r="S8" s="21"/>
      <c r="T8" s="21"/>
      <c r="U8" s="88"/>
      <c r="V8" s="30"/>
      <c r="W8" s="12"/>
      <c r="X8" s="12"/>
      <c r="Y8" s="24">
        <f>SUM(Y5:Y7)</f>
        <v>0</v>
      </c>
      <c r="Z8" s="24">
        <f>SUM(Z5:Z7)</f>
        <v>0</v>
      </c>
      <c r="AA8" s="167"/>
      <c r="AB8" s="167"/>
      <c r="AC8" s="24">
        <v>3</v>
      </c>
      <c r="AD8" s="24">
        <f>SUM(AD5:AD7)</f>
        <v>0</v>
      </c>
      <c r="AE8" s="14">
        <f t="shared" si="8"/>
        <v>-79.972222222222626</v>
      </c>
      <c r="AF8" s="91">
        <f t="shared" si="9"/>
        <v>0.96001388888888872</v>
      </c>
      <c r="AG8" s="177"/>
    </row>
    <row r="9" spans="1:33" ht="15.75" customHeight="1">
      <c r="A9" s="199" t="s">
        <v>1047</v>
      </c>
      <c r="B9" s="28" t="s">
        <v>9</v>
      </c>
      <c r="C9" s="200" t="s">
        <v>10</v>
      </c>
      <c r="D9" s="201"/>
      <c r="E9" s="28">
        <v>39.619999999999997</v>
      </c>
      <c r="F9" s="88">
        <v>4004</v>
      </c>
      <c r="G9" s="88">
        <f t="shared" ref="G9:G10" si="11">E9*F9</f>
        <v>158638.47999999998</v>
      </c>
      <c r="H9" s="30" t="s">
        <v>53</v>
      </c>
      <c r="I9" s="95">
        <v>19</v>
      </c>
      <c r="J9" s="13">
        <v>1500</v>
      </c>
      <c r="K9" s="12">
        <f t="shared" si="1"/>
        <v>78.94736842105263</v>
      </c>
      <c r="L9" s="95">
        <v>19</v>
      </c>
      <c r="M9" s="13">
        <f t="shared" ref="M9:M10" si="12">F9/V9*60</f>
        <v>1430</v>
      </c>
      <c r="N9" s="12">
        <f t="shared" si="3"/>
        <v>75.263157894736835</v>
      </c>
      <c r="O9" s="14">
        <f t="shared" si="4"/>
        <v>0</v>
      </c>
      <c r="P9" s="15">
        <f t="shared" si="5"/>
        <v>-3.6842105263157947</v>
      </c>
      <c r="Q9" s="91">
        <f t="shared" si="6"/>
        <v>0.95333333333333325</v>
      </c>
      <c r="R9" s="177">
        <f>Q11</f>
        <v>0.95378600823045268</v>
      </c>
      <c r="S9" s="21">
        <v>0.20833333333333334</v>
      </c>
      <c r="T9" s="21">
        <v>0.32500000000000001</v>
      </c>
      <c r="U9" s="88"/>
      <c r="V9" s="30">
        <f t="shared" ref="V9:V10" si="13">(T9-S9)*24*60</f>
        <v>168</v>
      </c>
      <c r="W9" s="16"/>
      <c r="X9" s="16"/>
      <c r="Y9" s="16"/>
      <c r="Z9" s="16"/>
      <c r="AA9" s="168"/>
      <c r="AB9" s="168"/>
      <c r="AC9" s="18">
        <v>2</v>
      </c>
      <c r="AD9" s="18"/>
      <c r="AE9" s="14">
        <f t="shared" si="8"/>
        <v>-70</v>
      </c>
      <c r="AF9" s="91">
        <f t="shared" si="9"/>
        <v>0.95333333333333337</v>
      </c>
      <c r="AG9" s="177">
        <f>AF11</f>
        <v>0.95378600823045268</v>
      </c>
    </row>
    <row r="10" spans="1:33" ht="15.75" customHeight="1">
      <c r="A10" s="199" t="s">
        <v>1047</v>
      </c>
      <c r="B10" s="28" t="s">
        <v>9</v>
      </c>
      <c r="C10" s="200" t="s">
        <v>11</v>
      </c>
      <c r="D10" s="201"/>
      <c r="E10" s="28">
        <v>39.799999999999997</v>
      </c>
      <c r="F10" s="88">
        <v>5797</v>
      </c>
      <c r="G10" s="88">
        <f t="shared" si="11"/>
        <v>230720.59999999998</v>
      </c>
      <c r="H10" s="30" t="s">
        <v>53</v>
      </c>
      <c r="I10" s="95">
        <v>17</v>
      </c>
      <c r="J10" s="13">
        <v>1500</v>
      </c>
      <c r="K10" s="12">
        <f t="shared" si="1"/>
        <v>88.235294117647058</v>
      </c>
      <c r="L10" s="95">
        <v>17</v>
      </c>
      <c r="M10" s="13">
        <f t="shared" si="12"/>
        <v>1431.3580246913577</v>
      </c>
      <c r="N10" s="12">
        <f t="shared" si="3"/>
        <v>84.197530864197518</v>
      </c>
      <c r="O10" s="14">
        <f t="shared" si="4"/>
        <v>0</v>
      </c>
      <c r="P10" s="15">
        <f t="shared" si="5"/>
        <v>-4.0377632534495405</v>
      </c>
      <c r="Q10" s="91">
        <f t="shared" si="6"/>
        <v>0.95423868312757187</v>
      </c>
      <c r="R10" s="177"/>
      <c r="S10" s="21">
        <v>0.3298611111111111</v>
      </c>
      <c r="T10" s="21">
        <v>0.49861111111111112</v>
      </c>
      <c r="U10" s="88">
        <f t="shared" ref="U10" si="14">IF(S10=TIME(17,0,0),"",(S10-T9)*24*60)</f>
        <v>6.9999999999999751</v>
      </c>
      <c r="V10" s="30">
        <f t="shared" si="13"/>
        <v>243.00000000000006</v>
      </c>
      <c r="W10" s="16"/>
      <c r="X10" s="16"/>
      <c r="Y10" s="16"/>
      <c r="Z10" s="16"/>
      <c r="AA10" s="168"/>
      <c r="AB10" s="168"/>
      <c r="AC10" s="18"/>
      <c r="AD10" s="18"/>
      <c r="AE10" s="14">
        <f t="shared" si="8"/>
        <v>-68.641975308642259</v>
      </c>
      <c r="AF10" s="91">
        <f t="shared" si="9"/>
        <v>0.95423868312757187</v>
      </c>
      <c r="AG10" s="177"/>
    </row>
    <row r="11" spans="1:33" ht="16.5" customHeight="1">
      <c r="A11" s="199" t="s">
        <v>1048</v>
      </c>
      <c r="B11" s="28" t="s">
        <v>580</v>
      </c>
      <c r="C11" s="178"/>
      <c r="D11" s="178"/>
      <c r="E11" s="92"/>
      <c r="F11" s="13"/>
      <c r="G11" s="13"/>
      <c r="H11" s="88"/>
      <c r="I11" s="23">
        <v>18</v>
      </c>
      <c r="J11" s="13">
        <v>1500</v>
      </c>
      <c r="K11" s="12">
        <f t="shared" si="1"/>
        <v>83.333333333333329</v>
      </c>
      <c r="L11" s="23">
        <v>18</v>
      </c>
      <c r="M11" s="13">
        <f>AVERAGE(M9:M10)</f>
        <v>1430.679012345679</v>
      </c>
      <c r="N11" s="12">
        <f t="shared" si="3"/>
        <v>79.482167352537715</v>
      </c>
      <c r="O11" s="14">
        <f t="shared" si="4"/>
        <v>0</v>
      </c>
      <c r="P11" s="15">
        <f t="shared" si="5"/>
        <v>-3.8511659807956136</v>
      </c>
      <c r="Q11" s="91">
        <f t="shared" si="6"/>
        <v>0.95378600823045268</v>
      </c>
      <c r="R11" s="177"/>
      <c r="S11" s="21"/>
      <c r="T11" s="21"/>
      <c r="U11" s="12"/>
      <c r="V11" s="30"/>
      <c r="W11" s="12"/>
      <c r="X11" s="12"/>
      <c r="Y11" s="24">
        <f>SUM(Y9:Y10)</f>
        <v>0</v>
      </c>
      <c r="Z11" s="24">
        <f>SUM(Z9:Z10)</f>
        <v>0</v>
      </c>
      <c r="AA11" s="167"/>
      <c r="AB11" s="167"/>
      <c r="AC11" s="24">
        <v>2</v>
      </c>
      <c r="AD11" s="24">
        <f>SUM(AD9:AD10)</f>
        <v>0</v>
      </c>
      <c r="AE11" s="14">
        <f t="shared" si="8"/>
        <v>-69.320987654321016</v>
      </c>
      <c r="AF11" s="91">
        <f t="shared" si="9"/>
        <v>0.95378600823045268</v>
      </c>
      <c r="AG11" s="177"/>
    </row>
    <row r="12" spans="1:33" ht="16.5" customHeight="1">
      <c r="A12" s="197" t="s">
        <v>1049</v>
      </c>
      <c r="B12" s="88" t="s">
        <v>12</v>
      </c>
      <c r="C12" s="193" t="s">
        <v>13</v>
      </c>
      <c r="D12" s="193"/>
      <c r="E12" s="28">
        <v>41</v>
      </c>
      <c r="F12" s="88">
        <v>2145</v>
      </c>
      <c r="G12" s="88">
        <f t="shared" ref="G12:G15" si="15">E12*F12</f>
        <v>87945</v>
      </c>
      <c r="H12" s="30" t="s">
        <v>53</v>
      </c>
      <c r="I12" s="95">
        <v>26</v>
      </c>
      <c r="J12" s="13">
        <v>1500</v>
      </c>
      <c r="K12" s="12">
        <f t="shared" si="1"/>
        <v>57.692307692307693</v>
      </c>
      <c r="L12" s="95">
        <v>26</v>
      </c>
      <c r="M12" s="13">
        <f t="shared" ref="M12:M15" si="16">F12/V12*60</f>
        <v>1429.9999999999993</v>
      </c>
      <c r="N12" s="12">
        <f t="shared" si="3"/>
        <v>54.999999999999972</v>
      </c>
      <c r="O12" s="14">
        <f t="shared" si="4"/>
        <v>0</v>
      </c>
      <c r="P12" s="15">
        <f t="shared" si="5"/>
        <v>-2.6923076923077218</v>
      </c>
      <c r="Q12" s="91">
        <f t="shared" si="6"/>
        <v>0.95333333333333281</v>
      </c>
      <c r="R12" s="177">
        <f>Q16</f>
        <v>0.95988043478260765</v>
      </c>
      <c r="S12" s="21">
        <v>0.20833333333333334</v>
      </c>
      <c r="T12" s="21">
        <v>0.27083333333333337</v>
      </c>
      <c r="U12" s="88"/>
      <c r="V12" s="30">
        <f t="shared" ref="V12:V15" si="17">(T12-S12)*24*60</f>
        <v>90.000000000000043</v>
      </c>
      <c r="W12" s="21"/>
      <c r="X12" s="21"/>
      <c r="Y12" s="21"/>
      <c r="Z12" s="21"/>
      <c r="AA12" s="168"/>
      <c r="AB12" s="168"/>
      <c r="AC12" s="18">
        <v>4</v>
      </c>
      <c r="AD12" s="18"/>
      <c r="AE12" s="14">
        <f t="shared" si="8"/>
        <v>-70.000000000000682</v>
      </c>
      <c r="AF12" s="91">
        <f t="shared" si="9"/>
        <v>0.95333333333333292</v>
      </c>
      <c r="AG12" s="177">
        <f>AF16</f>
        <v>0.95988043478260765</v>
      </c>
    </row>
    <row r="13" spans="1:33" ht="16.5" customHeight="1">
      <c r="A13" s="198" t="s">
        <v>1050</v>
      </c>
      <c r="B13" s="88" t="s">
        <v>5</v>
      </c>
      <c r="C13" s="193" t="s">
        <v>14</v>
      </c>
      <c r="D13" s="193"/>
      <c r="E13" s="28">
        <v>50.98</v>
      </c>
      <c r="F13" s="88">
        <v>2207</v>
      </c>
      <c r="G13" s="88">
        <f t="shared" si="15"/>
        <v>112512.85999999999</v>
      </c>
      <c r="H13" s="30" t="s">
        <v>53</v>
      </c>
      <c r="I13" s="95">
        <v>16</v>
      </c>
      <c r="J13" s="13">
        <v>2000</v>
      </c>
      <c r="K13" s="12">
        <f t="shared" si="1"/>
        <v>125</v>
      </c>
      <c r="L13" s="95">
        <v>16</v>
      </c>
      <c r="M13" s="13">
        <f t="shared" si="16"/>
        <v>1919.1304347826067</v>
      </c>
      <c r="N13" s="12">
        <f t="shared" si="3"/>
        <v>119.94565217391292</v>
      </c>
      <c r="O13" s="14">
        <f t="shared" si="4"/>
        <v>0</v>
      </c>
      <c r="P13" s="15">
        <f t="shared" si="5"/>
        <v>-5.0543478260870813</v>
      </c>
      <c r="Q13" s="91">
        <f t="shared" si="6"/>
        <v>0.9595652173913034</v>
      </c>
      <c r="R13" s="177"/>
      <c r="S13" s="21">
        <v>0.70833333333333337</v>
      </c>
      <c r="T13" s="21">
        <v>0.75625000000000009</v>
      </c>
      <c r="U13" s="88" t="str">
        <f t="shared" ref="U13:U15" si="18">IF(S13=TIME(17,0,0),"",(S13-T12)*24*60)</f>
        <v/>
      </c>
      <c r="V13" s="30">
        <f t="shared" si="17"/>
        <v>69.000000000000071</v>
      </c>
      <c r="W13" s="16"/>
      <c r="X13" s="16"/>
      <c r="Y13" s="16"/>
      <c r="Z13" s="16"/>
      <c r="AA13" s="168"/>
      <c r="AB13" s="168"/>
      <c r="AC13" s="18"/>
      <c r="AD13" s="18"/>
      <c r="AE13" s="14">
        <f t="shared" si="8"/>
        <v>-80.869565217393301</v>
      </c>
      <c r="AF13" s="91">
        <f t="shared" si="9"/>
        <v>0.9595652173913034</v>
      </c>
      <c r="AG13" s="177"/>
    </row>
    <row r="14" spans="1:33" ht="16.5" customHeight="1">
      <c r="A14" s="198" t="s">
        <v>1050</v>
      </c>
      <c r="B14" s="88" t="s">
        <v>5</v>
      </c>
      <c r="C14" s="193" t="s">
        <v>15</v>
      </c>
      <c r="D14" s="193"/>
      <c r="E14" s="28">
        <v>50.92</v>
      </c>
      <c r="F14" s="88">
        <v>2213</v>
      </c>
      <c r="G14" s="88">
        <f t="shared" si="15"/>
        <v>112685.96</v>
      </c>
      <c r="H14" s="30" t="s">
        <v>53</v>
      </c>
      <c r="I14" s="95">
        <v>15</v>
      </c>
      <c r="J14" s="13">
        <v>2000</v>
      </c>
      <c r="K14" s="12">
        <f t="shared" si="1"/>
        <v>133.33333333333334</v>
      </c>
      <c r="L14" s="95">
        <v>15</v>
      </c>
      <c r="M14" s="13">
        <f t="shared" si="16"/>
        <v>1924.3478260869547</v>
      </c>
      <c r="N14" s="12">
        <f t="shared" si="3"/>
        <v>128.28985507246364</v>
      </c>
      <c r="O14" s="14">
        <f t="shared" si="4"/>
        <v>0</v>
      </c>
      <c r="P14" s="15">
        <f t="shared" si="5"/>
        <v>-5.0434782608697049</v>
      </c>
      <c r="Q14" s="91">
        <f t="shared" si="6"/>
        <v>0.96217391304347721</v>
      </c>
      <c r="R14" s="177"/>
      <c r="S14" s="21">
        <v>0.7597222222222223</v>
      </c>
      <c r="T14" s="21">
        <v>0.80763888888888902</v>
      </c>
      <c r="U14" s="88">
        <f t="shared" si="18"/>
        <v>4.9999999999999822</v>
      </c>
      <c r="V14" s="30">
        <f t="shared" si="17"/>
        <v>69.000000000000071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8"/>
        <v>-75.652173913045317</v>
      </c>
      <c r="AF14" s="91">
        <f t="shared" si="9"/>
        <v>0.96217391304347732</v>
      </c>
      <c r="AG14" s="177"/>
    </row>
    <row r="15" spans="1:33" ht="16.5" customHeight="1">
      <c r="A15" s="198" t="s">
        <v>1050</v>
      </c>
      <c r="B15" s="88" t="s">
        <v>5</v>
      </c>
      <c r="C15" s="193" t="s">
        <v>43</v>
      </c>
      <c r="D15" s="193"/>
      <c r="E15" s="28">
        <v>54.29</v>
      </c>
      <c r="F15" s="88">
        <v>1027</v>
      </c>
      <c r="G15" s="88">
        <f t="shared" si="15"/>
        <v>55755.83</v>
      </c>
      <c r="H15" s="30" t="s">
        <v>53</v>
      </c>
      <c r="I15" s="95">
        <v>20</v>
      </c>
      <c r="J15" s="13">
        <v>2000</v>
      </c>
      <c r="K15" s="12">
        <f t="shared" si="1"/>
        <v>100</v>
      </c>
      <c r="L15" s="95">
        <v>20</v>
      </c>
      <c r="M15" s="13">
        <f t="shared" si="16"/>
        <v>1925.6249999999975</v>
      </c>
      <c r="N15" s="12">
        <f t="shared" si="3"/>
        <v>96.281249999999872</v>
      </c>
      <c r="O15" s="14">
        <f t="shared" si="4"/>
        <v>0</v>
      </c>
      <c r="P15" s="15">
        <f t="shared" si="5"/>
        <v>-3.7187500000001279</v>
      </c>
      <c r="Q15" s="91">
        <f t="shared" si="6"/>
        <v>0.96281249999999874</v>
      </c>
      <c r="R15" s="177"/>
      <c r="S15" s="21">
        <v>0.81319444444444455</v>
      </c>
      <c r="T15" s="21">
        <v>0.83541666666666681</v>
      </c>
      <c r="U15" s="88">
        <f t="shared" si="18"/>
        <v>7.9999999999999716</v>
      </c>
      <c r="V15" s="30">
        <f t="shared" si="17"/>
        <v>32.000000000000043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-74.375000000002501</v>
      </c>
      <c r="AF15" s="91">
        <f t="shared" si="9"/>
        <v>0.96281249999999874</v>
      </c>
      <c r="AG15" s="177"/>
    </row>
    <row r="16" spans="1:33" ht="16.5" customHeight="1">
      <c r="A16" s="198" t="s">
        <v>1050</v>
      </c>
      <c r="B16" s="28" t="s">
        <v>580</v>
      </c>
      <c r="C16" s="178"/>
      <c r="D16" s="178"/>
      <c r="E16" s="92"/>
      <c r="F16" s="12"/>
      <c r="G16" s="12"/>
      <c r="H16" s="88"/>
      <c r="I16" s="23">
        <v>19.25</v>
      </c>
      <c r="J16" s="13">
        <v>1875</v>
      </c>
      <c r="K16" s="12">
        <f t="shared" si="1"/>
        <v>97.402597402597408</v>
      </c>
      <c r="L16" s="23">
        <v>19.25</v>
      </c>
      <c r="M16" s="13">
        <f>AVERAGE(M12:M15)</f>
        <v>1799.7758152173894</v>
      </c>
      <c r="N16" s="12">
        <f t="shared" si="3"/>
        <v>93.494847543760486</v>
      </c>
      <c r="O16" s="14">
        <f t="shared" si="4"/>
        <v>0</v>
      </c>
      <c r="P16" s="15">
        <f t="shared" si="5"/>
        <v>-3.9077498588369224</v>
      </c>
      <c r="Q16" s="91">
        <f t="shared" si="6"/>
        <v>0.95988043478260765</v>
      </c>
      <c r="R16" s="177"/>
      <c r="S16" s="21"/>
      <c r="T16" s="21"/>
      <c r="U16" s="88"/>
      <c r="V16" s="30"/>
      <c r="W16" s="12"/>
      <c r="X16" s="12"/>
      <c r="Y16" s="24">
        <f>SUM(Y12:Y15)</f>
        <v>0</v>
      </c>
      <c r="Z16" s="24">
        <f>SUM(Z12:Z15)</f>
        <v>0</v>
      </c>
      <c r="AA16" s="167"/>
      <c r="AB16" s="167"/>
      <c r="AC16" s="24">
        <v>4</v>
      </c>
      <c r="AD16" s="24">
        <f>SUM(AD12:AD15)</f>
        <v>0</v>
      </c>
      <c r="AE16" s="14">
        <f t="shared" si="8"/>
        <v>-75.224184782610564</v>
      </c>
      <c r="AF16" s="91">
        <f t="shared" si="9"/>
        <v>0.95988043478260765</v>
      </c>
      <c r="AG16" s="177"/>
    </row>
    <row r="17" spans="1:33" ht="15.75" customHeight="1">
      <c r="A17" s="195" t="s">
        <v>581</v>
      </c>
      <c r="B17" s="28" t="s">
        <v>5</v>
      </c>
      <c r="C17" s="193" t="s">
        <v>17</v>
      </c>
      <c r="D17" s="193"/>
      <c r="E17" s="28">
        <v>57.73</v>
      </c>
      <c r="F17" s="88">
        <v>2073</v>
      </c>
      <c r="G17" s="88">
        <f t="shared" ref="G17:G22" si="19">E17*F17</f>
        <v>119674.29</v>
      </c>
      <c r="H17" s="30" t="s">
        <v>53</v>
      </c>
      <c r="I17" s="95">
        <v>14</v>
      </c>
      <c r="J17" s="13">
        <v>2000</v>
      </c>
      <c r="K17" s="12">
        <f t="shared" si="1"/>
        <v>142.85714285714286</v>
      </c>
      <c r="L17" s="95">
        <v>14</v>
      </c>
      <c r="M17" s="13">
        <f t="shared" ref="M17:M22" si="20">F17/V17*60</f>
        <v>1913.5384615384623</v>
      </c>
      <c r="N17" s="12">
        <f t="shared" si="3"/>
        <v>136.68131868131874</v>
      </c>
      <c r="O17" s="14">
        <f t="shared" si="4"/>
        <v>0</v>
      </c>
      <c r="P17" s="15">
        <f t="shared" si="5"/>
        <v>-6.1758241758241184</v>
      </c>
      <c r="Q17" s="91">
        <f t="shared" si="6"/>
        <v>0.95676923076923115</v>
      </c>
      <c r="R17" s="177">
        <f>Q23</f>
        <v>0.95772583576644876</v>
      </c>
      <c r="S17" s="21">
        <v>0.20833333333333334</v>
      </c>
      <c r="T17" s="21">
        <v>0.25347222222222221</v>
      </c>
      <c r="U17" s="88"/>
      <c r="V17" s="30">
        <f t="shared" ref="V17:V22" si="21">(T17-S17)*24*60</f>
        <v>64.999999999999972</v>
      </c>
      <c r="W17" s="21"/>
      <c r="X17" s="21"/>
      <c r="Y17" s="21"/>
      <c r="Z17" s="21"/>
      <c r="AA17" s="168"/>
      <c r="AB17" s="168"/>
      <c r="AC17" s="18">
        <v>6</v>
      </c>
      <c r="AD17" s="18"/>
      <c r="AE17" s="14">
        <f t="shared" si="8"/>
        <v>-86.461538461537657</v>
      </c>
      <c r="AF17" s="91">
        <f t="shared" si="9"/>
        <v>0.95676923076923115</v>
      </c>
      <c r="AG17" s="177">
        <f>AF23</f>
        <v>0.95772583576644876</v>
      </c>
    </row>
    <row r="18" spans="1:33" ht="15.75" customHeight="1">
      <c r="A18" s="196" t="s">
        <v>581</v>
      </c>
      <c r="B18" s="28" t="s">
        <v>5</v>
      </c>
      <c r="C18" s="193" t="s">
        <v>18</v>
      </c>
      <c r="D18" s="193"/>
      <c r="E18" s="28">
        <v>53.68</v>
      </c>
      <c r="F18" s="88">
        <v>1082</v>
      </c>
      <c r="G18" s="88">
        <f t="shared" si="19"/>
        <v>58081.760000000002</v>
      </c>
      <c r="H18" s="30" t="s">
        <v>53</v>
      </c>
      <c r="I18" s="95">
        <v>16</v>
      </c>
      <c r="J18" s="13">
        <v>2000</v>
      </c>
      <c r="K18" s="12">
        <f t="shared" si="1"/>
        <v>125</v>
      </c>
      <c r="L18" s="95">
        <v>16</v>
      </c>
      <c r="M18" s="13">
        <f t="shared" si="20"/>
        <v>1909.4117647058802</v>
      </c>
      <c r="N18" s="12">
        <f t="shared" si="3"/>
        <v>119.33823529411751</v>
      </c>
      <c r="O18" s="14">
        <f t="shared" si="4"/>
        <v>0</v>
      </c>
      <c r="P18" s="15">
        <f t="shared" si="5"/>
        <v>-5.66176470588249</v>
      </c>
      <c r="Q18" s="91">
        <f t="shared" si="6"/>
        <v>0.95470588235294007</v>
      </c>
      <c r="R18" s="177"/>
      <c r="S18" s="21">
        <v>0.25694444444444442</v>
      </c>
      <c r="T18" s="21">
        <v>0.28055555555555556</v>
      </c>
      <c r="U18" s="88">
        <f t="shared" ref="U18:U22" si="22">IF(S18=TIME(17,0,0),"",(S18-T17)*24*60)</f>
        <v>4.9999999999999822</v>
      </c>
      <c r="V18" s="30">
        <f t="shared" si="21"/>
        <v>34.000000000000043</v>
      </c>
      <c r="W18" s="16"/>
      <c r="X18" s="88"/>
      <c r="Y18" s="88"/>
      <c r="Z18" s="88"/>
      <c r="AA18" s="168"/>
      <c r="AB18" s="168"/>
      <c r="AC18" s="18"/>
      <c r="AD18" s="18"/>
      <c r="AE18" s="14">
        <f t="shared" si="8"/>
        <v>-90.588235294119841</v>
      </c>
      <c r="AF18" s="91">
        <f t="shared" si="9"/>
        <v>0.95470588235294007</v>
      </c>
      <c r="AG18" s="177"/>
    </row>
    <row r="19" spans="1:33" ht="15.75" customHeight="1">
      <c r="A19" s="196" t="s">
        <v>581</v>
      </c>
      <c r="B19" s="28" t="s">
        <v>5</v>
      </c>
      <c r="C19" s="193" t="s">
        <v>73</v>
      </c>
      <c r="D19" s="193"/>
      <c r="E19" s="28">
        <v>50.67</v>
      </c>
      <c r="F19" s="88">
        <v>2483</v>
      </c>
      <c r="G19" s="88">
        <f t="shared" si="19"/>
        <v>125813.61</v>
      </c>
      <c r="H19" s="30" t="s">
        <v>53</v>
      </c>
      <c r="I19" s="95">
        <v>17</v>
      </c>
      <c r="J19" s="13">
        <v>2000</v>
      </c>
      <c r="K19" s="12">
        <f t="shared" si="1"/>
        <v>117.64705882352941</v>
      </c>
      <c r="L19" s="95">
        <v>17</v>
      </c>
      <c r="M19" s="13">
        <f t="shared" si="20"/>
        <v>1909.9999999999989</v>
      </c>
      <c r="N19" s="12">
        <f t="shared" si="3"/>
        <v>112.35294117647052</v>
      </c>
      <c r="O19" s="14">
        <f t="shared" si="4"/>
        <v>0</v>
      </c>
      <c r="P19" s="15">
        <f t="shared" si="5"/>
        <v>-5.2941176470588829</v>
      </c>
      <c r="Q19" s="91">
        <f t="shared" si="6"/>
        <v>0.95499999999999952</v>
      </c>
      <c r="R19" s="177"/>
      <c r="S19" s="21">
        <v>0.28611111111111109</v>
      </c>
      <c r="T19" s="21">
        <v>0.34027777777777779</v>
      </c>
      <c r="U19" s="88">
        <f t="shared" si="22"/>
        <v>7.9999999999999716</v>
      </c>
      <c r="V19" s="30">
        <f t="shared" si="21"/>
        <v>78.000000000000043</v>
      </c>
      <c r="W19" s="16"/>
      <c r="X19" s="88"/>
      <c r="Y19" s="88"/>
      <c r="Z19" s="88"/>
      <c r="AA19" s="168"/>
      <c r="AB19" s="168"/>
      <c r="AC19" s="18"/>
      <c r="AD19" s="18"/>
      <c r="AE19" s="14">
        <f t="shared" si="8"/>
        <v>-90.000000000001137</v>
      </c>
      <c r="AF19" s="91">
        <f t="shared" si="9"/>
        <v>0.9549999999999994</v>
      </c>
      <c r="AG19" s="177"/>
    </row>
    <row r="20" spans="1:33" ht="15.75" customHeight="1">
      <c r="A20" s="196" t="s">
        <v>1051</v>
      </c>
      <c r="B20" s="28" t="s">
        <v>5</v>
      </c>
      <c r="C20" s="193" t="s">
        <v>21</v>
      </c>
      <c r="D20" s="193"/>
      <c r="E20" s="28">
        <v>57.3</v>
      </c>
      <c r="F20" s="88">
        <v>1573</v>
      </c>
      <c r="G20" s="88">
        <f t="shared" si="19"/>
        <v>90132.9</v>
      </c>
      <c r="H20" s="30" t="s">
        <v>53</v>
      </c>
      <c r="I20" s="95">
        <v>13</v>
      </c>
      <c r="J20" s="13">
        <v>2000</v>
      </c>
      <c r="K20" s="12">
        <f t="shared" si="1"/>
        <v>153.84615384615384</v>
      </c>
      <c r="L20" s="95">
        <v>13</v>
      </c>
      <c r="M20" s="13">
        <f t="shared" si="20"/>
        <v>1926.1224489795925</v>
      </c>
      <c r="N20" s="12">
        <f t="shared" si="3"/>
        <v>148.1632653061225</v>
      </c>
      <c r="O20" s="14">
        <f t="shared" si="4"/>
        <v>0</v>
      </c>
      <c r="P20" s="15">
        <f t="shared" si="5"/>
        <v>-5.6828885400313425</v>
      </c>
      <c r="Q20" s="91">
        <f t="shared" si="6"/>
        <v>0.96306122448979625</v>
      </c>
      <c r="R20" s="177"/>
      <c r="S20" s="21">
        <v>0.70833333333333337</v>
      </c>
      <c r="T20" s="21">
        <v>0.74236111111111114</v>
      </c>
      <c r="U20" s="88" t="str">
        <f t="shared" si="22"/>
        <v/>
      </c>
      <c r="V20" s="30">
        <f t="shared" si="21"/>
        <v>48.999999999999986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-73.877551020407509</v>
      </c>
      <c r="AF20" s="91">
        <f t="shared" si="9"/>
        <v>0.96306122448979625</v>
      </c>
      <c r="AG20" s="177"/>
    </row>
    <row r="21" spans="1:33" ht="15.75" customHeight="1">
      <c r="A21" s="196" t="s">
        <v>581</v>
      </c>
      <c r="B21" s="28" t="s">
        <v>5</v>
      </c>
      <c r="C21" s="193" t="s">
        <v>20</v>
      </c>
      <c r="D21" s="193"/>
      <c r="E21" s="28">
        <v>53.68</v>
      </c>
      <c r="F21" s="88">
        <v>1346</v>
      </c>
      <c r="G21" s="88">
        <f t="shared" si="19"/>
        <v>72253.279999999999</v>
      </c>
      <c r="H21" s="30" t="s">
        <v>53</v>
      </c>
      <c r="I21" s="95">
        <v>16</v>
      </c>
      <c r="J21" s="13">
        <v>1500</v>
      </c>
      <c r="K21" s="12">
        <f t="shared" si="1"/>
        <v>93.75</v>
      </c>
      <c r="L21" s="95">
        <v>16</v>
      </c>
      <c r="M21" s="13">
        <f t="shared" si="20"/>
        <v>1442.1428571428582</v>
      </c>
      <c r="N21" s="12">
        <f t="shared" si="3"/>
        <v>90.13392857142864</v>
      </c>
      <c r="O21" s="14">
        <f t="shared" si="4"/>
        <v>0</v>
      </c>
      <c r="P21" s="15">
        <f t="shared" si="5"/>
        <v>-3.6160714285713595</v>
      </c>
      <c r="Q21" s="91">
        <f t="shared" si="6"/>
        <v>0.96142857142857219</v>
      </c>
      <c r="R21" s="177"/>
      <c r="S21" s="21">
        <v>0.74722222222222223</v>
      </c>
      <c r="T21" s="21">
        <v>0.78611111111111109</v>
      </c>
      <c r="U21" s="88">
        <f t="shared" si="22"/>
        <v>6.9999999999999751</v>
      </c>
      <c r="V21" s="30">
        <f t="shared" si="21"/>
        <v>55.999999999999957</v>
      </c>
      <c r="W21" s="16"/>
      <c r="X21" s="16"/>
      <c r="Y21" s="88"/>
      <c r="Z21" s="88"/>
      <c r="AA21" s="168"/>
      <c r="AB21" s="168"/>
      <c r="AC21" s="18"/>
      <c r="AD21" s="18"/>
      <c r="AE21" s="14">
        <f t="shared" si="8"/>
        <v>-57.857142857141753</v>
      </c>
      <c r="AF21" s="91">
        <f t="shared" si="9"/>
        <v>0.96142857142857219</v>
      </c>
      <c r="AG21" s="177"/>
    </row>
    <row r="22" spans="1:33" ht="15.75" customHeight="1">
      <c r="A22" s="196" t="s">
        <v>581</v>
      </c>
      <c r="B22" s="28" t="s">
        <v>5</v>
      </c>
      <c r="C22" s="193" t="s">
        <v>19</v>
      </c>
      <c r="D22" s="193"/>
      <c r="E22" s="28">
        <v>50.49</v>
      </c>
      <c r="F22" s="88">
        <v>1817</v>
      </c>
      <c r="G22" s="88">
        <f t="shared" si="19"/>
        <v>91740.33</v>
      </c>
      <c r="H22" s="30" t="s">
        <v>53</v>
      </c>
      <c r="I22" s="95">
        <v>15</v>
      </c>
      <c r="J22" s="13">
        <v>2000</v>
      </c>
      <c r="K22" s="12">
        <f t="shared" si="1"/>
        <v>133.33333333333334</v>
      </c>
      <c r="L22" s="95">
        <v>15</v>
      </c>
      <c r="M22" s="13">
        <f t="shared" si="20"/>
        <v>1912.6315789473699</v>
      </c>
      <c r="N22" s="12">
        <f t="shared" si="3"/>
        <v>127.50877192982466</v>
      </c>
      <c r="O22" s="14">
        <f t="shared" si="4"/>
        <v>0</v>
      </c>
      <c r="P22" s="15">
        <f t="shared" si="5"/>
        <v>-5.8245614035086817</v>
      </c>
      <c r="Q22" s="91">
        <f t="shared" si="6"/>
        <v>0.9563157894736849</v>
      </c>
      <c r="R22" s="177"/>
      <c r="S22" s="21">
        <v>0.79097222222222219</v>
      </c>
      <c r="T22" s="21">
        <v>0.83055555555555549</v>
      </c>
      <c r="U22" s="88">
        <f t="shared" si="22"/>
        <v>6.9999999999999751</v>
      </c>
      <c r="V22" s="30">
        <f t="shared" si="21"/>
        <v>56.999999999999957</v>
      </c>
      <c r="W22" s="16"/>
      <c r="X22" s="21"/>
      <c r="Y22" s="21"/>
      <c r="Z22" s="21"/>
      <c r="AA22" s="168"/>
      <c r="AB22" s="168"/>
      <c r="AC22" s="18"/>
      <c r="AD22" s="18"/>
      <c r="AE22" s="14">
        <f t="shared" si="8"/>
        <v>-87.368421052630083</v>
      </c>
      <c r="AF22" s="91">
        <f t="shared" si="9"/>
        <v>0.95631578947368501</v>
      </c>
      <c r="AG22" s="177"/>
    </row>
    <row r="23" spans="1:33" ht="15.75" customHeight="1">
      <c r="A23" s="196" t="s">
        <v>581</v>
      </c>
      <c r="B23" s="28" t="s">
        <v>580</v>
      </c>
      <c r="C23" s="178"/>
      <c r="D23" s="178"/>
      <c r="E23" s="92"/>
      <c r="F23" s="88"/>
      <c r="G23" s="88"/>
      <c r="H23" s="88"/>
      <c r="I23" s="23">
        <v>15.166666666666666</v>
      </c>
      <c r="J23" s="13">
        <v>1916.6666666666667</v>
      </c>
      <c r="K23" s="12">
        <f t="shared" si="1"/>
        <v>126.37362637362638</v>
      </c>
      <c r="L23" s="23">
        <v>15.166666666666666</v>
      </c>
      <c r="M23" s="13">
        <f>AVERAGE(M17:M22)</f>
        <v>1835.641185219027</v>
      </c>
      <c r="N23" s="12">
        <f t="shared" si="3"/>
        <v>121.03128693751826</v>
      </c>
      <c r="O23" s="14">
        <f t="shared" si="4"/>
        <v>0</v>
      </c>
      <c r="P23" s="15">
        <f t="shared" si="5"/>
        <v>-5.3423394361081193</v>
      </c>
      <c r="Q23" s="91">
        <f t="shared" si="6"/>
        <v>0.95772583576644876</v>
      </c>
      <c r="R23" s="177"/>
      <c r="S23" s="21"/>
      <c r="T23" s="21"/>
      <c r="U23" s="12"/>
      <c r="V23" s="30"/>
      <c r="W23" s="12"/>
      <c r="X23" s="12"/>
      <c r="Y23" s="24">
        <f>SUM(Y17:Y22)</f>
        <v>0</v>
      </c>
      <c r="Z23" s="24">
        <f>SUM(Z17:Z22)</f>
        <v>0</v>
      </c>
      <c r="AA23" s="167"/>
      <c r="AB23" s="167"/>
      <c r="AC23" s="24">
        <v>6</v>
      </c>
      <c r="AD23" s="24">
        <f>SUM(AD17:AD22)</f>
        <v>0</v>
      </c>
      <c r="AE23" s="14">
        <f t="shared" si="8"/>
        <v>-81.025481447639777</v>
      </c>
      <c r="AF23" s="91">
        <f t="shared" si="9"/>
        <v>0.95772583576644876</v>
      </c>
      <c r="AG23" s="177"/>
    </row>
    <row r="24" spans="1:33" ht="15.75" customHeight="1">
      <c r="A24" s="194" t="s">
        <v>747</v>
      </c>
      <c r="B24" s="28" t="s">
        <v>22</v>
      </c>
      <c r="C24" s="193" t="s">
        <v>23</v>
      </c>
      <c r="D24" s="193"/>
      <c r="E24" s="28">
        <v>31.29</v>
      </c>
      <c r="F24" s="88">
        <v>7630</v>
      </c>
      <c r="G24" s="88">
        <f t="shared" ref="G24:G28" si="23">E24*F24</f>
        <v>238742.69999999998</v>
      </c>
      <c r="H24" s="30" t="s">
        <v>53</v>
      </c>
      <c r="I24" s="95">
        <v>18</v>
      </c>
      <c r="J24" s="13">
        <v>2400</v>
      </c>
      <c r="K24" s="12">
        <f t="shared" si="1"/>
        <v>133.33333333333334</v>
      </c>
      <c r="L24" s="95">
        <v>18</v>
      </c>
      <c r="M24" s="13">
        <f t="shared" ref="M24:M28" si="24">F24/V24*60</f>
        <v>2289</v>
      </c>
      <c r="N24" s="12">
        <f t="shared" si="3"/>
        <v>127.16666666666667</v>
      </c>
      <c r="O24" s="14">
        <f t="shared" si="4"/>
        <v>0</v>
      </c>
      <c r="P24" s="15">
        <f t="shared" si="5"/>
        <v>-6.1666666666666714</v>
      </c>
      <c r="Q24" s="91">
        <f t="shared" si="6"/>
        <v>0.95374999999999999</v>
      </c>
      <c r="R24" s="177">
        <f>Q29</f>
        <v>0.95561254973097087</v>
      </c>
      <c r="S24" s="21">
        <v>8.3333333333333329E-2</v>
      </c>
      <c r="T24" s="21">
        <v>0.22222222222222221</v>
      </c>
      <c r="U24" s="88"/>
      <c r="V24" s="30">
        <f t="shared" ref="V24:V28" si="25">(T24-S24)*24*60</f>
        <v>200</v>
      </c>
      <c r="W24" s="16">
        <f>T24</f>
        <v>0.22222222222222221</v>
      </c>
      <c r="X24" s="16">
        <f>S25</f>
        <v>0.23958333333333329</v>
      </c>
      <c r="Y24" s="16"/>
      <c r="Z24" s="16"/>
      <c r="AA24" s="168"/>
      <c r="AB24" s="168"/>
      <c r="AC24" s="18">
        <v>5</v>
      </c>
      <c r="AD24" s="18"/>
      <c r="AE24" s="14">
        <f t="shared" si="8"/>
        <v>-111</v>
      </c>
      <c r="AF24" s="91">
        <f t="shared" si="9"/>
        <v>0.95374999999999999</v>
      </c>
      <c r="AG24" s="177">
        <f>AF29</f>
        <v>0.95561254973097087</v>
      </c>
    </row>
    <row r="25" spans="1:33" ht="15.75" customHeight="1">
      <c r="A25" s="194" t="s">
        <v>747</v>
      </c>
      <c r="B25" s="28" t="s">
        <v>22</v>
      </c>
      <c r="C25" s="193" t="s">
        <v>24</v>
      </c>
      <c r="D25" s="193"/>
      <c r="E25" s="28">
        <v>25.98</v>
      </c>
      <c r="F25" s="88">
        <v>2532</v>
      </c>
      <c r="G25" s="88">
        <f t="shared" si="23"/>
        <v>65781.36</v>
      </c>
      <c r="H25" s="30" t="s">
        <v>53</v>
      </c>
      <c r="I25" s="95">
        <v>21</v>
      </c>
      <c r="J25" s="13">
        <v>2400</v>
      </c>
      <c r="K25" s="12">
        <f t="shared" si="1"/>
        <v>114.28571428571429</v>
      </c>
      <c r="L25" s="95">
        <v>21</v>
      </c>
      <c r="M25" s="13">
        <f t="shared" si="24"/>
        <v>2301.8181818181802</v>
      </c>
      <c r="N25" s="12">
        <f t="shared" si="3"/>
        <v>109.61038961038953</v>
      </c>
      <c r="O25" s="14">
        <f t="shared" si="4"/>
        <v>0</v>
      </c>
      <c r="P25" s="15">
        <f t="shared" si="5"/>
        <v>-4.6753246753247595</v>
      </c>
      <c r="Q25" s="91">
        <f t="shared" si="6"/>
        <v>0.95909090909090833</v>
      </c>
      <c r="R25" s="177"/>
      <c r="S25" s="21">
        <v>0.23958333333333329</v>
      </c>
      <c r="T25" s="21">
        <v>0.28541666666666665</v>
      </c>
      <c r="U25" s="88">
        <f t="shared" ref="U25:U28" si="26">(S25-T24)*24*60</f>
        <v>24.99999999999995</v>
      </c>
      <c r="V25" s="30">
        <f t="shared" si="25"/>
        <v>66.000000000000043</v>
      </c>
      <c r="W25" s="16"/>
      <c r="X25" s="16"/>
      <c r="Y25" s="16"/>
      <c r="Z25" s="16"/>
      <c r="AA25" s="168"/>
      <c r="AB25" s="168"/>
      <c r="AC25" s="18"/>
      <c r="AD25" s="18"/>
      <c r="AE25" s="14">
        <f t="shared" si="8"/>
        <v>-98.181818181819835</v>
      </c>
      <c r="AF25" s="91">
        <f t="shared" si="9"/>
        <v>0.95909090909090844</v>
      </c>
      <c r="AG25" s="177"/>
    </row>
    <row r="26" spans="1:33" ht="15.75" customHeight="1">
      <c r="A26" s="194" t="s">
        <v>747</v>
      </c>
      <c r="B26" s="28" t="s">
        <v>22</v>
      </c>
      <c r="C26" s="193" t="s">
        <v>25</v>
      </c>
      <c r="D26" s="193"/>
      <c r="E26" s="28">
        <v>26.2</v>
      </c>
      <c r="F26" s="88">
        <v>4345</v>
      </c>
      <c r="G26" s="88">
        <f t="shared" si="23"/>
        <v>113839</v>
      </c>
      <c r="H26" s="30" t="s">
        <v>53</v>
      </c>
      <c r="I26" s="95">
        <v>20</v>
      </c>
      <c r="J26" s="13">
        <v>2400</v>
      </c>
      <c r="K26" s="12">
        <f t="shared" si="1"/>
        <v>120</v>
      </c>
      <c r="L26" s="95">
        <v>20</v>
      </c>
      <c r="M26" s="13">
        <f t="shared" si="24"/>
        <v>2286.8421052631579</v>
      </c>
      <c r="N26" s="12">
        <f t="shared" si="3"/>
        <v>114.34210526315789</v>
      </c>
      <c r="O26" s="14">
        <f t="shared" si="4"/>
        <v>0</v>
      </c>
      <c r="P26" s="15">
        <f t="shared" si="5"/>
        <v>-5.6578947368421098</v>
      </c>
      <c r="Q26" s="91">
        <f t="shared" si="6"/>
        <v>0.95285087719298245</v>
      </c>
      <c r="R26" s="177"/>
      <c r="S26" s="21">
        <v>0.28888888888888886</v>
      </c>
      <c r="T26" s="21">
        <v>0.36805555555555552</v>
      </c>
      <c r="U26" s="88">
        <f t="shared" si="26"/>
        <v>4.9999999999999822</v>
      </c>
      <c r="V26" s="30">
        <f t="shared" si="25"/>
        <v>114</v>
      </c>
      <c r="W26" s="16"/>
      <c r="X26" s="16"/>
      <c r="Y26" s="16"/>
      <c r="Z26" s="16"/>
      <c r="AA26" s="168"/>
      <c r="AB26" s="168"/>
      <c r="AC26" s="18"/>
      <c r="AD26" s="18"/>
      <c r="AE26" s="14">
        <f t="shared" si="8"/>
        <v>-113.15789473684208</v>
      </c>
      <c r="AF26" s="91">
        <f t="shared" si="9"/>
        <v>0.95285087719298245</v>
      </c>
      <c r="AG26" s="177"/>
    </row>
    <row r="27" spans="1:33" ht="15.75" customHeight="1">
      <c r="A27" s="194" t="s">
        <v>747</v>
      </c>
      <c r="B27" s="28" t="s">
        <v>22</v>
      </c>
      <c r="C27" s="193" t="s">
        <v>26</v>
      </c>
      <c r="D27" s="193"/>
      <c r="E27" s="28">
        <v>25.99</v>
      </c>
      <c r="F27" s="88">
        <v>3492</v>
      </c>
      <c r="G27" s="88">
        <f t="shared" si="23"/>
        <v>90757.08</v>
      </c>
      <c r="H27" s="30" t="s">
        <v>53</v>
      </c>
      <c r="I27" s="95">
        <v>14</v>
      </c>
      <c r="J27" s="13">
        <v>2400</v>
      </c>
      <c r="K27" s="12">
        <f t="shared" si="1"/>
        <v>171.42857142857142</v>
      </c>
      <c r="L27" s="95">
        <v>14</v>
      </c>
      <c r="M27" s="13">
        <f t="shared" si="24"/>
        <v>2302.4175824175823</v>
      </c>
      <c r="N27" s="12">
        <f t="shared" si="3"/>
        <v>164.45839874411303</v>
      </c>
      <c r="O27" s="14">
        <f t="shared" si="4"/>
        <v>0</v>
      </c>
      <c r="P27" s="15">
        <f t="shared" si="5"/>
        <v>-6.9701726844583902</v>
      </c>
      <c r="Q27" s="91">
        <f t="shared" si="6"/>
        <v>0.95934065934065937</v>
      </c>
      <c r="R27" s="177"/>
      <c r="S27" s="21">
        <v>0.37291666666666662</v>
      </c>
      <c r="T27" s="21">
        <v>0.43611111111111106</v>
      </c>
      <c r="U27" s="88">
        <f t="shared" si="26"/>
        <v>6.9999999999999751</v>
      </c>
      <c r="V27" s="30">
        <f t="shared" si="25"/>
        <v>91</v>
      </c>
      <c r="W27" s="16"/>
      <c r="X27" s="16"/>
      <c r="Y27" s="16"/>
      <c r="Z27" s="16"/>
      <c r="AA27" s="168"/>
      <c r="AB27" s="168"/>
      <c r="AC27" s="18"/>
      <c r="AD27" s="18"/>
      <c r="AE27" s="14">
        <f t="shared" si="8"/>
        <v>-97.582417582417747</v>
      </c>
      <c r="AF27" s="91">
        <f t="shared" si="9"/>
        <v>0.95934065934065926</v>
      </c>
      <c r="AG27" s="177"/>
    </row>
    <row r="28" spans="1:33" ht="15.75" customHeight="1">
      <c r="A28" s="194" t="s">
        <v>747</v>
      </c>
      <c r="B28" s="28" t="s">
        <v>22</v>
      </c>
      <c r="C28" s="193" t="s">
        <v>27</v>
      </c>
      <c r="D28" s="193"/>
      <c r="E28" s="28">
        <v>26.18</v>
      </c>
      <c r="F28" s="88">
        <v>1258</v>
      </c>
      <c r="G28" s="88">
        <f t="shared" si="23"/>
        <v>32934.44</v>
      </c>
      <c r="H28" s="30" t="s">
        <v>53</v>
      </c>
      <c r="I28" s="95">
        <v>19</v>
      </c>
      <c r="J28" s="13">
        <v>2400</v>
      </c>
      <c r="K28" s="12">
        <f t="shared" si="1"/>
        <v>126.31578947368421</v>
      </c>
      <c r="L28" s="95">
        <v>19</v>
      </c>
      <c r="M28" s="13">
        <f t="shared" si="24"/>
        <v>2287.2727272727298</v>
      </c>
      <c r="N28" s="12">
        <f t="shared" si="3"/>
        <v>120.38277511961735</v>
      </c>
      <c r="O28" s="14">
        <f t="shared" si="4"/>
        <v>0</v>
      </c>
      <c r="P28" s="15">
        <f t="shared" si="5"/>
        <v>-5.9330143540668558</v>
      </c>
      <c r="Q28" s="91">
        <f t="shared" si="6"/>
        <v>0.953030303030304</v>
      </c>
      <c r="R28" s="177"/>
      <c r="S28" s="21">
        <v>0.43958333333333327</v>
      </c>
      <c r="T28" s="21">
        <v>0.46249999999999991</v>
      </c>
      <c r="U28" s="88">
        <f t="shared" si="26"/>
        <v>4.9999999999999822</v>
      </c>
      <c r="V28" s="30">
        <f t="shared" si="25"/>
        <v>32.999999999999964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-112.72727272727025</v>
      </c>
      <c r="AF28" s="91">
        <f t="shared" si="9"/>
        <v>0.95303030303030412</v>
      </c>
      <c r="AG28" s="177"/>
    </row>
    <row r="29" spans="1:33" ht="15.75" customHeight="1">
      <c r="A29" s="194" t="s">
        <v>747</v>
      </c>
      <c r="B29" s="28" t="s">
        <v>580</v>
      </c>
      <c r="C29" s="178"/>
      <c r="D29" s="178"/>
      <c r="E29" s="92"/>
      <c r="F29" s="88"/>
      <c r="G29" s="88"/>
      <c r="H29" s="88"/>
      <c r="I29" s="23">
        <v>18.399999999999999</v>
      </c>
      <c r="J29" s="13">
        <v>2400</v>
      </c>
      <c r="K29" s="12">
        <f t="shared" si="1"/>
        <v>130.43478260869566</v>
      </c>
      <c r="L29" s="23">
        <v>18.399999999999999</v>
      </c>
      <c r="M29" s="13">
        <f>AVERAGE(M24:M28)</f>
        <v>2293.4701193543301</v>
      </c>
      <c r="N29" s="12">
        <f t="shared" si="3"/>
        <v>124.64511518230056</v>
      </c>
      <c r="O29" s="14">
        <f t="shared" si="4"/>
        <v>0</v>
      </c>
      <c r="P29" s="15">
        <f t="shared" si="5"/>
        <v>-5.7896674263950985</v>
      </c>
      <c r="Q29" s="91">
        <f t="shared" si="6"/>
        <v>0.95561254973097087</v>
      </c>
      <c r="R29" s="177"/>
      <c r="S29" s="21"/>
      <c r="T29" s="21"/>
      <c r="U29" s="88"/>
      <c r="V29" s="30"/>
      <c r="W29" s="88"/>
      <c r="X29" s="88"/>
      <c r="Y29" s="24">
        <f>SUM(Y24:Y28)</f>
        <v>0</v>
      </c>
      <c r="Z29" s="24">
        <f>SUM(Z24:Z28)</f>
        <v>0</v>
      </c>
      <c r="AA29" s="167"/>
      <c r="AB29" s="167"/>
      <c r="AC29" s="24">
        <v>5</v>
      </c>
      <c r="AD29" s="24">
        <f>SUM(AD24:AD28)</f>
        <v>0</v>
      </c>
      <c r="AE29" s="14">
        <f t="shared" si="8"/>
        <v>-106.52988064566989</v>
      </c>
      <c r="AF29" s="91">
        <f t="shared" si="9"/>
        <v>0.95561254973097087</v>
      </c>
      <c r="AG29" s="177"/>
    </row>
    <row r="30" spans="1:33" ht="15.75" customHeight="1">
      <c r="A30" s="191" t="s">
        <v>1052</v>
      </c>
      <c r="B30" s="28" t="s">
        <v>22</v>
      </c>
      <c r="C30" s="169" t="s">
        <v>28</v>
      </c>
      <c r="D30" s="169"/>
      <c r="E30" s="28">
        <v>26.2</v>
      </c>
      <c r="F30" s="88">
        <v>5454</v>
      </c>
      <c r="G30" s="88">
        <f t="shared" ref="G30:G34" si="27">E30*F30</f>
        <v>142894.79999999999</v>
      </c>
      <c r="H30" s="30" t="s">
        <v>53</v>
      </c>
      <c r="I30" s="95">
        <v>18</v>
      </c>
      <c r="J30" s="13">
        <v>2400</v>
      </c>
      <c r="K30" s="12">
        <f t="shared" si="1"/>
        <v>133.33333333333334</v>
      </c>
      <c r="L30" s="95">
        <v>18</v>
      </c>
      <c r="M30" s="13">
        <f t="shared" ref="M30:M34" si="28">F30/V30*60</f>
        <v>2288.3916083916083</v>
      </c>
      <c r="N30" s="12">
        <f t="shared" si="3"/>
        <v>127.13286713286713</v>
      </c>
      <c r="O30" s="14">
        <f t="shared" si="4"/>
        <v>0</v>
      </c>
      <c r="P30" s="15">
        <f t="shared" si="5"/>
        <v>-6.2004662004662094</v>
      </c>
      <c r="Q30" s="91">
        <f t="shared" si="6"/>
        <v>0.95349650349650339</v>
      </c>
      <c r="R30" s="177">
        <f>Q35</f>
        <v>0.95728013911266818</v>
      </c>
      <c r="S30" s="21">
        <v>8.3333333333333329E-2</v>
      </c>
      <c r="T30" s="21">
        <v>0.18263888888888888</v>
      </c>
      <c r="U30" s="88"/>
      <c r="V30" s="30">
        <f t="shared" ref="V30:V34" si="29">(T30-S30)*24*60</f>
        <v>143</v>
      </c>
      <c r="W30" s="21">
        <f>T30</f>
        <v>0.18263888888888888</v>
      </c>
      <c r="X30" s="21">
        <f>S31</f>
        <v>0.20416666666666666</v>
      </c>
      <c r="Y30" s="21"/>
      <c r="Z30" s="21"/>
      <c r="AA30" s="168"/>
      <c r="AB30" s="168"/>
      <c r="AC30" s="18">
        <v>5</v>
      </c>
      <c r="AD30" s="18"/>
      <c r="AE30" s="14">
        <f t="shared" si="8"/>
        <v>-111.60839160839168</v>
      </c>
      <c r="AF30" s="91">
        <f t="shared" si="9"/>
        <v>0.9534965034965035</v>
      </c>
      <c r="AG30" s="177">
        <f>AF35</f>
        <v>0.95728013911266807</v>
      </c>
    </row>
    <row r="31" spans="1:33" ht="15.75" customHeight="1">
      <c r="A31" s="191" t="s">
        <v>751</v>
      </c>
      <c r="B31" s="28" t="s">
        <v>22</v>
      </c>
      <c r="C31" s="169" t="s">
        <v>29</v>
      </c>
      <c r="D31" s="169"/>
      <c r="E31" s="28">
        <v>20.52</v>
      </c>
      <c r="F31" s="88">
        <v>3031</v>
      </c>
      <c r="G31" s="88">
        <f t="shared" si="27"/>
        <v>62196.119999999995</v>
      </c>
      <c r="H31" s="30" t="s">
        <v>53</v>
      </c>
      <c r="I31" s="95">
        <v>18</v>
      </c>
      <c r="J31" s="13">
        <v>2400</v>
      </c>
      <c r="K31" s="12">
        <f t="shared" si="1"/>
        <v>133.33333333333334</v>
      </c>
      <c r="L31" s="95">
        <v>18</v>
      </c>
      <c r="M31" s="13">
        <f t="shared" si="28"/>
        <v>2302.0253164556975</v>
      </c>
      <c r="N31" s="12">
        <f t="shared" si="3"/>
        <v>127.89029535864987</v>
      </c>
      <c r="O31" s="14">
        <f t="shared" si="4"/>
        <v>0</v>
      </c>
      <c r="P31" s="15">
        <f t="shared" si="5"/>
        <v>-5.4430379746834774</v>
      </c>
      <c r="Q31" s="91">
        <f t="shared" si="6"/>
        <v>0.95917721518987398</v>
      </c>
      <c r="R31" s="177"/>
      <c r="S31" s="21">
        <v>0.20416666666666666</v>
      </c>
      <c r="T31" s="21">
        <v>0.25902777777777775</v>
      </c>
      <c r="U31" s="88">
        <f t="shared" ref="U31:U34" si="30">(S31-T30)*24*60</f>
        <v>31.000000000000011</v>
      </c>
      <c r="V31" s="30">
        <f t="shared" si="29"/>
        <v>78.999999999999957</v>
      </c>
      <c r="W31" s="88"/>
      <c r="X31" s="88"/>
      <c r="Y31" s="88"/>
      <c r="Z31" s="88"/>
      <c r="AA31" s="168"/>
      <c r="AB31" s="168"/>
      <c r="AC31" s="18"/>
      <c r="AD31" s="18"/>
      <c r="AE31" s="14">
        <f t="shared" si="8"/>
        <v>-97.974683544302479</v>
      </c>
      <c r="AF31" s="91">
        <f t="shared" si="9"/>
        <v>0.95917721518987398</v>
      </c>
      <c r="AG31" s="177"/>
    </row>
    <row r="32" spans="1:33">
      <c r="A32" s="192" t="s">
        <v>751</v>
      </c>
      <c r="B32" s="28" t="s">
        <v>22</v>
      </c>
      <c r="C32" s="169" t="s">
        <v>32</v>
      </c>
      <c r="D32" s="169"/>
      <c r="E32" s="28">
        <v>20.52</v>
      </c>
      <c r="F32" s="88">
        <v>2380</v>
      </c>
      <c r="G32" s="88">
        <f t="shared" si="27"/>
        <v>48837.599999999999</v>
      </c>
      <c r="H32" s="30" t="s">
        <v>53</v>
      </c>
      <c r="I32" s="95">
        <v>18</v>
      </c>
      <c r="J32" s="13">
        <v>2400</v>
      </c>
      <c r="K32" s="12">
        <f t="shared" si="1"/>
        <v>133.33333333333334</v>
      </c>
      <c r="L32" s="95">
        <v>18</v>
      </c>
      <c r="M32" s="13">
        <f t="shared" si="28"/>
        <v>2303.2258064516122</v>
      </c>
      <c r="N32" s="12">
        <f t="shared" si="3"/>
        <v>127.9569892473118</v>
      </c>
      <c r="O32" s="14">
        <f t="shared" si="4"/>
        <v>0</v>
      </c>
      <c r="P32" s="15">
        <f t="shared" si="5"/>
        <v>-5.3763440860215468</v>
      </c>
      <c r="Q32" s="91">
        <f t="shared" si="6"/>
        <v>0.95967741935483841</v>
      </c>
      <c r="R32" s="177"/>
      <c r="S32" s="21">
        <v>0.26249999999999996</v>
      </c>
      <c r="T32" s="21">
        <v>0.30555555555555552</v>
      </c>
      <c r="U32" s="88">
        <f t="shared" si="30"/>
        <v>4.9999999999999822</v>
      </c>
      <c r="V32" s="30">
        <f t="shared" si="29"/>
        <v>62.000000000000021</v>
      </c>
      <c r="W32" s="88"/>
      <c r="X32" s="88"/>
      <c r="Y32" s="88"/>
      <c r="Z32" s="88"/>
      <c r="AA32" s="168"/>
      <c r="AB32" s="168"/>
      <c r="AC32" s="18"/>
      <c r="AD32" s="18"/>
      <c r="AE32" s="14">
        <f t="shared" si="8"/>
        <v>-96.774193548387757</v>
      </c>
      <c r="AF32" s="91">
        <f t="shared" si="9"/>
        <v>0.95967741935483841</v>
      </c>
      <c r="AG32" s="177"/>
    </row>
    <row r="33" spans="1:33">
      <c r="A33" s="192" t="s">
        <v>751</v>
      </c>
      <c r="B33" s="28" t="s">
        <v>22</v>
      </c>
      <c r="C33" s="169" t="s">
        <v>70</v>
      </c>
      <c r="D33" s="169"/>
      <c r="E33" s="28">
        <v>22.69</v>
      </c>
      <c r="F33" s="88">
        <v>4334</v>
      </c>
      <c r="G33" s="88">
        <f t="shared" si="27"/>
        <v>98338.46</v>
      </c>
      <c r="H33" s="30" t="s">
        <v>53</v>
      </c>
      <c r="I33" s="95">
        <v>15</v>
      </c>
      <c r="J33" s="13">
        <v>2400</v>
      </c>
      <c r="K33" s="12">
        <f t="shared" si="1"/>
        <v>160</v>
      </c>
      <c r="L33" s="95">
        <v>15</v>
      </c>
      <c r="M33" s="13">
        <f t="shared" si="28"/>
        <v>2301.2389380530976</v>
      </c>
      <c r="N33" s="12">
        <f t="shared" si="3"/>
        <v>153.41592920353983</v>
      </c>
      <c r="O33" s="14">
        <f t="shared" si="4"/>
        <v>0</v>
      </c>
      <c r="P33" s="15">
        <f t="shared" si="5"/>
        <v>-6.5840707964601677</v>
      </c>
      <c r="Q33" s="91">
        <f t="shared" si="6"/>
        <v>0.95884955752212397</v>
      </c>
      <c r="R33" s="177"/>
      <c r="S33" s="21">
        <v>0.30902777777777773</v>
      </c>
      <c r="T33" s="21">
        <v>0.38749999999999996</v>
      </c>
      <c r="U33" s="88">
        <f t="shared" si="30"/>
        <v>4.9999999999999822</v>
      </c>
      <c r="V33" s="30">
        <f t="shared" si="29"/>
        <v>113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-98.761061946902373</v>
      </c>
      <c r="AF33" s="91">
        <f t="shared" si="9"/>
        <v>0.95884955752212397</v>
      </c>
      <c r="AG33" s="177"/>
    </row>
    <row r="34" spans="1:33">
      <c r="A34" s="192" t="s">
        <v>751</v>
      </c>
      <c r="B34" s="28" t="s">
        <v>22</v>
      </c>
      <c r="C34" s="169" t="s">
        <v>30</v>
      </c>
      <c r="D34" s="169"/>
      <c r="E34" s="28">
        <v>26.39</v>
      </c>
      <c r="F34" s="88">
        <v>4776</v>
      </c>
      <c r="G34" s="88">
        <f t="shared" si="27"/>
        <v>126038.64</v>
      </c>
      <c r="H34" s="30" t="s">
        <v>53</v>
      </c>
      <c r="I34" s="95">
        <v>19</v>
      </c>
      <c r="J34" s="13">
        <v>2400</v>
      </c>
      <c r="K34" s="12">
        <f t="shared" si="1"/>
        <v>126.31578947368421</v>
      </c>
      <c r="L34" s="95">
        <v>19</v>
      </c>
      <c r="M34" s="13">
        <f t="shared" si="28"/>
        <v>2292.4799999999996</v>
      </c>
      <c r="N34" s="12">
        <f t="shared" si="3"/>
        <v>120.65684210526314</v>
      </c>
      <c r="O34" s="14">
        <f t="shared" si="4"/>
        <v>0</v>
      </c>
      <c r="P34" s="15">
        <f t="shared" si="5"/>
        <v>-5.6589473684210674</v>
      </c>
      <c r="Q34" s="91">
        <f t="shared" si="6"/>
        <v>0.95519999999999983</v>
      </c>
      <c r="R34" s="177"/>
      <c r="S34" s="21">
        <v>0.39236111111111105</v>
      </c>
      <c r="T34" s="21">
        <v>0.47916666666666663</v>
      </c>
      <c r="U34" s="88">
        <f t="shared" si="30"/>
        <v>6.9999999999999751</v>
      </c>
      <c r="V34" s="30">
        <f t="shared" si="29"/>
        <v>125.00000000000003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8"/>
        <v>-107.52000000000044</v>
      </c>
      <c r="AF34" s="91">
        <f t="shared" si="9"/>
        <v>0.95519999999999983</v>
      </c>
      <c r="AG34" s="177"/>
    </row>
    <row r="35" spans="1:33">
      <c r="A35" s="192" t="s">
        <v>751</v>
      </c>
      <c r="B35" s="12" t="s">
        <v>580</v>
      </c>
      <c r="C35" s="178"/>
      <c r="D35" s="178"/>
      <c r="E35" s="92"/>
      <c r="F35" s="12"/>
      <c r="G35" s="12"/>
      <c r="H35" s="88"/>
      <c r="I35" s="23">
        <v>17.600000000000001</v>
      </c>
      <c r="J35" s="13">
        <v>2400</v>
      </c>
      <c r="K35" s="12">
        <f t="shared" si="1"/>
        <v>136.36363636363635</v>
      </c>
      <c r="L35" s="23">
        <v>17.600000000000001</v>
      </c>
      <c r="M35" s="13">
        <f>AVERAGE(M30:M34)</f>
        <v>2297.4723338704034</v>
      </c>
      <c r="N35" s="12">
        <f t="shared" si="3"/>
        <v>130.5382007880911</v>
      </c>
      <c r="O35" s="14">
        <f t="shared" si="4"/>
        <v>0</v>
      </c>
      <c r="P35" s="15">
        <f t="shared" si="5"/>
        <v>-5.8254355755452423</v>
      </c>
      <c r="Q35" s="91">
        <f t="shared" si="6"/>
        <v>0.95728013911266818</v>
      </c>
      <c r="R35" s="177"/>
      <c r="S35" s="21"/>
      <c r="T35" s="21"/>
      <c r="U35" s="12"/>
      <c r="V35" s="30"/>
      <c r="W35" s="12"/>
      <c r="X35" s="12"/>
      <c r="Y35" s="24">
        <f>SUM(Y30:Y34)</f>
        <v>0</v>
      </c>
      <c r="Z35" s="24">
        <f>SUM(Z30:Z34)</f>
        <v>0</v>
      </c>
      <c r="AA35" s="167"/>
      <c r="AB35" s="167"/>
      <c r="AC35" s="24">
        <v>5</v>
      </c>
      <c r="AD35" s="24">
        <f>SUM(AD30:AD34)</f>
        <v>0</v>
      </c>
      <c r="AE35" s="14">
        <f t="shared" si="8"/>
        <v>-102.52766612959658</v>
      </c>
      <c r="AF35" s="91">
        <f t="shared" si="9"/>
        <v>0.95728013911266807</v>
      </c>
      <c r="AG35" s="177"/>
    </row>
    <row r="36" spans="1:33" ht="15.75" customHeight="1">
      <c r="A36" s="188" t="s">
        <v>1053</v>
      </c>
      <c r="B36" s="28" t="s">
        <v>33</v>
      </c>
      <c r="C36" s="170" t="s">
        <v>72</v>
      </c>
      <c r="D36" s="171"/>
      <c r="E36" s="28">
        <v>34.35</v>
      </c>
      <c r="F36" s="88">
        <v>2412</v>
      </c>
      <c r="G36" s="88">
        <f t="shared" ref="G36:G40" si="31">E36*F36</f>
        <v>82852.2</v>
      </c>
      <c r="H36" s="30" t="s">
        <v>53</v>
      </c>
      <c r="I36" s="95">
        <v>8</v>
      </c>
      <c r="J36" s="13">
        <v>3000</v>
      </c>
      <c r="K36" s="12">
        <f t="shared" si="1"/>
        <v>375</v>
      </c>
      <c r="L36" s="95">
        <v>8</v>
      </c>
      <c r="M36" s="13">
        <f t="shared" ref="M36:M40" si="32">F36/V36*60</f>
        <v>2894.4</v>
      </c>
      <c r="N36" s="13">
        <f t="shared" si="3"/>
        <v>361.8</v>
      </c>
      <c r="O36" s="14">
        <f t="shared" si="4"/>
        <v>0</v>
      </c>
      <c r="P36" s="15">
        <f t="shared" si="5"/>
        <v>-13.199999999999989</v>
      </c>
      <c r="Q36" s="91">
        <f t="shared" si="6"/>
        <v>0.96479999999999999</v>
      </c>
      <c r="R36" s="183">
        <f>Q41</f>
        <v>0.95743701863354036</v>
      </c>
      <c r="S36" s="21">
        <v>8.3333333333333329E-2</v>
      </c>
      <c r="T36" s="21">
        <v>0.11805555555555555</v>
      </c>
      <c r="U36" s="21"/>
      <c r="V36" s="30">
        <f t="shared" ref="V36:V40" si="33">(T36-S36)*24*60</f>
        <v>50</v>
      </c>
      <c r="W36" s="16">
        <f>T36</f>
        <v>0.11805555555555555</v>
      </c>
      <c r="X36" s="16">
        <f>S37</f>
        <v>0.13750000000000001</v>
      </c>
      <c r="Y36" s="19"/>
      <c r="Z36" s="19"/>
      <c r="AA36" s="172"/>
      <c r="AB36" s="173"/>
      <c r="AC36" s="18">
        <v>5</v>
      </c>
      <c r="AD36" s="18"/>
      <c r="AE36" s="14">
        <f t="shared" si="8"/>
        <v>-105.59999999999991</v>
      </c>
      <c r="AF36" s="91">
        <f t="shared" si="9"/>
        <v>0.96479999999999999</v>
      </c>
      <c r="AG36" s="183">
        <f>AF41</f>
        <v>0.95743701863354047</v>
      </c>
    </row>
    <row r="37" spans="1:33" ht="15.75" customHeight="1">
      <c r="A37" s="189" t="s">
        <v>754</v>
      </c>
      <c r="B37" s="28" t="s">
        <v>33</v>
      </c>
      <c r="C37" s="170" t="s">
        <v>36</v>
      </c>
      <c r="D37" s="171"/>
      <c r="E37" s="28">
        <v>21.13</v>
      </c>
      <c r="F37" s="88">
        <v>4608</v>
      </c>
      <c r="G37" s="88">
        <f t="shared" si="31"/>
        <v>97367.039999999994</v>
      </c>
      <c r="H37" s="30" t="s">
        <v>53</v>
      </c>
      <c r="I37" s="95">
        <v>10</v>
      </c>
      <c r="J37" s="13">
        <v>3000</v>
      </c>
      <c r="K37" s="12">
        <f t="shared" si="1"/>
        <v>300</v>
      </c>
      <c r="L37" s="95">
        <v>10</v>
      </c>
      <c r="M37" s="13">
        <f t="shared" si="32"/>
        <v>2880.0000000000009</v>
      </c>
      <c r="N37" s="13">
        <f t="shared" si="3"/>
        <v>288.00000000000011</v>
      </c>
      <c r="O37" s="14">
        <f t="shared" si="4"/>
        <v>0</v>
      </c>
      <c r="P37" s="15">
        <f t="shared" si="5"/>
        <v>-11.999999999999886</v>
      </c>
      <c r="Q37" s="91">
        <f t="shared" si="6"/>
        <v>0.96000000000000041</v>
      </c>
      <c r="R37" s="184"/>
      <c r="S37" s="21">
        <v>0.13750000000000001</v>
      </c>
      <c r="T37" s="21">
        <v>0.20416666666666666</v>
      </c>
      <c r="U37" s="88">
        <f t="shared" ref="U37:U40" si="34">(S37-T36)*24*60</f>
        <v>28.000000000000021</v>
      </c>
      <c r="V37" s="30">
        <f t="shared" si="33"/>
        <v>95.999999999999972</v>
      </c>
      <c r="W37" s="16"/>
      <c r="X37" s="16"/>
      <c r="Y37" s="19"/>
      <c r="Z37" s="19"/>
      <c r="AA37" s="172"/>
      <c r="AB37" s="173"/>
      <c r="AC37" s="18"/>
      <c r="AD37" s="18"/>
      <c r="AE37" s="14">
        <f t="shared" si="8"/>
        <v>-119.99999999999909</v>
      </c>
      <c r="AF37" s="91">
        <f t="shared" si="9"/>
        <v>0.9600000000000003</v>
      </c>
      <c r="AG37" s="184"/>
    </row>
    <row r="38" spans="1:33" ht="15.75" customHeight="1">
      <c r="A38" s="189" t="s">
        <v>754</v>
      </c>
      <c r="B38" s="28" t="s">
        <v>33</v>
      </c>
      <c r="C38" s="170" t="s">
        <v>37</v>
      </c>
      <c r="D38" s="171"/>
      <c r="E38" s="28">
        <v>27.17</v>
      </c>
      <c r="F38" s="88">
        <v>6015</v>
      </c>
      <c r="G38" s="88">
        <f t="shared" si="31"/>
        <v>163427.55000000002</v>
      </c>
      <c r="H38" s="30" t="s">
        <v>53</v>
      </c>
      <c r="I38" s="95">
        <v>10</v>
      </c>
      <c r="J38" s="13">
        <v>3000</v>
      </c>
      <c r="K38" s="12">
        <f t="shared" si="1"/>
        <v>300</v>
      </c>
      <c r="L38" s="95">
        <v>10</v>
      </c>
      <c r="M38" s="13">
        <f t="shared" si="32"/>
        <v>2864.2857142857138</v>
      </c>
      <c r="N38" s="13">
        <f t="shared" si="3"/>
        <v>286.42857142857139</v>
      </c>
      <c r="O38" s="14">
        <f t="shared" si="4"/>
        <v>0</v>
      </c>
      <c r="P38" s="15">
        <f t="shared" si="5"/>
        <v>-13.571428571428612</v>
      </c>
      <c r="Q38" s="91">
        <f t="shared" si="6"/>
        <v>0.95476190476190459</v>
      </c>
      <c r="R38" s="184"/>
      <c r="S38" s="21">
        <v>0.20763888888888887</v>
      </c>
      <c r="T38" s="21">
        <v>0.2951388888888889</v>
      </c>
      <c r="U38" s="88">
        <f t="shared" si="34"/>
        <v>4.9999999999999822</v>
      </c>
      <c r="V38" s="30">
        <f t="shared" si="33"/>
        <v>126.00000000000003</v>
      </c>
      <c r="W38" s="16"/>
      <c r="X38" s="16"/>
      <c r="Y38" s="19"/>
      <c r="Z38" s="19"/>
      <c r="AA38" s="172"/>
      <c r="AB38" s="173"/>
      <c r="AC38" s="18"/>
      <c r="AD38" s="18"/>
      <c r="AE38" s="14">
        <f t="shared" si="8"/>
        <v>-135.71428571428623</v>
      </c>
      <c r="AF38" s="91">
        <f t="shared" si="9"/>
        <v>0.95476190476190459</v>
      </c>
      <c r="AG38" s="184"/>
    </row>
    <row r="39" spans="1:33" ht="15.75" customHeight="1">
      <c r="A39" s="189" t="s">
        <v>1054</v>
      </c>
      <c r="B39" s="28" t="s">
        <v>33</v>
      </c>
      <c r="C39" s="170" t="s">
        <v>38</v>
      </c>
      <c r="D39" s="171"/>
      <c r="E39" s="28">
        <v>35.869999999999997</v>
      </c>
      <c r="F39" s="88">
        <v>3339</v>
      </c>
      <c r="G39" s="88">
        <f t="shared" si="31"/>
        <v>119769.93</v>
      </c>
      <c r="H39" s="30" t="s">
        <v>53</v>
      </c>
      <c r="I39" s="95">
        <v>9</v>
      </c>
      <c r="J39" s="13">
        <v>3000</v>
      </c>
      <c r="K39" s="12">
        <f t="shared" si="1"/>
        <v>333.33333333333331</v>
      </c>
      <c r="L39" s="95">
        <v>9</v>
      </c>
      <c r="M39" s="13">
        <f t="shared" si="32"/>
        <v>2862.0000000000005</v>
      </c>
      <c r="N39" s="13">
        <f t="shared" si="3"/>
        <v>318.00000000000006</v>
      </c>
      <c r="O39" s="14">
        <f t="shared" si="4"/>
        <v>0</v>
      </c>
      <c r="P39" s="15">
        <f t="shared" si="5"/>
        <v>-15.333333333333258</v>
      </c>
      <c r="Q39" s="91">
        <f t="shared" si="6"/>
        <v>0.95400000000000018</v>
      </c>
      <c r="R39" s="184"/>
      <c r="S39" s="21">
        <v>0.3</v>
      </c>
      <c r="T39" s="21">
        <v>0.34861111111111109</v>
      </c>
      <c r="U39" s="88">
        <f t="shared" si="34"/>
        <v>6.9999999999999751</v>
      </c>
      <c r="V39" s="30">
        <f t="shared" si="33"/>
        <v>69.999999999999986</v>
      </c>
      <c r="W39" s="16"/>
      <c r="X39" s="16"/>
      <c r="Y39" s="19"/>
      <c r="Z39" s="19"/>
      <c r="AA39" s="172"/>
      <c r="AB39" s="173"/>
      <c r="AC39" s="18"/>
      <c r="AD39" s="18"/>
      <c r="AE39" s="14">
        <f t="shared" si="8"/>
        <v>-137.99999999999955</v>
      </c>
      <c r="AF39" s="91">
        <f t="shared" si="9"/>
        <v>0.95400000000000018</v>
      </c>
      <c r="AG39" s="184"/>
    </row>
    <row r="40" spans="1:33" ht="15.75" customHeight="1">
      <c r="A40" s="189" t="s">
        <v>754</v>
      </c>
      <c r="B40" s="28" t="s">
        <v>33</v>
      </c>
      <c r="C40" s="170" t="s">
        <v>756</v>
      </c>
      <c r="D40" s="171"/>
      <c r="E40" s="28">
        <v>37.880000000000003</v>
      </c>
      <c r="F40" s="88">
        <v>3290</v>
      </c>
      <c r="G40" s="88">
        <f t="shared" si="31"/>
        <v>124625.20000000001</v>
      </c>
      <c r="H40" s="30" t="s">
        <v>53</v>
      </c>
      <c r="I40" s="95">
        <v>10</v>
      </c>
      <c r="J40" s="13">
        <v>3000</v>
      </c>
      <c r="K40" s="12">
        <f t="shared" si="1"/>
        <v>300</v>
      </c>
      <c r="L40" s="95">
        <v>10</v>
      </c>
      <c r="M40" s="13">
        <f t="shared" si="32"/>
        <v>2860.869565217391</v>
      </c>
      <c r="N40" s="13">
        <f t="shared" si="3"/>
        <v>286.08695652173913</v>
      </c>
      <c r="O40" s="14">
        <f t="shared" si="4"/>
        <v>0</v>
      </c>
      <c r="P40" s="15">
        <f t="shared" si="5"/>
        <v>-13.913043478260875</v>
      </c>
      <c r="Q40" s="91">
        <f t="shared" si="6"/>
        <v>0.95362318840579707</v>
      </c>
      <c r="R40" s="184"/>
      <c r="S40" s="21">
        <v>0.35277777777777775</v>
      </c>
      <c r="T40" s="21">
        <v>0.40069444444444441</v>
      </c>
      <c r="U40" s="88">
        <f t="shared" si="34"/>
        <v>5.9999999999999787</v>
      </c>
      <c r="V40" s="30">
        <f t="shared" si="33"/>
        <v>69</v>
      </c>
      <c r="W40" s="16"/>
      <c r="X40" s="16"/>
      <c r="Y40" s="19"/>
      <c r="Z40" s="19"/>
      <c r="AA40" s="172"/>
      <c r="AB40" s="173"/>
      <c r="AC40" s="18"/>
      <c r="AD40" s="18"/>
      <c r="AE40" s="14">
        <f t="shared" si="8"/>
        <v>-139.13043478260897</v>
      </c>
      <c r="AF40" s="91">
        <f t="shared" si="9"/>
        <v>0.95362318840579696</v>
      </c>
      <c r="AG40" s="184"/>
    </row>
    <row r="41" spans="1:33" ht="15.75" customHeight="1">
      <c r="A41" s="190" t="s">
        <v>754</v>
      </c>
      <c r="B41" s="28" t="s">
        <v>580</v>
      </c>
      <c r="C41" s="165"/>
      <c r="D41" s="166"/>
      <c r="E41" s="89"/>
      <c r="F41" s="88"/>
      <c r="G41" s="88"/>
      <c r="H41" s="88"/>
      <c r="I41" s="23">
        <v>9.4</v>
      </c>
      <c r="J41" s="13">
        <v>3000</v>
      </c>
      <c r="K41" s="12">
        <f t="shared" si="1"/>
        <v>319.14893617021278</v>
      </c>
      <c r="L41" s="23">
        <v>9.4</v>
      </c>
      <c r="M41" s="13">
        <f>AVERAGE(M36:M40)</f>
        <v>2872.3110559006213</v>
      </c>
      <c r="N41" s="12">
        <f t="shared" si="3"/>
        <v>305.56500594687458</v>
      </c>
      <c r="O41" s="14">
        <f t="shared" si="4"/>
        <v>0</v>
      </c>
      <c r="P41" s="15">
        <f t="shared" si="5"/>
        <v>-13.5839302233382</v>
      </c>
      <c r="Q41" s="91">
        <f t="shared" si="6"/>
        <v>0.95743701863354036</v>
      </c>
      <c r="R41" s="185"/>
      <c r="S41" s="21"/>
      <c r="T41" s="21"/>
      <c r="U41" s="88"/>
      <c r="V41" s="30"/>
      <c r="W41" s="16"/>
      <c r="X41" s="16"/>
      <c r="Y41" s="24">
        <f>SUM(Y36:Y40)</f>
        <v>0</v>
      </c>
      <c r="Z41" s="24">
        <f>SUM(Z36:Z40)</f>
        <v>0</v>
      </c>
      <c r="AA41" s="186"/>
      <c r="AB41" s="187"/>
      <c r="AC41" s="24">
        <v>5</v>
      </c>
      <c r="AD41" s="24">
        <f>SUM(AD36:AD40)</f>
        <v>0</v>
      </c>
      <c r="AE41" s="14">
        <f t="shared" si="8"/>
        <v>-127.68894409937866</v>
      </c>
      <c r="AF41" s="91">
        <f t="shared" si="9"/>
        <v>0.95743701863354047</v>
      </c>
      <c r="AG41" s="185"/>
    </row>
    <row r="42" spans="1:33" ht="15.75" customHeight="1">
      <c r="A42" s="181" t="s">
        <v>1055</v>
      </c>
      <c r="B42" s="28" t="s">
        <v>9</v>
      </c>
      <c r="C42" s="169" t="s">
        <v>39</v>
      </c>
      <c r="D42" s="169"/>
      <c r="E42" s="28">
        <v>46</v>
      </c>
      <c r="F42" s="29">
        <v>1991</v>
      </c>
      <c r="G42" s="88">
        <f t="shared" ref="G42:G47" si="35">E42*F42</f>
        <v>91586</v>
      </c>
      <c r="H42" s="30" t="s">
        <v>53</v>
      </c>
      <c r="I42" s="95">
        <v>17</v>
      </c>
      <c r="J42" s="13">
        <v>2000</v>
      </c>
      <c r="K42" s="12">
        <f t="shared" si="1"/>
        <v>117.64705882352941</v>
      </c>
      <c r="L42" s="95">
        <v>17</v>
      </c>
      <c r="M42" s="13">
        <f t="shared" ref="M42" si="36">F42/V42*60</f>
        <v>1926.7741935483878</v>
      </c>
      <c r="N42" s="13">
        <f t="shared" si="3"/>
        <v>113.3396584440228</v>
      </c>
      <c r="O42" s="14">
        <f t="shared" si="4"/>
        <v>0</v>
      </c>
      <c r="P42" s="15">
        <f t="shared" si="5"/>
        <v>-4.3074003795066034</v>
      </c>
      <c r="Q42" s="91">
        <f t="shared" si="6"/>
        <v>0.96338709677419387</v>
      </c>
      <c r="R42" s="177">
        <f>Q48</f>
        <v>0.96919138518287229</v>
      </c>
      <c r="S42" s="21">
        <v>0.20833333333333334</v>
      </c>
      <c r="T42" s="21">
        <v>0.25138888888888888</v>
      </c>
      <c r="U42" s="21"/>
      <c r="V42" s="30">
        <f t="shared" ref="V42:V47" si="37">(T42-S42)*24*60</f>
        <v>61.999999999999979</v>
      </c>
      <c r="W42" s="21"/>
      <c r="X42" s="21"/>
      <c r="Y42" s="21"/>
      <c r="Z42" s="21"/>
      <c r="AA42" s="168"/>
      <c r="AB42" s="168"/>
      <c r="AC42" s="18">
        <v>6</v>
      </c>
      <c r="AD42" s="18"/>
      <c r="AE42" s="14">
        <f t="shared" si="8"/>
        <v>-73.225806451612243</v>
      </c>
      <c r="AF42" s="91">
        <f t="shared" si="9"/>
        <v>0.96338709677419387</v>
      </c>
      <c r="AG42" s="177">
        <f>AF48</f>
        <v>0.96919138518287229</v>
      </c>
    </row>
    <row r="43" spans="1:33" ht="15.75" customHeight="1">
      <c r="A43" s="181" t="s">
        <v>1055</v>
      </c>
      <c r="B43" s="28" t="s">
        <v>5</v>
      </c>
      <c r="C43" s="169" t="s">
        <v>40</v>
      </c>
      <c r="D43" s="169"/>
      <c r="E43" s="28">
        <v>56.43</v>
      </c>
      <c r="F43" s="29">
        <v>1287</v>
      </c>
      <c r="G43" s="88">
        <f t="shared" si="35"/>
        <v>72625.41</v>
      </c>
      <c r="H43" s="30" t="s">
        <v>53</v>
      </c>
      <c r="I43" s="95">
        <v>22</v>
      </c>
      <c r="J43" s="13">
        <v>2000</v>
      </c>
      <c r="K43" s="12">
        <f t="shared" si="1"/>
        <v>90.909090909090907</v>
      </c>
      <c r="L43" s="95">
        <v>22</v>
      </c>
      <c r="M43" s="13">
        <f>F43/V43*60</f>
        <v>1930.4999999999993</v>
      </c>
      <c r="N43" s="13">
        <f t="shared" si="3"/>
        <v>87.749999999999972</v>
      </c>
      <c r="O43" s="14">
        <f t="shared" si="4"/>
        <v>0</v>
      </c>
      <c r="P43" s="15">
        <f t="shared" si="5"/>
        <v>-3.1590909090909349</v>
      </c>
      <c r="Q43" s="91">
        <f t="shared" si="6"/>
        <v>0.96524999999999972</v>
      </c>
      <c r="R43" s="177"/>
      <c r="S43" s="21">
        <v>0.25694444444444442</v>
      </c>
      <c r="T43" s="21">
        <v>0.28472222222222221</v>
      </c>
      <c r="U43" s="88">
        <f t="shared" ref="U43:U47" si="38">IF(S43=TIME(17,0,0),"",(S43-T42)*24*60)</f>
        <v>7.9999999999999716</v>
      </c>
      <c r="V43" s="30">
        <f t="shared" si="37"/>
        <v>40.000000000000014</v>
      </c>
      <c r="W43" s="16"/>
      <c r="X43" s="16"/>
      <c r="Y43" s="16"/>
      <c r="Z43" s="16"/>
      <c r="AA43" s="168"/>
      <c r="AB43" s="168"/>
      <c r="AC43" s="18"/>
      <c r="AD43" s="18"/>
      <c r="AE43" s="14">
        <f t="shared" si="8"/>
        <v>-69.500000000000682</v>
      </c>
      <c r="AF43" s="91">
        <f t="shared" si="9"/>
        <v>0.96524999999999961</v>
      </c>
      <c r="AG43" s="177"/>
    </row>
    <row r="44" spans="1:33" ht="15.75" customHeight="1">
      <c r="A44" s="181" t="s">
        <v>1055</v>
      </c>
      <c r="B44" s="28" t="s">
        <v>5</v>
      </c>
      <c r="C44" s="170" t="s">
        <v>41</v>
      </c>
      <c r="D44" s="171"/>
      <c r="E44" s="28">
        <v>51.75</v>
      </c>
      <c r="F44" s="29">
        <v>854</v>
      </c>
      <c r="G44" s="88">
        <f t="shared" si="35"/>
        <v>44194.5</v>
      </c>
      <c r="H44" s="30" t="s">
        <v>53</v>
      </c>
      <c r="I44" s="95">
        <v>25</v>
      </c>
      <c r="J44" s="13">
        <v>2000</v>
      </c>
      <c r="K44" s="12">
        <f t="shared" si="1"/>
        <v>80</v>
      </c>
      <c r="L44" s="95">
        <v>25</v>
      </c>
      <c r="M44" s="13">
        <f t="shared" ref="M44:M47" si="39">F44/V44*60</f>
        <v>1970.7692307692316</v>
      </c>
      <c r="N44" s="13">
        <f t="shared" si="3"/>
        <v>78.830769230769263</v>
      </c>
      <c r="O44" s="14">
        <f t="shared" si="4"/>
        <v>0</v>
      </c>
      <c r="P44" s="15">
        <f t="shared" si="5"/>
        <v>-1.1692307692307367</v>
      </c>
      <c r="Q44" s="91">
        <f t="shared" si="6"/>
        <v>0.98538461538461575</v>
      </c>
      <c r="R44" s="177"/>
      <c r="S44" s="21">
        <v>0.28819444444444442</v>
      </c>
      <c r="T44" s="21">
        <v>0.30624999999999997</v>
      </c>
      <c r="U44" s="88">
        <f t="shared" si="38"/>
        <v>4.9999999999999822</v>
      </c>
      <c r="V44" s="30">
        <f t="shared" si="37"/>
        <v>25.999999999999986</v>
      </c>
      <c r="W44" s="16"/>
      <c r="X44" s="16"/>
      <c r="Y44" s="19"/>
      <c r="Z44" s="19"/>
      <c r="AA44" s="168"/>
      <c r="AB44" s="168"/>
      <c r="AC44" s="18"/>
      <c r="AD44" s="18"/>
      <c r="AE44" s="14">
        <f t="shared" si="8"/>
        <v>-29.230769230768374</v>
      </c>
      <c r="AF44" s="91">
        <f t="shared" si="9"/>
        <v>0.98538461538461586</v>
      </c>
      <c r="AG44" s="177"/>
    </row>
    <row r="45" spans="1:33" ht="15.75" customHeight="1">
      <c r="A45" s="181" t="s">
        <v>1056</v>
      </c>
      <c r="B45" s="28" t="s">
        <v>5</v>
      </c>
      <c r="C45" s="93" t="s">
        <v>42</v>
      </c>
      <c r="D45" s="94"/>
      <c r="E45" s="28">
        <v>57.73</v>
      </c>
      <c r="F45" s="29">
        <v>1058</v>
      </c>
      <c r="G45" s="88">
        <f t="shared" si="35"/>
        <v>61078.34</v>
      </c>
      <c r="H45" s="30" t="s">
        <v>53</v>
      </c>
      <c r="I45" s="95">
        <v>16</v>
      </c>
      <c r="J45" s="13">
        <v>1500</v>
      </c>
      <c r="K45" s="12">
        <f t="shared" si="1"/>
        <v>93.75</v>
      </c>
      <c r="L45" s="95">
        <v>16</v>
      </c>
      <c r="M45" s="13">
        <f t="shared" si="39"/>
        <v>1442.7272727272727</v>
      </c>
      <c r="N45" s="13">
        <f t="shared" si="3"/>
        <v>90.170454545454547</v>
      </c>
      <c r="O45" s="14">
        <f t="shared" si="4"/>
        <v>0</v>
      </c>
      <c r="P45" s="15">
        <f t="shared" si="5"/>
        <v>-3.5795454545454533</v>
      </c>
      <c r="Q45" s="91">
        <f t="shared" si="6"/>
        <v>0.96181818181818179</v>
      </c>
      <c r="R45" s="177"/>
      <c r="S45" s="21">
        <v>0.70833333333333337</v>
      </c>
      <c r="T45" s="21">
        <v>0.73888888888888893</v>
      </c>
      <c r="U45" s="88" t="str">
        <f t="shared" si="38"/>
        <v/>
      </c>
      <c r="V45" s="30">
        <f t="shared" si="37"/>
        <v>44</v>
      </c>
      <c r="W45" s="16"/>
      <c r="X45" s="16"/>
      <c r="Y45" s="19"/>
      <c r="Z45" s="19"/>
      <c r="AA45" s="168"/>
      <c r="AB45" s="168"/>
      <c r="AC45" s="18"/>
      <c r="AD45" s="18"/>
      <c r="AE45" s="14">
        <f t="shared" si="8"/>
        <v>-57.272727272727252</v>
      </c>
      <c r="AF45" s="91">
        <f t="shared" si="9"/>
        <v>0.96181818181818179</v>
      </c>
      <c r="AG45" s="177"/>
    </row>
    <row r="46" spans="1:33" ht="15.75" customHeight="1">
      <c r="A46" s="181" t="s">
        <v>1057</v>
      </c>
      <c r="B46" s="28" t="s">
        <v>5</v>
      </c>
      <c r="C46" s="93" t="s">
        <v>44</v>
      </c>
      <c r="D46" s="94"/>
      <c r="E46" s="28">
        <v>55.56</v>
      </c>
      <c r="F46" s="29">
        <v>1934</v>
      </c>
      <c r="G46" s="88">
        <f t="shared" si="35"/>
        <v>107453.04000000001</v>
      </c>
      <c r="H46" s="30" t="s">
        <v>53</v>
      </c>
      <c r="I46" s="95">
        <v>17</v>
      </c>
      <c r="J46" s="13">
        <v>2000</v>
      </c>
      <c r="K46" s="12">
        <f t="shared" si="1"/>
        <v>117.64705882352941</v>
      </c>
      <c r="L46" s="95">
        <v>17</v>
      </c>
      <c r="M46" s="13">
        <f t="shared" si="39"/>
        <v>1934.0000000000018</v>
      </c>
      <c r="N46" s="13">
        <f t="shared" si="3"/>
        <v>113.76470588235304</v>
      </c>
      <c r="O46" s="14">
        <f t="shared" si="4"/>
        <v>0</v>
      </c>
      <c r="P46" s="15">
        <f t="shared" si="5"/>
        <v>-3.8823529411763644</v>
      </c>
      <c r="Q46" s="91">
        <f t="shared" si="6"/>
        <v>0.96700000000000086</v>
      </c>
      <c r="R46" s="177"/>
      <c r="S46" s="21">
        <v>0.74305555555555558</v>
      </c>
      <c r="T46" s="21">
        <v>0.78472222222222221</v>
      </c>
      <c r="U46" s="88">
        <f t="shared" si="38"/>
        <v>5.9999999999999787</v>
      </c>
      <c r="V46" s="30">
        <f t="shared" si="37"/>
        <v>59.999999999999943</v>
      </c>
      <c r="W46" s="16"/>
      <c r="X46" s="16"/>
      <c r="Y46" s="19"/>
      <c r="Z46" s="19"/>
      <c r="AA46" s="168"/>
      <c r="AB46" s="168"/>
      <c r="AC46" s="18"/>
      <c r="AD46" s="18"/>
      <c r="AE46" s="14">
        <f t="shared" si="8"/>
        <v>-65.999999999998181</v>
      </c>
      <c r="AF46" s="91">
        <f t="shared" si="9"/>
        <v>0.96700000000000086</v>
      </c>
      <c r="AG46" s="177"/>
    </row>
    <row r="47" spans="1:33" ht="15.75" customHeight="1">
      <c r="A47" s="181" t="s">
        <v>1055</v>
      </c>
      <c r="B47" s="28" t="s">
        <v>5</v>
      </c>
      <c r="C47" s="170" t="s">
        <v>45</v>
      </c>
      <c r="D47" s="171"/>
      <c r="E47" s="28">
        <v>55.32</v>
      </c>
      <c r="F47" s="29">
        <v>1391</v>
      </c>
      <c r="G47" s="88">
        <f t="shared" si="35"/>
        <v>76950.12</v>
      </c>
      <c r="H47" s="30" t="s">
        <v>53</v>
      </c>
      <c r="I47" s="95">
        <v>15</v>
      </c>
      <c r="J47" s="13">
        <v>2000</v>
      </c>
      <c r="K47" s="12">
        <f t="shared" si="1"/>
        <v>133.33333333333334</v>
      </c>
      <c r="L47" s="95">
        <v>15</v>
      </c>
      <c r="M47" s="13">
        <f t="shared" si="39"/>
        <v>1940.9302325581391</v>
      </c>
      <c r="N47" s="13">
        <f t="shared" si="3"/>
        <v>129.39534883720927</v>
      </c>
      <c r="O47" s="14">
        <f t="shared" si="4"/>
        <v>0</v>
      </c>
      <c r="P47" s="15">
        <f t="shared" si="5"/>
        <v>-3.9379844961240735</v>
      </c>
      <c r="Q47" s="91">
        <f t="shared" si="6"/>
        <v>0.9704651162790694</v>
      </c>
      <c r="R47" s="177"/>
      <c r="S47" s="21">
        <v>0.7895833333333333</v>
      </c>
      <c r="T47" s="21">
        <v>0.81944444444444442</v>
      </c>
      <c r="U47" s="88">
        <f t="shared" si="38"/>
        <v>6.9999999999999751</v>
      </c>
      <c r="V47" s="30">
        <f t="shared" si="37"/>
        <v>43.000000000000007</v>
      </c>
      <c r="W47" s="16"/>
      <c r="X47" s="16"/>
      <c r="Y47" s="19"/>
      <c r="Z47" s="19"/>
      <c r="AA47" s="172"/>
      <c r="AB47" s="173"/>
      <c r="AC47" s="18"/>
      <c r="AD47" s="18"/>
      <c r="AE47" s="14">
        <f t="shared" si="8"/>
        <v>-59.069767441860904</v>
      </c>
      <c r="AF47" s="91">
        <f t="shared" si="9"/>
        <v>0.97046511627906951</v>
      </c>
      <c r="AG47" s="177"/>
    </row>
    <row r="48" spans="1:33">
      <c r="A48" s="182" t="s">
        <v>1056</v>
      </c>
      <c r="B48" s="28" t="s">
        <v>580</v>
      </c>
      <c r="C48" s="178"/>
      <c r="D48" s="178"/>
      <c r="E48" s="92"/>
      <c r="F48" s="12"/>
      <c r="G48" s="12"/>
      <c r="H48" s="88"/>
      <c r="I48" s="23">
        <v>18.666666666666668</v>
      </c>
      <c r="J48" s="13">
        <v>1916.6666666666667</v>
      </c>
      <c r="K48" s="12">
        <f t="shared" si="1"/>
        <v>102.67857142857143</v>
      </c>
      <c r="L48" s="23">
        <v>18.666666666666668</v>
      </c>
      <c r="M48" s="13">
        <f>AVERAGE(M42:M47)</f>
        <v>1857.6168216005053</v>
      </c>
      <c r="N48" s="12">
        <f t="shared" si="3"/>
        <v>99.51518687145564</v>
      </c>
      <c r="O48" s="14">
        <f t="shared" si="4"/>
        <v>0</v>
      </c>
      <c r="P48" s="15">
        <f t="shared" si="5"/>
        <v>-3.1633845571157906</v>
      </c>
      <c r="Q48" s="91">
        <f t="shared" si="6"/>
        <v>0.96919138518287229</v>
      </c>
      <c r="R48" s="177"/>
      <c r="S48" s="21"/>
      <c r="T48" s="21"/>
      <c r="U48" s="88"/>
      <c r="V48" s="30"/>
      <c r="W48" s="12"/>
      <c r="X48" s="12"/>
      <c r="Y48" s="24">
        <f>SUM(Y42:Y47)</f>
        <v>0</v>
      </c>
      <c r="Z48" s="24">
        <f>SUM(Z42:Z47)</f>
        <v>0</v>
      </c>
      <c r="AA48" s="167"/>
      <c r="AB48" s="167"/>
      <c r="AC48" s="24">
        <v>6</v>
      </c>
      <c r="AD48" s="24">
        <f>SUM(AD42:AD47)</f>
        <v>0</v>
      </c>
      <c r="AE48" s="14">
        <f>M48-J48</f>
        <v>-59.049845066161424</v>
      </c>
      <c r="AF48" s="91">
        <f t="shared" si="9"/>
        <v>0.96919138518287229</v>
      </c>
      <c r="AG48" s="177"/>
    </row>
    <row r="49" spans="1:33" ht="15.75" customHeight="1">
      <c r="A49" s="179" t="s">
        <v>1058</v>
      </c>
      <c r="B49" s="88" t="s">
        <v>33</v>
      </c>
      <c r="C49" s="169" t="s">
        <v>46</v>
      </c>
      <c r="D49" s="169"/>
      <c r="E49" s="28">
        <v>37.85</v>
      </c>
      <c r="F49" s="29">
        <v>1019</v>
      </c>
      <c r="G49" s="88">
        <f t="shared" ref="G49:G54" si="40">E49*F49</f>
        <v>38569.15</v>
      </c>
      <c r="H49" s="30" t="s">
        <v>53</v>
      </c>
      <c r="I49" s="95">
        <v>12</v>
      </c>
      <c r="J49" s="13">
        <v>2000</v>
      </c>
      <c r="K49" s="12">
        <f t="shared" si="1"/>
        <v>166.66666666666666</v>
      </c>
      <c r="L49" s="95">
        <v>12</v>
      </c>
      <c r="M49" s="13">
        <f t="shared" ref="M49:M54" si="41">F49/V49*60</f>
        <v>1910.6249999999995</v>
      </c>
      <c r="N49" s="12">
        <f t="shared" si="3"/>
        <v>159.21874999999997</v>
      </c>
      <c r="O49" s="14">
        <f t="shared" si="4"/>
        <v>0</v>
      </c>
      <c r="P49" s="15">
        <f t="shared" si="5"/>
        <v>-7.4479166666666856</v>
      </c>
      <c r="Q49" s="91">
        <f t="shared" si="6"/>
        <v>0.9553124999999999</v>
      </c>
      <c r="R49" s="177">
        <f>Q55</f>
        <v>0.96736719362208368</v>
      </c>
      <c r="S49" s="21">
        <v>0.20833333333333334</v>
      </c>
      <c r="T49" s="21">
        <v>0.23055555555555557</v>
      </c>
      <c r="U49" s="88"/>
      <c r="V49" s="30">
        <f t="shared" ref="V49:V54" si="42">(T49-S49)*24*60</f>
        <v>32.000000000000007</v>
      </c>
      <c r="W49" s="21"/>
      <c r="X49" s="21"/>
      <c r="Y49" s="21"/>
      <c r="Z49" s="21"/>
      <c r="AA49" s="168"/>
      <c r="AB49" s="168"/>
      <c r="AC49" s="18">
        <v>6</v>
      </c>
      <c r="AD49" s="18"/>
      <c r="AE49" s="14">
        <f t="shared" ref="AE49:AE61" si="43">M49-J49</f>
        <v>-89.375000000000455</v>
      </c>
      <c r="AF49" s="91">
        <f t="shared" si="9"/>
        <v>0.95531249999999979</v>
      </c>
      <c r="AG49" s="177">
        <f>AF55</f>
        <v>0.96736719362208379</v>
      </c>
    </row>
    <row r="50" spans="1:33" ht="15.75" customHeight="1">
      <c r="A50" s="179" t="s">
        <v>1058</v>
      </c>
      <c r="B50" s="88" t="s">
        <v>33</v>
      </c>
      <c r="C50" s="169" t="s">
        <v>47</v>
      </c>
      <c r="D50" s="169"/>
      <c r="E50" s="28">
        <v>34.36</v>
      </c>
      <c r="F50" s="29">
        <v>1900</v>
      </c>
      <c r="G50" s="88">
        <f t="shared" si="40"/>
        <v>65284</v>
      </c>
      <c r="H50" s="30" t="s">
        <v>53</v>
      </c>
      <c r="I50" s="95">
        <v>10</v>
      </c>
      <c r="J50" s="13">
        <v>3000</v>
      </c>
      <c r="K50" s="12">
        <f t="shared" si="1"/>
        <v>300</v>
      </c>
      <c r="L50" s="95">
        <v>10</v>
      </c>
      <c r="M50" s="13">
        <f t="shared" si="41"/>
        <v>2923.0769230769247</v>
      </c>
      <c r="N50" s="12">
        <f t="shared" si="3"/>
        <v>292.30769230769249</v>
      </c>
      <c r="O50" s="14">
        <f t="shared" si="4"/>
        <v>0</v>
      </c>
      <c r="P50" s="15">
        <f t="shared" si="5"/>
        <v>-7.6923076923075087</v>
      </c>
      <c r="Q50" s="91">
        <f t="shared" si="6"/>
        <v>0.97435897435897501</v>
      </c>
      <c r="R50" s="177"/>
      <c r="S50" s="21">
        <v>0.23611111111111113</v>
      </c>
      <c r="T50" s="21">
        <v>0.26319444444444445</v>
      </c>
      <c r="U50" s="88">
        <f t="shared" ref="U50:U54" si="44">(S50-T49)*24*60</f>
        <v>8.0000000000000107</v>
      </c>
      <c r="V50" s="30">
        <f t="shared" si="42"/>
        <v>38.999999999999979</v>
      </c>
      <c r="W50" s="88"/>
      <c r="X50" s="88"/>
      <c r="Y50" s="88"/>
      <c r="Z50" s="88"/>
      <c r="AA50" s="168"/>
      <c r="AB50" s="168"/>
      <c r="AC50" s="18"/>
      <c r="AD50" s="18"/>
      <c r="AE50" s="14">
        <f t="shared" si="43"/>
        <v>-76.923076923075314</v>
      </c>
      <c r="AF50" s="91">
        <f t="shared" si="9"/>
        <v>0.97435897435897489</v>
      </c>
      <c r="AG50" s="177"/>
    </row>
    <row r="51" spans="1:33" ht="15.75" customHeight="1">
      <c r="A51" s="179" t="s">
        <v>1058</v>
      </c>
      <c r="B51" s="88" t="s">
        <v>33</v>
      </c>
      <c r="C51" s="169" t="s">
        <v>48</v>
      </c>
      <c r="D51" s="169"/>
      <c r="E51" s="28">
        <v>35.119999999999997</v>
      </c>
      <c r="F51" s="29">
        <v>4684</v>
      </c>
      <c r="G51" s="88">
        <f t="shared" si="40"/>
        <v>164502.07999999999</v>
      </c>
      <c r="H51" s="30" t="s">
        <v>53</v>
      </c>
      <c r="I51" s="95">
        <v>10</v>
      </c>
      <c r="J51" s="13">
        <v>3000</v>
      </c>
      <c r="K51" s="12">
        <f t="shared" si="1"/>
        <v>300</v>
      </c>
      <c r="L51" s="95">
        <v>10</v>
      </c>
      <c r="M51" s="13">
        <f t="shared" si="41"/>
        <v>2867.7551020408168</v>
      </c>
      <c r="N51" s="12">
        <f t="shared" si="3"/>
        <v>286.77551020408168</v>
      </c>
      <c r="O51" s="14">
        <f t="shared" si="4"/>
        <v>0</v>
      </c>
      <c r="P51" s="15">
        <f t="shared" si="5"/>
        <v>-13.224489795918316</v>
      </c>
      <c r="Q51" s="91">
        <f t="shared" si="6"/>
        <v>0.95591836734693891</v>
      </c>
      <c r="R51" s="177"/>
      <c r="S51" s="21">
        <v>0.2673611111111111</v>
      </c>
      <c r="T51" s="21">
        <v>0.33541666666666664</v>
      </c>
      <c r="U51" s="88">
        <f t="shared" si="44"/>
        <v>5.9999999999999787</v>
      </c>
      <c r="V51" s="30">
        <f t="shared" si="42"/>
        <v>97.999999999999972</v>
      </c>
      <c r="W51" s="88"/>
      <c r="X51" s="88"/>
      <c r="Y51" s="88"/>
      <c r="Z51" s="88"/>
      <c r="AA51" s="168"/>
      <c r="AB51" s="168"/>
      <c r="AC51" s="18"/>
      <c r="AD51" s="18"/>
      <c r="AE51" s="14">
        <f t="shared" si="43"/>
        <v>-132.24489795918316</v>
      </c>
      <c r="AF51" s="91">
        <f t="shared" si="9"/>
        <v>0.95591836734693891</v>
      </c>
      <c r="AG51" s="177"/>
    </row>
    <row r="52" spans="1:33" ht="15.75" customHeight="1">
      <c r="A52" s="179" t="s">
        <v>1059</v>
      </c>
      <c r="B52" s="88" t="s">
        <v>33</v>
      </c>
      <c r="C52" s="169" t="s">
        <v>34</v>
      </c>
      <c r="D52" s="169"/>
      <c r="E52" s="28">
        <v>34.36</v>
      </c>
      <c r="F52" s="29">
        <v>1183</v>
      </c>
      <c r="G52" s="88">
        <f t="shared" si="40"/>
        <v>40647.879999999997</v>
      </c>
      <c r="H52" s="30" t="s">
        <v>53</v>
      </c>
      <c r="I52" s="95">
        <v>10</v>
      </c>
      <c r="J52" s="13">
        <v>3000</v>
      </c>
      <c r="K52" s="12">
        <f t="shared" si="1"/>
        <v>300</v>
      </c>
      <c r="L52" s="95">
        <v>10</v>
      </c>
      <c r="M52" s="13">
        <f t="shared" si="41"/>
        <v>2957.5000000000009</v>
      </c>
      <c r="N52" s="12">
        <f t="shared" si="3"/>
        <v>295.75000000000011</v>
      </c>
      <c r="O52" s="14">
        <f t="shared" si="4"/>
        <v>0</v>
      </c>
      <c r="P52" s="15">
        <f t="shared" si="5"/>
        <v>-4.2499999999998863</v>
      </c>
      <c r="Q52" s="91">
        <f t="shared" si="6"/>
        <v>0.98583333333333367</v>
      </c>
      <c r="R52" s="177"/>
      <c r="S52" s="21">
        <v>0.33958333333333329</v>
      </c>
      <c r="T52" s="21">
        <v>0.35624999999999996</v>
      </c>
      <c r="U52" s="88">
        <f t="shared" si="44"/>
        <v>5.9999999999999787</v>
      </c>
      <c r="V52" s="30">
        <f t="shared" si="42"/>
        <v>23.999999999999993</v>
      </c>
      <c r="W52" s="88"/>
      <c r="X52" s="88"/>
      <c r="Y52" s="88"/>
      <c r="Z52" s="88"/>
      <c r="AA52" s="168"/>
      <c r="AB52" s="168"/>
      <c r="AC52" s="18"/>
      <c r="AD52" s="18"/>
      <c r="AE52" s="14">
        <f t="shared" si="43"/>
        <v>-42.499999999999091</v>
      </c>
      <c r="AF52" s="91">
        <f t="shared" si="9"/>
        <v>0.98583333333333367</v>
      </c>
      <c r="AG52" s="177"/>
    </row>
    <row r="53" spans="1:33">
      <c r="A53" s="180" t="s">
        <v>1058</v>
      </c>
      <c r="B53" s="88" t="s">
        <v>33</v>
      </c>
      <c r="C53" s="169" t="s">
        <v>35</v>
      </c>
      <c r="D53" s="169"/>
      <c r="E53" s="28">
        <v>26.78</v>
      </c>
      <c r="F53" s="29">
        <v>2107</v>
      </c>
      <c r="G53" s="88">
        <f t="shared" si="40"/>
        <v>56425.46</v>
      </c>
      <c r="H53" s="30" t="s">
        <v>53</v>
      </c>
      <c r="I53" s="95">
        <v>10</v>
      </c>
      <c r="J53" s="13">
        <v>3000</v>
      </c>
      <c r="K53" s="12">
        <f t="shared" si="1"/>
        <v>300</v>
      </c>
      <c r="L53" s="95">
        <v>10</v>
      </c>
      <c r="M53" s="13">
        <f t="shared" si="41"/>
        <v>2873.181818181818</v>
      </c>
      <c r="N53" s="12">
        <f t="shared" si="3"/>
        <v>287.31818181818181</v>
      </c>
      <c r="O53" s="14">
        <f t="shared" si="4"/>
        <v>0</v>
      </c>
      <c r="P53" s="15">
        <f t="shared" si="5"/>
        <v>-12.681818181818187</v>
      </c>
      <c r="Q53" s="91">
        <f t="shared" si="6"/>
        <v>0.95772727272727276</v>
      </c>
      <c r="R53" s="177"/>
      <c r="S53" s="21">
        <v>0.36041666666666661</v>
      </c>
      <c r="T53" s="21">
        <v>0.39097222222222217</v>
      </c>
      <c r="U53" s="88">
        <f t="shared" si="44"/>
        <v>5.9999999999999787</v>
      </c>
      <c r="V53" s="30">
        <f t="shared" si="42"/>
        <v>44</v>
      </c>
      <c r="W53" s="16"/>
      <c r="X53" s="16"/>
      <c r="Y53" s="16"/>
      <c r="Z53" s="16"/>
      <c r="AA53" s="168"/>
      <c r="AB53" s="168"/>
      <c r="AC53" s="18"/>
      <c r="AD53" s="18"/>
      <c r="AE53" s="14">
        <f t="shared" si="43"/>
        <v>-126.81818181818198</v>
      </c>
      <c r="AF53" s="91">
        <f t="shared" si="9"/>
        <v>0.95772727272727265</v>
      </c>
      <c r="AG53" s="177"/>
    </row>
    <row r="54" spans="1:33" ht="15" customHeight="1">
      <c r="A54" s="180" t="s">
        <v>1058</v>
      </c>
      <c r="B54" s="88" t="s">
        <v>33</v>
      </c>
      <c r="C54" s="170" t="s">
        <v>71</v>
      </c>
      <c r="D54" s="171"/>
      <c r="E54" s="28">
        <v>28.3</v>
      </c>
      <c r="F54" s="29">
        <v>1408</v>
      </c>
      <c r="G54" s="88">
        <f t="shared" si="40"/>
        <v>39846.400000000001</v>
      </c>
      <c r="H54" s="30" t="s">
        <v>53</v>
      </c>
      <c r="I54" s="95">
        <v>8</v>
      </c>
      <c r="J54" s="13">
        <v>3000</v>
      </c>
      <c r="K54" s="12">
        <f t="shared" si="1"/>
        <v>375</v>
      </c>
      <c r="L54" s="95">
        <v>8</v>
      </c>
      <c r="M54" s="13">
        <f t="shared" si="41"/>
        <v>2913.1034482758641</v>
      </c>
      <c r="N54" s="12">
        <f t="shared" si="3"/>
        <v>364.13793103448302</v>
      </c>
      <c r="O54" s="14">
        <f t="shared" si="4"/>
        <v>0</v>
      </c>
      <c r="P54" s="15">
        <f t="shared" si="5"/>
        <v>-10.862068965516983</v>
      </c>
      <c r="Q54" s="91">
        <f t="shared" si="6"/>
        <v>0.97103448275862136</v>
      </c>
      <c r="R54" s="177"/>
      <c r="S54" s="21">
        <v>0.3965277777777777</v>
      </c>
      <c r="T54" s="21">
        <v>0.41666666666666657</v>
      </c>
      <c r="U54" s="88">
        <f t="shared" si="44"/>
        <v>7.9999999999999716</v>
      </c>
      <c r="V54" s="30">
        <f t="shared" si="42"/>
        <v>28.999999999999979</v>
      </c>
      <c r="W54" s="88"/>
      <c r="X54" s="88"/>
      <c r="Y54" s="98"/>
      <c r="Z54" s="98"/>
      <c r="AA54" s="172"/>
      <c r="AB54" s="173"/>
      <c r="AC54" s="18"/>
      <c r="AD54" s="18"/>
      <c r="AE54" s="14">
        <f t="shared" si="43"/>
        <v>-86.896551724135861</v>
      </c>
      <c r="AF54" s="91">
        <f t="shared" si="9"/>
        <v>0.97103448275862136</v>
      </c>
      <c r="AG54" s="177"/>
    </row>
    <row r="55" spans="1:33">
      <c r="A55" s="180" t="s">
        <v>1058</v>
      </c>
      <c r="B55" s="28" t="s">
        <v>580</v>
      </c>
      <c r="C55" s="178"/>
      <c r="D55" s="178"/>
      <c r="E55" s="92"/>
      <c r="F55" s="12"/>
      <c r="G55" s="12"/>
      <c r="H55" s="88"/>
      <c r="I55" s="23">
        <v>10</v>
      </c>
      <c r="J55" s="13">
        <v>2833.3333333333335</v>
      </c>
      <c r="K55" s="12">
        <f t="shared" si="1"/>
        <v>283.33333333333337</v>
      </c>
      <c r="L55" s="23">
        <v>10</v>
      </c>
      <c r="M55" s="13">
        <f>AVERAGE(M49:M54)</f>
        <v>2740.8737152625708</v>
      </c>
      <c r="N55" s="12">
        <f t="shared" si="3"/>
        <v>274.08737152625707</v>
      </c>
      <c r="O55" s="14">
        <f t="shared" si="4"/>
        <v>0</v>
      </c>
      <c r="P55" s="15">
        <f t="shared" si="5"/>
        <v>-9.2459618070762986</v>
      </c>
      <c r="Q55" s="91">
        <f t="shared" si="6"/>
        <v>0.96736719362208368</v>
      </c>
      <c r="R55" s="177"/>
      <c r="S55" s="21"/>
      <c r="T55" s="21"/>
      <c r="U55" s="12"/>
      <c r="V55" s="30"/>
      <c r="W55" s="12"/>
      <c r="X55" s="12"/>
      <c r="Y55" s="24">
        <f>SUM(Y49:Y54)</f>
        <v>0</v>
      </c>
      <c r="Z55" s="24">
        <f>SUM(Z49:Z54)</f>
        <v>0</v>
      </c>
      <c r="AA55" s="167"/>
      <c r="AB55" s="167"/>
      <c r="AC55" s="24">
        <v>6</v>
      </c>
      <c r="AD55" s="24">
        <f>SUM(AD49:AD54)</f>
        <v>0</v>
      </c>
      <c r="AE55" s="14">
        <f t="shared" si="43"/>
        <v>-92.459618070762644</v>
      </c>
      <c r="AF55" s="91">
        <f t="shared" si="9"/>
        <v>0.96736719362208379</v>
      </c>
      <c r="AG55" s="177"/>
    </row>
    <row r="56" spans="1:33" ht="15.75" customHeight="1">
      <c r="A56" s="174" t="s">
        <v>1060</v>
      </c>
      <c r="B56" s="88" t="s">
        <v>22</v>
      </c>
      <c r="C56" s="169" t="s">
        <v>49</v>
      </c>
      <c r="D56" s="169"/>
      <c r="E56" s="28">
        <v>20.2</v>
      </c>
      <c r="F56" s="88">
        <v>1642</v>
      </c>
      <c r="G56" s="88">
        <f t="shared" ref="G56:G60" si="45">E56*F56</f>
        <v>33168.400000000001</v>
      </c>
      <c r="H56" s="30" t="s">
        <v>53</v>
      </c>
      <c r="I56" s="95">
        <v>15</v>
      </c>
      <c r="J56" s="13">
        <v>2400</v>
      </c>
      <c r="K56" s="12">
        <f t="shared" si="1"/>
        <v>160</v>
      </c>
      <c r="L56" s="95">
        <v>15</v>
      </c>
      <c r="M56" s="13">
        <f t="shared" ref="M56:M60" si="46">F56/V56*60</f>
        <v>2291.1627906976742</v>
      </c>
      <c r="N56" s="12">
        <f t="shared" si="3"/>
        <v>152.7441860465116</v>
      </c>
      <c r="O56" s="14">
        <f t="shared" si="4"/>
        <v>0</v>
      </c>
      <c r="P56" s="15">
        <f t="shared" si="5"/>
        <v>-7.2558139534883992</v>
      </c>
      <c r="Q56" s="91">
        <f t="shared" si="6"/>
        <v>0.95465116279069751</v>
      </c>
      <c r="R56" s="177">
        <f>Q61</f>
        <v>0.95659402566158769</v>
      </c>
      <c r="S56" s="21">
        <v>8.3333333333333329E-2</v>
      </c>
      <c r="T56" s="21">
        <v>0.11319444444444444</v>
      </c>
      <c r="U56" s="21"/>
      <c r="V56" s="30">
        <f t="shared" ref="V56:V60" si="47">(T56-S56)*24*60</f>
        <v>43.000000000000007</v>
      </c>
      <c r="W56" s="16">
        <f>T56</f>
        <v>0.11319444444444444</v>
      </c>
      <c r="X56" s="16">
        <f>S57</f>
        <v>0.13333333333333333</v>
      </c>
      <c r="Y56" s="16"/>
      <c r="Z56" s="16"/>
      <c r="AA56" s="168"/>
      <c r="AB56" s="168"/>
      <c r="AC56" s="18">
        <v>5</v>
      </c>
      <c r="AD56" s="18"/>
      <c r="AE56" s="14">
        <f t="shared" si="43"/>
        <v>-108.83720930232585</v>
      </c>
      <c r="AF56" s="91">
        <f t="shared" si="9"/>
        <v>0.95465116279069762</v>
      </c>
      <c r="AG56" s="177">
        <f>AF61</f>
        <v>0.95659402566158769</v>
      </c>
    </row>
    <row r="57" spans="1:33" ht="15.75" customHeight="1">
      <c r="A57" s="175" t="s">
        <v>1060</v>
      </c>
      <c r="B57" s="88" t="s">
        <v>22</v>
      </c>
      <c r="C57" s="169" t="s">
        <v>50</v>
      </c>
      <c r="D57" s="169"/>
      <c r="E57" s="28">
        <v>24.45</v>
      </c>
      <c r="F57" s="88">
        <v>2112</v>
      </c>
      <c r="G57" s="88">
        <f t="shared" si="45"/>
        <v>51638.400000000001</v>
      </c>
      <c r="H57" s="30" t="s">
        <v>53</v>
      </c>
      <c r="I57" s="95">
        <v>19</v>
      </c>
      <c r="J57" s="13">
        <v>2400</v>
      </c>
      <c r="K57" s="12">
        <f t="shared" si="1"/>
        <v>126.31578947368421</v>
      </c>
      <c r="L57" s="95">
        <v>19</v>
      </c>
      <c r="M57" s="13">
        <f t="shared" si="46"/>
        <v>2304</v>
      </c>
      <c r="N57" s="12">
        <f t="shared" si="3"/>
        <v>121.26315789473684</v>
      </c>
      <c r="O57" s="14">
        <f t="shared" si="4"/>
        <v>0</v>
      </c>
      <c r="P57" s="15">
        <f t="shared" si="5"/>
        <v>-5.0526315789473699</v>
      </c>
      <c r="Q57" s="91">
        <f t="shared" si="6"/>
        <v>0.96</v>
      </c>
      <c r="R57" s="177"/>
      <c r="S57" s="21">
        <v>0.13333333333333333</v>
      </c>
      <c r="T57" s="21">
        <v>0.17152777777777778</v>
      </c>
      <c r="U57" s="88">
        <f t="shared" ref="U57:U60" si="48">(S57-T56)*24*60</f>
        <v>28.999999999999996</v>
      </c>
      <c r="V57" s="30">
        <f t="shared" si="47"/>
        <v>55.000000000000007</v>
      </c>
      <c r="W57" s="16"/>
      <c r="X57" s="16"/>
      <c r="Y57" s="16"/>
      <c r="Z57" s="16"/>
      <c r="AA57" s="168"/>
      <c r="AB57" s="168"/>
      <c r="AC57" s="18"/>
      <c r="AD57" s="18"/>
      <c r="AE57" s="14">
        <f t="shared" si="43"/>
        <v>-96</v>
      </c>
      <c r="AF57" s="91">
        <f t="shared" si="9"/>
        <v>0.96</v>
      </c>
      <c r="AG57" s="177"/>
    </row>
    <row r="58" spans="1:33" ht="15.75" customHeight="1">
      <c r="A58" s="175" t="s">
        <v>1061</v>
      </c>
      <c r="B58" s="88" t="s">
        <v>22</v>
      </c>
      <c r="C58" s="169" t="s">
        <v>31</v>
      </c>
      <c r="D58" s="169"/>
      <c r="E58" s="28">
        <v>20.21</v>
      </c>
      <c r="F58" s="88">
        <v>2307</v>
      </c>
      <c r="G58" s="88">
        <f t="shared" si="45"/>
        <v>46624.47</v>
      </c>
      <c r="H58" s="30" t="s">
        <v>53</v>
      </c>
      <c r="I58" s="95">
        <v>15</v>
      </c>
      <c r="J58" s="13">
        <v>2400</v>
      </c>
      <c r="K58" s="12">
        <f t="shared" si="1"/>
        <v>160</v>
      </c>
      <c r="L58" s="95">
        <v>15</v>
      </c>
      <c r="M58" s="13">
        <f t="shared" si="46"/>
        <v>2307.0000000000005</v>
      </c>
      <c r="N58" s="12">
        <f t="shared" si="3"/>
        <v>153.80000000000004</v>
      </c>
      <c r="O58" s="14">
        <f t="shared" si="4"/>
        <v>0</v>
      </c>
      <c r="P58" s="15">
        <f t="shared" si="5"/>
        <v>-6.1999999999999602</v>
      </c>
      <c r="Q58" s="91">
        <f t="shared" si="6"/>
        <v>0.96125000000000027</v>
      </c>
      <c r="R58" s="177"/>
      <c r="S58" s="21">
        <v>0.17569444444444446</v>
      </c>
      <c r="T58" s="21">
        <v>0.21736111111111112</v>
      </c>
      <c r="U58" s="88">
        <f t="shared" si="48"/>
        <v>6.0000000000000187</v>
      </c>
      <c r="V58" s="30">
        <f t="shared" si="47"/>
        <v>59.999999999999986</v>
      </c>
      <c r="W58" s="16"/>
      <c r="X58" s="16"/>
      <c r="Y58" s="16"/>
      <c r="Z58" s="16"/>
      <c r="AA58" s="168"/>
      <c r="AB58" s="168"/>
      <c r="AC58" s="18"/>
      <c r="AD58" s="18"/>
      <c r="AE58" s="14">
        <f t="shared" si="43"/>
        <v>-92.999999999999545</v>
      </c>
      <c r="AF58" s="91">
        <f t="shared" si="9"/>
        <v>0.96125000000000016</v>
      </c>
      <c r="AG58" s="177"/>
    </row>
    <row r="59" spans="1:33" ht="15.75" customHeight="1">
      <c r="A59" s="175" t="s">
        <v>1060</v>
      </c>
      <c r="B59" s="88" t="s">
        <v>22</v>
      </c>
      <c r="C59" s="169" t="s">
        <v>51</v>
      </c>
      <c r="D59" s="169"/>
      <c r="E59" s="28">
        <v>24.43</v>
      </c>
      <c r="F59" s="88">
        <v>5522</v>
      </c>
      <c r="G59" s="88">
        <f t="shared" si="45"/>
        <v>134902.46</v>
      </c>
      <c r="H59" s="30" t="s">
        <v>53</v>
      </c>
      <c r="I59" s="95">
        <v>14</v>
      </c>
      <c r="J59" s="13">
        <v>2400</v>
      </c>
      <c r="K59" s="12">
        <f t="shared" si="1"/>
        <v>171.42857142857142</v>
      </c>
      <c r="L59" s="95">
        <v>14</v>
      </c>
      <c r="M59" s="13">
        <f t="shared" si="46"/>
        <v>2284.9655172413786</v>
      </c>
      <c r="N59" s="12">
        <f t="shared" si="3"/>
        <v>163.21182266009848</v>
      </c>
      <c r="O59" s="14">
        <f t="shared" si="4"/>
        <v>0</v>
      </c>
      <c r="P59" s="15">
        <f t="shared" si="5"/>
        <v>-8.2167487684729394</v>
      </c>
      <c r="Q59" s="91">
        <f t="shared" si="6"/>
        <v>0.95206896551724118</v>
      </c>
      <c r="R59" s="177"/>
      <c r="S59" s="21">
        <v>0.2215277777777778</v>
      </c>
      <c r="T59" s="21">
        <v>0.32222222222222224</v>
      </c>
      <c r="U59" s="88">
        <f t="shared" si="48"/>
        <v>6.0000000000000187</v>
      </c>
      <c r="V59" s="30">
        <f t="shared" si="47"/>
        <v>145.00000000000003</v>
      </c>
      <c r="W59" s="16"/>
      <c r="X59" s="16"/>
      <c r="Y59" s="16"/>
      <c r="Z59" s="16"/>
      <c r="AA59" s="168"/>
      <c r="AB59" s="168"/>
      <c r="AC59" s="18"/>
      <c r="AD59" s="18"/>
      <c r="AE59" s="14">
        <f t="shared" si="43"/>
        <v>-115.03448275862138</v>
      </c>
      <c r="AF59" s="91">
        <f t="shared" si="9"/>
        <v>0.95206896551724107</v>
      </c>
      <c r="AG59" s="177"/>
    </row>
    <row r="60" spans="1:33" ht="15.75" customHeight="1">
      <c r="A60" s="175" t="s">
        <v>1060</v>
      </c>
      <c r="B60" s="88" t="s">
        <v>22</v>
      </c>
      <c r="C60" s="169" t="s">
        <v>52</v>
      </c>
      <c r="D60" s="169"/>
      <c r="E60" s="28">
        <v>19.02</v>
      </c>
      <c r="F60" s="88">
        <v>7640</v>
      </c>
      <c r="G60" s="88">
        <f t="shared" si="45"/>
        <v>145312.79999999999</v>
      </c>
      <c r="H60" s="30" t="s">
        <v>53</v>
      </c>
      <c r="I60" s="95">
        <v>14</v>
      </c>
      <c r="J60" s="13">
        <v>2400</v>
      </c>
      <c r="K60" s="12">
        <f t="shared" si="1"/>
        <v>171.42857142857142</v>
      </c>
      <c r="L60" s="95">
        <v>14</v>
      </c>
      <c r="M60" s="13">
        <f t="shared" si="46"/>
        <v>2292</v>
      </c>
      <c r="N60" s="12">
        <f t="shared" si="3"/>
        <v>163.71428571428572</v>
      </c>
      <c r="O60" s="14">
        <f t="shared" si="4"/>
        <v>0</v>
      </c>
      <c r="P60" s="15">
        <f t="shared" si="5"/>
        <v>-7.714285714285694</v>
      </c>
      <c r="Q60" s="91">
        <f t="shared" si="6"/>
        <v>0.95500000000000007</v>
      </c>
      <c r="R60" s="177"/>
      <c r="S60" s="21">
        <v>0.32777777777777778</v>
      </c>
      <c r="T60" s="21">
        <v>0.46666666666666667</v>
      </c>
      <c r="U60" s="88">
        <f t="shared" si="48"/>
        <v>7.9999999999999716</v>
      </c>
      <c r="V60" s="30">
        <f t="shared" si="47"/>
        <v>200</v>
      </c>
      <c r="W60" s="16"/>
      <c r="X60" s="16"/>
      <c r="Y60" s="16"/>
      <c r="Z60" s="16"/>
      <c r="AA60" s="168"/>
      <c r="AB60" s="168"/>
      <c r="AC60" s="18"/>
      <c r="AD60" s="18"/>
      <c r="AE60" s="14">
        <f t="shared" si="43"/>
        <v>-108</v>
      </c>
      <c r="AF60" s="91">
        <f t="shared" si="9"/>
        <v>0.95499999999999996</v>
      </c>
      <c r="AG60" s="177"/>
    </row>
    <row r="61" spans="1:33" ht="16.5" customHeight="1">
      <c r="A61" s="176" t="s">
        <v>1060</v>
      </c>
      <c r="B61" s="28" t="s">
        <v>1062</v>
      </c>
      <c r="C61" s="165"/>
      <c r="D61" s="166"/>
      <c r="E61" s="92"/>
      <c r="F61" s="12"/>
      <c r="G61" s="12"/>
      <c r="H61" s="88"/>
      <c r="I61" s="23">
        <v>15.4</v>
      </c>
      <c r="J61" s="13">
        <v>2400</v>
      </c>
      <c r="K61" s="12">
        <f t="shared" si="1"/>
        <v>155.84415584415584</v>
      </c>
      <c r="L61" s="23">
        <v>15.4</v>
      </c>
      <c r="M61" s="13">
        <f>AVERAGE(M56:M60)</f>
        <v>2295.8256615878104</v>
      </c>
      <c r="N61" s="12">
        <f t="shared" si="3"/>
        <v>149.07958841479288</v>
      </c>
      <c r="O61" s="14">
        <f t="shared" si="4"/>
        <v>0</v>
      </c>
      <c r="P61" s="15">
        <f t="shared" si="5"/>
        <v>-6.7645674293629554</v>
      </c>
      <c r="Q61" s="91">
        <f t="shared" si="6"/>
        <v>0.95659402566158769</v>
      </c>
      <c r="R61" s="177"/>
      <c r="S61" s="21"/>
      <c r="T61" s="21"/>
      <c r="U61" s="12"/>
      <c r="V61" s="30"/>
      <c r="W61" s="12"/>
      <c r="X61" s="12"/>
      <c r="Y61" s="24">
        <f>SUM(Y56:Y60)</f>
        <v>0</v>
      </c>
      <c r="Z61" s="24">
        <f>SUM(Z56:Z60)</f>
        <v>0</v>
      </c>
      <c r="AA61" s="167"/>
      <c r="AB61" s="167"/>
      <c r="AC61" s="24">
        <v>5</v>
      </c>
      <c r="AD61" s="24">
        <f>SUM(AD56:AD60)</f>
        <v>0</v>
      </c>
      <c r="AE61" s="14">
        <f t="shared" si="43"/>
        <v>-104.17433841218963</v>
      </c>
      <c r="AF61" s="91">
        <f t="shared" si="9"/>
        <v>0.95659402566158769</v>
      </c>
      <c r="AG61" s="177"/>
    </row>
    <row r="62" spans="1:33">
      <c r="D62" s="87"/>
      <c r="E62" s="87"/>
    </row>
  </sheetData>
  <mergeCells count="175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C13:D13"/>
    <mergeCell ref="AA13:AB13"/>
    <mergeCell ref="C14:D14"/>
    <mergeCell ref="AA14:AB14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6"/>
    <mergeCell ref="AA12:AB12"/>
    <mergeCell ref="AG12:AG16"/>
    <mergeCell ref="C16:D16"/>
    <mergeCell ref="AA16:AB16"/>
    <mergeCell ref="A17:A23"/>
    <mergeCell ref="C17:D17"/>
    <mergeCell ref="R17:R23"/>
    <mergeCell ref="AA17:AB17"/>
    <mergeCell ref="AA22:AB22"/>
    <mergeCell ref="C23:D23"/>
    <mergeCell ref="AA23:AB23"/>
    <mergeCell ref="A12:A16"/>
    <mergeCell ref="AG24:AG29"/>
    <mergeCell ref="C25:D25"/>
    <mergeCell ref="AA25:AB25"/>
    <mergeCell ref="C26:D26"/>
    <mergeCell ref="AA26:AB26"/>
    <mergeCell ref="C27:D27"/>
    <mergeCell ref="AG17:AG23"/>
    <mergeCell ref="C18:D18"/>
    <mergeCell ref="AA18:AB18"/>
    <mergeCell ref="C19:D19"/>
    <mergeCell ref="AA19:AB19"/>
    <mergeCell ref="C20:D20"/>
    <mergeCell ref="AA20:AB20"/>
    <mergeCell ref="C21:D21"/>
    <mergeCell ref="AA21:AB21"/>
    <mergeCell ref="C22:D22"/>
    <mergeCell ref="AA27:AB27"/>
    <mergeCell ref="C28:D28"/>
    <mergeCell ref="AA28:AB28"/>
    <mergeCell ref="C29:D29"/>
    <mergeCell ref="AA29:AB29"/>
    <mergeCell ref="A30:A35"/>
    <mergeCell ref="C30:D30"/>
    <mergeCell ref="R30:R35"/>
    <mergeCell ref="AA30:AB30"/>
    <mergeCell ref="AA35:AB35"/>
    <mergeCell ref="A24:A29"/>
    <mergeCell ref="C24:D24"/>
    <mergeCell ref="R24:R29"/>
    <mergeCell ref="AA24:AB24"/>
    <mergeCell ref="AG36:AG41"/>
    <mergeCell ref="C37:D37"/>
    <mergeCell ref="AA37:AB37"/>
    <mergeCell ref="C38:D38"/>
    <mergeCell ref="AA38:AB38"/>
    <mergeCell ref="C39:D39"/>
    <mergeCell ref="AG30:AG35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A39:AB39"/>
    <mergeCell ref="C40:D40"/>
    <mergeCell ref="AA40:AB40"/>
    <mergeCell ref="C41:D41"/>
    <mergeCell ref="AA41:AB41"/>
    <mergeCell ref="A42:A48"/>
    <mergeCell ref="C42:D42"/>
    <mergeCell ref="R42:R48"/>
    <mergeCell ref="AA42:AB42"/>
    <mergeCell ref="AA48:AB48"/>
    <mergeCell ref="A36:A41"/>
    <mergeCell ref="C36:D36"/>
    <mergeCell ref="R36:R41"/>
    <mergeCell ref="AA36:AB36"/>
    <mergeCell ref="AG42:AG48"/>
    <mergeCell ref="C43:D43"/>
    <mergeCell ref="AA43:AB43"/>
    <mergeCell ref="C44:D44"/>
    <mergeCell ref="AA44:AB44"/>
    <mergeCell ref="AA45:AB45"/>
    <mergeCell ref="AA46:AB46"/>
    <mergeCell ref="C47:D47"/>
    <mergeCell ref="AA47:AB47"/>
    <mergeCell ref="C48:D48"/>
    <mergeCell ref="A49:A55"/>
    <mergeCell ref="C49:D49"/>
    <mergeCell ref="R49:R55"/>
    <mergeCell ref="AA49:AB49"/>
    <mergeCell ref="AG49:AG55"/>
    <mergeCell ref="C50:D50"/>
    <mergeCell ref="AA50:AB50"/>
    <mergeCell ref="C51:D51"/>
    <mergeCell ref="AA51:AB51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AA59:AB59"/>
    <mergeCell ref="C60:D60"/>
    <mergeCell ref="AA60:AB60"/>
    <mergeCell ref="A56:A61"/>
    <mergeCell ref="C56:D56"/>
    <mergeCell ref="R56:R61"/>
    <mergeCell ref="AA56:AB56"/>
    <mergeCell ref="AG56:AG61"/>
    <mergeCell ref="C57:D57"/>
    <mergeCell ref="AA57:AB57"/>
    <mergeCell ref="C58:D58"/>
    <mergeCell ref="AA58:AB58"/>
    <mergeCell ref="C59:D59"/>
    <mergeCell ref="C61:D61"/>
    <mergeCell ref="AA61:AB61"/>
  </mergeCells>
  <phoneticPr fontId="3" type="noConversion"/>
  <conditionalFormatting sqref="O5:O61">
    <cfRule type="cellIs" dxfId="78" priority="9" operator="greaterThan">
      <formula>0</formula>
    </cfRule>
  </conditionalFormatting>
  <conditionalFormatting sqref="P5:P61">
    <cfRule type="cellIs" dxfId="77" priority="1" operator="lessThan">
      <formula>0</formula>
    </cfRule>
  </conditionalFormatting>
  <conditionalFormatting sqref="Q5:Q61 AF5:AF61">
    <cfRule type="cellIs" dxfId="76" priority="10" operator="greaterThan">
      <formula>1</formula>
    </cfRule>
    <cfRule type="cellIs" dxfId="75" priority="11" operator="lessThan">
      <formula>0.8</formula>
    </cfRule>
  </conditionalFormatting>
  <conditionalFormatting sqref="R5:R9 AG5:AG9">
    <cfRule type="cellIs" dxfId="74" priority="37" operator="lessThan">
      <formula>0.8</formula>
    </cfRule>
  </conditionalFormatting>
  <conditionalFormatting sqref="AE5:AE61">
    <cfRule type="cellIs" dxfId="73" priority="12" operator="lessThan">
      <formula>0</formula>
    </cfRule>
  </conditionalFormatting>
  <conditionalFormatting sqref="AG12:AG52 R12:R61">
    <cfRule type="cellIs" dxfId="72" priority="13" operator="lessThan">
      <formula>0.8</formula>
    </cfRule>
  </conditionalFormatting>
  <dataValidations count="1">
    <dataValidation type="list" allowBlank="1" showInputMessage="1" showErrorMessage="1" sqref="AB8 AA5:AB7 AB53:AB54 AB10:AB49 AA8:AA54 AA55:AB61" xr:uid="{00000000-0002-0000-29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Q32"/>
  <sheetViews>
    <sheetView zoomScale="85" zoomScaleNormal="85" workbookViewId="0">
      <selection activeCell="V10" sqref="V10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860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495</v>
      </c>
      <c r="C3" s="154" t="str">
        <f>TEXT('0409 4度C'!A2,"yyyy.mm.ddaaaa")</f>
        <v>2026.04.09星期四</v>
      </c>
      <c r="D3" s="155"/>
      <c r="E3" s="33" t="s">
        <v>861</v>
      </c>
      <c r="F3" s="156">
        <f>'0409 4度C'!D1</f>
        <v>146034</v>
      </c>
      <c r="G3" s="157"/>
      <c r="H3" s="33" t="s">
        <v>862</v>
      </c>
      <c r="I3" s="158">
        <f>'0409 4度C'!F1</f>
        <v>4857830.04</v>
      </c>
      <c r="J3" s="159"/>
      <c r="K3" s="34"/>
      <c r="L3" s="35"/>
      <c r="M3" s="35"/>
      <c r="N3" s="35"/>
    </row>
    <row r="4" spans="2:17" ht="28.5" customHeight="1">
      <c r="B4" s="160" t="s">
        <v>863</v>
      </c>
      <c r="C4" s="146" t="s">
        <v>864</v>
      </c>
      <c r="D4" s="147"/>
      <c r="E4" s="163" t="s">
        <v>865</v>
      </c>
      <c r="F4" s="164"/>
      <c r="G4" s="163" t="s">
        <v>866</v>
      </c>
      <c r="H4" s="164"/>
      <c r="I4" s="163" t="s">
        <v>867</v>
      </c>
      <c r="J4" s="164"/>
      <c r="K4" s="144" t="s">
        <v>868</v>
      </c>
      <c r="L4" s="145"/>
      <c r="M4" s="145" t="s">
        <v>869</v>
      </c>
      <c r="N4" s="145"/>
    </row>
    <row r="5" spans="2:17" ht="28.5" customHeight="1">
      <c r="B5" s="161"/>
      <c r="C5" s="146" t="s">
        <v>870</v>
      </c>
      <c r="D5" s="147"/>
      <c r="E5" s="146" t="s">
        <v>871</v>
      </c>
      <c r="F5" s="147"/>
      <c r="G5" s="148" t="s">
        <v>872</v>
      </c>
      <c r="H5" s="149"/>
      <c r="I5" s="150" t="s">
        <v>873</v>
      </c>
      <c r="J5" s="151"/>
      <c r="K5" s="36" t="s">
        <v>874</v>
      </c>
      <c r="L5" s="37" t="s">
        <v>875</v>
      </c>
      <c r="M5" s="36" t="s">
        <v>876</v>
      </c>
      <c r="N5" s="37" t="s">
        <v>877</v>
      </c>
    </row>
    <row r="6" spans="2:17" ht="28.5" customHeight="1">
      <c r="B6" s="161"/>
      <c r="C6" s="146" t="s">
        <v>54</v>
      </c>
      <c r="D6" s="147"/>
      <c r="E6" s="138">
        <f>AVERAGE(D13:M13)</f>
        <v>155.34496033259808</v>
      </c>
      <c r="F6" s="139">
        <f>AVERAGE(D31:O31,D13:J13)</f>
        <v>161.61737260990793</v>
      </c>
      <c r="G6" s="140">
        <f>AVERAGE(D13:J13)</f>
        <v>161.61737260990793</v>
      </c>
      <c r="H6" s="141"/>
      <c r="I6" s="140">
        <f>AVERAGE(K13:M13)</f>
        <v>140.70933168554168</v>
      </c>
      <c r="J6" s="141"/>
      <c r="K6" s="142">
        <f>'0409 4度C'!Y2</f>
        <v>0</v>
      </c>
      <c r="L6" s="127">
        <f>'0409 4度C'!Z2</f>
        <v>0</v>
      </c>
      <c r="M6" s="143">
        <f>'0409 4度C'!AC2</f>
        <v>48</v>
      </c>
      <c r="N6" s="127">
        <f>'0409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148.87800119869513</v>
      </c>
      <c r="F7" s="131">
        <f>AVERAGE(D32:O32,D14:J14)</f>
        <v>155.03645559882406</v>
      </c>
      <c r="G7" s="132">
        <f>AVERAGE(D14:J14)</f>
        <v>155.03645559882406</v>
      </c>
      <c r="H7" s="133"/>
      <c r="I7" s="132">
        <f>AVERAGE(K14:M14)</f>
        <v>134.508274265061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0.95860951837068153</v>
      </c>
      <c r="F8" s="135">
        <f>AVERAGE(D15:J15,D33:O33)</f>
        <v>0.95973270839726621</v>
      </c>
      <c r="G8" s="136">
        <f>AVERAGE(D15:J15)</f>
        <v>0.95973270839726621</v>
      </c>
      <c r="H8" s="137"/>
      <c r="I8" s="136">
        <f>AVERAGE(K15:M15)</f>
        <v>0.95598874164198389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878</v>
      </c>
      <c r="N9" s="35"/>
      <c r="O9" s="35"/>
      <c r="P9" s="35"/>
      <c r="Q9" s="35"/>
    </row>
    <row r="10" spans="2:17" ht="30" customHeight="1">
      <c r="B10" s="110" t="s">
        <v>879</v>
      </c>
      <c r="C10" s="111"/>
      <c r="D10" s="112" t="s">
        <v>880</v>
      </c>
      <c r="E10" s="113"/>
      <c r="F10" s="113"/>
      <c r="G10" s="113"/>
      <c r="H10" s="113"/>
      <c r="I10" s="113"/>
      <c r="J10" s="114"/>
      <c r="K10" s="115" t="s">
        <v>881</v>
      </c>
      <c r="L10" s="116"/>
      <c r="M10" s="117"/>
      <c r="P10" s="41"/>
      <c r="Q10" s="41"/>
    </row>
    <row r="11" spans="2:17" ht="17.25" customHeight="1">
      <c r="B11" s="118" t="s">
        <v>882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883</v>
      </c>
      <c r="C13" s="48" t="s">
        <v>884</v>
      </c>
      <c r="D13" s="49">
        <f>SUMIFS('0409 4度C'!$K:$K,'0409 4度C'!$A:$A,"新豐6線",'0409 4度C'!$B:$B,"平均")</f>
        <v>117.64705882352941</v>
      </c>
      <c r="E13" s="50">
        <f>SUMIFS('0409 4度C'!$K:$K,'0409 4度C'!$A:$A,"新豐2線",'0409 4度C'!$B:$B,"平均")</f>
        <v>83.333333333333329</v>
      </c>
      <c r="F13" s="51">
        <f>SUMIFS('0409 4度C'!$K:$K,'0409 4度C'!$A:$A,"新豐5線",'0409 4度C'!$B:$B,"平均")</f>
        <v>97.402597402597408</v>
      </c>
      <c r="G13" s="51">
        <f>SUMIFS('0409 4度C'!$K:$K,'0409 4度C'!$A:$A,"新豐7線",'0409 4度C'!$B:$B,"平均")</f>
        <v>127.77777777777779</v>
      </c>
      <c r="H13" s="51">
        <f>SUMIFS('0409 4度C'!$K:$K,'0409 4度C'!$A:$A,"新豐3線",'0409 4度C'!$B:$B,"平均")</f>
        <v>319.14893617021278</v>
      </c>
      <c r="I13" s="51">
        <f>SUMIFS('0409 4度C'!$K:$K,'0409 4度C'!$A:$A,"新豐1線",'0409 4度C'!$B:$B,"平均")</f>
        <v>102.67857142857143</v>
      </c>
      <c r="J13" s="52">
        <f>SUMIFS('0409 4度C'!$K:$K,'0409 4度C'!$A:$A,"新豐10線",'0409 4度C'!$B:$B,"平均")</f>
        <v>283.33333333333337</v>
      </c>
      <c r="K13" s="53">
        <f>SUMIFS('0409 4度C'!$K:$K,'0409 4度C'!$A:$A,"新豐8線",'0409 4度C'!$B:$B,"平均")</f>
        <v>130.43478260869566</v>
      </c>
      <c r="L13" s="54">
        <f>SUMIFS('0409 4度C'!$K:$K,'0409 4度C'!$A:$A,"新豐9線",'0409 4度C'!$B:$B,"平均")</f>
        <v>135.84905660377356</v>
      </c>
      <c r="M13" s="52">
        <f>SUMIFS('0409 4度C'!$K:$K,'0409 4度C'!$A:$A,"新豐4線",'0409 4度C'!$B:$B,"平均")</f>
        <v>155.84415584415584</v>
      </c>
    </row>
    <row r="14" spans="2:17" ht="39.6" customHeight="1">
      <c r="B14" s="123"/>
      <c r="C14" s="55" t="s">
        <v>885</v>
      </c>
      <c r="D14" s="56">
        <f>SUMIFS('0409 4度C'!$N:$N,'0409 4度C'!$A:$A,"新豐6線",'0409 4度C'!$B:$B,"平均")</f>
        <v>113.74625947940149</v>
      </c>
      <c r="E14" s="57">
        <f>SUMIFS('0409 4度C'!$N:$N,'0409 4度C'!$A:$A,"新豐2線",'0409 4度C'!$B:$B,"平均")</f>
        <v>79.495654743763808</v>
      </c>
      <c r="F14" s="57">
        <f>SUMIFS('0409 4度C'!$N:$N,'0409 4度C'!$A:$A,"新豐5線",'0409 4度C'!$B:$B,"平均")</f>
        <v>93.113392855062955</v>
      </c>
      <c r="G14" s="57">
        <f>SUMIFS('0409 4度C'!$N:$N,'0409 4度C'!$A:$A,"新豐7線",'0409 4度C'!$B:$B,"平均")</f>
        <v>122.5849698960044</v>
      </c>
      <c r="H14" s="57">
        <f>SUMIFS('0409 4度C'!$N:$N,'0409 4度C'!$A:$A,"新豐3線",'0409 4度C'!$B:$B,"平均")</f>
        <v>304.45988121774991</v>
      </c>
      <c r="I14" s="57">
        <f>SUMIFS('0409 4度C'!$N:$N,'0409 4度C'!$A:$A,"新豐1線",'0409 4度C'!$B:$B,"平均")</f>
        <v>99.13642029794859</v>
      </c>
      <c r="J14" s="58">
        <f>SUMIFS('0409 4度C'!$N:$N,'0409 4度C'!$A:$A,"新豐10線",'0409 4度C'!$B:$B,"平均")</f>
        <v>272.71861070183735</v>
      </c>
      <c r="K14" s="59">
        <f>SUMIFS('0409 4度C'!$N:$N,'0409 4度C'!$A:$A,"新豐8線",'0409 4度C'!$B:$B,"平均")</f>
        <v>124.95250054005882</v>
      </c>
      <c r="L14" s="60">
        <f>SUMIFS('0409 4度C'!$N:$N,'0409 4度C'!$A:$A,"新豐9線",'0409 4度C'!$B:$B,"平均")</f>
        <v>129.69669139248032</v>
      </c>
      <c r="M14" s="58">
        <f>SUMIFS('0409 4度C'!$N:$N,'0409 4度C'!$A:$A,"新豐4線",'0409 4度C'!$B:$B,"平均")</f>
        <v>148.87563086264385</v>
      </c>
    </row>
    <row r="15" spans="2:17" ht="40.15" customHeight="1">
      <c r="B15" s="124"/>
      <c r="C15" s="61" t="s">
        <v>886</v>
      </c>
      <c r="D15" s="62">
        <f t="shared" ref="D15:M15" si="0">D14/D13</f>
        <v>0.96684320557491266</v>
      </c>
      <c r="E15" s="63">
        <f t="shared" si="0"/>
        <v>0.9539478569251657</v>
      </c>
      <c r="F15" s="63">
        <f t="shared" si="0"/>
        <v>0.95596416664531292</v>
      </c>
      <c r="G15" s="63">
        <f t="shared" si="0"/>
        <v>0.95936063396872995</v>
      </c>
      <c r="H15" s="63">
        <f t="shared" si="0"/>
        <v>0.95397429448228299</v>
      </c>
      <c r="I15" s="63">
        <f t="shared" si="0"/>
        <v>0.96550252811915149</v>
      </c>
      <c r="J15" s="64">
        <f t="shared" si="0"/>
        <v>0.9625362730653082</v>
      </c>
      <c r="K15" s="62">
        <f t="shared" si="0"/>
        <v>0.95796917080711763</v>
      </c>
      <c r="L15" s="63">
        <f t="shared" si="0"/>
        <v>0.95471175608353587</v>
      </c>
      <c r="M15" s="64">
        <f t="shared" si="0"/>
        <v>0.95528529803529805</v>
      </c>
    </row>
    <row r="16" spans="2:17" ht="17.25" customHeight="1">
      <c r="B16" s="125" t="s">
        <v>887</v>
      </c>
      <c r="C16" s="65" t="s">
        <v>888</v>
      </c>
      <c r="D16" s="66">
        <f>VLOOKUP("新豐6線",'0409 4度C'!$A:$T,19,0)</f>
        <v>0.70833333333333337</v>
      </c>
      <c r="E16" s="67">
        <f>VLOOKUP("新豐2線",'0409 4度C'!$A:$T,19,0)</f>
        <v>0.20833333333333334</v>
      </c>
      <c r="F16" s="67">
        <f>VLOOKUP("新豐5線",'0409 4度C'!$A:$T,19,0)</f>
        <v>0.20833333333333334</v>
      </c>
      <c r="G16" s="67">
        <f>VLOOKUP("新豐7線",'0409 4度C'!$A:$T,19,0)</f>
        <v>0.20833333333333334</v>
      </c>
      <c r="H16" s="67">
        <f>VLOOKUP("新豐3線",'0409 4度C'!$A:$T,19,0)</f>
        <v>8.3333333333333329E-2</v>
      </c>
      <c r="I16" s="67">
        <f>VLOOKUP("新豐1線",'0409 4度C'!$A:$T,19,0)</f>
        <v>0.20833333333333334</v>
      </c>
      <c r="J16" s="68">
        <f>VLOOKUP("新豐10線",'0409 4度C'!$A:$T,19,0)</f>
        <v>0.20833333333333334</v>
      </c>
      <c r="K16" s="69">
        <f>VLOOKUP("新豐8線",'0409 4度C'!$A:$T,19,0)</f>
        <v>8.3333333333333329E-2</v>
      </c>
      <c r="L16" s="70">
        <f>VLOOKUP("新豐9線",'0409 4度C'!$A:$T,19,0)</f>
        <v>8.3333333333333329E-2</v>
      </c>
      <c r="M16" s="71">
        <f>VLOOKUP("新豐4線",'0409 4度C'!$A:$T,19,0)</f>
        <v>8.3333333333333329E-2</v>
      </c>
    </row>
    <row r="17" spans="2:13" ht="17.25" customHeight="1">
      <c r="B17" s="126"/>
      <c r="C17" s="65" t="s">
        <v>889</v>
      </c>
      <c r="D17" s="69">
        <f>LOOKUP(2,1/(('0409 4度C'!$A:$A="新豐6線")*('0409 4度C'!$T:$T&lt;&gt;"")),'0409 4度C'!$T:$T)</f>
        <v>0.80277777777777781</v>
      </c>
      <c r="E17" s="67">
        <f>LOOKUP(2,1/(('0409 4度C'!$A:$A="新豐2線")*('0409 4度C'!$T:$T&lt;&gt;"")),'0409 4度C'!$T:$T)</f>
        <v>0.48124999999999996</v>
      </c>
      <c r="F17" s="67">
        <f>LOOKUP(2,1/(('0409 4度C'!$A:$A="新豐5線")*('0409 4度C'!$T:$T&lt;&gt;"")),'0409 4度C'!$T:$T)</f>
        <v>0.83472222222222225</v>
      </c>
      <c r="G17" s="67">
        <f>LOOKUP(2,1/(('0409 4度C'!$A:$A="新豐7線")*('0409 4度C'!$T:$T&lt;&gt;"")),'0409 4度C'!$T:$T)</f>
        <v>0.82916666666666661</v>
      </c>
      <c r="H17" s="67">
        <f>LOOKUP(2,1/(('0409 4度C'!$A:$A="新豐3線")*('0409 4度C'!$T:$T&lt;&gt;"")),'0409 4度C'!$T:$T)</f>
        <v>0.46319444444444441</v>
      </c>
      <c r="I17" s="67">
        <f>LOOKUP(2,1/(('0409 4度C'!$A:$A="新豐1線")*('0409 4度C'!$T:$T&lt;&gt;"")),'0409 4度C'!$T:$T)</f>
        <v>0.81319444444444444</v>
      </c>
      <c r="J17" s="68">
        <f>LOOKUP(2,1/(('0409 4度C'!$A:$A="新豐10線")*('0409 4度C'!$T:$T&lt;&gt;"")),'0409 4度C'!$T:$T)</f>
        <v>0.44930555555555557</v>
      </c>
      <c r="K17" s="66">
        <f>LOOKUP(2,1/(('0409 4度C'!$A:$A="新豐8線")*('0409 4度C'!$T:$T&lt;&gt;"")),'0409 4度C'!$T:$T)</f>
        <v>0.51944444444444438</v>
      </c>
      <c r="L17" s="67">
        <f>LOOKUP(2,1/(('0409 4度C'!$A:$A="新豐9線")*('0409 4度C'!$T:$T&lt;&gt;"")),'0409 4度C'!$T:$T)</f>
        <v>0.57222222222222219</v>
      </c>
      <c r="M17" s="68">
        <f>LOOKUP(2,1/(('0409 4度C'!$A:$A="新豐4線")*('0409 4度C'!$T:$T&lt;&gt;"")),'0409 4度C'!$T:$T)</f>
        <v>0.51111111111111107</v>
      </c>
    </row>
    <row r="18" spans="2:13" ht="17.25" customHeight="1">
      <c r="B18" s="104" t="s">
        <v>890</v>
      </c>
      <c r="C18" s="72" t="s">
        <v>891</v>
      </c>
      <c r="D18" s="73">
        <f>SUMIFS('0409 4度C'!$Y:$Y,'0409 4度C'!$A:$A,"新豐6線",'0409 4度C'!$B:$B,"平均")</f>
        <v>0</v>
      </c>
      <c r="E18" s="74">
        <f>SUMIFS('0409 4度C'!$Y:$Y,'0409 4度C'!$A:$A,"新豐2線",'0409 4度C'!$B:$B,"平均")</f>
        <v>0</v>
      </c>
      <c r="F18" s="74">
        <f>SUMIFS('0409 4度C'!$Y:$Y,'0409 4度C'!$A:$A,"新豐5線",'0409 4度C'!$B:$B,"平均")</f>
        <v>0</v>
      </c>
      <c r="G18" s="74">
        <f>SUMIFS('0409 4度C'!$Y:$Y,'0409 4度C'!$A:$A,"新豐7線",'0409 4度C'!$B:$B,"平均")</f>
        <v>0</v>
      </c>
      <c r="H18" s="74">
        <f>SUMIFS('0409 4度C'!$Y:$Y,'0409 4度C'!$A:$A,"新豐3線",'0409 4度C'!$B:$B,"平均")</f>
        <v>0</v>
      </c>
      <c r="I18" s="74">
        <f>SUMIFS('0409 4度C'!$Y:$Y,'0409 4度C'!$A:$A,"新豐1線",'0409 4度C'!$B:$B,"平均")</f>
        <v>0</v>
      </c>
      <c r="J18" s="75">
        <f>SUMIFS('0409 4度C'!$Y:$Y,'0409 4度C'!$A:$A,"新豐10線",'0409 4度C'!$B:$B,"平均")</f>
        <v>0</v>
      </c>
      <c r="K18" s="76">
        <f>SUMIFS('0409 4度C'!$Y:$Y,'0409 4度C'!$A:$A,"新豐8線",'0409 4度C'!$B:$B,"平均")</f>
        <v>0</v>
      </c>
      <c r="L18" s="74">
        <f>SUMIFS('0409 4度C'!$Y:$Y,'0409 4度C'!$A:$A,"新豐9線",'0409 4度C'!$B:$B,"平均")</f>
        <v>0</v>
      </c>
      <c r="M18" s="75">
        <f>SUMIFS('0409 4度C'!$Y:$Y,'0409 4度C'!$A:$A,"新豐4線",'0409 4度C'!$B:$B,"平均")</f>
        <v>0</v>
      </c>
    </row>
    <row r="19" spans="2:13" ht="17.25" customHeight="1">
      <c r="B19" s="105"/>
      <c r="C19" s="72" t="s">
        <v>892</v>
      </c>
      <c r="D19" s="73">
        <f>SUMIFS('0409 4度C'!$Z:$Z,'0409 4度C'!$A:$A,"新豐6線",'0409 4度C'!$B:$B,"平均")</f>
        <v>0</v>
      </c>
      <c r="E19" s="74">
        <f>SUMIFS('0409 4度C'!$Z:$Z,'0409 4度C'!$A:$A,"新豐2線",'0409 4度C'!$B:$B,"平均")</f>
        <v>0</v>
      </c>
      <c r="F19" s="74">
        <f>SUMIFS('0409 4度C'!$Z:$Z,'0409 4度C'!$A:$A,"新豐5線",'0409 4度C'!$B:$B,"平均")</f>
        <v>0</v>
      </c>
      <c r="G19" s="74">
        <f>SUMIFS('0409 4度C'!$Z:$Z,'0409 4度C'!$A:$A,"新豐7線",'0409 4度C'!$B:$B,"平均")</f>
        <v>0</v>
      </c>
      <c r="H19" s="74">
        <f>SUMIFS('0409 4度C'!$Z:$Z,'0409 4度C'!$A:$A,"新豐3線",'0409 4度C'!$B:$B,"平均")</f>
        <v>0</v>
      </c>
      <c r="I19" s="74">
        <f>SUMIFS('0409 4度C'!$Z:$Z,'0409 4度C'!$A:$A,"新豐1線",'0409 4度C'!$B:$B,"平均")</f>
        <v>0</v>
      </c>
      <c r="J19" s="75">
        <f>SUMIFS('0409 4度C'!$Z:$Z,'0409 4度C'!$A:$A,"新豐10線",'0409 4度C'!$B:$B,"平均")</f>
        <v>0</v>
      </c>
      <c r="K19" s="76">
        <f>SUMIFS('0409 4度C'!$Z:$Z,'0409 4度C'!$A:$A,"新豐8線",'0409 4度C'!$B:$B,"平均")</f>
        <v>0</v>
      </c>
      <c r="L19" s="74">
        <f>SUMIFS('0409 4度C'!$Z:$Z,'0409 4度C'!$A:$A,"新豐9線",'0409 4度C'!$B:$B,"平均")</f>
        <v>0</v>
      </c>
      <c r="M19" s="75">
        <f>SUMIFS('0409 4度C'!$Z:$Z,'0409 4度C'!$A:$A,"新豐4線",'0409 4度C'!$B:$B,"平均")</f>
        <v>0</v>
      </c>
    </row>
    <row r="20" spans="2:13" ht="17.25" customHeight="1">
      <c r="B20" s="104" t="s">
        <v>893</v>
      </c>
      <c r="C20" s="72" t="s">
        <v>894</v>
      </c>
      <c r="D20" s="73">
        <f>SUMIFS('0409 4度C'!$AC:$AC,'0409 4度C'!$A:$A,"新豐6線",'0409 4度C'!$B:$B,"平均")</f>
        <v>3</v>
      </c>
      <c r="E20" s="74">
        <f>SUMIFS('0409 4度C'!$AC:$AC,'0409 4度C'!$A:$A,"新豐2線",'0409 4度C'!$B:$B,"平均")</f>
        <v>2</v>
      </c>
      <c r="F20" s="74">
        <f>SUMIFS('0409 4度C'!$AC:$AC,'0409 4度C'!$A:$A,"新豐5線",'0409 4度C'!$B:$B,"平均")</f>
        <v>4</v>
      </c>
      <c r="G20" s="74">
        <f>SUMIFS('0409 4度C'!$AC:$AC,'0409 4度C'!$A:$A,"新豐7線",'0409 4度C'!$B:$B,"平均")</f>
        <v>6</v>
      </c>
      <c r="H20" s="74">
        <f>SUMIFS('0409 4度C'!$AC:$AC,'0409 4度C'!$A:$A,"新豐3線",'0409 4度C'!$B:$B,"平均")</f>
        <v>5</v>
      </c>
      <c r="I20" s="74">
        <f>SUMIFS('0409 4度C'!$AC:$AC,'0409 4度C'!$A:$A,"新豐1線",'0409 4度C'!$B:$B,"平均")</f>
        <v>6</v>
      </c>
      <c r="J20" s="75">
        <f>SUMIFS('0409 4度C'!$AC:$AC,'0409 4度C'!$A:$A,"新豐10線",'0409 4度C'!$B:$B,"平均")</f>
        <v>6</v>
      </c>
      <c r="K20" s="76">
        <f>SUMIFS('0409 4度C'!$AC:$AC,'0409 4度C'!$A:$A,"新豐8線",'0409 4度C'!$B:$B,"平均")</f>
        <v>5</v>
      </c>
      <c r="L20" s="74">
        <f>SUMIFS('0409 4度C'!$AC:$AC,'0409 4度C'!$A:$A,"新豐9線",'0409 4度C'!$B:$B,"平均")</f>
        <v>6</v>
      </c>
      <c r="M20" s="75">
        <f>SUMIFS('0409 4度C'!$AC:$AC,'0409 4度C'!$A:$A,"新豐4線",'0409 4度C'!$B:$B,"平均")</f>
        <v>5</v>
      </c>
    </row>
    <row r="21" spans="2:13" ht="17.25" customHeight="1">
      <c r="B21" s="105"/>
      <c r="C21" s="72" t="s">
        <v>895</v>
      </c>
      <c r="D21" s="73">
        <f>SUMIFS('0409 4度C'!$AD:$AD,'0409 4度C'!$A:$A,"新豐6線",'0409 4度C'!$B:$B,"平均")</f>
        <v>0</v>
      </c>
      <c r="E21" s="74">
        <f>SUMIFS('0409 4度C'!$AD:$AD,'0409 4度C'!$A:$A,"新豐2線",'0409 4度C'!$B:$B,"平均")</f>
        <v>0</v>
      </c>
      <c r="F21" s="74">
        <f>SUMIFS('0409 4度C'!$AD:$AD,'0409 4度C'!$A:$A,"新豐5線",'0409 4度C'!$B:$B,"平均")</f>
        <v>0</v>
      </c>
      <c r="G21" s="74">
        <f>SUMIFS('0409 4度C'!$AD:$AD,'0409 4度C'!$A:$A,"新豐7線",'0409 4度C'!$B:$B,"平均")</f>
        <v>0</v>
      </c>
      <c r="H21" s="74">
        <f>SUMIFS('0409 4度C'!$AD:$AD,'0409 4度C'!$A:$A,"新豐3線",'0409 4度C'!$B:$B,"平均")</f>
        <v>0</v>
      </c>
      <c r="I21" s="74">
        <f>SUMIFS('0409 4度C'!$AD:$AD,'0409 4度C'!$A:$A,"新豐1線",'0409 4度C'!$B:$B,"平均")</f>
        <v>0</v>
      </c>
      <c r="J21" s="75">
        <f>SUMIFS('0409 4度C'!$AD:$AD,'0409 4度C'!$A:$A,"新豐10線",'0409 4度C'!$B:$B,"平均")</f>
        <v>0</v>
      </c>
      <c r="K21" s="76">
        <f>SUMIFS('0409 4度C'!$AD:$AD,'0409 4度C'!$A:$A,"新豐8線",'0409 4度C'!$B:$B,"平均")</f>
        <v>0</v>
      </c>
      <c r="L21" s="74">
        <f>SUMIFS('0409 4度C'!$AD:$AD,'0409 4度C'!$A:$A,"新豐9線",'0409 4度C'!$B:$B,"平均")</f>
        <v>0</v>
      </c>
      <c r="M21" s="75">
        <f>SUMIFS('0409 4度C'!$AD:$AD,'0409 4度C'!$A:$A,"新豐4線",'0409 4度C'!$B:$B,"平均")</f>
        <v>0</v>
      </c>
    </row>
    <row r="22" spans="2:13" ht="17.25" customHeight="1">
      <c r="B22" s="106" t="s">
        <v>896</v>
      </c>
      <c r="C22" s="107"/>
      <c r="D22" s="77">
        <f>SUMIFS('0409 4度C'!$I:$I,'0409 4度C'!$A:$A,"新豐6線",'0409 4度C'!$B:$B,"平均")</f>
        <v>17</v>
      </c>
      <c r="E22" s="78">
        <f>SUMIFS('0409 4度C'!$I:$I,'0409 4度C'!$A:$A,"新豐2線",'0409 4度C'!$B:$B,"平均")</f>
        <v>18</v>
      </c>
      <c r="F22" s="78">
        <f>SUMIFS('0409 4度C'!$I:$I,'0409 4度C'!$A:$A,"新豐5線",'0409 4度C'!$B:$B,"平均")</f>
        <v>19.25</v>
      </c>
      <c r="G22" s="78">
        <f>SUMIFS('0409 4度C'!$I:$I,'0409 4度C'!$A:$A,"新豐7線",'0409 4度C'!$B:$B,"平均")</f>
        <v>15</v>
      </c>
      <c r="H22" s="78">
        <f>SUMIFS('0409 4度C'!$I:$I,'0409 4度C'!$A:$A,"新豐3線",'0409 4度C'!$B:$B,"平均")</f>
        <v>9.4</v>
      </c>
      <c r="I22" s="78">
        <f>SUMIFS('0409 4度C'!$I:$I,'0409 4度C'!$A:$A,"新豐1線",'0409 4度C'!$B:$B,"平均")</f>
        <v>18.666666666666668</v>
      </c>
      <c r="J22" s="79">
        <f>SUMIFS('0409 4度C'!$I:$I,'0409 4度C'!$A:$A,"新豐10線",'0409 4度C'!$B:$B,"平均")</f>
        <v>10</v>
      </c>
      <c r="K22" s="77">
        <f>SUMIFS('0409 4度C'!$I:$I,'0409 4度C'!$A:$A,"新豐8線",'0409 4度C'!$B:$B,"平均")</f>
        <v>18.399999999999999</v>
      </c>
      <c r="L22" s="78">
        <f>SUMIFS('0409 4度C'!$I:$I,'0409 4度C'!$A:$A,"新豐9線",'0409 4度C'!$B:$B,"平均")</f>
        <v>17.666666666666668</v>
      </c>
      <c r="M22" s="79">
        <f>SUMIFS('0409 4度C'!$I:$I,'0409 4度C'!$A:$A,"新豐4線",'0409 4度C'!$B:$B,"平均")</f>
        <v>15.4</v>
      </c>
    </row>
    <row r="23" spans="2:13" ht="17.25" customHeight="1">
      <c r="B23" s="106" t="s">
        <v>897</v>
      </c>
      <c r="C23" s="107"/>
      <c r="D23" s="80" t="s">
        <v>67</v>
      </c>
      <c r="E23" s="81" t="s">
        <v>68</v>
      </c>
      <c r="F23" s="81" t="s">
        <v>898</v>
      </c>
      <c r="G23" s="81" t="s">
        <v>898</v>
      </c>
      <c r="H23" s="81" t="s">
        <v>69</v>
      </c>
      <c r="I23" s="81" t="s">
        <v>67</v>
      </c>
      <c r="J23" s="82" t="s">
        <v>69</v>
      </c>
      <c r="K23" s="80" t="s">
        <v>899</v>
      </c>
      <c r="L23" s="81" t="s">
        <v>899</v>
      </c>
      <c r="M23" s="82" t="s">
        <v>899</v>
      </c>
    </row>
    <row r="24" spans="2:13" ht="17.25" customHeight="1">
      <c r="B24" s="106" t="s">
        <v>900</v>
      </c>
      <c r="C24" s="107"/>
      <c r="D24" s="80"/>
      <c r="E24" s="81"/>
      <c r="F24" s="81" t="s">
        <v>901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902</v>
      </c>
      <c r="C25" s="109"/>
      <c r="D25" s="83"/>
      <c r="E25" s="84" t="s">
        <v>903</v>
      </c>
      <c r="F25" s="102" t="s">
        <v>904</v>
      </c>
      <c r="G25" s="103"/>
      <c r="H25" s="84" t="s">
        <v>905</v>
      </c>
      <c r="I25" s="84" t="s">
        <v>906</v>
      </c>
      <c r="J25" s="85" t="s">
        <v>905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工作表13">
    <pageSetUpPr fitToPage="1"/>
  </sheetPr>
  <dimension ref="A1:AG63"/>
  <sheetViews>
    <sheetView zoomScale="80" zoomScaleNormal="80" workbookViewId="0">
      <pane ySplit="4" topLeftCell="A5" activePane="bottomLeft" state="frozen"/>
      <selection activeCell="V10" sqref="V10"/>
      <selection pane="bottomLeft" activeCell="I20" sqref="I20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907</v>
      </c>
      <c r="B1" s="1"/>
      <c r="C1" s="2" t="s">
        <v>908</v>
      </c>
      <c r="D1" s="3">
        <f>SUM(F5:F62)</f>
        <v>146034</v>
      </c>
      <c r="E1" s="88" t="s">
        <v>909</v>
      </c>
      <c r="F1" s="1">
        <f>SUM(G5:G62)</f>
        <v>4857830.04</v>
      </c>
      <c r="G1" s="1" t="s">
        <v>910</v>
      </c>
      <c r="H1" s="4">
        <f>L8+L11+L42+L49+L16+L56+L29+L36+L23+L62</f>
        <v>158.78333333333333</v>
      </c>
      <c r="I1" s="215" t="s">
        <v>911</v>
      </c>
      <c r="J1" s="215"/>
      <c r="K1" s="215"/>
      <c r="L1" s="215" t="s">
        <v>912</v>
      </c>
      <c r="M1" s="215"/>
      <c r="N1" s="215"/>
      <c r="O1" s="215" t="s">
        <v>913</v>
      </c>
      <c r="P1" s="215"/>
      <c r="Q1" s="215"/>
      <c r="R1" s="215"/>
      <c r="S1" s="215" t="s">
        <v>914</v>
      </c>
      <c r="T1" s="215"/>
      <c r="U1" s="215"/>
      <c r="V1" s="215"/>
      <c r="W1" s="215"/>
      <c r="X1" s="215"/>
      <c r="Y1" s="5" t="s">
        <v>915</v>
      </c>
      <c r="Z1" s="6" t="s">
        <v>916</v>
      </c>
      <c r="AA1" s="216" t="s">
        <v>917</v>
      </c>
      <c r="AB1" s="216"/>
      <c r="AC1" s="97" t="s">
        <v>915</v>
      </c>
      <c r="AD1" s="6" t="s">
        <v>918</v>
      </c>
      <c r="AE1" s="215" t="s">
        <v>714</v>
      </c>
      <c r="AF1" s="217"/>
      <c r="AG1" s="217"/>
    </row>
    <row r="2" spans="1:33" ht="26.25" customHeight="1">
      <c r="A2" s="26">
        <v>46121</v>
      </c>
      <c r="B2" s="27" t="s">
        <v>236</v>
      </c>
      <c r="C2" s="2" t="s">
        <v>919</v>
      </c>
      <c r="D2" s="8">
        <f>AVERAGE(N8,N11,N42,N49,N16,N56,N23,N29,N36,N62)</f>
        <v>148.87800119869513</v>
      </c>
      <c r="E2" s="9" t="s">
        <v>0</v>
      </c>
      <c r="F2" s="10">
        <f>F1/D1</f>
        <v>33.265061834915159</v>
      </c>
      <c r="G2" s="1" t="s">
        <v>920</v>
      </c>
      <c r="H2" s="96">
        <f>COUNT(H5:H62)</f>
        <v>1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SUM(Y8+Y11+Y16+Y23+Y29+Y36+Y42+Y49+Y56+Y62)</f>
        <v>0</v>
      </c>
      <c r="Z2" s="11">
        <f>SUM(Z8+Z11+Z16+Z23+Z29+Z36+Z42+Z49+Z56+Z62)</f>
        <v>0</v>
      </c>
      <c r="AA2" s="216"/>
      <c r="AB2" s="216"/>
      <c r="AC2" s="11">
        <f>SUM(AC8+AC11+AC16+AC23+AC29+AC36+AC42+AC49+AC56+AC62)</f>
        <v>48</v>
      </c>
      <c r="AD2" s="11">
        <f>SUM(AD8+AD11+AD16+AD23+AD29+AD36+AD42+AD49+AD56+AD62)</f>
        <v>0</v>
      </c>
      <c r="AE2" s="217"/>
      <c r="AF2" s="217"/>
      <c r="AG2" s="217"/>
    </row>
    <row r="3" spans="1:33" ht="40.5" customHeight="1">
      <c r="A3" s="168" t="s">
        <v>921</v>
      </c>
      <c r="B3" s="168" t="s">
        <v>922</v>
      </c>
      <c r="C3" s="168" t="s">
        <v>923</v>
      </c>
      <c r="D3" s="168"/>
      <c r="E3" s="213" t="s">
        <v>924</v>
      </c>
      <c r="F3" s="168" t="s">
        <v>925</v>
      </c>
      <c r="G3" s="213" t="s">
        <v>926</v>
      </c>
      <c r="H3" s="207" t="s">
        <v>927</v>
      </c>
      <c r="I3" s="205" t="s">
        <v>928</v>
      </c>
      <c r="J3" s="202" t="s">
        <v>929</v>
      </c>
      <c r="K3" s="212" t="s">
        <v>919</v>
      </c>
      <c r="L3" s="205" t="s">
        <v>928</v>
      </c>
      <c r="M3" s="202" t="s">
        <v>929</v>
      </c>
      <c r="N3" s="212" t="s">
        <v>919</v>
      </c>
      <c r="O3" s="205" t="s">
        <v>928</v>
      </c>
      <c r="P3" s="212" t="s">
        <v>919</v>
      </c>
      <c r="Q3" s="203" t="s">
        <v>930</v>
      </c>
      <c r="R3" s="181" t="s">
        <v>931</v>
      </c>
      <c r="S3" s="168" t="s">
        <v>1</v>
      </c>
      <c r="T3" s="168"/>
      <c r="U3" s="207" t="s">
        <v>2</v>
      </c>
      <c r="V3" s="207" t="s">
        <v>932</v>
      </c>
      <c r="W3" s="168" t="s">
        <v>933</v>
      </c>
      <c r="X3" s="168"/>
      <c r="Y3" s="208" t="s">
        <v>934</v>
      </c>
      <c r="Z3" s="167"/>
      <c r="AA3" s="209" t="s">
        <v>935</v>
      </c>
      <c r="AB3" s="210"/>
      <c r="AC3" s="208" t="s">
        <v>936</v>
      </c>
      <c r="AD3" s="167"/>
      <c r="AE3" s="202" t="s">
        <v>937</v>
      </c>
      <c r="AF3" s="203" t="s">
        <v>938</v>
      </c>
      <c r="AG3" s="181" t="s">
        <v>939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940</v>
      </c>
      <c r="X4" s="88" t="s">
        <v>941</v>
      </c>
      <c r="Y4" s="90" t="s">
        <v>942</v>
      </c>
      <c r="Z4" s="90" t="s">
        <v>943</v>
      </c>
      <c r="AA4" s="211"/>
      <c r="AB4" s="210"/>
      <c r="AC4" s="90" t="s">
        <v>944</v>
      </c>
      <c r="AD4" s="90" t="s">
        <v>945</v>
      </c>
      <c r="AE4" s="202"/>
      <c r="AF4" s="203"/>
      <c r="AG4" s="181"/>
    </row>
    <row r="5" spans="1:33">
      <c r="A5" s="204" t="s">
        <v>946</v>
      </c>
      <c r="B5" s="28" t="s">
        <v>5</v>
      </c>
      <c r="C5" s="206" t="s">
        <v>6</v>
      </c>
      <c r="D5" s="206"/>
      <c r="E5" s="28">
        <v>50.67</v>
      </c>
      <c r="F5" s="88">
        <v>1326</v>
      </c>
      <c r="G5" s="88">
        <f t="shared" ref="G5:G7" si="0">E5*F5</f>
        <v>67188.42</v>
      </c>
      <c r="H5" s="30" t="s">
        <v>53</v>
      </c>
      <c r="I5" s="95">
        <v>17</v>
      </c>
      <c r="J5" s="13">
        <v>2000</v>
      </c>
      <c r="K5" s="12">
        <f t="shared" ref="K5:K62" si="1">J5/I5</f>
        <v>117.64705882352941</v>
      </c>
      <c r="L5" s="95">
        <v>17</v>
      </c>
      <c r="M5" s="13">
        <f t="shared" ref="M5:M7" si="2">F5/V5*60</f>
        <v>1940.4878048780481</v>
      </c>
      <c r="N5" s="12">
        <f t="shared" ref="N5:N62" si="3">M5/L5</f>
        <v>114.1463414634146</v>
      </c>
      <c r="O5" s="14">
        <f t="shared" ref="O5:O62" si="4">L5-I5</f>
        <v>0</v>
      </c>
      <c r="P5" s="15">
        <f t="shared" ref="P5:P62" si="5">N5-K5</f>
        <v>-3.5007173601148054</v>
      </c>
      <c r="Q5" s="91">
        <f t="shared" ref="Q5:Q62" si="6">N5/K5</f>
        <v>0.97024390243902414</v>
      </c>
      <c r="R5" s="177">
        <f>Q8</f>
        <v>0.96684320557491266</v>
      </c>
      <c r="S5" s="21">
        <v>0.70833333333333337</v>
      </c>
      <c r="T5" s="21">
        <v>0.7368055555555556</v>
      </c>
      <c r="U5" s="88"/>
      <c r="V5" s="30">
        <f t="shared" ref="V5:V7" si="7">(T5-S5)*24*60</f>
        <v>41.000000000000014</v>
      </c>
      <c r="W5" s="16"/>
      <c r="X5" s="17"/>
      <c r="Y5" s="17"/>
      <c r="Z5" s="17"/>
      <c r="AA5" s="168"/>
      <c r="AB5" s="168"/>
      <c r="AC5" s="18">
        <v>3</v>
      </c>
      <c r="AD5" s="18"/>
      <c r="AE5" s="14">
        <f t="shared" ref="AE5:AE48" si="8">M5-J5</f>
        <v>-59.512195121951891</v>
      </c>
      <c r="AF5" s="91">
        <f t="shared" ref="AF5:AF62" si="9">M5/J5</f>
        <v>0.97024390243902403</v>
      </c>
      <c r="AG5" s="177">
        <f>AF8</f>
        <v>0.96684320557491266</v>
      </c>
    </row>
    <row r="6" spans="1:33">
      <c r="A6" s="205" t="s">
        <v>947</v>
      </c>
      <c r="B6" s="28" t="s">
        <v>5</v>
      </c>
      <c r="C6" s="206" t="s">
        <v>7</v>
      </c>
      <c r="D6" s="206"/>
      <c r="E6" s="28">
        <v>54.09</v>
      </c>
      <c r="F6" s="88">
        <v>1132</v>
      </c>
      <c r="G6" s="88">
        <f t="shared" si="0"/>
        <v>61229.880000000005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1940.5714285714268</v>
      </c>
      <c r="N6" s="12">
        <f t="shared" si="3"/>
        <v>102.13533834586457</v>
      </c>
      <c r="O6" s="14">
        <f t="shared" si="4"/>
        <v>0</v>
      </c>
      <c r="P6" s="15">
        <f t="shared" si="5"/>
        <v>-3.1278195488722673</v>
      </c>
      <c r="Q6" s="91">
        <f t="shared" si="6"/>
        <v>0.97028571428571342</v>
      </c>
      <c r="R6" s="177"/>
      <c r="S6" s="21">
        <v>0.74027777777777781</v>
      </c>
      <c r="T6" s="21">
        <v>0.76458333333333339</v>
      </c>
      <c r="U6" s="88">
        <f t="shared" ref="U6:U7" si="10">IF(S6=TIME(17,0,0),"",(S6-T5)*24*60)</f>
        <v>4.9999999999999822</v>
      </c>
      <c r="V6" s="30">
        <f t="shared" si="7"/>
        <v>35.000000000000036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-59.42857142857315</v>
      </c>
      <c r="AF6" s="91">
        <f t="shared" si="9"/>
        <v>0.97028571428571342</v>
      </c>
      <c r="AG6" s="177"/>
    </row>
    <row r="7" spans="1:33">
      <c r="A7" s="205" t="s">
        <v>947</v>
      </c>
      <c r="B7" s="28" t="s">
        <v>5</v>
      </c>
      <c r="C7" s="200" t="s">
        <v>16</v>
      </c>
      <c r="D7" s="201"/>
      <c r="E7" s="28">
        <v>50.67</v>
      </c>
      <c r="F7" s="88">
        <v>1536</v>
      </c>
      <c r="G7" s="88">
        <f t="shared" si="0"/>
        <v>77829.119999999995</v>
      </c>
      <c r="H7" s="30" t="s">
        <v>53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1920.0000000000005</v>
      </c>
      <c r="N7" s="12">
        <f t="shared" si="3"/>
        <v>128.00000000000003</v>
      </c>
      <c r="O7" s="14">
        <f t="shared" si="4"/>
        <v>0</v>
      </c>
      <c r="P7" s="15">
        <f t="shared" si="5"/>
        <v>-5.3333333333333144</v>
      </c>
      <c r="Q7" s="91">
        <f t="shared" si="6"/>
        <v>0.96000000000000019</v>
      </c>
      <c r="R7" s="177"/>
      <c r="S7" s="21">
        <v>0.76944444444444449</v>
      </c>
      <c r="T7" s="21">
        <v>0.80277777777777781</v>
      </c>
      <c r="U7" s="88">
        <f t="shared" si="10"/>
        <v>6.9999999999999751</v>
      </c>
      <c r="V7" s="30">
        <f t="shared" si="7"/>
        <v>47.999999999999986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-79.999999999999545</v>
      </c>
      <c r="AF7" s="91">
        <f t="shared" si="9"/>
        <v>0.96000000000000019</v>
      </c>
      <c r="AG7" s="177"/>
    </row>
    <row r="8" spans="1:33">
      <c r="A8" s="205" t="s">
        <v>947</v>
      </c>
      <c r="B8" s="28" t="s">
        <v>948</v>
      </c>
      <c r="C8" s="178"/>
      <c r="D8" s="178"/>
      <c r="E8" s="92"/>
      <c r="F8" s="12"/>
      <c r="G8" s="12"/>
      <c r="H8" s="88"/>
      <c r="I8" s="23">
        <v>17</v>
      </c>
      <c r="J8" s="13">
        <v>2000</v>
      </c>
      <c r="K8" s="12">
        <f t="shared" si="1"/>
        <v>117.64705882352941</v>
      </c>
      <c r="L8" s="23">
        <v>17</v>
      </c>
      <c r="M8" s="13">
        <f>AVERAGE(M5:M7)</f>
        <v>1933.6864111498253</v>
      </c>
      <c r="N8" s="12">
        <f t="shared" si="3"/>
        <v>113.74625947940149</v>
      </c>
      <c r="O8" s="14">
        <f t="shared" si="4"/>
        <v>0</v>
      </c>
      <c r="P8" s="15">
        <f t="shared" si="5"/>
        <v>-3.9007993441279183</v>
      </c>
      <c r="Q8" s="91">
        <f t="shared" si="6"/>
        <v>0.96684320557491266</v>
      </c>
      <c r="R8" s="177"/>
      <c r="S8" s="21"/>
      <c r="T8" s="21"/>
      <c r="U8" s="88"/>
      <c r="V8" s="30"/>
      <c r="W8" s="12"/>
      <c r="X8" s="12"/>
      <c r="Y8" s="24">
        <f>SUM(Y5:Y7)</f>
        <v>0</v>
      </c>
      <c r="Z8" s="24">
        <f>SUM(Z5:Z7)</f>
        <v>0</v>
      </c>
      <c r="AA8" s="167"/>
      <c r="AB8" s="167"/>
      <c r="AC8" s="24">
        <f>SUM(AC5:AC7)</f>
        <v>3</v>
      </c>
      <c r="AD8" s="24">
        <f>SUM(AD5:AD7)</f>
        <v>0</v>
      </c>
      <c r="AE8" s="14">
        <f t="shared" si="8"/>
        <v>-66.31358885017471</v>
      </c>
      <c r="AF8" s="91">
        <f t="shared" si="9"/>
        <v>0.96684320557491266</v>
      </c>
      <c r="AG8" s="177"/>
    </row>
    <row r="9" spans="1:33" ht="15.75" customHeight="1">
      <c r="A9" s="199" t="s">
        <v>949</v>
      </c>
      <c r="B9" s="28" t="s">
        <v>9</v>
      </c>
      <c r="C9" s="200" t="s">
        <v>10</v>
      </c>
      <c r="D9" s="201"/>
      <c r="E9" s="28">
        <v>39.619999999999997</v>
      </c>
      <c r="F9" s="88">
        <v>3791</v>
      </c>
      <c r="G9" s="88">
        <f t="shared" ref="G9:G10" si="11">E9*F9</f>
        <v>150199.41999999998</v>
      </c>
      <c r="H9" s="30" t="s">
        <v>53</v>
      </c>
      <c r="I9" s="95">
        <v>19</v>
      </c>
      <c r="J9" s="13">
        <v>1500</v>
      </c>
      <c r="K9" s="12">
        <f t="shared" si="1"/>
        <v>78.94736842105263</v>
      </c>
      <c r="L9" s="95">
        <v>19</v>
      </c>
      <c r="M9" s="13">
        <f t="shared" ref="M9:M10" si="12">F9/V9*60</f>
        <v>1430.5660377358495</v>
      </c>
      <c r="N9" s="12">
        <f t="shared" si="3"/>
        <v>75.292949354518399</v>
      </c>
      <c r="O9" s="14">
        <f t="shared" si="4"/>
        <v>0</v>
      </c>
      <c r="P9" s="15">
        <f t="shared" si="5"/>
        <v>-3.6544190665342313</v>
      </c>
      <c r="Q9" s="91">
        <f t="shared" si="6"/>
        <v>0.95371069182389978</v>
      </c>
      <c r="R9" s="177">
        <f>Q11</f>
        <v>0.9539478569251657</v>
      </c>
      <c r="S9" s="21">
        <v>0.20833333333333334</v>
      </c>
      <c r="T9" s="21">
        <v>0.31874999999999998</v>
      </c>
      <c r="U9" s="88"/>
      <c r="V9" s="30">
        <f t="shared" ref="V9:V10" si="13">(T9-S9)*24*60</f>
        <v>158.99999999999997</v>
      </c>
      <c r="W9" s="16"/>
      <c r="X9" s="16"/>
      <c r="Y9" s="16"/>
      <c r="Z9" s="16"/>
      <c r="AA9" s="168"/>
      <c r="AB9" s="168"/>
      <c r="AC9" s="18">
        <v>2</v>
      </c>
      <c r="AD9" s="18"/>
      <c r="AE9" s="14">
        <f t="shared" si="8"/>
        <v>-69.433962264150523</v>
      </c>
      <c r="AF9" s="91">
        <f t="shared" si="9"/>
        <v>0.95371069182389967</v>
      </c>
      <c r="AG9" s="177">
        <f>AF11</f>
        <v>0.9539478569251657</v>
      </c>
    </row>
    <row r="10" spans="1:33" ht="15.75" customHeight="1">
      <c r="A10" s="199" t="s">
        <v>950</v>
      </c>
      <c r="B10" s="28" t="s">
        <v>9</v>
      </c>
      <c r="C10" s="200" t="s">
        <v>11</v>
      </c>
      <c r="D10" s="201"/>
      <c r="E10" s="28">
        <v>39.799999999999997</v>
      </c>
      <c r="F10" s="88">
        <v>5415</v>
      </c>
      <c r="G10" s="88">
        <f t="shared" si="11"/>
        <v>215516.99999999997</v>
      </c>
      <c r="H10" s="30" t="s">
        <v>53</v>
      </c>
      <c r="I10" s="95">
        <v>17</v>
      </c>
      <c r="J10" s="13">
        <v>1500</v>
      </c>
      <c r="K10" s="12">
        <f t="shared" si="1"/>
        <v>88.235294117647058</v>
      </c>
      <c r="L10" s="95">
        <v>17</v>
      </c>
      <c r="M10" s="13">
        <f t="shared" si="12"/>
        <v>1431.2775330396476</v>
      </c>
      <c r="N10" s="12">
        <f t="shared" si="3"/>
        <v>84.192796061155732</v>
      </c>
      <c r="O10" s="14">
        <f t="shared" si="4"/>
        <v>0</v>
      </c>
      <c r="P10" s="15">
        <f t="shared" si="5"/>
        <v>-4.0424980564913255</v>
      </c>
      <c r="Q10" s="91">
        <f t="shared" si="6"/>
        <v>0.95418502202643163</v>
      </c>
      <c r="R10" s="177"/>
      <c r="S10" s="21">
        <v>0.32361111111111107</v>
      </c>
      <c r="T10" s="21">
        <v>0.48124999999999996</v>
      </c>
      <c r="U10" s="88">
        <f t="shared" ref="U10" si="14">IF(S10=TIME(17,0,0),"",(S10-T9)*24*60)</f>
        <v>6.9999999999999751</v>
      </c>
      <c r="V10" s="30">
        <f t="shared" si="13"/>
        <v>227</v>
      </c>
      <c r="W10" s="16"/>
      <c r="X10" s="16"/>
      <c r="Y10" s="16"/>
      <c r="Z10" s="16"/>
      <c r="AA10" s="168"/>
      <c r="AB10" s="168"/>
      <c r="AC10" s="18"/>
      <c r="AD10" s="18"/>
      <c r="AE10" s="14">
        <f t="shared" si="8"/>
        <v>-68.722466960352449</v>
      </c>
      <c r="AF10" s="91">
        <f t="shared" si="9"/>
        <v>0.95418502202643174</v>
      </c>
      <c r="AG10" s="177"/>
    </row>
    <row r="11" spans="1:33" ht="16.5" customHeight="1">
      <c r="A11" s="199" t="s">
        <v>950</v>
      </c>
      <c r="B11" s="28" t="s">
        <v>590</v>
      </c>
      <c r="C11" s="178"/>
      <c r="D11" s="178"/>
      <c r="E11" s="92"/>
      <c r="F11" s="13"/>
      <c r="G11" s="13"/>
      <c r="H11" s="88"/>
      <c r="I11" s="23">
        <v>18</v>
      </c>
      <c r="J11" s="13">
        <v>1500</v>
      </c>
      <c r="K11" s="12">
        <f t="shared" si="1"/>
        <v>83.333333333333329</v>
      </c>
      <c r="L11" s="23">
        <v>18</v>
      </c>
      <c r="M11" s="13">
        <f>AVERAGE(M9:M10)</f>
        <v>1430.9217853877485</v>
      </c>
      <c r="N11" s="12">
        <f t="shared" si="3"/>
        <v>79.495654743763808</v>
      </c>
      <c r="O11" s="14">
        <f t="shared" si="4"/>
        <v>0</v>
      </c>
      <c r="P11" s="15">
        <f t="shared" si="5"/>
        <v>-3.8376785895695207</v>
      </c>
      <c r="Q11" s="91">
        <f t="shared" si="6"/>
        <v>0.9539478569251657</v>
      </c>
      <c r="R11" s="177"/>
      <c r="S11" s="21"/>
      <c r="T11" s="21"/>
      <c r="U11" s="12"/>
      <c r="V11" s="30"/>
      <c r="W11" s="12"/>
      <c r="X11" s="12"/>
      <c r="Y11" s="24">
        <f>SUM(Y9:Y10)</f>
        <v>0</v>
      </c>
      <c r="Z11" s="24">
        <f>SUM(Z9:Z10)</f>
        <v>0</v>
      </c>
      <c r="AA11" s="167"/>
      <c r="AB11" s="167"/>
      <c r="AC11" s="24">
        <f>SUM(AC9:AC10)</f>
        <v>2</v>
      </c>
      <c r="AD11" s="24">
        <f>SUM(AD9:AD10)</f>
        <v>0</v>
      </c>
      <c r="AE11" s="14">
        <f t="shared" si="8"/>
        <v>-69.078214612251486</v>
      </c>
      <c r="AF11" s="91">
        <f t="shared" si="9"/>
        <v>0.9539478569251657</v>
      </c>
      <c r="AG11" s="177"/>
    </row>
    <row r="12" spans="1:33" ht="16.5" customHeight="1">
      <c r="A12" s="197" t="s">
        <v>951</v>
      </c>
      <c r="B12" s="88" t="s">
        <v>12</v>
      </c>
      <c r="C12" s="193" t="s">
        <v>13</v>
      </c>
      <c r="D12" s="193"/>
      <c r="E12" s="28">
        <v>41</v>
      </c>
      <c r="F12" s="88">
        <v>2319</v>
      </c>
      <c r="G12" s="88">
        <f t="shared" ref="G12:G15" si="15">E12*F12</f>
        <v>95079</v>
      </c>
      <c r="H12" s="30" t="s">
        <v>53</v>
      </c>
      <c r="I12" s="95">
        <v>26</v>
      </c>
      <c r="J12" s="13">
        <v>1500</v>
      </c>
      <c r="K12" s="12">
        <f t="shared" si="1"/>
        <v>57.692307692307693</v>
      </c>
      <c r="L12" s="95">
        <v>26</v>
      </c>
      <c r="M12" s="13">
        <f t="shared" ref="M12:M15" si="16">F12/V12*60</f>
        <v>1434.4329896907216</v>
      </c>
      <c r="N12" s="12">
        <f t="shared" si="3"/>
        <v>55.17049960348929</v>
      </c>
      <c r="O12" s="14">
        <f t="shared" si="4"/>
        <v>0</v>
      </c>
      <c r="P12" s="15">
        <f t="shared" si="5"/>
        <v>-2.5218080888184033</v>
      </c>
      <c r="Q12" s="91">
        <f t="shared" si="6"/>
        <v>0.95628865979381439</v>
      </c>
      <c r="R12" s="177">
        <f>Q16</f>
        <v>0.95596416664531292</v>
      </c>
      <c r="S12" s="21">
        <v>0.20833333333333334</v>
      </c>
      <c r="T12" s="21">
        <v>0.27569444444444446</v>
      </c>
      <c r="U12" s="88"/>
      <c r="V12" s="30">
        <f t="shared" ref="V12:V15" si="17">(T12-S12)*24*60</f>
        <v>97.000000000000014</v>
      </c>
      <c r="W12" s="21"/>
      <c r="X12" s="21"/>
      <c r="Y12" s="21"/>
      <c r="Z12" s="21"/>
      <c r="AA12" s="168"/>
      <c r="AB12" s="168"/>
      <c r="AC12" s="18">
        <v>4</v>
      </c>
      <c r="AD12" s="18"/>
      <c r="AE12" s="14">
        <f t="shared" si="8"/>
        <v>-65.56701030927843</v>
      </c>
      <c r="AF12" s="91">
        <f t="shared" si="9"/>
        <v>0.95628865979381439</v>
      </c>
      <c r="AG12" s="177">
        <f>AF16</f>
        <v>0.95596416664531303</v>
      </c>
    </row>
    <row r="13" spans="1:33" ht="16.5" customHeight="1">
      <c r="A13" s="198" t="s">
        <v>951</v>
      </c>
      <c r="B13" s="88" t="s">
        <v>5</v>
      </c>
      <c r="C13" s="193" t="s">
        <v>14</v>
      </c>
      <c r="D13" s="193"/>
      <c r="E13" s="28">
        <v>50.98</v>
      </c>
      <c r="F13" s="88">
        <v>2264</v>
      </c>
      <c r="G13" s="88">
        <f t="shared" si="15"/>
        <v>115418.71999999999</v>
      </c>
      <c r="H13" s="30" t="s">
        <v>53</v>
      </c>
      <c r="I13" s="95">
        <v>16</v>
      </c>
      <c r="J13" s="13">
        <v>2000</v>
      </c>
      <c r="K13" s="12">
        <f t="shared" si="1"/>
        <v>125</v>
      </c>
      <c r="L13" s="95">
        <v>16</v>
      </c>
      <c r="M13" s="13">
        <f t="shared" si="16"/>
        <v>1913.2394366197163</v>
      </c>
      <c r="N13" s="12">
        <f t="shared" si="3"/>
        <v>119.57746478873227</v>
      </c>
      <c r="O13" s="14">
        <f t="shared" si="4"/>
        <v>0</v>
      </c>
      <c r="P13" s="15">
        <f t="shared" si="5"/>
        <v>-5.4225352112677285</v>
      </c>
      <c r="Q13" s="91">
        <f t="shared" si="6"/>
        <v>0.95661971830985815</v>
      </c>
      <c r="R13" s="177"/>
      <c r="S13" s="21">
        <v>0.70833333333333337</v>
      </c>
      <c r="T13" s="21">
        <v>0.75763888888888897</v>
      </c>
      <c r="U13" s="88" t="str">
        <f t="shared" ref="U13:U15" si="18">IF(S13=TIME(17,0,0),"",(S13-T12)*24*60)</f>
        <v/>
      </c>
      <c r="V13" s="30">
        <f t="shared" si="17"/>
        <v>71.000000000000071</v>
      </c>
      <c r="W13" s="16"/>
      <c r="X13" s="16"/>
      <c r="Y13" s="16"/>
      <c r="Z13" s="16"/>
      <c r="AA13" s="168"/>
      <c r="AB13" s="168"/>
      <c r="AC13" s="18"/>
      <c r="AD13" s="18"/>
      <c r="AE13" s="14">
        <f t="shared" si="8"/>
        <v>-86.760563380283656</v>
      </c>
      <c r="AF13" s="91">
        <f t="shared" si="9"/>
        <v>0.95661971830985815</v>
      </c>
      <c r="AG13" s="177"/>
    </row>
    <row r="14" spans="1:33" ht="16.5" customHeight="1">
      <c r="A14" s="198" t="s">
        <v>951</v>
      </c>
      <c r="B14" s="88" t="s">
        <v>5</v>
      </c>
      <c r="C14" s="193" t="s">
        <v>15</v>
      </c>
      <c r="D14" s="193"/>
      <c r="E14" s="28">
        <v>50.92</v>
      </c>
      <c r="F14" s="88">
        <v>2167</v>
      </c>
      <c r="G14" s="88">
        <f t="shared" si="15"/>
        <v>110343.64</v>
      </c>
      <c r="H14" s="30" t="s">
        <v>53</v>
      </c>
      <c r="I14" s="95">
        <v>15</v>
      </c>
      <c r="J14" s="13">
        <v>2000</v>
      </c>
      <c r="K14" s="12">
        <f t="shared" si="1"/>
        <v>133.33333333333334</v>
      </c>
      <c r="L14" s="95">
        <v>15</v>
      </c>
      <c r="M14" s="13">
        <f t="shared" si="16"/>
        <v>1912.058823529414</v>
      </c>
      <c r="N14" s="12">
        <f t="shared" si="3"/>
        <v>127.47058823529427</v>
      </c>
      <c r="O14" s="14">
        <f t="shared" si="4"/>
        <v>0</v>
      </c>
      <c r="P14" s="15">
        <f t="shared" si="5"/>
        <v>-5.8627450980390705</v>
      </c>
      <c r="Q14" s="91">
        <f t="shared" si="6"/>
        <v>0.95602941176470702</v>
      </c>
      <c r="R14" s="177"/>
      <c r="S14" s="21">
        <v>0.76111111111111118</v>
      </c>
      <c r="T14" s="21">
        <v>0.80833333333333335</v>
      </c>
      <c r="U14" s="88">
        <f t="shared" si="18"/>
        <v>4.9999999999999822</v>
      </c>
      <c r="V14" s="30">
        <f t="shared" si="17"/>
        <v>67.999999999999915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8"/>
        <v>-87.941176470586015</v>
      </c>
      <c r="AF14" s="91">
        <f t="shared" si="9"/>
        <v>0.95602941176470702</v>
      </c>
      <c r="AG14" s="177"/>
    </row>
    <row r="15" spans="1:33" ht="16.5" customHeight="1">
      <c r="A15" s="198" t="s">
        <v>951</v>
      </c>
      <c r="B15" s="88" t="s">
        <v>5</v>
      </c>
      <c r="C15" s="193" t="s">
        <v>43</v>
      </c>
      <c r="D15" s="193"/>
      <c r="E15" s="28">
        <v>54.29</v>
      </c>
      <c r="F15" s="88">
        <v>955</v>
      </c>
      <c r="G15" s="88">
        <f t="shared" si="15"/>
        <v>51846.95</v>
      </c>
      <c r="H15" s="30" t="s">
        <v>53</v>
      </c>
      <c r="I15" s="95">
        <v>20</v>
      </c>
      <c r="J15" s="13">
        <v>2000</v>
      </c>
      <c r="K15" s="12">
        <f t="shared" si="1"/>
        <v>100</v>
      </c>
      <c r="L15" s="95">
        <v>20</v>
      </c>
      <c r="M15" s="13">
        <f t="shared" si="16"/>
        <v>1909.9999999999966</v>
      </c>
      <c r="N15" s="12">
        <f t="shared" si="3"/>
        <v>95.499999999999829</v>
      </c>
      <c r="O15" s="14">
        <f t="shared" si="4"/>
        <v>0</v>
      </c>
      <c r="P15" s="15">
        <f t="shared" si="5"/>
        <v>-4.5000000000001705</v>
      </c>
      <c r="Q15" s="91">
        <f t="shared" si="6"/>
        <v>0.95499999999999829</v>
      </c>
      <c r="R15" s="177"/>
      <c r="S15" s="21">
        <v>0.81388888888888888</v>
      </c>
      <c r="T15" s="21">
        <v>0.83472222222222225</v>
      </c>
      <c r="U15" s="88">
        <f t="shared" si="18"/>
        <v>7.9999999999999716</v>
      </c>
      <c r="V15" s="30">
        <f t="shared" si="17"/>
        <v>30.000000000000053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-90.000000000003411</v>
      </c>
      <c r="AF15" s="91">
        <f t="shared" si="9"/>
        <v>0.95499999999999829</v>
      </c>
      <c r="AG15" s="177"/>
    </row>
    <row r="16" spans="1:33" ht="16.5" customHeight="1">
      <c r="A16" s="198" t="s">
        <v>951</v>
      </c>
      <c r="B16" s="28" t="s">
        <v>590</v>
      </c>
      <c r="C16" s="178"/>
      <c r="D16" s="178"/>
      <c r="E16" s="92"/>
      <c r="F16" s="12"/>
      <c r="G16" s="12"/>
      <c r="H16" s="88"/>
      <c r="I16" s="23">
        <v>19.25</v>
      </c>
      <c r="J16" s="13">
        <v>1875</v>
      </c>
      <c r="K16" s="12">
        <f t="shared" si="1"/>
        <v>97.402597402597408</v>
      </c>
      <c r="L16" s="23">
        <v>19.25</v>
      </c>
      <c r="M16" s="13">
        <f>AVERAGE(M12:M15)</f>
        <v>1792.432812459962</v>
      </c>
      <c r="N16" s="12">
        <f t="shared" si="3"/>
        <v>93.113392855062955</v>
      </c>
      <c r="O16" s="14">
        <f t="shared" si="4"/>
        <v>0</v>
      </c>
      <c r="P16" s="15">
        <f t="shared" si="5"/>
        <v>-4.2892045475344531</v>
      </c>
      <c r="Q16" s="91">
        <f t="shared" si="6"/>
        <v>0.95596416664531292</v>
      </c>
      <c r="R16" s="177"/>
      <c r="S16" s="21"/>
      <c r="T16" s="21"/>
      <c r="U16" s="88"/>
      <c r="V16" s="30"/>
      <c r="W16" s="12"/>
      <c r="X16" s="12"/>
      <c r="Y16" s="24">
        <f>SUM(Y12:Y15)</f>
        <v>0</v>
      </c>
      <c r="Z16" s="24">
        <f>SUM(Z12:Z15)</f>
        <v>0</v>
      </c>
      <c r="AA16" s="167"/>
      <c r="AB16" s="167"/>
      <c r="AC16" s="24">
        <f>SUM(AC12:AC15)</f>
        <v>4</v>
      </c>
      <c r="AD16" s="24">
        <f>SUM(AD12:AD15)</f>
        <v>0</v>
      </c>
      <c r="AE16" s="14">
        <f t="shared" si="8"/>
        <v>-82.567187540038049</v>
      </c>
      <c r="AF16" s="91">
        <f t="shared" si="9"/>
        <v>0.95596416664531303</v>
      </c>
      <c r="AG16" s="177"/>
    </row>
    <row r="17" spans="1:33" ht="15.75" customHeight="1">
      <c r="A17" s="195" t="s">
        <v>952</v>
      </c>
      <c r="B17" s="28" t="s">
        <v>5</v>
      </c>
      <c r="C17" s="193" t="s">
        <v>17</v>
      </c>
      <c r="D17" s="193"/>
      <c r="E17" s="28">
        <v>57.73</v>
      </c>
      <c r="F17" s="88">
        <v>2234</v>
      </c>
      <c r="G17" s="88">
        <f t="shared" ref="G17:G22" si="19">E17*F17</f>
        <v>128968.81999999999</v>
      </c>
      <c r="H17" s="30" t="s">
        <v>53</v>
      </c>
      <c r="I17" s="95">
        <v>14</v>
      </c>
      <c r="J17" s="13">
        <v>2000</v>
      </c>
      <c r="K17" s="12">
        <f t="shared" si="1"/>
        <v>142.85714285714286</v>
      </c>
      <c r="L17" s="95">
        <v>14</v>
      </c>
      <c r="M17" s="13">
        <f t="shared" ref="M17:M22" si="20">F17/V17*60</f>
        <v>1914.857142857142</v>
      </c>
      <c r="N17" s="12">
        <f t="shared" si="3"/>
        <v>136.77551020408157</v>
      </c>
      <c r="O17" s="14">
        <f t="shared" si="4"/>
        <v>0</v>
      </c>
      <c r="P17" s="15">
        <f t="shared" si="5"/>
        <v>-6.0816326530612912</v>
      </c>
      <c r="Q17" s="91">
        <f t="shared" si="6"/>
        <v>0.95742857142857096</v>
      </c>
      <c r="R17" s="177">
        <f>Q23</f>
        <v>0.95936063396872995</v>
      </c>
      <c r="S17" s="21">
        <v>0.20833333333333334</v>
      </c>
      <c r="T17" s="21">
        <v>0.25694444444444448</v>
      </c>
      <c r="U17" s="88"/>
      <c r="V17" s="30">
        <f t="shared" ref="V17:V22" si="21">(T17-S17)*24*60</f>
        <v>70.000000000000028</v>
      </c>
      <c r="W17" s="21"/>
      <c r="X17" s="21"/>
      <c r="Y17" s="21"/>
      <c r="Z17" s="21"/>
      <c r="AA17" s="168"/>
      <c r="AB17" s="168"/>
      <c r="AC17" s="18">
        <v>6</v>
      </c>
      <c r="AD17" s="18"/>
      <c r="AE17" s="14">
        <f t="shared" si="8"/>
        <v>-85.14285714285802</v>
      </c>
      <c r="AF17" s="91">
        <f t="shared" si="9"/>
        <v>0.95742857142857096</v>
      </c>
      <c r="AG17" s="177">
        <f>AF23</f>
        <v>0.95936063396873006</v>
      </c>
    </row>
    <row r="18" spans="1:33" ht="15.75" customHeight="1">
      <c r="A18" s="196" t="s">
        <v>952</v>
      </c>
      <c r="B18" s="28" t="s">
        <v>5</v>
      </c>
      <c r="C18" s="193" t="s">
        <v>18</v>
      </c>
      <c r="D18" s="193"/>
      <c r="E18" s="28">
        <v>53.68</v>
      </c>
      <c r="F18" s="88">
        <v>1348</v>
      </c>
      <c r="G18" s="88">
        <f t="shared" si="19"/>
        <v>72360.639999999999</v>
      </c>
      <c r="H18" s="30" t="s">
        <v>53</v>
      </c>
      <c r="I18" s="95">
        <v>16</v>
      </c>
      <c r="J18" s="13">
        <v>2000</v>
      </c>
      <c r="K18" s="12">
        <f t="shared" si="1"/>
        <v>125</v>
      </c>
      <c r="L18" s="95">
        <v>16</v>
      </c>
      <c r="M18" s="13">
        <f t="shared" si="20"/>
        <v>1925.7142857142853</v>
      </c>
      <c r="N18" s="12">
        <f t="shared" si="3"/>
        <v>120.35714285714283</v>
      </c>
      <c r="O18" s="14">
        <f t="shared" si="4"/>
        <v>0</v>
      </c>
      <c r="P18" s="15">
        <f t="shared" si="5"/>
        <v>-4.6428571428571672</v>
      </c>
      <c r="Q18" s="91">
        <f t="shared" si="6"/>
        <v>0.96285714285714263</v>
      </c>
      <c r="R18" s="177"/>
      <c r="S18" s="21">
        <v>0.26180555555555557</v>
      </c>
      <c r="T18" s="21">
        <v>0.29097222222222224</v>
      </c>
      <c r="U18" s="88">
        <f t="shared" ref="U18:U22" si="22">IF(S18=TIME(17,0,0),"",(S18-T17)*24*60)</f>
        <v>6.9999999999999751</v>
      </c>
      <c r="V18" s="30">
        <f t="shared" si="21"/>
        <v>42.000000000000014</v>
      </c>
      <c r="W18" s="16"/>
      <c r="X18" s="88"/>
      <c r="Y18" s="88"/>
      <c r="Z18" s="88"/>
      <c r="AA18" s="168"/>
      <c r="AB18" s="168"/>
      <c r="AC18" s="18"/>
      <c r="AD18" s="18"/>
      <c r="AE18" s="14">
        <f t="shared" si="8"/>
        <v>-74.285714285714675</v>
      </c>
      <c r="AF18" s="91">
        <f t="shared" si="9"/>
        <v>0.96285714285714263</v>
      </c>
      <c r="AG18" s="177"/>
    </row>
    <row r="19" spans="1:33" ht="15.75" customHeight="1">
      <c r="A19" s="196" t="s">
        <v>952</v>
      </c>
      <c r="B19" s="28" t="s">
        <v>5</v>
      </c>
      <c r="C19" s="193" t="s">
        <v>73</v>
      </c>
      <c r="D19" s="193"/>
      <c r="E19" s="28">
        <v>50.67</v>
      </c>
      <c r="F19" s="88">
        <v>2794</v>
      </c>
      <c r="G19" s="88">
        <f t="shared" si="19"/>
        <v>141571.98000000001</v>
      </c>
      <c r="H19" s="30" t="s">
        <v>53</v>
      </c>
      <c r="I19" s="95">
        <v>16</v>
      </c>
      <c r="J19" s="13">
        <v>2000</v>
      </c>
      <c r="K19" s="12">
        <f t="shared" si="1"/>
        <v>125</v>
      </c>
      <c r="L19" s="95">
        <v>16</v>
      </c>
      <c r="M19" s="13">
        <f t="shared" si="20"/>
        <v>1905</v>
      </c>
      <c r="N19" s="12">
        <f t="shared" si="3"/>
        <v>119.0625</v>
      </c>
      <c r="O19" s="14">
        <f t="shared" si="4"/>
        <v>0</v>
      </c>
      <c r="P19" s="15">
        <f t="shared" si="5"/>
        <v>-5.9375</v>
      </c>
      <c r="Q19" s="91">
        <f t="shared" si="6"/>
        <v>0.95250000000000001</v>
      </c>
      <c r="R19" s="177"/>
      <c r="S19" s="21">
        <v>0.29444444444444445</v>
      </c>
      <c r="T19" s="21">
        <v>0.35555555555555557</v>
      </c>
      <c r="U19" s="88">
        <f t="shared" si="22"/>
        <v>4.9999999999999822</v>
      </c>
      <c r="V19" s="30">
        <f t="shared" si="21"/>
        <v>88</v>
      </c>
      <c r="W19" s="16"/>
      <c r="X19" s="88"/>
      <c r="Y19" s="88"/>
      <c r="Z19" s="88"/>
      <c r="AA19" s="168"/>
      <c r="AB19" s="168"/>
      <c r="AC19" s="18"/>
      <c r="AD19" s="18"/>
      <c r="AE19" s="14">
        <f t="shared" si="8"/>
        <v>-95</v>
      </c>
      <c r="AF19" s="91">
        <f t="shared" si="9"/>
        <v>0.95250000000000001</v>
      </c>
      <c r="AG19" s="177"/>
    </row>
    <row r="20" spans="1:33" ht="15.75" customHeight="1">
      <c r="A20" s="196" t="s">
        <v>952</v>
      </c>
      <c r="B20" s="28" t="s">
        <v>5</v>
      </c>
      <c r="C20" s="193" t="s">
        <v>21</v>
      </c>
      <c r="D20" s="193"/>
      <c r="E20" s="28">
        <v>57.3</v>
      </c>
      <c r="F20" s="88">
        <v>1599</v>
      </c>
      <c r="G20" s="88">
        <f t="shared" si="19"/>
        <v>91622.7</v>
      </c>
      <c r="H20" s="30" t="s">
        <v>53</v>
      </c>
      <c r="I20" s="95">
        <v>13</v>
      </c>
      <c r="J20" s="13">
        <v>2000</v>
      </c>
      <c r="K20" s="12">
        <f t="shared" si="1"/>
        <v>153.84615384615384</v>
      </c>
      <c r="L20" s="95">
        <v>13</v>
      </c>
      <c r="M20" s="13">
        <f t="shared" si="20"/>
        <v>1918.8000000000004</v>
      </c>
      <c r="N20" s="12">
        <f t="shared" si="3"/>
        <v>147.60000000000002</v>
      </c>
      <c r="O20" s="14">
        <f t="shared" si="4"/>
        <v>0</v>
      </c>
      <c r="P20" s="15">
        <f t="shared" si="5"/>
        <v>-6.2461538461538169</v>
      </c>
      <c r="Q20" s="91">
        <f t="shared" si="6"/>
        <v>0.95940000000000014</v>
      </c>
      <c r="R20" s="177"/>
      <c r="S20" s="21">
        <v>0.70833333333333337</v>
      </c>
      <c r="T20" s="21">
        <v>0.74305555555555558</v>
      </c>
      <c r="U20" s="88" t="str">
        <f t="shared" si="22"/>
        <v/>
      </c>
      <c r="V20" s="30">
        <f t="shared" si="21"/>
        <v>49.999999999999986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-81.199999999999591</v>
      </c>
      <c r="AF20" s="91">
        <f t="shared" si="9"/>
        <v>0.95940000000000025</v>
      </c>
      <c r="AG20" s="177"/>
    </row>
    <row r="21" spans="1:33" ht="15.75" customHeight="1">
      <c r="A21" s="196" t="s">
        <v>952</v>
      </c>
      <c r="B21" s="28" t="s">
        <v>5</v>
      </c>
      <c r="C21" s="193" t="s">
        <v>20</v>
      </c>
      <c r="D21" s="193"/>
      <c r="E21" s="28">
        <v>53.68</v>
      </c>
      <c r="F21" s="88">
        <v>1296</v>
      </c>
      <c r="G21" s="88">
        <f t="shared" si="19"/>
        <v>69569.279999999999</v>
      </c>
      <c r="H21" s="30" t="s">
        <v>53</v>
      </c>
      <c r="I21" s="95">
        <v>16</v>
      </c>
      <c r="J21" s="13">
        <v>1500</v>
      </c>
      <c r="K21" s="12">
        <f t="shared" si="1"/>
        <v>93.75</v>
      </c>
      <c r="L21" s="95">
        <v>16</v>
      </c>
      <c r="M21" s="13">
        <f t="shared" si="20"/>
        <v>1440.0000000000009</v>
      </c>
      <c r="N21" s="12">
        <f t="shared" si="3"/>
        <v>90.000000000000057</v>
      </c>
      <c r="O21" s="14">
        <f t="shared" si="4"/>
        <v>0</v>
      </c>
      <c r="P21" s="15">
        <f t="shared" si="5"/>
        <v>-3.7499999999999432</v>
      </c>
      <c r="Q21" s="91">
        <f t="shared" si="6"/>
        <v>0.96000000000000063</v>
      </c>
      <c r="R21" s="177"/>
      <c r="S21" s="21">
        <v>0.74652777777777779</v>
      </c>
      <c r="T21" s="21">
        <v>0.78402777777777777</v>
      </c>
      <c r="U21" s="88">
        <f t="shared" si="22"/>
        <v>4.9999999999999822</v>
      </c>
      <c r="V21" s="30">
        <f t="shared" si="21"/>
        <v>53.999999999999972</v>
      </c>
      <c r="W21" s="16"/>
      <c r="X21" s="16"/>
      <c r="Y21" s="88"/>
      <c r="Z21" s="88"/>
      <c r="AA21" s="168"/>
      <c r="AB21" s="168"/>
      <c r="AC21" s="18"/>
      <c r="AD21" s="18"/>
      <c r="AE21" s="14">
        <f t="shared" si="8"/>
        <v>-59.999999999999091</v>
      </c>
      <c r="AF21" s="91">
        <f t="shared" si="9"/>
        <v>0.96000000000000063</v>
      </c>
      <c r="AG21" s="177"/>
    </row>
    <row r="22" spans="1:33" ht="15.75" customHeight="1">
      <c r="A22" s="196" t="s">
        <v>952</v>
      </c>
      <c r="B22" s="28" t="s">
        <v>5</v>
      </c>
      <c r="C22" s="193" t="s">
        <v>19</v>
      </c>
      <c r="D22" s="193"/>
      <c r="E22" s="28">
        <v>50.49</v>
      </c>
      <c r="F22" s="88">
        <v>1864</v>
      </c>
      <c r="G22" s="88">
        <f t="shared" si="19"/>
        <v>94113.36</v>
      </c>
      <c r="H22" s="30" t="s">
        <v>53</v>
      </c>
      <c r="I22" s="95">
        <v>15</v>
      </c>
      <c r="J22" s="13">
        <v>2000</v>
      </c>
      <c r="K22" s="12">
        <f t="shared" si="1"/>
        <v>133.33333333333334</v>
      </c>
      <c r="L22" s="95">
        <v>15</v>
      </c>
      <c r="M22" s="13">
        <f t="shared" si="20"/>
        <v>1928.2758620689669</v>
      </c>
      <c r="N22" s="12">
        <f t="shared" si="3"/>
        <v>128.55172413793113</v>
      </c>
      <c r="O22" s="14">
        <f t="shared" si="4"/>
        <v>0</v>
      </c>
      <c r="P22" s="15">
        <f t="shared" si="5"/>
        <v>-4.7816091954022113</v>
      </c>
      <c r="Q22" s="91">
        <f t="shared" si="6"/>
        <v>0.96413793103448342</v>
      </c>
      <c r="R22" s="177"/>
      <c r="S22" s="21">
        <v>0.78888888888888886</v>
      </c>
      <c r="T22" s="21">
        <v>0.82916666666666661</v>
      </c>
      <c r="U22" s="88">
        <f t="shared" si="22"/>
        <v>6.9999999999999751</v>
      </c>
      <c r="V22" s="30">
        <f t="shared" si="21"/>
        <v>57.999999999999957</v>
      </c>
      <c r="W22" s="16"/>
      <c r="X22" s="21"/>
      <c r="Y22" s="21"/>
      <c r="Z22" s="21"/>
      <c r="AA22" s="168"/>
      <c r="AB22" s="168"/>
      <c r="AC22" s="18"/>
      <c r="AD22" s="18"/>
      <c r="AE22" s="14">
        <f t="shared" si="8"/>
        <v>-71.724137931033056</v>
      </c>
      <c r="AF22" s="91">
        <f t="shared" si="9"/>
        <v>0.96413793103448342</v>
      </c>
      <c r="AG22" s="177"/>
    </row>
    <row r="23" spans="1:33" ht="15.75" customHeight="1">
      <c r="A23" s="196" t="s">
        <v>952</v>
      </c>
      <c r="B23" s="28" t="s">
        <v>590</v>
      </c>
      <c r="C23" s="178"/>
      <c r="D23" s="178"/>
      <c r="E23" s="92"/>
      <c r="F23" s="88"/>
      <c r="G23" s="88"/>
      <c r="H23" s="88"/>
      <c r="I23" s="23">
        <v>15</v>
      </c>
      <c r="J23" s="13">
        <v>1916.6666666666667</v>
      </c>
      <c r="K23" s="12">
        <f t="shared" si="1"/>
        <v>127.77777777777779</v>
      </c>
      <c r="L23" s="23">
        <v>15</v>
      </c>
      <c r="M23" s="13">
        <f>AVERAGE(M17:M22)</f>
        <v>1838.7745484400659</v>
      </c>
      <c r="N23" s="12">
        <f t="shared" si="3"/>
        <v>122.5849698960044</v>
      </c>
      <c r="O23" s="14">
        <f t="shared" si="4"/>
        <v>0</v>
      </c>
      <c r="P23" s="15">
        <f t="shared" si="5"/>
        <v>-5.1928078817733905</v>
      </c>
      <c r="Q23" s="91">
        <f t="shared" si="6"/>
        <v>0.95936063396872995</v>
      </c>
      <c r="R23" s="177"/>
      <c r="S23" s="21"/>
      <c r="T23" s="21"/>
      <c r="U23" s="12"/>
      <c r="V23" s="30"/>
      <c r="W23" s="12"/>
      <c r="X23" s="12"/>
      <c r="Y23" s="24">
        <f>SUM(Y17:Y22)</f>
        <v>0</v>
      </c>
      <c r="Z23" s="24">
        <f>SUM(Z17:Z22)</f>
        <v>0</v>
      </c>
      <c r="AA23" s="167"/>
      <c r="AB23" s="167"/>
      <c r="AC23" s="24">
        <f>SUM(AC17:AC22)</f>
        <v>6</v>
      </c>
      <c r="AD23" s="24">
        <f>SUM(AD17:AD22)</f>
        <v>0</v>
      </c>
      <c r="AE23" s="14">
        <f t="shared" si="8"/>
        <v>-77.892118226600815</v>
      </c>
      <c r="AF23" s="91">
        <f t="shared" si="9"/>
        <v>0.95936063396873006</v>
      </c>
      <c r="AG23" s="177"/>
    </row>
    <row r="24" spans="1:33" ht="15.75" customHeight="1">
      <c r="A24" s="194" t="s">
        <v>953</v>
      </c>
      <c r="B24" s="28" t="s">
        <v>22</v>
      </c>
      <c r="C24" s="193" t="s">
        <v>23</v>
      </c>
      <c r="D24" s="193"/>
      <c r="E24" s="28">
        <v>31.29</v>
      </c>
      <c r="F24" s="88">
        <v>8471</v>
      </c>
      <c r="G24" s="88">
        <f t="shared" ref="G24:G28" si="23">E24*F24</f>
        <v>265057.58999999997</v>
      </c>
      <c r="H24" s="30" t="s">
        <v>53</v>
      </c>
      <c r="I24" s="95">
        <v>18</v>
      </c>
      <c r="J24" s="13">
        <v>2400</v>
      </c>
      <c r="K24" s="12">
        <f t="shared" si="1"/>
        <v>133.33333333333334</v>
      </c>
      <c r="L24" s="95">
        <v>18</v>
      </c>
      <c r="M24" s="13">
        <f t="shared" ref="M24:M28" si="24">F24/V24*60</f>
        <v>2289.4594594594596</v>
      </c>
      <c r="N24" s="12">
        <f t="shared" si="3"/>
        <v>127.19219219219219</v>
      </c>
      <c r="O24" s="14">
        <f t="shared" si="4"/>
        <v>0</v>
      </c>
      <c r="P24" s="15">
        <f t="shared" si="5"/>
        <v>-6.1411411411411478</v>
      </c>
      <c r="Q24" s="91">
        <f t="shared" si="6"/>
        <v>0.95394144144144144</v>
      </c>
      <c r="R24" s="177">
        <f>Q29</f>
        <v>0.95796917080711763</v>
      </c>
      <c r="S24" s="21">
        <v>8.3333333333333329E-2</v>
      </c>
      <c r="T24" s="21">
        <v>0.23749999999999999</v>
      </c>
      <c r="U24" s="88"/>
      <c r="V24" s="30">
        <f t="shared" ref="V24:V28" si="25">(T24-S24)*24*60</f>
        <v>222</v>
      </c>
      <c r="W24" s="16">
        <f>T24</f>
        <v>0.23749999999999999</v>
      </c>
      <c r="X24" s="16">
        <f>S25</f>
        <v>0.25694444444444442</v>
      </c>
      <c r="Y24" s="16"/>
      <c r="Z24" s="16"/>
      <c r="AA24" s="168"/>
      <c r="AB24" s="168"/>
      <c r="AC24" s="18">
        <v>5</v>
      </c>
      <c r="AD24" s="18"/>
      <c r="AE24" s="14">
        <f t="shared" si="8"/>
        <v>-110.54054054054041</v>
      </c>
      <c r="AF24" s="91">
        <f t="shared" si="9"/>
        <v>0.95394144144144155</v>
      </c>
      <c r="AG24" s="177">
        <f>AF29</f>
        <v>0.95796917080711752</v>
      </c>
    </row>
    <row r="25" spans="1:33" ht="15.75" customHeight="1">
      <c r="A25" s="194" t="s">
        <v>953</v>
      </c>
      <c r="B25" s="28" t="s">
        <v>22</v>
      </c>
      <c r="C25" s="193" t="s">
        <v>24</v>
      </c>
      <c r="D25" s="193"/>
      <c r="E25" s="28">
        <v>25.98</v>
      </c>
      <c r="F25" s="88">
        <v>3029</v>
      </c>
      <c r="G25" s="88">
        <f t="shared" si="23"/>
        <v>78693.42</v>
      </c>
      <c r="H25" s="30" t="s">
        <v>53</v>
      </c>
      <c r="I25" s="95">
        <v>21</v>
      </c>
      <c r="J25" s="13">
        <v>2400</v>
      </c>
      <c r="K25" s="12">
        <f t="shared" si="1"/>
        <v>114.28571428571429</v>
      </c>
      <c r="L25" s="95">
        <v>21</v>
      </c>
      <c r="M25" s="13">
        <f t="shared" si="24"/>
        <v>2300.5063291139231</v>
      </c>
      <c r="N25" s="12">
        <f t="shared" si="3"/>
        <v>109.54792043399634</v>
      </c>
      <c r="O25" s="14">
        <f t="shared" si="4"/>
        <v>0</v>
      </c>
      <c r="P25" s="15">
        <f t="shared" si="5"/>
        <v>-4.737793851717953</v>
      </c>
      <c r="Q25" s="91">
        <f t="shared" si="6"/>
        <v>0.95854430379746791</v>
      </c>
      <c r="R25" s="177"/>
      <c r="S25" s="21">
        <v>0.25694444444444442</v>
      </c>
      <c r="T25" s="21">
        <v>0.31180555555555556</v>
      </c>
      <c r="U25" s="88">
        <f t="shared" ref="U25:U28" si="26">(S25-T24)*24*60</f>
        <v>27.999999999999979</v>
      </c>
      <c r="V25" s="30">
        <f t="shared" si="25"/>
        <v>79.000000000000043</v>
      </c>
      <c r="W25" s="16"/>
      <c r="X25" s="16"/>
      <c r="Y25" s="16"/>
      <c r="Z25" s="16"/>
      <c r="AA25" s="168"/>
      <c r="AB25" s="168"/>
      <c r="AC25" s="18"/>
      <c r="AD25" s="18"/>
      <c r="AE25" s="14">
        <f t="shared" si="8"/>
        <v>-99.49367088607687</v>
      </c>
      <c r="AF25" s="91">
        <f t="shared" si="9"/>
        <v>0.95854430379746802</v>
      </c>
      <c r="AG25" s="177"/>
    </row>
    <row r="26" spans="1:33" ht="15.75" customHeight="1">
      <c r="A26" s="194" t="s">
        <v>953</v>
      </c>
      <c r="B26" s="28" t="s">
        <v>22</v>
      </c>
      <c r="C26" s="193" t="s">
        <v>25</v>
      </c>
      <c r="D26" s="193"/>
      <c r="E26" s="28">
        <v>26.2</v>
      </c>
      <c r="F26" s="88">
        <v>5106</v>
      </c>
      <c r="G26" s="88">
        <f t="shared" si="23"/>
        <v>133777.19999999998</v>
      </c>
      <c r="H26" s="30" t="s">
        <v>53</v>
      </c>
      <c r="I26" s="95">
        <v>20</v>
      </c>
      <c r="J26" s="13">
        <v>2400</v>
      </c>
      <c r="K26" s="12">
        <f t="shared" si="1"/>
        <v>120</v>
      </c>
      <c r="L26" s="95">
        <v>20</v>
      </c>
      <c r="M26" s="13">
        <f t="shared" si="24"/>
        <v>2286.2686567164178</v>
      </c>
      <c r="N26" s="12">
        <f t="shared" si="3"/>
        <v>114.31343283582089</v>
      </c>
      <c r="O26" s="14">
        <f t="shared" si="4"/>
        <v>0</v>
      </c>
      <c r="P26" s="15">
        <f t="shared" si="5"/>
        <v>-5.6865671641791096</v>
      </c>
      <c r="Q26" s="91">
        <f t="shared" si="6"/>
        <v>0.95261194029850738</v>
      </c>
      <c r="R26" s="177"/>
      <c r="S26" s="21">
        <v>0.31666666666666665</v>
      </c>
      <c r="T26" s="21">
        <v>0.40972222222222221</v>
      </c>
      <c r="U26" s="88">
        <f t="shared" si="26"/>
        <v>6.9999999999999751</v>
      </c>
      <c r="V26" s="30">
        <f t="shared" si="25"/>
        <v>134</v>
      </c>
      <c r="W26" s="16"/>
      <c r="X26" s="16"/>
      <c r="Y26" s="16"/>
      <c r="Z26" s="16"/>
      <c r="AA26" s="168"/>
      <c r="AB26" s="168"/>
      <c r="AC26" s="18"/>
      <c r="AD26" s="18"/>
      <c r="AE26" s="14">
        <f t="shared" si="8"/>
        <v>-113.73134328358219</v>
      </c>
      <c r="AF26" s="91">
        <f t="shared" si="9"/>
        <v>0.95261194029850738</v>
      </c>
      <c r="AG26" s="177"/>
    </row>
    <row r="27" spans="1:33" ht="15.75" customHeight="1">
      <c r="A27" s="194" t="s">
        <v>953</v>
      </c>
      <c r="B27" s="28" t="s">
        <v>22</v>
      </c>
      <c r="C27" s="193" t="s">
        <v>26</v>
      </c>
      <c r="D27" s="193"/>
      <c r="E27" s="28">
        <v>25.99</v>
      </c>
      <c r="F27" s="88">
        <v>3998</v>
      </c>
      <c r="G27" s="88">
        <f t="shared" si="23"/>
        <v>103908.01999999999</v>
      </c>
      <c r="H27" s="30" t="s">
        <v>53</v>
      </c>
      <c r="I27" s="95">
        <v>14</v>
      </c>
      <c r="J27" s="13">
        <v>2400</v>
      </c>
      <c r="K27" s="12">
        <f t="shared" si="1"/>
        <v>171.42857142857142</v>
      </c>
      <c r="L27" s="95">
        <v>14</v>
      </c>
      <c r="M27" s="13">
        <f t="shared" si="24"/>
        <v>2306.538461538461</v>
      </c>
      <c r="N27" s="12">
        <f t="shared" si="3"/>
        <v>164.75274725274721</v>
      </c>
      <c r="O27" s="14">
        <f t="shared" si="4"/>
        <v>0</v>
      </c>
      <c r="P27" s="15">
        <f t="shared" si="5"/>
        <v>-6.6758241758242036</v>
      </c>
      <c r="Q27" s="91">
        <f t="shared" si="6"/>
        <v>0.96105769230769211</v>
      </c>
      <c r="R27" s="177"/>
      <c r="S27" s="21">
        <v>0.41388888888888886</v>
      </c>
      <c r="T27" s="21">
        <v>0.4861111111111111</v>
      </c>
      <c r="U27" s="88">
        <f t="shared" si="26"/>
        <v>5.9999999999999787</v>
      </c>
      <c r="V27" s="30">
        <f t="shared" si="25"/>
        <v>104.00000000000003</v>
      </c>
      <c r="W27" s="16"/>
      <c r="X27" s="16"/>
      <c r="Y27" s="16"/>
      <c r="Z27" s="16"/>
      <c r="AA27" s="168"/>
      <c r="AB27" s="168"/>
      <c r="AC27" s="18"/>
      <c r="AD27" s="18"/>
      <c r="AE27" s="14">
        <f t="shared" si="8"/>
        <v>-93.461538461539021</v>
      </c>
      <c r="AF27" s="91">
        <f t="shared" si="9"/>
        <v>0.96105769230769211</v>
      </c>
      <c r="AG27" s="177"/>
    </row>
    <row r="28" spans="1:33" ht="15.75" customHeight="1">
      <c r="A28" s="194" t="s">
        <v>953</v>
      </c>
      <c r="B28" s="28" t="s">
        <v>22</v>
      </c>
      <c r="C28" s="193" t="s">
        <v>27</v>
      </c>
      <c r="D28" s="193"/>
      <c r="E28" s="28">
        <v>26.18</v>
      </c>
      <c r="F28" s="88">
        <v>1619</v>
      </c>
      <c r="G28" s="88">
        <f t="shared" si="23"/>
        <v>42385.42</v>
      </c>
      <c r="H28" s="30" t="s">
        <v>53</v>
      </c>
      <c r="I28" s="95">
        <v>19</v>
      </c>
      <c r="J28" s="13">
        <v>2400</v>
      </c>
      <c r="K28" s="12">
        <f t="shared" si="1"/>
        <v>126.31578947368421</v>
      </c>
      <c r="L28" s="95">
        <v>19</v>
      </c>
      <c r="M28" s="13">
        <f t="shared" si="24"/>
        <v>2312.8571428571468</v>
      </c>
      <c r="N28" s="12">
        <f t="shared" si="3"/>
        <v>121.72932330827088</v>
      </c>
      <c r="O28" s="14">
        <f t="shared" si="4"/>
        <v>0</v>
      </c>
      <c r="P28" s="15">
        <f t="shared" si="5"/>
        <v>-4.5864661654133272</v>
      </c>
      <c r="Q28" s="91">
        <f t="shared" si="6"/>
        <v>0.96369047619047787</v>
      </c>
      <c r="R28" s="177"/>
      <c r="S28" s="21">
        <v>0.49027777777777776</v>
      </c>
      <c r="T28" s="21">
        <v>0.51944444444444438</v>
      </c>
      <c r="U28" s="88">
        <f t="shared" si="26"/>
        <v>5.9999999999999787</v>
      </c>
      <c r="V28" s="30">
        <f t="shared" si="25"/>
        <v>41.999999999999929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-87.142857142853245</v>
      </c>
      <c r="AF28" s="91">
        <f t="shared" si="9"/>
        <v>0.96369047619047776</v>
      </c>
      <c r="AG28" s="177"/>
    </row>
    <row r="29" spans="1:33" ht="15.75" customHeight="1">
      <c r="A29" s="194" t="s">
        <v>953</v>
      </c>
      <c r="B29" s="28" t="s">
        <v>590</v>
      </c>
      <c r="C29" s="178"/>
      <c r="D29" s="178"/>
      <c r="E29" s="92"/>
      <c r="F29" s="88"/>
      <c r="G29" s="88"/>
      <c r="H29" s="88"/>
      <c r="I29" s="23">
        <v>18.399999999999999</v>
      </c>
      <c r="J29" s="13">
        <v>2400</v>
      </c>
      <c r="K29" s="12">
        <f t="shared" si="1"/>
        <v>130.43478260869566</v>
      </c>
      <c r="L29" s="23">
        <v>18.399999999999999</v>
      </c>
      <c r="M29" s="13">
        <f>AVERAGE(M24:M28)</f>
        <v>2299.126009937082</v>
      </c>
      <c r="N29" s="12">
        <f t="shared" si="3"/>
        <v>124.95250054005882</v>
      </c>
      <c r="O29" s="14">
        <f t="shared" si="4"/>
        <v>0</v>
      </c>
      <c r="P29" s="15">
        <f t="shared" si="5"/>
        <v>-5.4822820686368345</v>
      </c>
      <c r="Q29" s="91">
        <f t="shared" si="6"/>
        <v>0.95796917080711763</v>
      </c>
      <c r="R29" s="177"/>
      <c r="S29" s="21"/>
      <c r="T29" s="21"/>
      <c r="U29" s="88"/>
      <c r="V29" s="30"/>
      <c r="W29" s="88"/>
      <c r="X29" s="88"/>
      <c r="Y29" s="24">
        <f>SUM(Y24:Y28)</f>
        <v>0</v>
      </c>
      <c r="Z29" s="24">
        <f>SUM(Z24:Z28)</f>
        <v>0</v>
      </c>
      <c r="AA29" s="167"/>
      <c r="AB29" s="167"/>
      <c r="AC29" s="24">
        <f>SUM(AC24:AC28)</f>
        <v>5</v>
      </c>
      <c r="AD29" s="24">
        <f>SUM(AD24:AD28)</f>
        <v>0</v>
      </c>
      <c r="AE29" s="14">
        <f t="shared" si="8"/>
        <v>-100.87399006291798</v>
      </c>
      <c r="AF29" s="91">
        <f t="shared" si="9"/>
        <v>0.95796917080711752</v>
      </c>
      <c r="AG29" s="177"/>
    </row>
    <row r="30" spans="1:33" ht="15.75" customHeight="1">
      <c r="A30" s="191" t="s">
        <v>954</v>
      </c>
      <c r="B30" s="28" t="s">
        <v>22</v>
      </c>
      <c r="C30" s="169" t="s">
        <v>28</v>
      </c>
      <c r="D30" s="169"/>
      <c r="E30" s="28">
        <v>26.2</v>
      </c>
      <c r="F30" s="88">
        <v>3500</v>
      </c>
      <c r="G30" s="88">
        <f t="shared" ref="G30:G35" si="27">E30*F30</f>
        <v>91700</v>
      </c>
      <c r="H30" s="30">
        <v>2</v>
      </c>
      <c r="I30" s="95">
        <v>18</v>
      </c>
      <c r="J30" s="13">
        <v>2400</v>
      </c>
      <c r="K30" s="12">
        <f t="shared" si="1"/>
        <v>133.33333333333334</v>
      </c>
      <c r="L30" s="95">
        <v>18</v>
      </c>
      <c r="M30" s="13">
        <f t="shared" ref="M30:M35" si="28">F30/V30*60</f>
        <v>2282.608695652174</v>
      </c>
      <c r="N30" s="12">
        <f t="shared" si="3"/>
        <v>126.81159420289856</v>
      </c>
      <c r="O30" s="14">
        <f t="shared" si="4"/>
        <v>0</v>
      </c>
      <c r="P30" s="15">
        <f t="shared" si="5"/>
        <v>-6.5217391304347814</v>
      </c>
      <c r="Q30" s="91">
        <f t="shared" si="6"/>
        <v>0.95108695652173914</v>
      </c>
      <c r="R30" s="177">
        <f>Q36</f>
        <v>0.95471175608353587</v>
      </c>
      <c r="S30" s="21">
        <v>8.3333333333333329E-2</v>
      </c>
      <c r="T30" s="21">
        <v>0.14722222222222223</v>
      </c>
      <c r="U30" s="88"/>
      <c r="V30" s="30">
        <f t="shared" ref="V30:V35" si="29">(T30-S30)*24*60</f>
        <v>92.000000000000014</v>
      </c>
      <c r="W30" s="21">
        <f>T30</f>
        <v>0.14722222222222223</v>
      </c>
      <c r="X30" s="21">
        <f>S31</f>
        <v>0.16736111111111113</v>
      </c>
      <c r="Y30" s="21"/>
      <c r="Z30" s="21"/>
      <c r="AA30" s="168"/>
      <c r="AB30" s="168"/>
      <c r="AC30" s="18">
        <v>6</v>
      </c>
      <c r="AD30" s="18"/>
      <c r="AE30" s="14">
        <f t="shared" si="8"/>
        <v>-117.39130434782601</v>
      </c>
      <c r="AF30" s="91">
        <f t="shared" si="9"/>
        <v>0.95108695652173914</v>
      </c>
      <c r="AG30" s="177">
        <f>AF36</f>
        <v>0.95471175608353576</v>
      </c>
    </row>
    <row r="31" spans="1:33" ht="15.75" customHeight="1">
      <c r="A31" s="191" t="s">
        <v>954</v>
      </c>
      <c r="B31" s="28" t="s">
        <v>22</v>
      </c>
      <c r="C31" s="169" t="s">
        <v>29</v>
      </c>
      <c r="D31" s="169"/>
      <c r="E31" s="28">
        <v>20.52</v>
      </c>
      <c r="F31" s="88">
        <v>3682</v>
      </c>
      <c r="G31" s="88">
        <f t="shared" si="27"/>
        <v>75554.64</v>
      </c>
      <c r="H31" s="30" t="s">
        <v>53</v>
      </c>
      <c r="I31" s="95">
        <v>18</v>
      </c>
      <c r="J31" s="13">
        <v>2400</v>
      </c>
      <c r="K31" s="12">
        <f t="shared" si="1"/>
        <v>133.33333333333334</v>
      </c>
      <c r="L31" s="95">
        <v>18</v>
      </c>
      <c r="M31" s="13">
        <f t="shared" si="28"/>
        <v>2301.2500000000009</v>
      </c>
      <c r="N31" s="12">
        <f t="shared" si="3"/>
        <v>127.84722222222227</v>
      </c>
      <c r="O31" s="14">
        <f t="shared" si="4"/>
        <v>0</v>
      </c>
      <c r="P31" s="15">
        <f t="shared" si="5"/>
        <v>-5.4861111111110716</v>
      </c>
      <c r="Q31" s="91">
        <f t="shared" si="6"/>
        <v>0.95885416666666701</v>
      </c>
      <c r="R31" s="177"/>
      <c r="S31" s="21">
        <v>0.16736111111111113</v>
      </c>
      <c r="T31" s="21">
        <v>0.23402777777777778</v>
      </c>
      <c r="U31" s="88">
        <f t="shared" ref="U31:U35" si="30">(S31-T30)*24*60</f>
        <v>29.000000000000018</v>
      </c>
      <c r="V31" s="30">
        <f t="shared" si="29"/>
        <v>95.999999999999972</v>
      </c>
      <c r="W31" s="88"/>
      <c r="X31" s="88"/>
      <c r="Y31" s="88"/>
      <c r="Z31" s="88"/>
      <c r="AA31" s="168"/>
      <c r="AB31" s="168"/>
      <c r="AC31" s="18"/>
      <c r="AD31" s="18"/>
      <c r="AE31" s="14">
        <f t="shared" si="8"/>
        <v>-98.749999999999091</v>
      </c>
      <c r="AF31" s="91">
        <f t="shared" si="9"/>
        <v>0.95885416666666701</v>
      </c>
      <c r="AG31" s="177"/>
    </row>
    <row r="32" spans="1:33">
      <c r="A32" s="192" t="s">
        <v>954</v>
      </c>
      <c r="B32" s="28" t="s">
        <v>22</v>
      </c>
      <c r="C32" s="169" t="s">
        <v>32</v>
      </c>
      <c r="D32" s="169"/>
      <c r="E32" s="28">
        <v>20.52</v>
      </c>
      <c r="F32" s="88">
        <v>2748</v>
      </c>
      <c r="G32" s="88">
        <f t="shared" si="27"/>
        <v>56388.959999999999</v>
      </c>
      <c r="H32" s="30" t="s">
        <v>53</v>
      </c>
      <c r="I32" s="95">
        <v>18</v>
      </c>
      <c r="J32" s="13">
        <v>2400</v>
      </c>
      <c r="K32" s="12">
        <f t="shared" si="1"/>
        <v>133.33333333333334</v>
      </c>
      <c r="L32" s="95">
        <v>18</v>
      </c>
      <c r="M32" s="13">
        <f t="shared" si="28"/>
        <v>2289.9999999999991</v>
      </c>
      <c r="N32" s="12">
        <f t="shared" si="3"/>
        <v>127.22222222222217</v>
      </c>
      <c r="O32" s="14">
        <f t="shared" si="4"/>
        <v>0</v>
      </c>
      <c r="P32" s="15">
        <f t="shared" si="5"/>
        <v>-6.1111111111111711</v>
      </c>
      <c r="Q32" s="91">
        <f t="shared" si="6"/>
        <v>0.95416666666666627</v>
      </c>
      <c r="R32" s="177"/>
      <c r="S32" s="21">
        <v>0.23958333333333334</v>
      </c>
      <c r="T32" s="21">
        <v>0.28958333333333336</v>
      </c>
      <c r="U32" s="88">
        <f t="shared" si="30"/>
        <v>8.0000000000000107</v>
      </c>
      <c r="V32" s="30">
        <f t="shared" si="29"/>
        <v>72.000000000000028</v>
      </c>
      <c r="W32" s="88"/>
      <c r="X32" s="88"/>
      <c r="Y32" s="88"/>
      <c r="Z32" s="88"/>
      <c r="AA32" s="168"/>
      <c r="AB32" s="168"/>
      <c r="AC32" s="18"/>
      <c r="AD32" s="18"/>
      <c r="AE32" s="14">
        <f t="shared" si="8"/>
        <v>-110.00000000000091</v>
      </c>
      <c r="AF32" s="91">
        <f t="shared" si="9"/>
        <v>0.95416666666666627</v>
      </c>
      <c r="AG32" s="177"/>
    </row>
    <row r="33" spans="1:33">
      <c r="A33" s="192" t="s">
        <v>954</v>
      </c>
      <c r="B33" s="28" t="s">
        <v>22</v>
      </c>
      <c r="C33" s="169" t="s">
        <v>70</v>
      </c>
      <c r="D33" s="169"/>
      <c r="E33" s="28">
        <v>22.69</v>
      </c>
      <c r="F33" s="88">
        <v>4740</v>
      </c>
      <c r="G33" s="88">
        <f t="shared" si="27"/>
        <v>107550.6</v>
      </c>
      <c r="H33" s="30" t="s">
        <v>53</v>
      </c>
      <c r="I33" s="95">
        <v>15</v>
      </c>
      <c r="J33" s="13">
        <v>2400</v>
      </c>
      <c r="K33" s="12">
        <f t="shared" si="1"/>
        <v>160</v>
      </c>
      <c r="L33" s="95">
        <v>15</v>
      </c>
      <c r="M33" s="13">
        <f t="shared" si="28"/>
        <v>2293.5483870967732</v>
      </c>
      <c r="N33" s="12">
        <f t="shared" si="3"/>
        <v>152.90322580645156</v>
      </c>
      <c r="O33" s="14">
        <f t="shared" si="4"/>
        <v>0</v>
      </c>
      <c r="P33" s="15">
        <f t="shared" si="5"/>
        <v>-7.0967741935484412</v>
      </c>
      <c r="Q33" s="91">
        <f t="shared" si="6"/>
        <v>0.95564516129032229</v>
      </c>
      <c r="R33" s="177"/>
      <c r="S33" s="21">
        <v>0.29444444444444445</v>
      </c>
      <c r="T33" s="21">
        <v>0.38055555555555559</v>
      </c>
      <c r="U33" s="88">
        <f t="shared" si="30"/>
        <v>6.9999999999999751</v>
      </c>
      <c r="V33" s="30">
        <f t="shared" si="29"/>
        <v>124.00000000000004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-106.45161290322676</v>
      </c>
      <c r="AF33" s="91">
        <f t="shared" si="9"/>
        <v>0.95564516129032218</v>
      </c>
      <c r="AG33" s="177"/>
    </row>
    <row r="34" spans="1:33">
      <c r="A34" s="192" t="s">
        <v>954</v>
      </c>
      <c r="B34" s="28" t="s">
        <v>22</v>
      </c>
      <c r="C34" s="169" t="s">
        <v>30</v>
      </c>
      <c r="D34" s="169"/>
      <c r="E34" s="28">
        <v>26.39</v>
      </c>
      <c r="F34" s="88">
        <v>5468</v>
      </c>
      <c r="G34" s="88">
        <f t="shared" si="27"/>
        <v>144300.51999999999</v>
      </c>
      <c r="H34" s="30" t="s">
        <v>53</v>
      </c>
      <c r="I34" s="95">
        <v>19</v>
      </c>
      <c r="J34" s="13">
        <v>2400</v>
      </c>
      <c r="K34" s="12">
        <f t="shared" si="1"/>
        <v>126.31578947368421</v>
      </c>
      <c r="L34" s="95">
        <v>19</v>
      </c>
      <c r="M34" s="13">
        <f t="shared" si="28"/>
        <v>2294.2657342657349</v>
      </c>
      <c r="N34" s="12">
        <f t="shared" si="3"/>
        <v>120.75082811924921</v>
      </c>
      <c r="O34" s="14">
        <f t="shared" si="4"/>
        <v>0</v>
      </c>
      <c r="P34" s="15">
        <f t="shared" si="5"/>
        <v>-5.564961354434999</v>
      </c>
      <c r="Q34" s="91">
        <f t="shared" si="6"/>
        <v>0.95594405594405629</v>
      </c>
      <c r="R34" s="177"/>
      <c r="S34" s="21">
        <v>0.38472222222222224</v>
      </c>
      <c r="T34" s="21">
        <v>0.48402777777777778</v>
      </c>
      <c r="U34" s="88">
        <f t="shared" si="30"/>
        <v>5.9999999999999787</v>
      </c>
      <c r="V34" s="30">
        <f t="shared" si="29"/>
        <v>142.99999999999997</v>
      </c>
      <c r="W34" s="16">
        <f>T34</f>
        <v>0.48402777777777778</v>
      </c>
      <c r="X34" s="16">
        <f>S35</f>
        <v>0.52499999999999991</v>
      </c>
      <c r="Y34" s="16"/>
      <c r="Z34" s="16"/>
      <c r="AA34" s="168"/>
      <c r="AB34" s="168"/>
      <c r="AC34" s="18"/>
      <c r="AD34" s="18"/>
      <c r="AE34" s="14">
        <f t="shared" si="8"/>
        <v>-105.73426573426514</v>
      </c>
      <c r="AF34" s="91">
        <f t="shared" si="9"/>
        <v>0.95594405594405618</v>
      </c>
      <c r="AG34" s="177"/>
    </row>
    <row r="35" spans="1:33">
      <c r="A35" s="192" t="s">
        <v>954</v>
      </c>
      <c r="B35" s="28" t="s">
        <v>22</v>
      </c>
      <c r="C35" s="169" t="s">
        <v>28</v>
      </c>
      <c r="D35" s="169"/>
      <c r="E35" s="28">
        <v>26.2</v>
      </c>
      <c r="F35" s="88">
        <v>2591</v>
      </c>
      <c r="G35" s="88">
        <f t="shared" si="27"/>
        <v>67884.2</v>
      </c>
      <c r="H35" s="30" t="s">
        <v>53</v>
      </c>
      <c r="I35" s="95">
        <v>18</v>
      </c>
      <c r="J35" s="13">
        <v>2400</v>
      </c>
      <c r="K35" s="12">
        <f t="shared" si="1"/>
        <v>133.33333333333334</v>
      </c>
      <c r="L35" s="95">
        <v>18</v>
      </c>
      <c r="M35" s="13">
        <f t="shared" si="28"/>
        <v>2286.1764705882324</v>
      </c>
      <c r="N35" s="12">
        <f t="shared" si="3"/>
        <v>127.00980392156846</v>
      </c>
      <c r="O35" s="14">
        <f t="shared" si="4"/>
        <v>0</v>
      </c>
      <c r="P35" s="15">
        <f t="shared" si="5"/>
        <v>-6.3235294117648806</v>
      </c>
      <c r="Q35" s="91">
        <f t="shared" si="6"/>
        <v>0.95257352941176343</v>
      </c>
      <c r="R35" s="177"/>
      <c r="S35" s="21">
        <v>0.52499999999999991</v>
      </c>
      <c r="T35" s="21">
        <v>0.57222222222222219</v>
      </c>
      <c r="U35" s="88">
        <f t="shared" si="30"/>
        <v>58.999999999999872</v>
      </c>
      <c r="V35" s="30">
        <f t="shared" si="29"/>
        <v>68.000000000000085</v>
      </c>
      <c r="W35" s="16"/>
      <c r="X35" s="16"/>
      <c r="Y35" s="16"/>
      <c r="Z35" s="16"/>
      <c r="AA35" s="168"/>
      <c r="AB35" s="168"/>
      <c r="AC35" s="18"/>
      <c r="AD35" s="18"/>
      <c r="AE35" s="14">
        <f t="shared" si="8"/>
        <v>-113.82352941176759</v>
      </c>
      <c r="AF35" s="91">
        <f t="shared" si="9"/>
        <v>0.95257352941176354</v>
      </c>
      <c r="AG35" s="177"/>
    </row>
    <row r="36" spans="1:33">
      <c r="A36" s="192" t="s">
        <v>954</v>
      </c>
      <c r="B36" s="12" t="s">
        <v>590</v>
      </c>
      <c r="C36" s="178"/>
      <c r="D36" s="178"/>
      <c r="E36" s="92"/>
      <c r="F36" s="12"/>
      <c r="G36" s="12"/>
      <c r="H36" s="88"/>
      <c r="I36" s="23">
        <v>17.666666666666668</v>
      </c>
      <c r="J36" s="13">
        <v>2400</v>
      </c>
      <c r="K36" s="12">
        <f t="shared" si="1"/>
        <v>135.84905660377356</v>
      </c>
      <c r="L36" s="23">
        <v>17.666666666666668</v>
      </c>
      <c r="M36" s="13">
        <f>AVERAGE(M30:M35)</f>
        <v>2291.3082146004858</v>
      </c>
      <c r="N36" s="12">
        <f t="shared" si="3"/>
        <v>129.69669139248032</v>
      </c>
      <c r="O36" s="14">
        <f t="shared" si="4"/>
        <v>0</v>
      </c>
      <c r="P36" s="15">
        <f t="shared" si="5"/>
        <v>-6.1523652112932439</v>
      </c>
      <c r="Q36" s="91">
        <f t="shared" si="6"/>
        <v>0.95471175608353587</v>
      </c>
      <c r="R36" s="177"/>
      <c r="S36" s="21"/>
      <c r="T36" s="21"/>
      <c r="U36" s="12"/>
      <c r="V36" s="30"/>
      <c r="W36" s="12"/>
      <c r="X36" s="12"/>
      <c r="Y36" s="24">
        <f>SUM(Y30:Y35)</f>
        <v>0</v>
      </c>
      <c r="Z36" s="24">
        <f>SUM(Z30:Z35)</f>
        <v>0</v>
      </c>
      <c r="AA36" s="167"/>
      <c r="AB36" s="167"/>
      <c r="AC36" s="24">
        <f>SUM(AC30:AC35)</f>
        <v>6</v>
      </c>
      <c r="AD36" s="24">
        <f>SUM(AD30:AD35)</f>
        <v>0</v>
      </c>
      <c r="AE36" s="14">
        <f t="shared" si="8"/>
        <v>-108.69178539951417</v>
      </c>
      <c r="AF36" s="91">
        <f t="shared" si="9"/>
        <v>0.95471175608353576</v>
      </c>
      <c r="AG36" s="177"/>
    </row>
    <row r="37" spans="1:33" ht="15.75" customHeight="1">
      <c r="A37" s="188" t="s">
        <v>955</v>
      </c>
      <c r="B37" s="28" t="s">
        <v>33</v>
      </c>
      <c r="C37" s="170" t="s">
        <v>72</v>
      </c>
      <c r="D37" s="171"/>
      <c r="E37" s="28">
        <v>34.35</v>
      </c>
      <c r="F37" s="88">
        <v>3021</v>
      </c>
      <c r="G37" s="88">
        <f t="shared" ref="G37:G41" si="31">E37*F37</f>
        <v>103771.35</v>
      </c>
      <c r="H37" s="30" t="s">
        <v>53</v>
      </c>
      <c r="I37" s="95">
        <v>8</v>
      </c>
      <c r="J37" s="13">
        <v>3000</v>
      </c>
      <c r="K37" s="12">
        <f t="shared" si="1"/>
        <v>375</v>
      </c>
      <c r="L37" s="95">
        <v>8</v>
      </c>
      <c r="M37" s="13">
        <f t="shared" ref="M37:M41" si="32">F37/V37*60</f>
        <v>2877.1428571428578</v>
      </c>
      <c r="N37" s="13">
        <f t="shared" si="3"/>
        <v>359.64285714285722</v>
      </c>
      <c r="O37" s="14">
        <f t="shared" si="4"/>
        <v>0</v>
      </c>
      <c r="P37" s="15">
        <f t="shared" si="5"/>
        <v>-15.357142857142776</v>
      </c>
      <c r="Q37" s="91">
        <f t="shared" si="6"/>
        <v>0.95904761904761926</v>
      </c>
      <c r="R37" s="183">
        <f>Q42</f>
        <v>0.95397429448228299</v>
      </c>
      <c r="S37" s="21">
        <v>8.3333333333333329E-2</v>
      </c>
      <c r="T37" s="21">
        <v>0.12708333333333333</v>
      </c>
      <c r="U37" s="21"/>
      <c r="V37" s="30">
        <f t="shared" ref="V37:V41" si="33">(T37-S37)*24*60</f>
        <v>62.999999999999986</v>
      </c>
      <c r="W37" s="16">
        <f>T37</f>
        <v>0.12708333333333333</v>
      </c>
      <c r="X37" s="16">
        <f>S38</f>
        <v>0.1444444444444444</v>
      </c>
      <c r="Y37" s="19"/>
      <c r="Z37" s="19"/>
      <c r="AA37" s="172"/>
      <c r="AB37" s="173"/>
      <c r="AC37" s="18">
        <v>5</v>
      </c>
      <c r="AD37" s="18"/>
      <c r="AE37" s="14">
        <f t="shared" si="8"/>
        <v>-122.85714285714221</v>
      </c>
      <c r="AF37" s="91">
        <f t="shared" si="9"/>
        <v>0.95904761904761926</v>
      </c>
      <c r="AG37" s="183">
        <f>AF42</f>
        <v>0.95397429448228321</v>
      </c>
    </row>
    <row r="38" spans="1:33" ht="15.75" customHeight="1">
      <c r="A38" s="189" t="s">
        <v>955</v>
      </c>
      <c r="B38" s="28" t="s">
        <v>33</v>
      </c>
      <c r="C38" s="170" t="s">
        <v>36</v>
      </c>
      <c r="D38" s="171"/>
      <c r="E38" s="28">
        <v>21.13</v>
      </c>
      <c r="F38" s="88">
        <v>5064</v>
      </c>
      <c r="G38" s="88">
        <f t="shared" si="31"/>
        <v>107002.31999999999</v>
      </c>
      <c r="H38" s="30" t="s">
        <v>53</v>
      </c>
      <c r="I38" s="95">
        <v>10</v>
      </c>
      <c r="J38" s="13">
        <v>3000</v>
      </c>
      <c r="K38" s="12">
        <f t="shared" si="1"/>
        <v>300</v>
      </c>
      <c r="L38" s="95">
        <v>10</v>
      </c>
      <c r="M38" s="13">
        <f t="shared" si="32"/>
        <v>2866.415094339623</v>
      </c>
      <c r="N38" s="13">
        <f t="shared" si="3"/>
        <v>286.64150943396231</v>
      </c>
      <c r="O38" s="14">
        <f t="shared" si="4"/>
        <v>0</v>
      </c>
      <c r="P38" s="15">
        <f t="shared" si="5"/>
        <v>-13.358490566037688</v>
      </c>
      <c r="Q38" s="91">
        <f t="shared" si="6"/>
        <v>0.95547169811320776</v>
      </c>
      <c r="R38" s="184"/>
      <c r="S38" s="21">
        <v>0.1444444444444444</v>
      </c>
      <c r="T38" s="21">
        <v>0.2180555555555555</v>
      </c>
      <c r="U38" s="88">
        <f t="shared" ref="U38:U41" si="34">(S38-T37)*24*60</f>
        <v>24.99999999999995</v>
      </c>
      <c r="V38" s="30">
        <f t="shared" si="33"/>
        <v>105.99999999999999</v>
      </c>
      <c r="W38" s="16"/>
      <c r="X38" s="16"/>
      <c r="Y38" s="19"/>
      <c r="Z38" s="19"/>
      <c r="AA38" s="172"/>
      <c r="AB38" s="173"/>
      <c r="AC38" s="18"/>
      <c r="AD38" s="18"/>
      <c r="AE38" s="14">
        <f t="shared" si="8"/>
        <v>-133.58490566037699</v>
      </c>
      <c r="AF38" s="91">
        <f t="shared" si="9"/>
        <v>0.95547169811320765</v>
      </c>
      <c r="AG38" s="184"/>
    </row>
    <row r="39" spans="1:33" ht="15.75" customHeight="1">
      <c r="A39" s="189" t="s">
        <v>955</v>
      </c>
      <c r="B39" s="28" t="s">
        <v>33</v>
      </c>
      <c r="C39" s="170" t="s">
        <v>37</v>
      </c>
      <c r="D39" s="171"/>
      <c r="E39" s="28">
        <v>27.17</v>
      </c>
      <c r="F39" s="88">
        <v>6614</v>
      </c>
      <c r="G39" s="88">
        <f t="shared" si="31"/>
        <v>179702.38</v>
      </c>
      <c r="H39" s="30" t="s">
        <v>53</v>
      </c>
      <c r="I39" s="95">
        <v>10</v>
      </c>
      <c r="J39" s="13">
        <v>3000</v>
      </c>
      <c r="K39" s="12">
        <f t="shared" si="1"/>
        <v>300</v>
      </c>
      <c r="L39" s="95">
        <v>10</v>
      </c>
      <c r="M39" s="13">
        <f t="shared" si="32"/>
        <v>2854.964028776978</v>
      </c>
      <c r="N39" s="13">
        <f t="shared" si="3"/>
        <v>285.49640287769779</v>
      </c>
      <c r="O39" s="14">
        <f t="shared" si="4"/>
        <v>0</v>
      </c>
      <c r="P39" s="15">
        <f t="shared" si="5"/>
        <v>-14.50359712230221</v>
      </c>
      <c r="Q39" s="91">
        <f t="shared" si="6"/>
        <v>0.95165467625899258</v>
      </c>
      <c r="R39" s="184"/>
      <c r="S39" s="21">
        <v>0.22222222222222218</v>
      </c>
      <c r="T39" s="21">
        <v>0.31874999999999998</v>
      </c>
      <c r="U39" s="88">
        <f t="shared" si="34"/>
        <v>6.0000000000000187</v>
      </c>
      <c r="V39" s="30">
        <f t="shared" si="33"/>
        <v>139.00000000000003</v>
      </c>
      <c r="W39" s="16"/>
      <c r="X39" s="16"/>
      <c r="Y39" s="19"/>
      <c r="Z39" s="19"/>
      <c r="AA39" s="172"/>
      <c r="AB39" s="173"/>
      <c r="AC39" s="18"/>
      <c r="AD39" s="18"/>
      <c r="AE39" s="14">
        <f t="shared" si="8"/>
        <v>-145.03597122302199</v>
      </c>
      <c r="AF39" s="91">
        <f t="shared" si="9"/>
        <v>0.95165467625899269</v>
      </c>
      <c r="AG39" s="184"/>
    </row>
    <row r="40" spans="1:33" ht="15.75" customHeight="1">
      <c r="A40" s="189" t="s">
        <v>956</v>
      </c>
      <c r="B40" s="28" t="s">
        <v>33</v>
      </c>
      <c r="C40" s="170" t="s">
        <v>38</v>
      </c>
      <c r="D40" s="171"/>
      <c r="E40" s="28">
        <v>35.869999999999997</v>
      </c>
      <c r="F40" s="88">
        <v>3663</v>
      </c>
      <c r="G40" s="88">
        <f t="shared" si="31"/>
        <v>131391.81</v>
      </c>
      <c r="H40" s="30" t="s">
        <v>53</v>
      </c>
      <c r="I40" s="95">
        <v>9</v>
      </c>
      <c r="J40" s="13">
        <v>3000</v>
      </c>
      <c r="K40" s="12">
        <f t="shared" si="1"/>
        <v>333.33333333333331</v>
      </c>
      <c r="L40" s="95">
        <v>9</v>
      </c>
      <c r="M40" s="13">
        <f t="shared" si="32"/>
        <v>2854.2857142857129</v>
      </c>
      <c r="N40" s="13">
        <f t="shared" si="3"/>
        <v>317.142857142857</v>
      </c>
      <c r="O40" s="14">
        <f t="shared" si="4"/>
        <v>0</v>
      </c>
      <c r="P40" s="15">
        <f t="shared" si="5"/>
        <v>-16.190476190476318</v>
      </c>
      <c r="Q40" s="91">
        <f t="shared" si="6"/>
        <v>0.95142857142857107</v>
      </c>
      <c r="R40" s="184"/>
      <c r="S40" s="21">
        <v>0.32222222222222219</v>
      </c>
      <c r="T40" s="21">
        <v>0.37569444444444444</v>
      </c>
      <c r="U40" s="88">
        <f t="shared" si="34"/>
        <v>4.9999999999999822</v>
      </c>
      <c r="V40" s="30">
        <f t="shared" si="33"/>
        <v>77.000000000000043</v>
      </c>
      <c r="W40" s="16"/>
      <c r="X40" s="16"/>
      <c r="Y40" s="19"/>
      <c r="Z40" s="19"/>
      <c r="AA40" s="172"/>
      <c r="AB40" s="173"/>
      <c r="AC40" s="18"/>
      <c r="AD40" s="18"/>
      <c r="AE40" s="14">
        <f t="shared" si="8"/>
        <v>-145.71428571428714</v>
      </c>
      <c r="AF40" s="91">
        <f t="shared" si="9"/>
        <v>0.95142857142857096</v>
      </c>
      <c r="AG40" s="184"/>
    </row>
    <row r="41" spans="1:33" ht="15.75" customHeight="1">
      <c r="A41" s="189" t="s">
        <v>955</v>
      </c>
      <c r="B41" s="28" t="s">
        <v>33</v>
      </c>
      <c r="C41" s="170" t="s">
        <v>756</v>
      </c>
      <c r="D41" s="171"/>
      <c r="E41" s="28">
        <v>37.880000000000003</v>
      </c>
      <c r="F41" s="88">
        <v>5666</v>
      </c>
      <c r="G41" s="88">
        <f t="shared" si="31"/>
        <v>214628.08000000002</v>
      </c>
      <c r="H41" s="30" t="s">
        <v>53</v>
      </c>
      <c r="I41" s="95">
        <v>10</v>
      </c>
      <c r="J41" s="13">
        <v>3000</v>
      </c>
      <c r="K41" s="12">
        <f t="shared" si="1"/>
        <v>300</v>
      </c>
      <c r="L41" s="95">
        <v>10</v>
      </c>
      <c r="M41" s="13">
        <f t="shared" si="32"/>
        <v>2856.8067226890762</v>
      </c>
      <c r="N41" s="13">
        <f t="shared" si="3"/>
        <v>285.68067226890764</v>
      </c>
      <c r="O41" s="14">
        <f t="shared" si="4"/>
        <v>0</v>
      </c>
      <c r="P41" s="15">
        <f t="shared" si="5"/>
        <v>-14.319327731092358</v>
      </c>
      <c r="Q41" s="91">
        <f t="shared" si="6"/>
        <v>0.95226890756302551</v>
      </c>
      <c r="R41" s="184"/>
      <c r="S41" s="21">
        <v>0.38055555555555554</v>
      </c>
      <c r="T41" s="21">
        <v>0.46319444444444441</v>
      </c>
      <c r="U41" s="88">
        <f t="shared" si="34"/>
        <v>6.9999999999999751</v>
      </c>
      <c r="V41" s="30">
        <f t="shared" si="33"/>
        <v>118.99999999999997</v>
      </c>
      <c r="W41" s="16"/>
      <c r="X41" s="16"/>
      <c r="Y41" s="19"/>
      <c r="Z41" s="19"/>
      <c r="AA41" s="172"/>
      <c r="AB41" s="173"/>
      <c r="AC41" s="18"/>
      <c r="AD41" s="18"/>
      <c r="AE41" s="14">
        <f t="shared" si="8"/>
        <v>-143.1932773109238</v>
      </c>
      <c r="AF41" s="91">
        <f t="shared" si="9"/>
        <v>0.9522689075630254</v>
      </c>
      <c r="AG41" s="184"/>
    </row>
    <row r="42" spans="1:33" ht="15.75" customHeight="1">
      <c r="A42" s="190" t="s">
        <v>955</v>
      </c>
      <c r="B42" s="28" t="s">
        <v>261</v>
      </c>
      <c r="C42" s="165"/>
      <c r="D42" s="166"/>
      <c r="E42" s="89"/>
      <c r="F42" s="88"/>
      <c r="G42" s="88"/>
      <c r="H42" s="88"/>
      <c r="I42" s="23">
        <v>9.4</v>
      </c>
      <c r="J42" s="13">
        <v>3000</v>
      </c>
      <c r="K42" s="12">
        <f t="shared" si="1"/>
        <v>319.14893617021278</v>
      </c>
      <c r="L42" s="23">
        <v>9.4</v>
      </c>
      <c r="M42" s="13">
        <f>AVERAGE(M37:M41)</f>
        <v>2861.9228834468495</v>
      </c>
      <c r="N42" s="12">
        <f t="shared" si="3"/>
        <v>304.45988121774991</v>
      </c>
      <c r="O42" s="14">
        <f t="shared" si="4"/>
        <v>0</v>
      </c>
      <c r="P42" s="15">
        <f t="shared" si="5"/>
        <v>-14.689054952462868</v>
      </c>
      <c r="Q42" s="91">
        <f t="shared" si="6"/>
        <v>0.95397429448228299</v>
      </c>
      <c r="R42" s="185"/>
      <c r="S42" s="21"/>
      <c r="T42" s="21"/>
      <c r="U42" s="88"/>
      <c r="V42" s="30"/>
      <c r="W42" s="16"/>
      <c r="X42" s="16"/>
      <c r="Y42" s="24">
        <f>SUM(Y37:Y41)</f>
        <v>0</v>
      </c>
      <c r="Z42" s="24">
        <f>SUM(Z37:Z41)</f>
        <v>0</v>
      </c>
      <c r="AA42" s="186"/>
      <c r="AB42" s="187"/>
      <c r="AC42" s="24">
        <f>SUM(AC37:AC41)</f>
        <v>5</v>
      </c>
      <c r="AD42" s="24">
        <f>SUM(AD37:AD41)</f>
        <v>0</v>
      </c>
      <c r="AE42" s="14">
        <f t="shared" si="8"/>
        <v>-138.07711655315052</v>
      </c>
      <c r="AF42" s="91">
        <f t="shared" si="9"/>
        <v>0.95397429448228321</v>
      </c>
      <c r="AG42" s="185"/>
    </row>
    <row r="43" spans="1:33" ht="15.75" customHeight="1">
      <c r="A43" s="181" t="s">
        <v>957</v>
      </c>
      <c r="B43" s="28" t="s">
        <v>9</v>
      </c>
      <c r="C43" s="169" t="s">
        <v>39</v>
      </c>
      <c r="D43" s="169"/>
      <c r="E43" s="28">
        <v>46</v>
      </c>
      <c r="F43" s="29">
        <v>2074</v>
      </c>
      <c r="G43" s="88">
        <f t="shared" ref="G43:G48" si="35">E43*F43</f>
        <v>95404</v>
      </c>
      <c r="H43" s="30" t="s">
        <v>53</v>
      </c>
      <c r="I43" s="95">
        <v>17</v>
      </c>
      <c r="J43" s="13">
        <v>2000</v>
      </c>
      <c r="K43" s="12">
        <f t="shared" si="1"/>
        <v>117.64705882352941</v>
      </c>
      <c r="L43" s="95">
        <v>17</v>
      </c>
      <c r="M43" s="13">
        <f t="shared" ref="M43" si="36">F43/V43*60</f>
        <v>1914.4615384615392</v>
      </c>
      <c r="N43" s="13">
        <f t="shared" si="3"/>
        <v>112.61538461538466</v>
      </c>
      <c r="O43" s="14">
        <f t="shared" si="4"/>
        <v>0</v>
      </c>
      <c r="P43" s="15">
        <f t="shared" si="5"/>
        <v>-5.0316742081447501</v>
      </c>
      <c r="Q43" s="91">
        <f t="shared" si="6"/>
        <v>0.95723076923076966</v>
      </c>
      <c r="R43" s="177">
        <f>Q49</f>
        <v>0.96550252811915149</v>
      </c>
      <c r="S43" s="21">
        <v>0.20833333333333334</v>
      </c>
      <c r="T43" s="21">
        <v>0.25347222222222221</v>
      </c>
      <c r="U43" s="21"/>
      <c r="V43" s="30">
        <f t="shared" ref="V43:V48" si="37">(T43-S43)*24*60</f>
        <v>64.999999999999972</v>
      </c>
      <c r="W43" s="21"/>
      <c r="X43" s="21"/>
      <c r="Y43" s="21"/>
      <c r="Z43" s="21"/>
      <c r="AA43" s="168"/>
      <c r="AB43" s="168"/>
      <c r="AC43" s="18">
        <v>6</v>
      </c>
      <c r="AD43" s="18"/>
      <c r="AE43" s="14">
        <f t="shared" si="8"/>
        <v>-85.538461538460751</v>
      </c>
      <c r="AF43" s="91">
        <f t="shared" si="9"/>
        <v>0.95723076923076966</v>
      </c>
      <c r="AG43" s="177">
        <f>AF49</f>
        <v>0.96550252811915149</v>
      </c>
    </row>
    <row r="44" spans="1:33" ht="15.75" customHeight="1">
      <c r="A44" s="181" t="s">
        <v>957</v>
      </c>
      <c r="B44" s="28" t="s">
        <v>5</v>
      </c>
      <c r="C44" s="169" t="s">
        <v>40</v>
      </c>
      <c r="D44" s="169"/>
      <c r="E44" s="28">
        <v>56.43</v>
      </c>
      <c r="F44" s="29">
        <v>1569</v>
      </c>
      <c r="G44" s="88">
        <f t="shared" si="35"/>
        <v>88538.67</v>
      </c>
      <c r="H44" s="30" t="s">
        <v>53</v>
      </c>
      <c r="I44" s="95">
        <v>22</v>
      </c>
      <c r="J44" s="13">
        <v>2000</v>
      </c>
      <c r="K44" s="12">
        <f t="shared" si="1"/>
        <v>90.909090909090907</v>
      </c>
      <c r="L44" s="95">
        <v>22</v>
      </c>
      <c r="M44" s="13">
        <f>F44/V44*60</f>
        <v>1921.224489795919</v>
      </c>
      <c r="N44" s="13">
        <f t="shared" si="3"/>
        <v>87.328385899814506</v>
      </c>
      <c r="O44" s="14">
        <f t="shared" si="4"/>
        <v>0</v>
      </c>
      <c r="P44" s="15">
        <f t="shared" si="5"/>
        <v>-3.5807050092764001</v>
      </c>
      <c r="Q44" s="91">
        <f t="shared" si="6"/>
        <v>0.9606122448979596</v>
      </c>
      <c r="R44" s="177"/>
      <c r="S44" s="21">
        <v>0.25694444444444442</v>
      </c>
      <c r="T44" s="21">
        <v>0.29097222222222219</v>
      </c>
      <c r="U44" s="88">
        <f t="shared" ref="U44:U48" si="38">IF(S44=TIME(17,0,0),"",(S44-T43)*24*60)</f>
        <v>4.9999999999999822</v>
      </c>
      <c r="V44" s="30">
        <f t="shared" si="37"/>
        <v>48.999999999999986</v>
      </c>
      <c r="W44" s="16"/>
      <c r="X44" s="16"/>
      <c r="Y44" s="16"/>
      <c r="Z44" s="16"/>
      <c r="AA44" s="168"/>
      <c r="AB44" s="168"/>
      <c r="AC44" s="18"/>
      <c r="AD44" s="18"/>
      <c r="AE44" s="14">
        <f t="shared" si="8"/>
        <v>-78.775510204081002</v>
      </c>
      <c r="AF44" s="91">
        <f t="shared" si="9"/>
        <v>0.96061224489795949</v>
      </c>
      <c r="AG44" s="177"/>
    </row>
    <row r="45" spans="1:33" ht="15.75" customHeight="1">
      <c r="A45" s="181" t="s">
        <v>957</v>
      </c>
      <c r="B45" s="28" t="s">
        <v>5</v>
      </c>
      <c r="C45" s="170" t="s">
        <v>41</v>
      </c>
      <c r="D45" s="171"/>
      <c r="E45" s="28">
        <v>51.75</v>
      </c>
      <c r="F45" s="29">
        <v>1045</v>
      </c>
      <c r="G45" s="88">
        <f t="shared" si="35"/>
        <v>54078.75</v>
      </c>
      <c r="H45" s="30" t="s">
        <v>53</v>
      </c>
      <c r="I45" s="95">
        <v>25</v>
      </c>
      <c r="J45" s="13">
        <v>2000</v>
      </c>
      <c r="K45" s="12">
        <f t="shared" si="1"/>
        <v>80</v>
      </c>
      <c r="L45" s="95">
        <v>25</v>
      </c>
      <c r="M45" s="13">
        <f t="shared" ref="M45:M48" si="39">F45/V45*60</f>
        <v>1959.375000000002</v>
      </c>
      <c r="N45" s="13">
        <f t="shared" si="3"/>
        <v>78.375000000000085</v>
      </c>
      <c r="O45" s="14">
        <f t="shared" si="4"/>
        <v>0</v>
      </c>
      <c r="P45" s="15">
        <f t="shared" si="5"/>
        <v>-1.6249999999999147</v>
      </c>
      <c r="Q45" s="91">
        <f t="shared" si="6"/>
        <v>0.97968750000000104</v>
      </c>
      <c r="R45" s="177"/>
      <c r="S45" s="21">
        <v>0.29513888888888884</v>
      </c>
      <c r="T45" s="21">
        <v>0.31736111111111104</v>
      </c>
      <c r="U45" s="88">
        <f t="shared" si="38"/>
        <v>5.9999999999999787</v>
      </c>
      <c r="V45" s="30">
        <f t="shared" si="37"/>
        <v>31.999999999999964</v>
      </c>
      <c r="W45" s="16"/>
      <c r="X45" s="16"/>
      <c r="Y45" s="19"/>
      <c r="Z45" s="19"/>
      <c r="AA45" s="168"/>
      <c r="AB45" s="168"/>
      <c r="AC45" s="18"/>
      <c r="AD45" s="18"/>
      <c r="AE45" s="14">
        <f t="shared" si="8"/>
        <v>-40.624999999997954</v>
      </c>
      <c r="AF45" s="91">
        <f t="shared" si="9"/>
        <v>0.97968750000000104</v>
      </c>
      <c r="AG45" s="177"/>
    </row>
    <row r="46" spans="1:33" ht="15.75" customHeight="1">
      <c r="A46" s="181" t="s">
        <v>275</v>
      </c>
      <c r="B46" s="28" t="s">
        <v>5</v>
      </c>
      <c r="C46" s="93" t="s">
        <v>42</v>
      </c>
      <c r="D46" s="94"/>
      <c r="E46" s="28">
        <v>57.73</v>
      </c>
      <c r="F46" s="29">
        <v>974</v>
      </c>
      <c r="G46" s="88">
        <f t="shared" si="35"/>
        <v>56229.02</v>
      </c>
      <c r="H46" s="30" t="s">
        <v>53</v>
      </c>
      <c r="I46" s="95">
        <v>16</v>
      </c>
      <c r="J46" s="13">
        <v>1500</v>
      </c>
      <c r="K46" s="12">
        <f t="shared" si="1"/>
        <v>93.75</v>
      </c>
      <c r="L46" s="95">
        <v>16</v>
      </c>
      <c r="M46" s="13">
        <f t="shared" si="39"/>
        <v>1460.9999999999995</v>
      </c>
      <c r="N46" s="13">
        <f t="shared" si="3"/>
        <v>91.312499999999972</v>
      </c>
      <c r="O46" s="14">
        <f t="shared" si="4"/>
        <v>0</v>
      </c>
      <c r="P46" s="15">
        <f t="shared" si="5"/>
        <v>-2.4375000000000284</v>
      </c>
      <c r="Q46" s="91">
        <f t="shared" si="6"/>
        <v>0.97399999999999964</v>
      </c>
      <c r="R46" s="177"/>
      <c r="S46" s="21">
        <v>0.70833333333333337</v>
      </c>
      <c r="T46" s="21">
        <v>0.73611111111111116</v>
      </c>
      <c r="U46" s="88" t="str">
        <f t="shared" si="38"/>
        <v/>
      </c>
      <c r="V46" s="30">
        <f t="shared" si="37"/>
        <v>40.000000000000014</v>
      </c>
      <c r="W46" s="16"/>
      <c r="X46" s="16"/>
      <c r="Y46" s="19"/>
      <c r="Z46" s="19"/>
      <c r="AA46" s="168"/>
      <c r="AB46" s="168"/>
      <c r="AC46" s="18"/>
      <c r="AD46" s="18"/>
      <c r="AE46" s="14">
        <f t="shared" si="8"/>
        <v>-39.000000000000455</v>
      </c>
      <c r="AF46" s="91">
        <f t="shared" si="9"/>
        <v>0.97399999999999964</v>
      </c>
      <c r="AG46" s="177"/>
    </row>
    <row r="47" spans="1:33" ht="15.75" customHeight="1">
      <c r="A47" s="181" t="s">
        <v>275</v>
      </c>
      <c r="B47" s="28" t="s">
        <v>5</v>
      </c>
      <c r="C47" s="93" t="s">
        <v>44</v>
      </c>
      <c r="D47" s="94"/>
      <c r="E47" s="28">
        <v>55.56</v>
      </c>
      <c r="F47" s="29">
        <v>1839</v>
      </c>
      <c r="G47" s="88">
        <f t="shared" si="35"/>
        <v>102174.84000000001</v>
      </c>
      <c r="H47" s="30" t="s">
        <v>53</v>
      </c>
      <c r="I47" s="95">
        <v>17</v>
      </c>
      <c r="J47" s="13">
        <v>2000</v>
      </c>
      <c r="K47" s="12">
        <f t="shared" si="1"/>
        <v>117.64705882352941</v>
      </c>
      <c r="L47" s="95">
        <v>17</v>
      </c>
      <c r="M47" s="13">
        <f t="shared" si="39"/>
        <v>1935.7894736842118</v>
      </c>
      <c r="N47" s="13">
        <f t="shared" si="3"/>
        <v>113.86996904024775</v>
      </c>
      <c r="O47" s="14">
        <f t="shared" si="4"/>
        <v>0</v>
      </c>
      <c r="P47" s="15">
        <f t="shared" si="5"/>
        <v>-3.777089783281653</v>
      </c>
      <c r="Q47" s="91">
        <f t="shared" si="6"/>
        <v>0.96789473684210592</v>
      </c>
      <c r="R47" s="177"/>
      <c r="S47" s="21">
        <v>0.73958333333333337</v>
      </c>
      <c r="T47" s="21">
        <v>0.77916666666666667</v>
      </c>
      <c r="U47" s="88">
        <f t="shared" si="38"/>
        <v>4.9999999999999822</v>
      </c>
      <c r="V47" s="30">
        <f t="shared" si="37"/>
        <v>56.999999999999957</v>
      </c>
      <c r="W47" s="16"/>
      <c r="X47" s="16"/>
      <c r="Y47" s="19"/>
      <c r="Z47" s="19"/>
      <c r="AA47" s="168"/>
      <c r="AB47" s="168"/>
      <c r="AC47" s="18"/>
      <c r="AD47" s="18"/>
      <c r="AE47" s="14">
        <f t="shared" si="8"/>
        <v>-64.210526315788229</v>
      </c>
      <c r="AF47" s="91">
        <f t="shared" si="9"/>
        <v>0.96789473684210592</v>
      </c>
      <c r="AG47" s="177"/>
    </row>
    <row r="48" spans="1:33" ht="15.75" customHeight="1">
      <c r="A48" s="181" t="s">
        <v>957</v>
      </c>
      <c r="B48" s="28" t="s">
        <v>5</v>
      </c>
      <c r="C48" s="170" t="s">
        <v>45</v>
      </c>
      <c r="D48" s="171"/>
      <c r="E48" s="28">
        <v>55.32</v>
      </c>
      <c r="F48" s="29">
        <v>1338</v>
      </c>
      <c r="G48" s="88">
        <f t="shared" si="35"/>
        <v>74018.16</v>
      </c>
      <c r="H48" s="30" t="s">
        <v>53</v>
      </c>
      <c r="I48" s="95">
        <v>15</v>
      </c>
      <c r="J48" s="13">
        <v>2000</v>
      </c>
      <c r="K48" s="12">
        <f t="shared" si="1"/>
        <v>133.33333333333334</v>
      </c>
      <c r="L48" s="95">
        <v>15</v>
      </c>
      <c r="M48" s="13">
        <f t="shared" si="39"/>
        <v>1911.4285714285709</v>
      </c>
      <c r="N48" s="13">
        <f t="shared" si="3"/>
        <v>127.42857142857139</v>
      </c>
      <c r="O48" s="14">
        <f t="shared" si="4"/>
        <v>0</v>
      </c>
      <c r="P48" s="15">
        <f t="shared" si="5"/>
        <v>-5.9047619047619548</v>
      </c>
      <c r="Q48" s="91">
        <f t="shared" si="6"/>
        <v>0.95571428571428529</v>
      </c>
      <c r="R48" s="177"/>
      <c r="S48" s="21">
        <v>0.78402777777777777</v>
      </c>
      <c r="T48" s="21">
        <v>0.81319444444444444</v>
      </c>
      <c r="U48" s="88">
        <f t="shared" si="38"/>
        <v>6.9999999999999751</v>
      </c>
      <c r="V48" s="30">
        <f t="shared" si="37"/>
        <v>42.000000000000014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-88.571428571429124</v>
      </c>
      <c r="AF48" s="91">
        <f t="shared" si="9"/>
        <v>0.95571428571428541</v>
      </c>
      <c r="AG48" s="177"/>
    </row>
    <row r="49" spans="1:33">
      <c r="A49" s="182" t="s">
        <v>958</v>
      </c>
      <c r="B49" s="28" t="s">
        <v>590</v>
      </c>
      <c r="C49" s="178"/>
      <c r="D49" s="178"/>
      <c r="E49" s="92"/>
      <c r="F49" s="12"/>
      <c r="G49" s="12"/>
      <c r="H49" s="88"/>
      <c r="I49" s="23">
        <v>18.666666666666668</v>
      </c>
      <c r="J49" s="13">
        <v>1916.6666666666667</v>
      </c>
      <c r="K49" s="12">
        <f t="shared" si="1"/>
        <v>102.67857142857143</v>
      </c>
      <c r="L49" s="23">
        <v>18.666666666666668</v>
      </c>
      <c r="M49" s="13">
        <f>AVERAGE(M43:M48)</f>
        <v>1850.5465122283738</v>
      </c>
      <c r="N49" s="12">
        <f t="shared" si="3"/>
        <v>99.13642029794859</v>
      </c>
      <c r="O49" s="14">
        <f t="shared" si="4"/>
        <v>0</v>
      </c>
      <c r="P49" s="15">
        <f t="shared" si="5"/>
        <v>-3.542151130622841</v>
      </c>
      <c r="Q49" s="91">
        <f t="shared" si="6"/>
        <v>0.96550252811915149</v>
      </c>
      <c r="R49" s="177"/>
      <c r="S49" s="21"/>
      <c r="T49" s="21"/>
      <c r="U49" s="88"/>
      <c r="V49" s="30"/>
      <c r="W49" s="12"/>
      <c r="X49" s="12"/>
      <c r="Y49" s="24">
        <f>SUM(Y43:Y48)</f>
        <v>0</v>
      </c>
      <c r="Z49" s="24">
        <f>SUM(Z43:Z48)</f>
        <v>0</v>
      </c>
      <c r="AA49" s="167"/>
      <c r="AB49" s="167"/>
      <c r="AC49" s="24">
        <f>SUM(AC43:AC48)</f>
        <v>6</v>
      </c>
      <c r="AD49" s="24">
        <f>SUM(AD43:AD48)</f>
        <v>0</v>
      </c>
      <c r="AE49" s="14">
        <f>M49-J49</f>
        <v>-66.120154438292957</v>
      </c>
      <c r="AF49" s="91">
        <f t="shared" si="9"/>
        <v>0.96550252811915149</v>
      </c>
      <c r="AG49" s="177"/>
    </row>
    <row r="50" spans="1:33" ht="15.75" customHeight="1">
      <c r="A50" s="179" t="s">
        <v>959</v>
      </c>
      <c r="B50" s="88" t="s">
        <v>33</v>
      </c>
      <c r="C50" s="169" t="s">
        <v>46</v>
      </c>
      <c r="D50" s="169"/>
      <c r="E50" s="28">
        <v>37.85</v>
      </c>
      <c r="F50" s="29">
        <v>1326</v>
      </c>
      <c r="G50" s="88">
        <f t="shared" ref="G50:G55" si="40">E50*F50</f>
        <v>50189.1</v>
      </c>
      <c r="H50" s="30" t="s">
        <v>53</v>
      </c>
      <c r="I50" s="95">
        <v>12</v>
      </c>
      <c r="J50" s="13">
        <v>2000</v>
      </c>
      <c r="K50" s="12">
        <f t="shared" si="1"/>
        <v>166.66666666666666</v>
      </c>
      <c r="L50" s="95">
        <v>12</v>
      </c>
      <c r="M50" s="13">
        <f t="shared" ref="M50:M55" si="41">F50/V50*60</f>
        <v>1940.4878048780481</v>
      </c>
      <c r="N50" s="12">
        <f t="shared" si="3"/>
        <v>161.70731707317069</v>
      </c>
      <c r="O50" s="14">
        <f t="shared" si="4"/>
        <v>0</v>
      </c>
      <c r="P50" s="15">
        <f t="shared" si="5"/>
        <v>-4.9593495934959719</v>
      </c>
      <c r="Q50" s="91">
        <f t="shared" si="6"/>
        <v>0.97024390243902414</v>
      </c>
      <c r="R50" s="177">
        <f>Q56</f>
        <v>0.9625362730653082</v>
      </c>
      <c r="S50" s="21">
        <v>0.20833333333333334</v>
      </c>
      <c r="T50" s="21">
        <v>0.23680555555555557</v>
      </c>
      <c r="U50" s="88"/>
      <c r="V50" s="30">
        <f t="shared" ref="V50:V55" si="42">(T50-S50)*24*60</f>
        <v>41.000000000000014</v>
      </c>
      <c r="W50" s="21"/>
      <c r="X50" s="21"/>
      <c r="Y50" s="21"/>
      <c r="Z50" s="21"/>
      <c r="AA50" s="168"/>
      <c r="AB50" s="168"/>
      <c r="AC50" s="18">
        <v>6</v>
      </c>
      <c r="AD50" s="18"/>
      <c r="AE50" s="14">
        <f t="shared" ref="AE50:AE62" si="43">M50-J50</f>
        <v>-59.512195121951891</v>
      </c>
      <c r="AF50" s="91">
        <f t="shared" si="9"/>
        <v>0.97024390243902403</v>
      </c>
      <c r="AG50" s="177">
        <f>AF56</f>
        <v>0.96253627306530831</v>
      </c>
    </row>
    <row r="51" spans="1:33" ht="15.75" customHeight="1">
      <c r="A51" s="179" t="s">
        <v>960</v>
      </c>
      <c r="B51" s="88" t="s">
        <v>33</v>
      </c>
      <c r="C51" s="169" t="s">
        <v>47</v>
      </c>
      <c r="D51" s="169"/>
      <c r="E51" s="28">
        <v>34.36</v>
      </c>
      <c r="F51" s="29">
        <v>2246</v>
      </c>
      <c r="G51" s="88">
        <f t="shared" si="40"/>
        <v>77172.56</v>
      </c>
      <c r="H51" s="30" t="s">
        <v>53</v>
      </c>
      <c r="I51" s="95">
        <v>10</v>
      </c>
      <c r="J51" s="13">
        <v>3000</v>
      </c>
      <c r="K51" s="12">
        <f t="shared" si="1"/>
        <v>300</v>
      </c>
      <c r="L51" s="95">
        <v>10</v>
      </c>
      <c r="M51" s="13">
        <f t="shared" si="41"/>
        <v>2867.234042553192</v>
      </c>
      <c r="N51" s="12">
        <f t="shared" si="3"/>
        <v>286.72340425531922</v>
      </c>
      <c r="O51" s="14">
        <f t="shared" si="4"/>
        <v>0</v>
      </c>
      <c r="P51" s="15">
        <f t="shared" si="5"/>
        <v>-13.276595744680776</v>
      </c>
      <c r="Q51" s="91">
        <f t="shared" si="6"/>
        <v>0.95574468085106412</v>
      </c>
      <c r="R51" s="177"/>
      <c r="S51" s="21">
        <v>0.24236111111111114</v>
      </c>
      <c r="T51" s="21">
        <v>0.27500000000000002</v>
      </c>
      <c r="U51" s="88">
        <f t="shared" ref="U51:U55" si="44">(S51-T50)*24*60</f>
        <v>8.0000000000000107</v>
      </c>
      <c r="V51" s="30">
        <f t="shared" si="42"/>
        <v>46.999999999999993</v>
      </c>
      <c r="W51" s="88"/>
      <c r="X51" s="88"/>
      <c r="Y51" s="88"/>
      <c r="Z51" s="88"/>
      <c r="AA51" s="168"/>
      <c r="AB51" s="168"/>
      <c r="AC51" s="18"/>
      <c r="AD51" s="18"/>
      <c r="AE51" s="14">
        <f t="shared" si="43"/>
        <v>-132.76595744680799</v>
      </c>
      <c r="AF51" s="91">
        <f t="shared" si="9"/>
        <v>0.95574468085106401</v>
      </c>
      <c r="AG51" s="177"/>
    </row>
    <row r="52" spans="1:33" ht="15.75" customHeight="1">
      <c r="A52" s="179" t="s">
        <v>960</v>
      </c>
      <c r="B52" s="88" t="s">
        <v>33</v>
      </c>
      <c r="C52" s="169" t="s">
        <v>48</v>
      </c>
      <c r="D52" s="169"/>
      <c r="E52" s="28">
        <v>35.119999999999997</v>
      </c>
      <c r="F52" s="29">
        <v>4976</v>
      </c>
      <c r="G52" s="88">
        <f t="shared" si="40"/>
        <v>174757.12</v>
      </c>
      <c r="H52" s="30" t="s">
        <v>53</v>
      </c>
      <c r="I52" s="95">
        <v>10</v>
      </c>
      <c r="J52" s="13">
        <v>3000</v>
      </c>
      <c r="K52" s="12">
        <f t="shared" si="1"/>
        <v>300</v>
      </c>
      <c r="L52" s="95">
        <v>10</v>
      </c>
      <c r="M52" s="13">
        <f t="shared" si="41"/>
        <v>2870.76923076923</v>
      </c>
      <c r="N52" s="12">
        <f t="shared" si="3"/>
        <v>287.07692307692298</v>
      </c>
      <c r="O52" s="14">
        <f t="shared" si="4"/>
        <v>0</v>
      </c>
      <c r="P52" s="15">
        <f t="shared" si="5"/>
        <v>-12.923076923077019</v>
      </c>
      <c r="Q52" s="91">
        <f t="shared" si="6"/>
        <v>0.95692307692307665</v>
      </c>
      <c r="R52" s="177"/>
      <c r="S52" s="21">
        <v>0.27847222222222223</v>
      </c>
      <c r="T52" s="21">
        <v>0.35069444444444448</v>
      </c>
      <c r="U52" s="88">
        <f t="shared" si="44"/>
        <v>4.9999999999999822</v>
      </c>
      <c r="V52" s="30">
        <f t="shared" si="42"/>
        <v>104.00000000000003</v>
      </c>
      <c r="W52" s="88"/>
      <c r="X52" s="88"/>
      <c r="Y52" s="88"/>
      <c r="Z52" s="88"/>
      <c r="AA52" s="168"/>
      <c r="AB52" s="168"/>
      <c r="AC52" s="18"/>
      <c r="AD52" s="18"/>
      <c r="AE52" s="14">
        <f t="shared" si="43"/>
        <v>-129.23076923076997</v>
      </c>
      <c r="AF52" s="91">
        <f t="shared" si="9"/>
        <v>0.95692307692307665</v>
      </c>
      <c r="AG52" s="177"/>
    </row>
    <row r="53" spans="1:33" ht="15.75" customHeight="1">
      <c r="A53" s="179" t="s">
        <v>960</v>
      </c>
      <c r="B53" s="88" t="s">
        <v>33</v>
      </c>
      <c r="C53" s="169" t="s">
        <v>34</v>
      </c>
      <c r="D53" s="169"/>
      <c r="E53" s="28">
        <v>34.36</v>
      </c>
      <c r="F53" s="29">
        <v>1677</v>
      </c>
      <c r="G53" s="88">
        <f t="shared" si="40"/>
        <v>57621.72</v>
      </c>
      <c r="H53" s="30" t="s">
        <v>53</v>
      </c>
      <c r="I53" s="95">
        <v>10</v>
      </c>
      <c r="J53" s="13">
        <v>3000</v>
      </c>
      <c r="K53" s="12">
        <f t="shared" si="1"/>
        <v>300</v>
      </c>
      <c r="L53" s="95">
        <v>10</v>
      </c>
      <c r="M53" s="13">
        <f t="shared" si="41"/>
        <v>2874.8571428571399</v>
      </c>
      <c r="N53" s="12">
        <f t="shared" si="3"/>
        <v>287.48571428571398</v>
      </c>
      <c r="O53" s="14">
        <f t="shared" si="4"/>
        <v>0</v>
      </c>
      <c r="P53" s="15">
        <f t="shared" si="5"/>
        <v>-12.514285714286018</v>
      </c>
      <c r="Q53" s="91">
        <f t="shared" si="6"/>
        <v>0.9582857142857133</v>
      </c>
      <c r="R53" s="177"/>
      <c r="S53" s="21">
        <v>0.35555555555555557</v>
      </c>
      <c r="T53" s="21">
        <v>0.37986111111111115</v>
      </c>
      <c r="U53" s="88">
        <f t="shared" si="44"/>
        <v>6.9999999999999751</v>
      </c>
      <c r="V53" s="30">
        <f t="shared" si="42"/>
        <v>35.000000000000036</v>
      </c>
      <c r="W53" s="88"/>
      <c r="X53" s="88"/>
      <c r="Y53" s="88"/>
      <c r="Z53" s="88"/>
      <c r="AA53" s="168"/>
      <c r="AB53" s="168"/>
      <c r="AC53" s="18"/>
      <c r="AD53" s="18"/>
      <c r="AE53" s="14">
        <f t="shared" si="43"/>
        <v>-125.14285714286007</v>
      </c>
      <c r="AF53" s="91">
        <f t="shared" si="9"/>
        <v>0.9582857142857133</v>
      </c>
      <c r="AG53" s="177"/>
    </row>
    <row r="54" spans="1:33">
      <c r="A54" s="180" t="s">
        <v>961</v>
      </c>
      <c r="B54" s="88" t="s">
        <v>33</v>
      </c>
      <c r="C54" s="169" t="s">
        <v>35</v>
      </c>
      <c r="D54" s="169"/>
      <c r="E54" s="28">
        <v>26.78</v>
      </c>
      <c r="F54" s="29">
        <v>2402</v>
      </c>
      <c r="G54" s="88">
        <f t="shared" si="40"/>
        <v>64325.560000000005</v>
      </c>
      <c r="H54" s="30" t="s">
        <v>53</v>
      </c>
      <c r="I54" s="95">
        <v>10</v>
      </c>
      <c r="J54" s="13">
        <v>3000</v>
      </c>
      <c r="K54" s="12">
        <f t="shared" si="1"/>
        <v>300</v>
      </c>
      <c r="L54" s="95">
        <v>10</v>
      </c>
      <c r="M54" s="13">
        <f t="shared" si="41"/>
        <v>2882.400000000001</v>
      </c>
      <c r="N54" s="12">
        <f t="shared" si="3"/>
        <v>288.24000000000012</v>
      </c>
      <c r="O54" s="14">
        <f t="shared" si="4"/>
        <v>0</v>
      </c>
      <c r="P54" s="15">
        <f t="shared" si="5"/>
        <v>-11.759999999999877</v>
      </c>
      <c r="Q54" s="91">
        <f t="shared" si="6"/>
        <v>0.96080000000000043</v>
      </c>
      <c r="R54" s="177"/>
      <c r="S54" s="21">
        <v>0.38333333333333336</v>
      </c>
      <c r="T54" s="21">
        <v>0.41805555555555557</v>
      </c>
      <c r="U54" s="88">
        <f t="shared" si="44"/>
        <v>4.9999999999999822</v>
      </c>
      <c r="V54" s="30">
        <f t="shared" si="42"/>
        <v>49.999999999999986</v>
      </c>
      <c r="W54" s="16"/>
      <c r="X54" s="16"/>
      <c r="Y54" s="16"/>
      <c r="Z54" s="16"/>
      <c r="AA54" s="168"/>
      <c r="AB54" s="168"/>
      <c r="AC54" s="18"/>
      <c r="AD54" s="18"/>
      <c r="AE54" s="14">
        <f t="shared" si="43"/>
        <v>-117.599999999999</v>
      </c>
      <c r="AF54" s="91">
        <f t="shared" si="9"/>
        <v>0.96080000000000032</v>
      </c>
      <c r="AG54" s="177"/>
    </row>
    <row r="55" spans="1:33" ht="15" customHeight="1">
      <c r="A55" s="180" t="s">
        <v>961</v>
      </c>
      <c r="B55" s="88" t="s">
        <v>33</v>
      </c>
      <c r="C55" s="170" t="s">
        <v>71</v>
      </c>
      <c r="D55" s="171"/>
      <c r="E55" s="28">
        <v>28.3</v>
      </c>
      <c r="F55" s="29">
        <v>1854</v>
      </c>
      <c r="G55" s="88">
        <f t="shared" si="40"/>
        <v>52468.200000000004</v>
      </c>
      <c r="H55" s="30" t="s">
        <v>53</v>
      </c>
      <c r="I55" s="95">
        <v>8</v>
      </c>
      <c r="J55" s="13">
        <v>3000</v>
      </c>
      <c r="K55" s="12">
        <f t="shared" si="1"/>
        <v>375</v>
      </c>
      <c r="L55" s="95">
        <v>8</v>
      </c>
      <c r="M55" s="13">
        <f t="shared" si="41"/>
        <v>2927.3684210526294</v>
      </c>
      <c r="N55" s="12">
        <f t="shared" si="3"/>
        <v>365.92105263157868</v>
      </c>
      <c r="O55" s="14">
        <f t="shared" si="4"/>
        <v>0</v>
      </c>
      <c r="P55" s="15">
        <f t="shared" si="5"/>
        <v>-9.0789473684213249</v>
      </c>
      <c r="Q55" s="91">
        <f t="shared" si="6"/>
        <v>0.97578947368420976</v>
      </c>
      <c r="R55" s="177"/>
      <c r="S55" s="21">
        <v>0.42291666666666666</v>
      </c>
      <c r="T55" s="21">
        <v>0.44930555555555557</v>
      </c>
      <c r="U55" s="88">
        <f t="shared" si="44"/>
        <v>6.9999999999999751</v>
      </c>
      <c r="V55" s="30">
        <f t="shared" si="42"/>
        <v>38.000000000000028</v>
      </c>
      <c r="W55" s="88"/>
      <c r="X55" s="88"/>
      <c r="Y55" s="98"/>
      <c r="Z55" s="98"/>
      <c r="AA55" s="172"/>
      <c r="AB55" s="173"/>
      <c r="AC55" s="18"/>
      <c r="AD55" s="18"/>
      <c r="AE55" s="14">
        <f t="shared" si="43"/>
        <v>-72.631578947370599</v>
      </c>
      <c r="AF55" s="91">
        <f t="shared" si="9"/>
        <v>0.97578947368420976</v>
      </c>
      <c r="AG55" s="177"/>
    </row>
    <row r="56" spans="1:33">
      <c r="A56" s="180" t="s">
        <v>960</v>
      </c>
      <c r="B56" s="28" t="s">
        <v>590</v>
      </c>
      <c r="C56" s="178"/>
      <c r="D56" s="178"/>
      <c r="E56" s="92"/>
      <c r="F56" s="12"/>
      <c r="G56" s="12"/>
      <c r="H56" s="88"/>
      <c r="I56" s="23">
        <v>10</v>
      </c>
      <c r="J56" s="13">
        <v>2833.3333333333335</v>
      </c>
      <c r="K56" s="12">
        <f t="shared" si="1"/>
        <v>283.33333333333337</v>
      </c>
      <c r="L56" s="23">
        <v>10</v>
      </c>
      <c r="M56" s="13">
        <f>AVERAGE(M50:M55)</f>
        <v>2727.1861070183736</v>
      </c>
      <c r="N56" s="12">
        <f t="shared" si="3"/>
        <v>272.71861070183735</v>
      </c>
      <c r="O56" s="14">
        <f t="shared" si="4"/>
        <v>0</v>
      </c>
      <c r="P56" s="15">
        <f t="shared" si="5"/>
        <v>-10.614722631496022</v>
      </c>
      <c r="Q56" s="91">
        <f t="shared" si="6"/>
        <v>0.9625362730653082</v>
      </c>
      <c r="R56" s="177"/>
      <c r="S56" s="21"/>
      <c r="T56" s="21"/>
      <c r="U56" s="12"/>
      <c r="V56" s="30"/>
      <c r="W56" s="12"/>
      <c r="X56" s="12"/>
      <c r="Y56" s="24">
        <f>SUM(Y50:Y55)</f>
        <v>0</v>
      </c>
      <c r="Z56" s="24">
        <f>SUM(Z50:Z55)</f>
        <v>0</v>
      </c>
      <c r="AA56" s="167"/>
      <c r="AB56" s="167"/>
      <c r="AC56" s="24">
        <f>SUM(AC50:AC55)</f>
        <v>6</v>
      </c>
      <c r="AD56" s="24">
        <f>SUM(AD50:AD55)</f>
        <v>0</v>
      </c>
      <c r="AE56" s="14">
        <f t="shared" si="43"/>
        <v>-106.14722631495988</v>
      </c>
      <c r="AF56" s="91">
        <f t="shared" si="9"/>
        <v>0.96253627306530831</v>
      </c>
      <c r="AG56" s="177"/>
    </row>
    <row r="57" spans="1:33" ht="15.75" customHeight="1">
      <c r="A57" s="174" t="s">
        <v>962</v>
      </c>
      <c r="B57" s="88" t="s">
        <v>22</v>
      </c>
      <c r="C57" s="169" t="s">
        <v>49</v>
      </c>
      <c r="D57" s="169"/>
      <c r="E57" s="28">
        <v>20.2</v>
      </c>
      <c r="F57" s="88">
        <v>2130</v>
      </c>
      <c r="G57" s="88">
        <f t="shared" ref="G57:G61" si="45">E57*F57</f>
        <v>43026</v>
      </c>
      <c r="H57" s="30" t="s">
        <v>53</v>
      </c>
      <c r="I57" s="95">
        <v>15</v>
      </c>
      <c r="J57" s="13">
        <v>2400</v>
      </c>
      <c r="K57" s="12">
        <f t="shared" si="1"/>
        <v>160</v>
      </c>
      <c r="L57" s="95">
        <v>15</v>
      </c>
      <c r="M57" s="13">
        <f t="shared" ref="M57:M61" si="46">F57/V57*60</f>
        <v>2282.1428571428569</v>
      </c>
      <c r="N57" s="12">
        <f t="shared" si="3"/>
        <v>152.14285714285714</v>
      </c>
      <c r="O57" s="14">
        <f t="shared" si="4"/>
        <v>0</v>
      </c>
      <c r="P57" s="15">
        <f t="shared" si="5"/>
        <v>-7.8571428571428612</v>
      </c>
      <c r="Q57" s="91">
        <f t="shared" si="6"/>
        <v>0.9508928571428571</v>
      </c>
      <c r="R57" s="177">
        <f>Q62</f>
        <v>0.95528529803529805</v>
      </c>
      <c r="S57" s="21">
        <v>8.3333333333333329E-2</v>
      </c>
      <c r="T57" s="21">
        <v>0.12222222222222222</v>
      </c>
      <c r="U57" s="21"/>
      <c r="V57" s="30">
        <f t="shared" ref="V57:V61" si="47">(T57-S57)*24*60</f>
        <v>56</v>
      </c>
      <c r="W57" s="16">
        <f>T57</f>
        <v>0.12222222222222222</v>
      </c>
      <c r="X57" s="16">
        <f>S58</f>
        <v>0.14097222222222219</v>
      </c>
      <c r="Y57" s="16"/>
      <c r="Z57" s="16"/>
      <c r="AA57" s="168"/>
      <c r="AB57" s="168"/>
      <c r="AC57" s="18">
        <v>5</v>
      </c>
      <c r="AD57" s="18"/>
      <c r="AE57" s="14">
        <f t="shared" si="43"/>
        <v>-117.85714285714312</v>
      </c>
      <c r="AF57" s="91">
        <f t="shared" si="9"/>
        <v>0.95089285714285698</v>
      </c>
      <c r="AG57" s="177">
        <f>AF62</f>
        <v>0.95528529803529805</v>
      </c>
    </row>
    <row r="58" spans="1:33" ht="15.75" customHeight="1">
      <c r="A58" s="175" t="s">
        <v>963</v>
      </c>
      <c r="B58" s="88" t="s">
        <v>22</v>
      </c>
      <c r="C58" s="169" t="s">
        <v>50</v>
      </c>
      <c r="D58" s="169"/>
      <c r="E58" s="28">
        <v>24.45</v>
      </c>
      <c r="F58" s="88">
        <v>2517</v>
      </c>
      <c r="G58" s="88">
        <f t="shared" si="45"/>
        <v>61540.65</v>
      </c>
      <c r="H58" s="30" t="s">
        <v>53</v>
      </c>
      <c r="I58" s="95">
        <v>19</v>
      </c>
      <c r="J58" s="13">
        <v>2400</v>
      </c>
      <c r="K58" s="12">
        <f t="shared" si="1"/>
        <v>126.31578947368421</v>
      </c>
      <c r="L58" s="95">
        <v>19</v>
      </c>
      <c r="M58" s="13">
        <f t="shared" si="46"/>
        <v>2288.181818181818</v>
      </c>
      <c r="N58" s="12">
        <f t="shared" si="3"/>
        <v>120.43062200956938</v>
      </c>
      <c r="O58" s="14">
        <f t="shared" si="4"/>
        <v>0</v>
      </c>
      <c r="P58" s="15">
        <f t="shared" si="5"/>
        <v>-5.8851674641148293</v>
      </c>
      <c r="Q58" s="91">
        <f t="shared" si="6"/>
        <v>0.95340909090909098</v>
      </c>
      <c r="R58" s="177"/>
      <c r="S58" s="21">
        <v>0.14097222222222219</v>
      </c>
      <c r="T58" s="21">
        <v>0.18680555555555553</v>
      </c>
      <c r="U58" s="88">
        <f t="shared" ref="U58:U61" si="48">(S58-T57)*24*60</f>
        <v>26.999999999999964</v>
      </c>
      <c r="V58" s="30">
        <f t="shared" si="47"/>
        <v>66</v>
      </c>
      <c r="W58" s="16"/>
      <c r="X58" s="16"/>
      <c r="Y58" s="16"/>
      <c r="Z58" s="16"/>
      <c r="AA58" s="168"/>
      <c r="AB58" s="168"/>
      <c r="AC58" s="18"/>
      <c r="AD58" s="18"/>
      <c r="AE58" s="14">
        <f t="shared" si="43"/>
        <v>-111.81818181818198</v>
      </c>
      <c r="AF58" s="91">
        <f t="shared" si="9"/>
        <v>0.95340909090909087</v>
      </c>
      <c r="AG58" s="177"/>
    </row>
    <row r="59" spans="1:33" ht="15.75" customHeight="1">
      <c r="A59" s="175" t="s">
        <v>962</v>
      </c>
      <c r="B59" s="88" t="s">
        <v>22</v>
      </c>
      <c r="C59" s="169" t="s">
        <v>31</v>
      </c>
      <c r="D59" s="169"/>
      <c r="E59" s="28">
        <v>20.21</v>
      </c>
      <c r="F59" s="88">
        <v>2697</v>
      </c>
      <c r="G59" s="88">
        <f t="shared" si="45"/>
        <v>54506.37</v>
      </c>
      <c r="H59" s="30" t="s">
        <v>53</v>
      </c>
      <c r="I59" s="95">
        <v>15</v>
      </c>
      <c r="J59" s="13">
        <v>2400</v>
      </c>
      <c r="K59" s="12">
        <f t="shared" si="1"/>
        <v>160</v>
      </c>
      <c r="L59" s="95">
        <v>15</v>
      </c>
      <c r="M59" s="13">
        <f t="shared" si="46"/>
        <v>2311.7142857142862</v>
      </c>
      <c r="N59" s="12">
        <f t="shared" si="3"/>
        <v>154.11428571428576</v>
      </c>
      <c r="O59" s="14">
        <f t="shared" si="4"/>
        <v>0</v>
      </c>
      <c r="P59" s="15">
        <f t="shared" si="5"/>
        <v>-5.8857142857142435</v>
      </c>
      <c r="Q59" s="91">
        <f t="shared" si="6"/>
        <v>0.96321428571428602</v>
      </c>
      <c r="R59" s="177"/>
      <c r="S59" s="21">
        <v>0.19166666666666665</v>
      </c>
      <c r="T59" s="21">
        <v>0.24027777777777776</v>
      </c>
      <c r="U59" s="88">
        <f t="shared" si="48"/>
        <v>7.0000000000000151</v>
      </c>
      <c r="V59" s="30">
        <f t="shared" si="47"/>
        <v>69.999999999999986</v>
      </c>
      <c r="W59" s="16"/>
      <c r="X59" s="16"/>
      <c r="Y59" s="16"/>
      <c r="Z59" s="16"/>
      <c r="AA59" s="168"/>
      <c r="AB59" s="168"/>
      <c r="AC59" s="18"/>
      <c r="AD59" s="18"/>
      <c r="AE59" s="14">
        <f t="shared" si="43"/>
        <v>-88.285714285713766</v>
      </c>
      <c r="AF59" s="91">
        <f t="shared" si="9"/>
        <v>0.96321428571428591</v>
      </c>
      <c r="AG59" s="177"/>
    </row>
    <row r="60" spans="1:33" ht="15.75" customHeight="1">
      <c r="A60" s="175" t="s">
        <v>963</v>
      </c>
      <c r="B60" s="88" t="s">
        <v>22</v>
      </c>
      <c r="C60" s="169" t="s">
        <v>51</v>
      </c>
      <c r="D60" s="169"/>
      <c r="E60" s="28">
        <v>24.43</v>
      </c>
      <c r="F60" s="88">
        <v>5968</v>
      </c>
      <c r="G60" s="88">
        <f t="shared" si="45"/>
        <v>145798.24</v>
      </c>
      <c r="H60" s="30" t="s">
        <v>53</v>
      </c>
      <c r="I60" s="95">
        <v>14</v>
      </c>
      <c r="J60" s="13">
        <v>2400</v>
      </c>
      <c r="K60" s="12">
        <f t="shared" si="1"/>
        <v>171.42857142857142</v>
      </c>
      <c r="L60" s="95">
        <v>14</v>
      </c>
      <c r="M60" s="13">
        <f t="shared" si="46"/>
        <v>2295.3846153846157</v>
      </c>
      <c r="N60" s="12">
        <f t="shared" si="3"/>
        <v>163.95604395604397</v>
      </c>
      <c r="O60" s="14">
        <f t="shared" si="4"/>
        <v>0</v>
      </c>
      <c r="P60" s="15">
        <f t="shared" si="5"/>
        <v>-7.472527472527446</v>
      </c>
      <c r="Q60" s="91">
        <f t="shared" si="6"/>
        <v>0.95641025641025657</v>
      </c>
      <c r="R60" s="177"/>
      <c r="S60" s="21">
        <v>0.24444444444444444</v>
      </c>
      <c r="T60" s="21">
        <v>0.35277777777777775</v>
      </c>
      <c r="U60" s="88">
        <f t="shared" si="48"/>
        <v>6.0000000000000187</v>
      </c>
      <c r="V60" s="30">
        <f t="shared" si="47"/>
        <v>155.99999999999997</v>
      </c>
      <c r="W60" s="16"/>
      <c r="X60" s="16"/>
      <c r="Y60" s="16"/>
      <c r="Z60" s="16"/>
      <c r="AA60" s="168"/>
      <c r="AB60" s="168"/>
      <c r="AC60" s="18"/>
      <c r="AD60" s="18"/>
      <c r="AE60" s="14">
        <f t="shared" si="43"/>
        <v>-104.6153846153843</v>
      </c>
      <c r="AF60" s="91">
        <f t="shared" si="9"/>
        <v>0.95641025641025657</v>
      </c>
      <c r="AG60" s="177"/>
    </row>
    <row r="61" spans="1:33" ht="15.75" customHeight="1">
      <c r="A61" s="175" t="s">
        <v>964</v>
      </c>
      <c r="B61" s="88" t="s">
        <v>22</v>
      </c>
      <c r="C61" s="169" t="s">
        <v>52</v>
      </c>
      <c r="D61" s="169"/>
      <c r="E61" s="28">
        <v>19.02</v>
      </c>
      <c r="F61" s="88">
        <v>8382</v>
      </c>
      <c r="G61" s="88">
        <f t="shared" si="45"/>
        <v>159425.63999999998</v>
      </c>
      <c r="H61" s="30" t="s">
        <v>53</v>
      </c>
      <c r="I61" s="95">
        <v>14</v>
      </c>
      <c r="J61" s="13">
        <v>2400</v>
      </c>
      <c r="K61" s="12">
        <f t="shared" si="1"/>
        <v>171.42857142857142</v>
      </c>
      <c r="L61" s="95">
        <v>14</v>
      </c>
      <c r="M61" s="13">
        <f t="shared" si="46"/>
        <v>2285.9999999999995</v>
      </c>
      <c r="N61" s="12">
        <f t="shared" si="3"/>
        <v>163.28571428571425</v>
      </c>
      <c r="O61" s="14">
        <f t="shared" si="4"/>
        <v>0</v>
      </c>
      <c r="P61" s="15">
        <f t="shared" si="5"/>
        <v>-8.1428571428571672</v>
      </c>
      <c r="Q61" s="91">
        <f t="shared" si="6"/>
        <v>0.9524999999999999</v>
      </c>
      <c r="R61" s="177"/>
      <c r="S61" s="21">
        <v>0.35833333333333328</v>
      </c>
      <c r="T61" s="21">
        <v>0.51111111111111107</v>
      </c>
      <c r="U61" s="88">
        <f t="shared" si="48"/>
        <v>7.9999999999999716</v>
      </c>
      <c r="V61" s="30">
        <f t="shared" si="47"/>
        <v>220.00000000000003</v>
      </c>
      <c r="W61" s="16"/>
      <c r="X61" s="16"/>
      <c r="Y61" s="16"/>
      <c r="Z61" s="16"/>
      <c r="AA61" s="168"/>
      <c r="AB61" s="168"/>
      <c r="AC61" s="18"/>
      <c r="AD61" s="18"/>
      <c r="AE61" s="14">
        <f t="shared" si="43"/>
        <v>-114.00000000000045</v>
      </c>
      <c r="AF61" s="91">
        <f t="shared" si="9"/>
        <v>0.95249999999999979</v>
      </c>
      <c r="AG61" s="177"/>
    </row>
    <row r="62" spans="1:33" ht="16.5" customHeight="1">
      <c r="A62" s="176" t="s">
        <v>962</v>
      </c>
      <c r="B62" s="28" t="s">
        <v>590</v>
      </c>
      <c r="C62" s="165"/>
      <c r="D62" s="166"/>
      <c r="E62" s="92"/>
      <c r="F62" s="12"/>
      <c r="G62" s="12"/>
      <c r="H62" s="88"/>
      <c r="I62" s="23">
        <v>15.4</v>
      </c>
      <c r="J62" s="13">
        <v>2400</v>
      </c>
      <c r="K62" s="12">
        <f t="shared" si="1"/>
        <v>155.84415584415584</v>
      </c>
      <c r="L62" s="23">
        <v>15.4</v>
      </c>
      <c r="M62" s="13">
        <f>AVERAGE(M57:M61)</f>
        <v>2292.6847152847154</v>
      </c>
      <c r="N62" s="12">
        <f t="shared" si="3"/>
        <v>148.87563086264385</v>
      </c>
      <c r="O62" s="14">
        <f t="shared" si="4"/>
        <v>0</v>
      </c>
      <c r="P62" s="15">
        <f t="shared" si="5"/>
        <v>-6.9685249815119903</v>
      </c>
      <c r="Q62" s="91">
        <f t="shared" si="6"/>
        <v>0.95528529803529805</v>
      </c>
      <c r="R62" s="177"/>
      <c r="S62" s="21"/>
      <c r="T62" s="21"/>
      <c r="U62" s="12"/>
      <c r="V62" s="30"/>
      <c r="W62" s="12"/>
      <c r="X62" s="12"/>
      <c r="Y62" s="24">
        <f>SUM(Y57:Y61)</f>
        <v>0</v>
      </c>
      <c r="Z62" s="24">
        <f>SUM(Z57:Z61)</f>
        <v>0</v>
      </c>
      <c r="AA62" s="167"/>
      <c r="AB62" s="167"/>
      <c r="AC62" s="24">
        <f>SUM(AC57:AC61)</f>
        <v>5</v>
      </c>
      <c r="AD62" s="24">
        <f>SUM(AD57:AD61)</f>
        <v>0</v>
      </c>
      <c r="AE62" s="14">
        <f t="shared" si="43"/>
        <v>-107.31528471528463</v>
      </c>
      <c r="AF62" s="91">
        <f t="shared" si="9"/>
        <v>0.95528529803529805</v>
      </c>
      <c r="AG62" s="177"/>
    </row>
    <row r="63" spans="1:33">
      <c r="D63" s="87"/>
      <c r="E63" s="87"/>
    </row>
  </sheetData>
  <mergeCells count="177">
    <mergeCell ref="C62:D62"/>
    <mergeCell ref="A57:A62"/>
    <mergeCell ref="C57:D57"/>
    <mergeCell ref="R57:R62"/>
    <mergeCell ref="AA57:AB57"/>
    <mergeCell ref="AA62:AB62"/>
    <mergeCell ref="AG50:AG56"/>
    <mergeCell ref="C51:D51"/>
    <mergeCell ref="AA51:AB51"/>
    <mergeCell ref="C52:D52"/>
    <mergeCell ref="AA52:AB52"/>
    <mergeCell ref="C53:D53"/>
    <mergeCell ref="AA53:AB53"/>
    <mergeCell ref="C54:D54"/>
    <mergeCell ref="AA54:AB54"/>
    <mergeCell ref="C55:D55"/>
    <mergeCell ref="AG57:AG62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A50:A56"/>
    <mergeCell ref="C50:D50"/>
    <mergeCell ref="R50:R56"/>
    <mergeCell ref="AA50:AB50"/>
    <mergeCell ref="AA55:AB55"/>
    <mergeCell ref="A43:A49"/>
    <mergeCell ref="C43:D43"/>
    <mergeCell ref="R43:R49"/>
    <mergeCell ref="AA43:AB43"/>
    <mergeCell ref="C56:D56"/>
    <mergeCell ref="AA56:AB56"/>
    <mergeCell ref="AG43:AG49"/>
    <mergeCell ref="C44:D44"/>
    <mergeCell ref="AA44:AB44"/>
    <mergeCell ref="C45:D45"/>
    <mergeCell ref="AA45:AB45"/>
    <mergeCell ref="AA46:AB46"/>
    <mergeCell ref="AG37:AG42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A47:AB47"/>
    <mergeCell ref="C48:D48"/>
    <mergeCell ref="AA48:AB48"/>
    <mergeCell ref="C49:D49"/>
    <mergeCell ref="AA49:AB49"/>
    <mergeCell ref="A37:A42"/>
    <mergeCell ref="C37:D37"/>
    <mergeCell ref="R37:R42"/>
    <mergeCell ref="AA37:AB37"/>
    <mergeCell ref="AA42:AB42"/>
    <mergeCell ref="AG30:AG36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A27:AB27"/>
    <mergeCell ref="C28:D28"/>
    <mergeCell ref="AA28:AB28"/>
    <mergeCell ref="C29:D29"/>
    <mergeCell ref="AA29:AB29"/>
    <mergeCell ref="A30:A36"/>
    <mergeCell ref="C30:D30"/>
    <mergeCell ref="R30:R36"/>
    <mergeCell ref="AA30:AB30"/>
    <mergeCell ref="AA35:AB35"/>
    <mergeCell ref="A24:A29"/>
    <mergeCell ref="C24:D24"/>
    <mergeCell ref="R24:R29"/>
    <mergeCell ref="AA24:AB24"/>
    <mergeCell ref="C36:D36"/>
    <mergeCell ref="AA36:AB36"/>
    <mergeCell ref="A17:A23"/>
    <mergeCell ref="C17:D17"/>
    <mergeCell ref="R17:R23"/>
    <mergeCell ref="AA17:AB17"/>
    <mergeCell ref="AA22:AB22"/>
    <mergeCell ref="C23:D23"/>
    <mergeCell ref="AA23:AB23"/>
    <mergeCell ref="A12:A16"/>
    <mergeCell ref="AG24:AG29"/>
    <mergeCell ref="C25:D25"/>
    <mergeCell ref="AA25:AB25"/>
    <mergeCell ref="C26:D26"/>
    <mergeCell ref="AA26:AB26"/>
    <mergeCell ref="C27:D27"/>
    <mergeCell ref="AG17:AG23"/>
    <mergeCell ref="C18:D18"/>
    <mergeCell ref="AA18:AB18"/>
    <mergeCell ref="C19:D19"/>
    <mergeCell ref="AA19:AB19"/>
    <mergeCell ref="C20:D20"/>
    <mergeCell ref="AA20:AB20"/>
    <mergeCell ref="C21:D21"/>
    <mergeCell ref="AA21:AB21"/>
    <mergeCell ref="C22:D22"/>
    <mergeCell ref="C13:D13"/>
    <mergeCell ref="AA13:AB13"/>
    <mergeCell ref="C14:D14"/>
    <mergeCell ref="AA14:AB14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6"/>
    <mergeCell ref="AA12:AB12"/>
    <mergeCell ref="AG12:AG16"/>
    <mergeCell ref="C16:D16"/>
    <mergeCell ref="AA16:AB16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:O62">
    <cfRule type="cellIs" dxfId="70" priority="9" operator="greaterThan">
      <formula>0</formula>
    </cfRule>
  </conditionalFormatting>
  <conditionalFormatting sqref="P5:P62">
    <cfRule type="cellIs" dxfId="69" priority="1" operator="lessThan">
      <formula>0</formula>
    </cfRule>
  </conditionalFormatting>
  <conditionalFormatting sqref="Q5:Q62 AF5:AF62">
    <cfRule type="cellIs" dxfId="68" priority="10" operator="greaterThan">
      <formula>1</formula>
    </cfRule>
    <cfRule type="cellIs" dxfId="67" priority="11" operator="lessThan">
      <formula>0.8</formula>
    </cfRule>
  </conditionalFormatting>
  <conditionalFormatting sqref="R5:R9 AG5:AG9">
    <cfRule type="cellIs" dxfId="66" priority="37" operator="lessThan">
      <formula>0.8</formula>
    </cfRule>
  </conditionalFormatting>
  <conditionalFormatting sqref="AE5:AE62">
    <cfRule type="cellIs" dxfId="65" priority="12" operator="lessThan">
      <formula>0</formula>
    </cfRule>
  </conditionalFormatting>
  <conditionalFormatting sqref="AG12:AG53 R12:R62">
    <cfRule type="cellIs" dxfId="64" priority="13" operator="lessThan">
      <formula>0.8</formula>
    </cfRule>
  </conditionalFormatting>
  <dataValidations count="1">
    <dataValidation type="list" allowBlank="1" showInputMessage="1" showErrorMessage="1" sqref="AB8 AA5:AB7 AB54:AB55 AA8:AA55 AB10:AB50 AA56:AB62" xr:uid="{00000000-0002-0000-2B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1:Q32"/>
  <sheetViews>
    <sheetView zoomScale="85" zoomScaleNormal="85" workbookViewId="0">
      <selection activeCell="G6" sqref="G6:H6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765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766</v>
      </c>
      <c r="C3" s="154" t="str">
        <f>TEXT('0408 4度C'!A2,"yyyy.mm.ddaaaa")</f>
        <v>2026.04.08星期三</v>
      </c>
      <c r="D3" s="155"/>
      <c r="E3" s="33" t="s">
        <v>767</v>
      </c>
      <c r="F3" s="156">
        <f>'0408 4度C'!D1</f>
        <v>157906</v>
      </c>
      <c r="G3" s="157"/>
      <c r="H3" s="33" t="s">
        <v>768</v>
      </c>
      <c r="I3" s="158">
        <f>'0408 4度C'!F1</f>
        <v>5286471.3400000008</v>
      </c>
      <c r="J3" s="159"/>
      <c r="K3" s="34"/>
      <c r="L3" s="35"/>
      <c r="M3" s="35"/>
      <c r="N3" s="35"/>
    </row>
    <row r="4" spans="2:17" ht="28.5" customHeight="1">
      <c r="B4" s="160" t="s">
        <v>769</v>
      </c>
      <c r="C4" s="146" t="s">
        <v>770</v>
      </c>
      <c r="D4" s="147"/>
      <c r="E4" s="163" t="s">
        <v>771</v>
      </c>
      <c r="F4" s="164"/>
      <c r="G4" s="163" t="s">
        <v>772</v>
      </c>
      <c r="H4" s="164"/>
      <c r="I4" s="163" t="s">
        <v>773</v>
      </c>
      <c r="J4" s="164"/>
      <c r="K4" s="144" t="s">
        <v>774</v>
      </c>
      <c r="L4" s="145"/>
      <c r="M4" s="145" t="s">
        <v>85</v>
      </c>
      <c r="N4" s="145"/>
    </row>
    <row r="5" spans="2:17" ht="28.5" customHeight="1">
      <c r="B5" s="161"/>
      <c r="C5" s="146" t="s">
        <v>775</v>
      </c>
      <c r="D5" s="147"/>
      <c r="E5" s="146" t="s">
        <v>776</v>
      </c>
      <c r="F5" s="147"/>
      <c r="G5" s="148" t="s">
        <v>88</v>
      </c>
      <c r="H5" s="149"/>
      <c r="I5" s="150" t="s">
        <v>777</v>
      </c>
      <c r="J5" s="151"/>
      <c r="K5" s="36" t="s">
        <v>90</v>
      </c>
      <c r="L5" s="37" t="s">
        <v>298</v>
      </c>
      <c r="M5" s="36" t="s">
        <v>90</v>
      </c>
      <c r="N5" s="37" t="s">
        <v>778</v>
      </c>
    </row>
    <row r="6" spans="2:17" ht="28.5" customHeight="1">
      <c r="B6" s="161"/>
      <c r="C6" s="146" t="s">
        <v>54</v>
      </c>
      <c r="D6" s="147"/>
      <c r="E6" s="138">
        <f>AVERAGE(D13:M13)</f>
        <v>156.1986375489692</v>
      </c>
      <c r="F6" s="139">
        <f>AVERAGE(D31:O31,D13:J13)</f>
        <v>162.63364661983468</v>
      </c>
      <c r="G6" s="140">
        <f>AVERAGE(D13:J13)</f>
        <v>162.63364661983468</v>
      </c>
      <c r="H6" s="141"/>
      <c r="I6" s="140">
        <f>AVERAGE(K13:M13)</f>
        <v>141.1836163836164</v>
      </c>
      <c r="J6" s="141"/>
      <c r="K6" s="142">
        <f>'0408 4度C'!Y2</f>
        <v>0</v>
      </c>
      <c r="L6" s="127">
        <f>'0408 4度C'!Z2</f>
        <v>0</v>
      </c>
      <c r="M6" s="143">
        <f>'0408 4度C'!AC2</f>
        <v>54</v>
      </c>
      <c r="N6" s="127">
        <f>'0408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149.7621420442409</v>
      </c>
      <c r="F7" s="131">
        <f>AVERAGE(D32:O32,D14:J14)</f>
        <v>156.11564903325967</v>
      </c>
      <c r="G7" s="132">
        <f>AVERAGE(D14:J14)</f>
        <v>156.11564903325967</v>
      </c>
      <c r="H7" s="133"/>
      <c r="I7" s="132">
        <f>AVERAGE(K14:M14)</f>
        <v>134.93729240319712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0.95878121453830345</v>
      </c>
      <c r="F8" s="135">
        <f>AVERAGE(D15:J15,D33:O33)</f>
        <v>0.96008534116416722</v>
      </c>
      <c r="G8" s="136">
        <f>AVERAGE(D15:J15)</f>
        <v>0.96008534116416722</v>
      </c>
      <c r="H8" s="137"/>
      <c r="I8" s="136">
        <f>AVERAGE(K15:M15)</f>
        <v>0.95573825241128851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779</v>
      </c>
      <c r="N9" s="35"/>
      <c r="O9" s="35"/>
      <c r="P9" s="35"/>
      <c r="Q9" s="35"/>
    </row>
    <row r="10" spans="2:17" ht="30" customHeight="1">
      <c r="B10" s="110" t="s">
        <v>74</v>
      </c>
      <c r="C10" s="111"/>
      <c r="D10" s="112" t="s">
        <v>780</v>
      </c>
      <c r="E10" s="113"/>
      <c r="F10" s="113"/>
      <c r="G10" s="113"/>
      <c r="H10" s="113"/>
      <c r="I10" s="113"/>
      <c r="J10" s="114"/>
      <c r="K10" s="115" t="s">
        <v>781</v>
      </c>
      <c r="L10" s="116"/>
      <c r="M10" s="117"/>
      <c r="P10" s="41"/>
      <c r="Q10" s="41"/>
    </row>
    <row r="11" spans="2:17" ht="17.25" customHeight="1">
      <c r="B11" s="118" t="s">
        <v>782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783</v>
      </c>
      <c r="C13" s="48" t="s">
        <v>784</v>
      </c>
      <c r="D13" s="49">
        <f>SUMIFS('0408 4度C'!$K:$K,'0408 4度C'!$A:$A,"新豐6線",'0408 4度C'!$B:$B,"平均")</f>
        <v>117.64705882352941</v>
      </c>
      <c r="E13" s="50">
        <f>SUMIFS('0408 4度C'!$K:$K,'0408 4度C'!$A:$A,"新豐2線",'0408 4度C'!$B:$B,"平均")</f>
        <v>84.905660377358487</v>
      </c>
      <c r="F13" s="51">
        <f>SUMIFS('0408 4度C'!$K:$K,'0408 4度C'!$A:$A,"新豐5線",'0408 4度C'!$B:$B,"平均")</f>
        <v>102.15053763440859</v>
      </c>
      <c r="G13" s="51">
        <f>SUMIFS('0408 4度C'!$K:$K,'0408 4度C'!$A:$A,"新豐7線",'0408 4度C'!$B:$B,"平均")</f>
        <v>128.57142857142858</v>
      </c>
      <c r="H13" s="51">
        <f>SUMIFS('0408 4度C'!$K:$K,'0408 4度C'!$A:$A,"新豐3線",'0408 4度C'!$B:$B,"平均")</f>
        <v>319.14893617021278</v>
      </c>
      <c r="I13" s="51">
        <f>SUMIFS('0408 4度C'!$K:$K,'0408 4度C'!$A:$A,"新豐1線",'0408 4度C'!$B:$B,"平均")</f>
        <v>102.67857142857143</v>
      </c>
      <c r="J13" s="52">
        <f>SUMIFS('0408 4度C'!$K:$K,'0408 4度C'!$A:$A,"新豐10線",'0408 4度C'!$B:$B,"平均")</f>
        <v>283.33333333333337</v>
      </c>
      <c r="K13" s="53">
        <f>SUMIFS('0408 4度C'!$K:$K,'0408 4度C'!$A:$A,"新豐8線",'0408 4度C'!$B:$B,"平均")</f>
        <v>130.90909090909091</v>
      </c>
      <c r="L13" s="54">
        <f>SUMIFS('0408 4度C'!$K:$K,'0408 4度C'!$A:$A,"新豐9線",'0408 4度C'!$B:$B,"平均")</f>
        <v>134.4</v>
      </c>
      <c r="M13" s="52">
        <f>SUMIFS('0408 4度C'!$K:$K,'0408 4度C'!$A:$A,"新豐4線",'0408 4度C'!$B:$B,"平均")</f>
        <v>158.24175824175825</v>
      </c>
    </row>
    <row r="14" spans="2:17" ht="39.6" customHeight="1">
      <c r="B14" s="123"/>
      <c r="C14" s="55" t="s">
        <v>785</v>
      </c>
      <c r="D14" s="56">
        <f>SUMIFS('0408 4度C'!$N:$N,'0408 4度C'!$A:$A,"新豐6線",'0408 4度C'!$B:$B,"平均")</f>
        <v>112.43055615761413</v>
      </c>
      <c r="E14" s="57">
        <f>SUMIFS('0408 4度C'!$N:$N,'0408 4度C'!$A:$A,"新豐2線",'0408 4度C'!$B:$B,"平均")</f>
        <v>80.956616808376253</v>
      </c>
      <c r="F14" s="57">
        <f>SUMIFS('0408 4度C'!$N:$N,'0408 4度C'!$A:$A,"新豐5線",'0408 4度C'!$B:$B,"平均")</f>
        <v>98.712801693277001</v>
      </c>
      <c r="G14" s="57">
        <f>SUMIFS('0408 4度C'!$N:$N,'0408 4度C'!$A:$A,"新豐7線",'0408 4度C'!$B:$B,"平均")</f>
        <v>123.53722717973356</v>
      </c>
      <c r="H14" s="57">
        <f>SUMIFS('0408 4度C'!$N:$N,'0408 4度C'!$A:$A,"新豐3線",'0408 4度C'!$B:$B,"平均")</f>
        <v>304.28979167362201</v>
      </c>
      <c r="I14" s="57">
        <f>SUMIFS('0408 4度C'!$N:$N,'0408 4度C'!$A:$A,"新豐1線",'0408 4度C'!$B:$B,"平均")</f>
        <v>98.999611934794345</v>
      </c>
      <c r="J14" s="58">
        <f>SUMIFS('0408 4度C'!$N:$N,'0408 4度C'!$A:$A,"新豐10線",'0408 4度C'!$B:$B,"平均")</f>
        <v>273.88293778540049</v>
      </c>
      <c r="K14" s="59">
        <f>SUMIFS('0408 4度C'!$N:$N,'0408 4度C'!$A:$A,"新豐8線",'0408 4度C'!$B:$B,"平均")</f>
        <v>125.1107853230903</v>
      </c>
      <c r="L14" s="60">
        <f>SUMIFS('0408 4度C'!$N:$N,'0408 4度C'!$A:$A,"新豐9線",'0408 4度C'!$B:$B,"平均")</f>
        <v>128.4101530857786</v>
      </c>
      <c r="M14" s="58">
        <f>SUMIFS('0408 4度C'!$N:$N,'0408 4度C'!$A:$A,"新豐4線",'0408 4度C'!$B:$B,"平均")</f>
        <v>151.29093880072239</v>
      </c>
    </row>
    <row r="15" spans="2:17" ht="40.15" customHeight="1">
      <c r="B15" s="124"/>
      <c r="C15" s="61" t="s">
        <v>786</v>
      </c>
      <c r="D15" s="62">
        <f t="shared" ref="D15:M15" si="0">D14/D13</f>
        <v>0.95565972733972016</v>
      </c>
      <c r="E15" s="63">
        <f t="shared" si="0"/>
        <v>0.95348904240976484</v>
      </c>
      <c r="F15" s="63">
        <f t="shared" si="0"/>
        <v>0.96634637447102756</v>
      </c>
      <c r="G15" s="63">
        <f t="shared" si="0"/>
        <v>0.96084510028681647</v>
      </c>
      <c r="H15" s="63">
        <f t="shared" si="0"/>
        <v>0.95344134724401564</v>
      </c>
      <c r="I15" s="63">
        <f t="shared" si="0"/>
        <v>0.96417013362582316</v>
      </c>
      <c r="J15" s="64">
        <f t="shared" si="0"/>
        <v>0.96664566277200159</v>
      </c>
      <c r="K15" s="62">
        <f t="shared" si="0"/>
        <v>0.95570738788471754</v>
      </c>
      <c r="L15" s="63">
        <f t="shared" si="0"/>
        <v>0.95543268665013836</v>
      </c>
      <c r="M15" s="64">
        <f t="shared" si="0"/>
        <v>0.95607468269900953</v>
      </c>
    </row>
    <row r="16" spans="2:17" ht="17.25" customHeight="1">
      <c r="B16" s="125" t="s">
        <v>787</v>
      </c>
      <c r="C16" s="65" t="s">
        <v>788</v>
      </c>
      <c r="D16" s="66">
        <f>VLOOKUP("新豐6線",'0408 4度C'!$A:$T,19,0)</f>
        <v>0.70833333333333337</v>
      </c>
      <c r="E16" s="67">
        <f>VLOOKUP("新豐2線",'0408 4度C'!$A:$T,19,0)</f>
        <v>0.20833333333333334</v>
      </c>
      <c r="F16" s="67">
        <f>VLOOKUP("新豐5線",'0408 4度C'!$A:$T,19,0)</f>
        <v>0.20833333333333334</v>
      </c>
      <c r="G16" s="67">
        <f>VLOOKUP("新豐7線",'0408 4度C'!$A:$T,19,0)</f>
        <v>0.20833333333333334</v>
      </c>
      <c r="H16" s="67">
        <f>VLOOKUP("新豐3線",'0408 4度C'!$A:$T,19,0)</f>
        <v>8.3333333333333329E-2</v>
      </c>
      <c r="I16" s="67">
        <f>VLOOKUP("新豐1線",'0408 4度C'!$A:$T,19,0)</f>
        <v>0.20833333333333334</v>
      </c>
      <c r="J16" s="68">
        <f>VLOOKUP("新豐10線",'0408 4度C'!$A:$T,19,0)</f>
        <v>0.20833333333333334</v>
      </c>
      <c r="K16" s="69">
        <f>VLOOKUP("新豐8線",'0408 4度C'!$A:$T,19,0)</f>
        <v>8.3333333333333329E-2</v>
      </c>
      <c r="L16" s="70">
        <f>VLOOKUP("新豐9線",'0408 4度C'!$A:$T,19,0)</f>
        <v>8.3333333333333329E-2</v>
      </c>
      <c r="M16" s="71">
        <f>VLOOKUP("新豐4線",'0408 4度C'!$A:$T,19,0)</f>
        <v>8.3333333333333329E-2</v>
      </c>
    </row>
    <row r="17" spans="2:13" ht="17.25" customHeight="1">
      <c r="B17" s="126"/>
      <c r="C17" s="65" t="s">
        <v>789</v>
      </c>
      <c r="D17" s="69">
        <f>LOOKUP(2,1/(('0408 4度C'!$A:$A="新豐6線")*('0408 4度C'!$T:$T&lt;&gt;"")),'0408 4度C'!$T:$T)</f>
        <v>0.81874999999999998</v>
      </c>
      <c r="E17" s="67">
        <f>LOOKUP(2,1/(('0408 4度C'!$A:$A="新豐2線")*('0408 4度C'!$T:$T&lt;&gt;"")),'0408 4度C'!$T:$T)</f>
        <v>0.57499999999999996</v>
      </c>
      <c r="F17" s="67">
        <f>LOOKUP(2,1/(('0408 4度C'!$A:$A="新豐5線")*('0408 4度C'!$T:$T&lt;&gt;"")),'0408 4度C'!$T:$T)</f>
        <v>0.88819444444444451</v>
      </c>
      <c r="G17" s="67">
        <f>LOOKUP(2,1/(('0408 4度C'!$A:$A="新豐7線")*('0408 4度C'!$T:$T&lt;&gt;"")),'0408 4度C'!$T:$T)</f>
        <v>0.88958333333333328</v>
      </c>
      <c r="H17" s="67">
        <f>LOOKUP(2,1/(('0408 4度C'!$A:$A="新豐3線")*('0408 4度C'!$T:$T&lt;&gt;"")),'0408 4度C'!$T:$T)</f>
        <v>0.48611111111111105</v>
      </c>
      <c r="I17" s="67">
        <f>LOOKUP(2,1/(('0408 4度C'!$A:$A="新豐1線")*('0408 4度C'!$T:$T&lt;&gt;"")),'0408 4度C'!$T:$T)</f>
        <v>0.8256944444444444</v>
      </c>
      <c r="J17" s="68">
        <f>LOOKUP(2,1/(('0408 4度C'!$A:$A="新豐10線")*('0408 4度C'!$T:$T&lt;&gt;"")),'0408 4度C'!$T:$T)</f>
        <v>0.45416666666666661</v>
      </c>
      <c r="K17" s="66">
        <f>LOOKUP(2,1/(('0408 4度C'!$A:$A="新豐8線")*('0408 4度C'!$T:$T&lt;&gt;"")),'0408 4度C'!$T:$T)</f>
        <v>0.58263888888888882</v>
      </c>
      <c r="L17" s="67">
        <f>LOOKUP(2,1/(('0408 4度C'!$A:$A="新豐9線")*('0408 4度C'!$T:$T&lt;&gt;"")),'0408 4度C'!$T:$T)</f>
        <v>0.6104166666666665</v>
      </c>
      <c r="M17" s="68">
        <f>LOOKUP(2,1/(('0408 4度C'!$A:$A="新豐4線")*('0408 4度C'!$T:$T&lt;&gt;"")),'0408 4度C'!$T:$T)</f>
        <v>0.58124999999999993</v>
      </c>
    </row>
    <row r="18" spans="2:13" ht="17.25" customHeight="1">
      <c r="B18" s="104" t="s">
        <v>790</v>
      </c>
      <c r="C18" s="72" t="s">
        <v>791</v>
      </c>
      <c r="D18" s="73">
        <f>SUMIFS('0408 4度C'!$Y:$Y,'0408 4度C'!$A:$A,"新豐6線",'0408 4度C'!$B:$B,"平均")</f>
        <v>0</v>
      </c>
      <c r="E18" s="74">
        <f>SUMIFS('0408 4度C'!$Y:$Y,'0408 4度C'!$A:$A,"新豐2線",'0408 4度C'!$B:$B,"平均")</f>
        <v>0</v>
      </c>
      <c r="F18" s="74">
        <f>SUMIFS('0408 4度C'!$Y:$Y,'0408 4度C'!$A:$A,"新豐5線",'0408 4度C'!$B:$B,"平均")</f>
        <v>0</v>
      </c>
      <c r="G18" s="74">
        <f>SUMIFS('0408 4度C'!$Y:$Y,'0408 4度C'!$A:$A,"新豐7線",'0408 4度C'!$B:$B,"平均")</f>
        <v>0</v>
      </c>
      <c r="H18" s="74">
        <f>SUMIFS('0408 4度C'!$Y:$Y,'0408 4度C'!$A:$A,"新豐3線",'0408 4度C'!$B:$B,"平均")</f>
        <v>0</v>
      </c>
      <c r="I18" s="74">
        <f>SUMIFS('0408 4度C'!$Y:$Y,'0408 4度C'!$A:$A,"新豐1線",'0408 4度C'!$B:$B,"平均")</f>
        <v>0</v>
      </c>
      <c r="J18" s="75">
        <f>SUMIFS('0408 4度C'!$Y:$Y,'0408 4度C'!$A:$A,"新豐10線",'0408 4度C'!$B:$B,"平均")</f>
        <v>0</v>
      </c>
      <c r="K18" s="76">
        <f>SUMIFS('0408 4度C'!$Y:$Y,'0408 4度C'!$A:$A,"新豐8線",'0408 4度C'!$B:$B,"平均")</f>
        <v>0</v>
      </c>
      <c r="L18" s="74">
        <f>SUMIFS('0408 4度C'!$Y:$Y,'0408 4度C'!$A:$A,"新豐9線",'0408 4度C'!$B:$B,"平均")</f>
        <v>0</v>
      </c>
      <c r="M18" s="75">
        <f>SUMIFS('0408 4度C'!$Y:$Y,'0408 4度C'!$A:$A,"新豐4線",'0408 4度C'!$B:$B,"平均")</f>
        <v>0</v>
      </c>
    </row>
    <row r="19" spans="2:13" ht="17.25" customHeight="1">
      <c r="B19" s="105"/>
      <c r="C19" s="72" t="s">
        <v>792</v>
      </c>
      <c r="D19" s="73">
        <f>SUMIFS('0408 4度C'!$Z:$Z,'0408 4度C'!$A:$A,"新豐6線",'0408 4度C'!$B:$B,"平均")</f>
        <v>0</v>
      </c>
      <c r="E19" s="74">
        <f>SUMIFS('0408 4度C'!$Z:$Z,'0408 4度C'!$A:$A,"新豐2線",'0408 4度C'!$B:$B,"平均")</f>
        <v>0</v>
      </c>
      <c r="F19" s="74">
        <f>SUMIFS('0408 4度C'!$Z:$Z,'0408 4度C'!$A:$A,"新豐5線",'0408 4度C'!$B:$B,"平均")</f>
        <v>0</v>
      </c>
      <c r="G19" s="74">
        <f>SUMIFS('0408 4度C'!$Z:$Z,'0408 4度C'!$A:$A,"新豐7線",'0408 4度C'!$B:$B,"平均")</f>
        <v>0</v>
      </c>
      <c r="H19" s="74">
        <f>SUMIFS('0408 4度C'!$Z:$Z,'0408 4度C'!$A:$A,"新豐3線",'0408 4度C'!$B:$B,"平均")</f>
        <v>0</v>
      </c>
      <c r="I19" s="74">
        <f>SUMIFS('0408 4度C'!$Z:$Z,'0408 4度C'!$A:$A,"新豐1線",'0408 4度C'!$B:$B,"平均")</f>
        <v>0</v>
      </c>
      <c r="J19" s="75">
        <f>SUMIFS('0408 4度C'!$Z:$Z,'0408 4度C'!$A:$A,"新豐10線",'0408 4度C'!$B:$B,"平均")</f>
        <v>0</v>
      </c>
      <c r="K19" s="76">
        <f>SUMIFS('0408 4度C'!$Z:$Z,'0408 4度C'!$A:$A,"新豐8線",'0408 4度C'!$B:$B,"平均")</f>
        <v>0</v>
      </c>
      <c r="L19" s="74">
        <f>SUMIFS('0408 4度C'!$Z:$Z,'0408 4度C'!$A:$A,"新豐9線",'0408 4度C'!$B:$B,"平均")</f>
        <v>0</v>
      </c>
      <c r="M19" s="75">
        <f>SUMIFS('0408 4度C'!$Z:$Z,'0408 4度C'!$A:$A,"新豐4線",'0408 4度C'!$B:$B,"平均")</f>
        <v>0</v>
      </c>
    </row>
    <row r="20" spans="2:13" ht="17.25" customHeight="1">
      <c r="B20" s="104" t="s">
        <v>793</v>
      </c>
      <c r="C20" s="72" t="s">
        <v>791</v>
      </c>
      <c r="D20" s="73">
        <f>SUMIFS('0408 4度C'!$AC:$AC,'0408 4度C'!$A:$A,"新豐6線",'0408 4度C'!$B:$B,"平均")</f>
        <v>3</v>
      </c>
      <c r="E20" s="74">
        <f>SUMIFS('0408 4度C'!$AC:$AC,'0408 4度C'!$A:$A,"新豐2線",'0408 4度C'!$B:$B,"平均")</f>
        <v>3</v>
      </c>
      <c r="F20" s="74">
        <f>SUMIFS('0408 4度C'!$AC:$AC,'0408 4度C'!$A:$A,"新豐5線",'0408 4度C'!$B:$B,"平均")</f>
        <v>5</v>
      </c>
      <c r="G20" s="74">
        <f>SUMIFS('0408 4度C'!$AC:$AC,'0408 4度C'!$A:$A,"新豐7線",'0408 4度C'!$B:$B,"平均")</f>
        <v>7</v>
      </c>
      <c r="H20" s="74">
        <f>SUMIFS('0408 4度C'!$AC:$AC,'0408 4度C'!$A:$A,"新豐3線",'0408 4度C'!$B:$B,"平均")</f>
        <v>5</v>
      </c>
      <c r="I20" s="74">
        <f>SUMIFS('0408 4度C'!$AC:$AC,'0408 4度C'!$A:$A,"新豐1線",'0408 4度C'!$B:$B,"平均")</f>
        <v>6</v>
      </c>
      <c r="J20" s="75">
        <f>SUMIFS('0408 4度C'!$AC:$AC,'0408 4度C'!$A:$A,"新豐10線",'0408 4度C'!$B:$B,"平均")</f>
        <v>6</v>
      </c>
      <c r="K20" s="76">
        <f>SUMIFS('0408 4度C'!$AC:$AC,'0408 4度C'!$A:$A,"新豐8線",'0408 4度C'!$B:$B,"平均")</f>
        <v>6</v>
      </c>
      <c r="L20" s="74">
        <f>SUMIFS('0408 4度C'!$AC:$AC,'0408 4度C'!$A:$A,"新豐9線",'0408 4度C'!$B:$B,"平均")</f>
        <v>7</v>
      </c>
      <c r="M20" s="75">
        <f>SUMIFS('0408 4度C'!$AC:$AC,'0408 4度C'!$A:$A,"新豐4線",'0408 4度C'!$B:$B,"平均")</f>
        <v>6</v>
      </c>
    </row>
    <row r="21" spans="2:13" ht="17.25" customHeight="1">
      <c r="B21" s="105"/>
      <c r="C21" s="72" t="s">
        <v>794</v>
      </c>
      <c r="D21" s="73">
        <f>SUMIFS('0408 4度C'!$AD:$AD,'0408 4度C'!$A:$A,"新豐6線",'0408 4度C'!$B:$B,"平均")</f>
        <v>0</v>
      </c>
      <c r="E21" s="74">
        <f>SUMIFS('0408 4度C'!$AD:$AD,'0408 4度C'!$A:$A,"新豐2線",'0408 4度C'!$B:$B,"平均")</f>
        <v>0</v>
      </c>
      <c r="F21" s="74">
        <f>SUMIFS('0408 4度C'!$AD:$AD,'0408 4度C'!$A:$A,"新豐5線",'0408 4度C'!$B:$B,"平均")</f>
        <v>0</v>
      </c>
      <c r="G21" s="74">
        <f>SUMIFS('0408 4度C'!$AD:$AD,'0408 4度C'!$A:$A,"新豐7線",'0408 4度C'!$B:$B,"平均")</f>
        <v>0</v>
      </c>
      <c r="H21" s="74">
        <f>SUMIFS('0408 4度C'!$AD:$AD,'0408 4度C'!$A:$A,"新豐3線",'0408 4度C'!$B:$B,"平均")</f>
        <v>0</v>
      </c>
      <c r="I21" s="74">
        <f>SUMIFS('0408 4度C'!$AD:$AD,'0408 4度C'!$A:$A,"新豐1線",'0408 4度C'!$B:$B,"平均")</f>
        <v>0</v>
      </c>
      <c r="J21" s="75">
        <f>SUMIFS('0408 4度C'!$AD:$AD,'0408 4度C'!$A:$A,"新豐10線",'0408 4度C'!$B:$B,"平均")</f>
        <v>0</v>
      </c>
      <c r="K21" s="76">
        <f>SUMIFS('0408 4度C'!$AD:$AD,'0408 4度C'!$A:$A,"新豐8線",'0408 4度C'!$B:$B,"平均")</f>
        <v>0</v>
      </c>
      <c r="L21" s="74">
        <f>SUMIFS('0408 4度C'!$AD:$AD,'0408 4度C'!$A:$A,"新豐9線",'0408 4度C'!$B:$B,"平均")</f>
        <v>0</v>
      </c>
      <c r="M21" s="75">
        <f>SUMIFS('0408 4度C'!$AD:$AD,'0408 4度C'!$A:$A,"新豐4線",'0408 4度C'!$B:$B,"平均")</f>
        <v>0</v>
      </c>
    </row>
    <row r="22" spans="2:13" ht="17.25" customHeight="1">
      <c r="B22" s="106" t="s">
        <v>795</v>
      </c>
      <c r="C22" s="107"/>
      <c r="D22" s="77">
        <f>SUMIFS('0408 4度C'!$I:$I,'0408 4度C'!$A:$A,"新豐6線",'0408 4度C'!$B:$B,"平均")</f>
        <v>17</v>
      </c>
      <c r="E22" s="78">
        <f>SUMIFS('0408 4度C'!$I:$I,'0408 4度C'!$A:$A,"新豐2線",'0408 4度C'!$B:$B,"平均")</f>
        <v>17.666666666666668</v>
      </c>
      <c r="F22" s="78">
        <f>SUMIFS('0408 4度C'!$I:$I,'0408 4度C'!$A:$A,"新豐5線",'0408 4度C'!$B:$B,"平均")</f>
        <v>18.600000000000001</v>
      </c>
      <c r="G22" s="78">
        <f>SUMIFS('0408 4度C'!$I:$I,'0408 4度C'!$A:$A,"新豐7線",'0408 4度C'!$B:$B,"平均")</f>
        <v>15</v>
      </c>
      <c r="H22" s="78">
        <f>SUMIFS('0408 4度C'!$I:$I,'0408 4度C'!$A:$A,"新豐3線",'0408 4度C'!$B:$B,"平均")</f>
        <v>9.4</v>
      </c>
      <c r="I22" s="78">
        <f>SUMIFS('0408 4度C'!$I:$I,'0408 4度C'!$A:$A,"新豐1線",'0408 4度C'!$B:$B,"平均")</f>
        <v>18.666666666666668</v>
      </c>
      <c r="J22" s="79">
        <f>SUMIFS('0408 4度C'!$I:$I,'0408 4度C'!$A:$A,"新豐10線",'0408 4度C'!$B:$B,"平均")</f>
        <v>10</v>
      </c>
      <c r="K22" s="77">
        <f>SUMIFS('0408 4度C'!$I:$I,'0408 4度C'!$A:$A,"新豐8線",'0408 4度C'!$B:$B,"平均")</f>
        <v>18.333333333333332</v>
      </c>
      <c r="L22" s="78">
        <f>SUMIFS('0408 4度C'!$I:$I,'0408 4度C'!$A:$A,"新豐9線",'0408 4度C'!$B:$B,"平均")</f>
        <v>17.857142857142858</v>
      </c>
      <c r="M22" s="79">
        <f>SUMIFS('0408 4度C'!$I:$I,'0408 4度C'!$A:$A,"新豐4線",'0408 4度C'!$B:$B,"平均")</f>
        <v>15.166666666666666</v>
      </c>
    </row>
    <row r="23" spans="2:13" ht="17.25" customHeight="1">
      <c r="B23" s="106" t="s">
        <v>796</v>
      </c>
      <c r="C23" s="107"/>
      <c r="D23" s="80" t="s">
        <v>67</v>
      </c>
      <c r="E23" s="81" t="s">
        <v>68</v>
      </c>
      <c r="F23" s="81" t="s">
        <v>797</v>
      </c>
      <c r="G23" s="81" t="s">
        <v>797</v>
      </c>
      <c r="H23" s="81" t="s">
        <v>69</v>
      </c>
      <c r="I23" s="81" t="s">
        <v>67</v>
      </c>
      <c r="J23" s="82" t="s">
        <v>69</v>
      </c>
      <c r="K23" s="80" t="s">
        <v>798</v>
      </c>
      <c r="L23" s="81" t="s">
        <v>798</v>
      </c>
      <c r="M23" s="82" t="s">
        <v>799</v>
      </c>
    </row>
    <row r="24" spans="2:13" ht="17.25" customHeight="1">
      <c r="B24" s="106" t="s">
        <v>800</v>
      </c>
      <c r="C24" s="107"/>
      <c r="D24" s="80"/>
      <c r="E24" s="81"/>
      <c r="F24" s="81" t="s">
        <v>801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802</v>
      </c>
      <c r="C25" s="109"/>
      <c r="D25" s="83"/>
      <c r="E25" s="84" t="s">
        <v>803</v>
      </c>
      <c r="F25" s="102" t="s">
        <v>804</v>
      </c>
      <c r="G25" s="103"/>
      <c r="H25" s="84" t="s">
        <v>805</v>
      </c>
      <c r="I25" s="84" t="s">
        <v>806</v>
      </c>
      <c r="J25" s="85" t="s">
        <v>118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6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工作表13">
    <pageSetUpPr fitToPage="1"/>
  </sheetPr>
  <dimension ref="A1:AG69"/>
  <sheetViews>
    <sheetView zoomScale="80" zoomScaleNormal="80" workbookViewId="0">
      <pane ySplit="4" topLeftCell="A10" activePane="bottomLeft" state="frozen"/>
      <selection activeCell="G6" sqref="G6:H6"/>
      <selection pane="bottomLeft" activeCell="G6" sqref="G6:H6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807</v>
      </c>
      <c r="B1" s="1"/>
      <c r="C1" s="2" t="s">
        <v>808</v>
      </c>
      <c r="D1" s="3">
        <f>SUM(F5:F68)</f>
        <v>157906</v>
      </c>
      <c r="E1" s="88" t="s">
        <v>809</v>
      </c>
      <c r="F1" s="1">
        <f>SUM(G5:G68)</f>
        <v>5286471.3400000008</v>
      </c>
      <c r="G1" s="1" t="s">
        <v>810</v>
      </c>
      <c r="H1" s="4">
        <f>L8+L12+L47+L54+L18+L61+L33+L41+L26+L68</f>
        <v>157.69047619047618</v>
      </c>
      <c r="I1" s="215" t="s">
        <v>811</v>
      </c>
      <c r="J1" s="215"/>
      <c r="K1" s="215"/>
      <c r="L1" s="215" t="s">
        <v>812</v>
      </c>
      <c r="M1" s="215"/>
      <c r="N1" s="215"/>
      <c r="O1" s="215" t="s">
        <v>813</v>
      </c>
      <c r="P1" s="215"/>
      <c r="Q1" s="215"/>
      <c r="R1" s="215"/>
      <c r="S1" s="215" t="s">
        <v>814</v>
      </c>
      <c r="T1" s="215"/>
      <c r="U1" s="215"/>
      <c r="V1" s="215"/>
      <c r="W1" s="215"/>
      <c r="X1" s="215"/>
      <c r="Y1" s="5" t="s">
        <v>815</v>
      </c>
      <c r="Z1" s="6" t="s">
        <v>816</v>
      </c>
      <c r="AA1" s="216" t="s">
        <v>817</v>
      </c>
      <c r="AB1" s="216"/>
      <c r="AC1" s="97" t="s">
        <v>818</v>
      </c>
      <c r="AD1" s="6" t="s">
        <v>819</v>
      </c>
      <c r="AE1" s="215" t="s">
        <v>820</v>
      </c>
      <c r="AF1" s="217"/>
      <c r="AG1" s="217"/>
    </row>
    <row r="2" spans="1:33" ht="26.25" customHeight="1">
      <c r="A2" s="26">
        <v>46120</v>
      </c>
      <c r="B2" s="27" t="s">
        <v>133</v>
      </c>
      <c r="C2" s="2" t="s">
        <v>821</v>
      </c>
      <c r="D2" s="8">
        <f>AVERAGE(N8,N12,N47,N54,N18,N61,N26,N33,N41,N68)</f>
        <v>149.7621420442409</v>
      </c>
      <c r="E2" s="9" t="s">
        <v>0</v>
      </c>
      <c r="F2" s="10">
        <f>F1/D1</f>
        <v>33.478597013413051</v>
      </c>
      <c r="G2" s="1" t="s">
        <v>822</v>
      </c>
      <c r="H2" s="96">
        <f>COUNT(H5:H68)</f>
        <v>7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SUM(Y8+Y12+Y18+Y26+Y33+Y41+Y47+Y54+Y61+Y68)</f>
        <v>0</v>
      </c>
      <c r="Z2" s="11">
        <f>SUM(Z8+Z12+Z18+Z26+Z33+Z41+Z47+Z54+Z61+Z68)</f>
        <v>0</v>
      </c>
      <c r="AA2" s="216"/>
      <c r="AB2" s="216"/>
      <c r="AC2" s="11">
        <f>SUM(AC8+AC12+AC18+AC26+AC33+AC41+AC47+AC54+AC61+AC68)</f>
        <v>54</v>
      </c>
      <c r="AD2" s="11">
        <f>SUM(AD8+AD12+AD18+AD26+AD33+AD41+AD47+AD54+AD61+AD68)</f>
        <v>0</v>
      </c>
      <c r="AE2" s="217"/>
      <c r="AF2" s="217"/>
      <c r="AG2" s="217"/>
    </row>
    <row r="3" spans="1:33" ht="40.5" customHeight="1">
      <c r="A3" s="168" t="s">
        <v>823</v>
      </c>
      <c r="B3" s="168" t="s">
        <v>824</v>
      </c>
      <c r="C3" s="168" t="s">
        <v>825</v>
      </c>
      <c r="D3" s="168"/>
      <c r="E3" s="213" t="s">
        <v>826</v>
      </c>
      <c r="F3" s="168" t="s">
        <v>827</v>
      </c>
      <c r="G3" s="213" t="s">
        <v>140</v>
      </c>
      <c r="H3" s="207" t="s">
        <v>828</v>
      </c>
      <c r="I3" s="205" t="s">
        <v>829</v>
      </c>
      <c r="J3" s="202" t="s">
        <v>830</v>
      </c>
      <c r="K3" s="212" t="s">
        <v>831</v>
      </c>
      <c r="L3" s="205" t="s">
        <v>829</v>
      </c>
      <c r="M3" s="202" t="s">
        <v>832</v>
      </c>
      <c r="N3" s="212" t="s">
        <v>833</v>
      </c>
      <c r="O3" s="205" t="s">
        <v>829</v>
      </c>
      <c r="P3" s="212" t="s">
        <v>834</v>
      </c>
      <c r="Q3" s="203" t="s">
        <v>835</v>
      </c>
      <c r="R3" s="181" t="s">
        <v>836</v>
      </c>
      <c r="S3" s="168" t="s">
        <v>1</v>
      </c>
      <c r="T3" s="168"/>
      <c r="U3" s="207" t="s">
        <v>2</v>
      </c>
      <c r="V3" s="207" t="s">
        <v>149</v>
      </c>
      <c r="W3" s="168" t="s">
        <v>150</v>
      </c>
      <c r="X3" s="168"/>
      <c r="Y3" s="208" t="s">
        <v>837</v>
      </c>
      <c r="Z3" s="167"/>
      <c r="AA3" s="209" t="s">
        <v>252</v>
      </c>
      <c r="AB3" s="210"/>
      <c r="AC3" s="208" t="s">
        <v>838</v>
      </c>
      <c r="AD3" s="167"/>
      <c r="AE3" s="202" t="s">
        <v>146</v>
      </c>
      <c r="AF3" s="203" t="s">
        <v>839</v>
      </c>
      <c r="AG3" s="181" t="s">
        <v>840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841</v>
      </c>
      <c r="X4" s="88" t="s">
        <v>157</v>
      </c>
      <c r="Y4" s="90" t="s">
        <v>842</v>
      </c>
      <c r="Z4" s="90" t="s">
        <v>843</v>
      </c>
      <c r="AA4" s="211"/>
      <c r="AB4" s="210"/>
      <c r="AC4" s="90" t="s">
        <v>844</v>
      </c>
      <c r="AD4" s="90" t="s">
        <v>845</v>
      </c>
      <c r="AE4" s="202"/>
      <c r="AF4" s="203"/>
      <c r="AG4" s="181"/>
    </row>
    <row r="5" spans="1:33">
      <c r="A5" s="204" t="s">
        <v>846</v>
      </c>
      <c r="B5" s="28" t="s">
        <v>5</v>
      </c>
      <c r="C5" s="206" t="s">
        <v>6</v>
      </c>
      <c r="D5" s="206"/>
      <c r="E5" s="28">
        <v>50.67</v>
      </c>
      <c r="F5" s="88">
        <v>1471</v>
      </c>
      <c r="G5" s="88">
        <f t="shared" ref="G5:G7" si="0">E5*F5</f>
        <v>74535.570000000007</v>
      </c>
      <c r="H5" s="30" t="s">
        <v>53</v>
      </c>
      <c r="I5" s="95">
        <v>17</v>
      </c>
      <c r="J5" s="13">
        <v>2000</v>
      </c>
      <c r="K5" s="12">
        <f t="shared" ref="K5:K68" si="1">J5/I5</f>
        <v>117.64705882352941</v>
      </c>
      <c r="L5" s="95">
        <v>17</v>
      </c>
      <c r="M5" s="13">
        <f t="shared" ref="M5:M7" si="2">F5/V5*60</f>
        <v>1918.695652173913</v>
      </c>
      <c r="N5" s="12">
        <f t="shared" ref="N5:N68" si="3">M5/L5</f>
        <v>112.86445012787723</v>
      </c>
      <c r="O5" s="14">
        <f t="shared" ref="O5:O68" si="4">L5-I5</f>
        <v>0</v>
      </c>
      <c r="P5" s="15">
        <f t="shared" ref="P5:P68" si="5">N5-K5</f>
        <v>-4.7826086956521721</v>
      </c>
      <c r="Q5" s="91">
        <f t="shared" ref="Q5:Q68" si="6">N5/K5</f>
        <v>0.95934782608695657</v>
      </c>
      <c r="R5" s="177">
        <f>Q8</f>
        <v>0.95565972733972016</v>
      </c>
      <c r="S5" s="21">
        <v>0.70833333333333337</v>
      </c>
      <c r="T5" s="21">
        <v>0.74027777777777781</v>
      </c>
      <c r="U5" s="88"/>
      <c r="V5" s="30">
        <f t="shared" ref="V5:V7" si="7">(T5-S5)*24*60</f>
        <v>46</v>
      </c>
      <c r="W5" s="16"/>
      <c r="X5" s="17"/>
      <c r="Y5" s="17"/>
      <c r="Z5" s="17"/>
      <c r="AA5" s="168"/>
      <c r="AB5" s="168"/>
      <c r="AC5" s="18">
        <v>3</v>
      </c>
      <c r="AD5" s="18"/>
      <c r="AE5" s="14">
        <f t="shared" ref="AE5:AE53" si="8">M5-J5</f>
        <v>-81.304347826086996</v>
      </c>
      <c r="AF5" s="91">
        <f t="shared" ref="AF5:AF68" si="9">M5/J5</f>
        <v>0.95934782608695646</v>
      </c>
      <c r="AG5" s="177">
        <f>AF8</f>
        <v>0.95565972733972016</v>
      </c>
    </row>
    <row r="6" spans="1:33">
      <c r="A6" s="205" t="s">
        <v>847</v>
      </c>
      <c r="B6" s="28" t="s">
        <v>5</v>
      </c>
      <c r="C6" s="206" t="s">
        <v>7</v>
      </c>
      <c r="D6" s="206"/>
      <c r="E6" s="28">
        <v>54.09</v>
      </c>
      <c r="F6" s="88">
        <v>1273</v>
      </c>
      <c r="G6" s="88">
        <f t="shared" si="0"/>
        <v>68856.570000000007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1909.4999999999993</v>
      </c>
      <c r="N6" s="12">
        <f t="shared" si="3"/>
        <v>100.49999999999996</v>
      </c>
      <c r="O6" s="14">
        <f t="shared" si="4"/>
        <v>0</v>
      </c>
      <c r="P6" s="15">
        <f t="shared" si="5"/>
        <v>-4.763157894736878</v>
      </c>
      <c r="Q6" s="91">
        <f t="shared" si="6"/>
        <v>0.95474999999999965</v>
      </c>
      <c r="R6" s="177"/>
      <c r="S6" s="21">
        <v>0.74583333333333335</v>
      </c>
      <c r="T6" s="21">
        <v>0.77361111111111114</v>
      </c>
      <c r="U6" s="88">
        <f t="shared" ref="U6:U7" si="10">IF(S6=TIME(17,0,0),"",(S6-T5)*24*60)</f>
        <v>7.9999999999999716</v>
      </c>
      <c r="V6" s="30">
        <f t="shared" si="7"/>
        <v>40.000000000000014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-90.500000000000682</v>
      </c>
      <c r="AF6" s="91">
        <f t="shared" si="9"/>
        <v>0.95474999999999965</v>
      </c>
      <c r="AG6" s="177"/>
    </row>
    <row r="7" spans="1:33">
      <c r="A7" s="205" t="s">
        <v>847</v>
      </c>
      <c r="B7" s="28" t="s">
        <v>5</v>
      </c>
      <c r="C7" s="200" t="s">
        <v>16</v>
      </c>
      <c r="D7" s="201"/>
      <c r="E7" s="28">
        <v>50.67</v>
      </c>
      <c r="F7" s="88">
        <v>1874</v>
      </c>
      <c r="G7" s="88">
        <f t="shared" si="0"/>
        <v>94955.58</v>
      </c>
      <c r="H7" s="30" t="s">
        <v>53</v>
      </c>
      <c r="I7" s="95">
        <v>15</v>
      </c>
      <c r="J7" s="13">
        <v>2000</v>
      </c>
      <c r="K7" s="12">
        <f t="shared" si="1"/>
        <v>133.33333333333334</v>
      </c>
      <c r="L7" s="95">
        <v>15</v>
      </c>
      <c r="M7" s="13">
        <f t="shared" si="2"/>
        <v>1905.7627118644084</v>
      </c>
      <c r="N7" s="12">
        <f t="shared" si="3"/>
        <v>127.05084745762723</v>
      </c>
      <c r="O7" s="14">
        <f t="shared" si="4"/>
        <v>0</v>
      </c>
      <c r="P7" s="15">
        <f t="shared" si="5"/>
        <v>-6.2824858757061151</v>
      </c>
      <c r="Q7" s="91">
        <f t="shared" si="6"/>
        <v>0.95288135593220413</v>
      </c>
      <c r="R7" s="177"/>
      <c r="S7" s="21">
        <v>0.77777777777777779</v>
      </c>
      <c r="T7" s="21">
        <v>0.81874999999999998</v>
      </c>
      <c r="U7" s="88">
        <f t="shared" si="10"/>
        <v>5.9999999999999787</v>
      </c>
      <c r="V7" s="30">
        <f t="shared" si="7"/>
        <v>58.99999999999995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-94.237288135591598</v>
      </c>
      <c r="AF7" s="91">
        <f t="shared" si="9"/>
        <v>0.95288135593220424</v>
      </c>
      <c r="AG7" s="177"/>
    </row>
    <row r="8" spans="1:33">
      <c r="A8" s="205" t="s">
        <v>847</v>
      </c>
      <c r="B8" s="28" t="s">
        <v>848</v>
      </c>
      <c r="C8" s="178"/>
      <c r="D8" s="178"/>
      <c r="E8" s="92"/>
      <c r="F8" s="12"/>
      <c r="G8" s="12"/>
      <c r="H8" s="88"/>
      <c r="I8" s="23">
        <v>17</v>
      </c>
      <c r="J8" s="13">
        <v>2000</v>
      </c>
      <c r="K8" s="12">
        <f t="shared" si="1"/>
        <v>117.64705882352941</v>
      </c>
      <c r="L8" s="23">
        <v>17</v>
      </c>
      <c r="M8" s="13">
        <f>AVERAGE(M5:M7)</f>
        <v>1911.3194546794402</v>
      </c>
      <c r="N8" s="12">
        <f t="shared" si="3"/>
        <v>112.43055615761413</v>
      </c>
      <c r="O8" s="14">
        <f t="shared" si="4"/>
        <v>0</v>
      </c>
      <c r="P8" s="15">
        <f t="shared" si="5"/>
        <v>-5.2165026659152716</v>
      </c>
      <c r="Q8" s="91">
        <f t="shared" si="6"/>
        <v>0.95565972733972016</v>
      </c>
      <c r="R8" s="177"/>
      <c r="S8" s="21"/>
      <c r="T8" s="21"/>
      <c r="U8" s="88"/>
      <c r="V8" s="30"/>
      <c r="W8" s="12"/>
      <c r="X8" s="12"/>
      <c r="Y8" s="24">
        <f>SUM(Y5:Y7)</f>
        <v>0</v>
      </c>
      <c r="Z8" s="24">
        <f>SUM(Z5:Z7)</f>
        <v>0</v>
      </c>
      <c r="AA8" s="167"/>
      <c r="AB8" s="167"/>
      <c r="AC8" s="24">
        <f>SUM(AC5:AC7)</f>
        <v>3</v>
      </c>
      <c r="AD8" s="24">
        <f>SUM(AD5:AD7)</f>
        <v>0</v>
      </c>
      <c r="AE8" s="14">
        <f t="shared" si="8"/>
        <v>-88.680545320559759</v>
      </c>
      <c r="AF8" s="91">
        <f t="shared" si="9"/>
        <v>0.95565972733972016</v>
      </c>
      <c r="AG8" s="177"/>
    </row>
    <row r="9" spans="1:33" ht="15.75" customHeight="1">
      <c r="A9" s="199" t="s">
        <v>849</v>
      </c>
      <c r="B9" s="28" t="s">
        <v>9</v>
      </c>
      <c r="C9" s="200" t="s">
        <v>10</v>
      </c>
      <c r="D9" s="201"/>
      <c r="E9" s="28">
        <v>39.619999999999997</v>
      </c>
      <c r="F9" s="88">
        <v>4463</v>
      </c>
      <c r="G9" s="88">
        <f t="shared" ref="G9:G11" si="11">E9*F9</f>
        <v>176824.06</v>
      </c>
      <c r="H9" s="30" t="s">
        <v>53</v>
      </c>
      <c r="I9" s="95">
        <v>19</v>
      </c>
      <c r="J9" s="13">
        <v>1500</v>
      </c>
      <c r="K9" s="12">
        <f t="shared" si="1"/>
        <v>78.94736842105263</v>
      </c>
      <c r="L9" s="95">
        <v>19</v>
      </c>
      <c r="M9" s="13">
        <f t="shared" ref="M9:M11" si="12">F9/V9*60</f>
        <v>1431.9786096256682</v>
      </c>
      <c r="N9" s="12">
        <f t="shared" si="3"/>
        <v>75.367295243456226</v>
      </c>
      <c r="O9" s="14">
        <f t="shared" si="4"/>
        <v>0</v>
      </c>
      <c r="P9" s="15">
        <f t="shared" si="5"/>
        <v>-3.5800731775964039</v>
      </c>
      <c r="Q9" s="91">
        <f t="shared" si="6"/>
        <v>0.95465240641711224</v>
      </c>
      <c r="R9" s="177">
        <f>Q12</f>
        <v>0.95348904240976484</v>
      </c>
      <c r="S9" s="21">
        <v>0.20833333333333334</v>
      </c>
      <c r="T9" s="21">
        <v>0.33819444444444446</v>
      </c>
      <c r="U9" s="88"/>
      <c r="V9" s="30">
        <f t="shared" ref="V9:V11" si="13">(T9-S9)*24*60</f>
        <v>187.00000000000003</v>
      </c>
      <c r="W9" s="16"/>
      <c r="X9" s="16"/>
      <c r="Y9" s="16"/>
      <c r="Z9" s="16"/>
      <c r="AA9" s="168"/>
      <c r="AB9" s="168"/>
      <c r="AC9" s="18">
        <v>3</v>
      </c>
      <c r="AD9" s="18"/>
      <c r="AE9" s="14">
        <f t="shared" si="8"/>
        <v>-68.021390374331759</v>
      </c>
      <c r="AF9" s="91">
        <f t="shared" si="9"/>
        <v>0.95465240641711213</v>
      </c>
      <c r="AG9" s="177">
        <f>AF12</f>
        <v>0.95348904240976484</v>
      </c>
    </row>
    <row r="10" spans="1:33" ht="15.75" customHeight="1">
      <c r="A10" s="199" t="s">
        <v>850</v>
      </c>
      <c r="B10" s="28" t="s">
        <v>9</v>
      </c>
      <c r="C10" s="200" t="s">
        <v>11</v>
      </c>
      <c r="D10" s="201"/>
      <c r="E10" s="28">
        <v>39.799999999999997</v>
      </c>
      <c r="F10" s="88">
        <v>4700</v>
      </c>
      <c r="G10" s="88">
        <f t="shared" si="11"/>
        <v>187060</v>
      </c>
      <c r="H10" s="30">
        <v>2</v>
      </c>
      <c r="I10" s="95">
        <v>17</v>
      </c>
      <c r="J10" s="13">
        <v>1500</v>
      </c>
      <c r="K10" s="12">
        <f t="shared" si="1"/>
        <v>88.235294117647058</v>
      </c>
      <c r="L10" s="95">
        <v>17</v>
      </c>
      <c r="M10" s="13">
        <f t="shared" si="12"/>
        <v>1431.4720812182745</v>
      </c>
      <c r="N10" s="12">
        <f t="shared" si="3"/>
        <v>84.204240071663207</v>
      </c>
      <c r="O10" s="14">
        <f t="shared" si="4"/>
        <v>0</v>
      </c>
      <c r="P10" s="15">
        <f t="shared" si="5"/>
        <v>-4.0310540459838506</v>
      </c>
      <c r="Q10" s="91">
        <f t="shared" si="6"/>
        <v>0.95431472081218305</v>
      </c>
      <c r="R10" s="177"/>
      <c r="S10" s="21">
        <v>0.34375</v>
      </c>
      <c r="T10" s="21">
        <v>0.48055555555555551</v>
      </c>
      <c r="U10" s="88">
        <f t="shared" ref="U10:U11" si="14">IF(S10=TIME(17,0,0),"",(S10-T9)*24*60)</f>
        <v>7.9999999999999716</v>
      </c>
      <c r="V10" s="30">
        <f t="shared" si="13"/>
        <v>196.99999999999994</v>
      </c>
      <c r="W10" s="16">
        <f>T10</f>
        <v>0.48055555555555551</v>
      </c>
      <c r="X10" s="16">
        <f>S11</f>
        <v>0.51944444444444438</v>
      </c>
      <c r="Y10" s="16"/>
      <c r="Z10" s="16"/>
      <c r="AA10" s="168"/>
      <c r="AB10" s="168"/>
      <c r="AC10" s="18"/>
      <c r="AD10" s="18"/>
      <c r="AE10" s="14">
        <f t="shared" si="8"/>
        <v>-68.527918781725475</v>
      </c>
      <c r="AF10" s="91">
        <f t="shared" si="9"/>
        <v>0.95431472081218305</v>
      </c>
      <c r="AG10" s="177"/>
    </row>
    <row r="11" spans="1:33" ht="15.75" customHeight="1">
      <c r="A11" s="199" t="s">
        <v>850</v>
      </c>
      <c r="B11" s="28" t="s">
        <v>9</v>
      </c>
      <c r="C11" s="200" t="s">
        <v>11</v>
      </c>
      <c r="D11" s="201"/>
      <c r="E11" s="28">
        <v>39.799999999999997</v>
      </c>
      <c r="F11" s="88">
        <v>1903</v>
      </c>
      <c r="G11" s="88">
        <f t="shared" si="11"/>
        <v>75739.399999999994</v>
      </c>
      <c r="H11" s="30" t="s">
        <v>53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1427.2499999999995</v>
      </c>
      <c r="N11" s="12">
        <f t="shared" si="3"/>
        <v>83.955882352941146</v>
      </c>
      <c r="O11" s="14">
        <f t="shared" si="4"/>
        <v>0</v>
      </c>
      <c r="P11" s="15">
        <f t="shared" si="5"/>
        <v>-4.2794117647059124</v>
      </c>
      <c r="Q11" s="91">
        <f t="shared" si="6"/>
        <v>0.95149999999999968</v>
      </c>
      <c r="R11" s="177"/>
      <c r="S11" s="21">
        <v>0.51944444444444438</v>
      </c>
      <c r="T11" s="21">
        <v>0.57499999999999996</v>
      </c>
      <c r="U11" s="88">
        <f t="shared" si="14"/>
        <v>55.999999999999957</v>
      </c>
      <c r="V11" s="30">
        <f t="shared" si="13"/>
        <v>80.000000000000028</v>
      </c>
      <c r="W11" s="16"/>
      <c r="X11" s="16"/>
      <c r="Y11" s="16"/>
      <c r="Z11" s="16"/>
      <c r="AA11" s="168"/>
      <c r="AB11" s="168"/>
      <c r="AC11" s="18"/>
      <c r="AD11" s="18"/>
      <c r="AE11" s="14">
        <f t="shared" si="8"/>
        <v>-72.750000000000455</v>
      </c>
      <c r="AF11" s="91">
        <f t="shared" si="9"/>
        <v>0.95149999999999968</v>
      </c>
      <c r="AG11" s="177"/>
    </row>
    <row r="12" spans="1:33" ht="16.5" customHeight="1">
      <c r="A12" s="199" t="s">
        <v>850</v>
      </c>
      <c r="B12" s="28" t="s">
        <v>851</v>
      </c>
      <c r="C12" s="178"/>
      <c r="D12" s="178"/>
      <c r="E12" s="92"/>
      <c r="F12" s="13"/>
      <c r="G12" s="13"/>
      <c r="H12" s="88"/>
      <c r="I12" s="23">
        <v>17.666666666666668</v>
      </c>
      <c r="J12" s="13">
        <v>1500</v>
      </c>
      <c r="K12" s="12">
        <f t="shared" si="1"/>
        <v>84.905660377358487</v>
      </c>
      <c r="L12" s="23">
        <v>17.666666666666668</v>
      </c>
      <c r="M12" s="13">
        <f>AVERAGE(M9:M11)</f>
        <v>1430.2335636146472</v>
      </c>
      <c r="N12" s="12">
        <f t="shared" si="3"/>
        <v>80.956616808376253</v>
      </c>
      <c r="O12" s="14">
        <f t="shared" si="4"/>
        <v>0</v>
      </c>
      <c r="P12" s="15">
        <f t="shared" si="5"/>
        <v>-3.9490435689822334</v>
      </c>
      <c r="Q12" s="91">
        <f t="shared" si="6"/>
        <v>0.95348904240976484</v>
      </c>
      <c r="R12" s="177"/>
      <c r="S12" s="21"/>
      <c r="T12" s="21"/>
      <c r="U12" s="12"/>
      <c r="V12" s="30"/>
      <c r="W12" s="12"/>
      <c r="X12" s="12"/>
      <c r="Y12" s="24">
        <f>SUM(Y9:Y11)</f>
        <v>0</v>
      </c>
      <c r="Z12" s="24">
        <f>SUM(Z9:Z11)</f>
        <v>0</v>
      </c>
      <c r="AA12" s="167"/>
      <c r="AB12" s="167"/>
      <c r="AC12" s="24">
        <f>SUM(AC9:AC11)</f>
        <v>3</v>
      </c>
      <c r="AD12" s="24">
        <f>SUM(AD9:AD11)</f>
        <v>0</v>
      </c>
      <c r="AE12" s="14">
        <f t="shared" si="8"/>
        <v>-69.76643638535279</v>
      </c>
      <c r="AF12" s="91">
        <f t="shared" si="9"/>
        <v>0.95348904240976484</v>
      </c>
      <c r="AG12" s="177"/>
    </row>
    <row r="13" spans="1:33" ht="16.5" customHeight="1">
      <c r="A13" s="197" t="s">
        <v>852</v>
      </c>
      <c r="B13" s="88" t="s">
        <v>12</v>
      </c>
      <c r="C13" s="193" t="s">
        <v>13</v>
      </c>
      <c r="D13" s="193"/>
      <c r="E13" s="28">
        <v>41</v>
      </c>
      <c r="F13" s="88">
        <v>2162</v>
      </c>
      <c r="G13" s="88">
        <f t="shared" ref="G13:G17" si="15">E13*F13</f>
        <v>88642</v>
      </c>
      <c r="H13" s="30" t="s">
        <v>53</v>
      </c>
      <c r="I13" s="95">
        <v>26</v>
      </c>
      <c r="J13" s="13">
        <v>1500</v>
      </c>
      <c r="K13" s="12">
        <f t="shared" si="1"/>
        <v>57.692307692307693</v>
      </c>
      <c r="L13" s="95">
        <v>26</v>
      </c>
      <c r="M13" s="13">
        <f t="shared" ref="M13:M17" si="16">F13/V13*60</f>
        <v>1441.3333333333326</v>
      </c>
      <c r="N13" s="12">
        <f t="shared" si="3"/>
        <v>55.435897435897409</v>
      </c>
      <c r="O13" s="14">
        <f t="shared" si="4"/>
        <v>0</v>
      </c>
      <c r="P13" s="15">
        <f t="shared" si="5"/>
        <v>-2.2564102564102839</v>
      </c>
      <c r="Q13" s="91">
        <f t="shared" si="6"/>
        <v>0.96088888888888846</v>
      </c>
      <c r="R13" s="177">
        <f>Q18</f>
        <v>0.96634637447102756</v>
      </c>
      <c r="S13" s="21">
        <v>0.20833333333333334</v>
      </c>
      <c r="T13" s="21">
        <v>0.27083333333333337</v>
      </c>
      <c r="U13" s="88"/>
      <c r="V13" s="30">
        <f t="shared" ref="V13:V17" si="17">(T13-S13)*24*60</f>
        <v>90.000000000000043</v>
      </c>
      <c r="W13" s="21"/>
      <c r="X13" s="21"/>
      <c r="Y13" s="21"/>
      <c r="Z13" s="21"/>
      <c r="AA13" s="168"/>
      <c r="AB13" s="168"/>
      <c r="AC13" s="18">
        <v>5</v>
      </c>
      <c r="AD13" s="18"/>
      <c r="AE13" s="14">
        <f t="shared" si="8"/>
        <v>-58.666666666667425</v>
      </c>
      <c r="AF13" s="91">
        <f t="shared" si="9"/>
        <v>0.96088888888888835</v>
      </c>
      <c r="AG13" s="177">
        <f>AF18</f>
        <v>0.96634637447102756</v>
      </c>
    </row>
    <row r="14" spans="1:33" ht="16.5" customHeight="1">
      <c r="A14" s="198" t="s">
        <v>852</v>
      </c>
      <c r="B14" s="88" t="s">
        <v>5</v>
      </c>
      <c r="C14" s="193" t="s">
        <v>14</v>
      </c>
      <c r="D14" s="193"/>
      <c r="E14" s="28">
        <v>50.98</v>
      </c>
      <c r="F14" s="88">
        <v>1200</v>
      </c>
      <c r="G14" s="88">
        <f t="shared" si="15"/>
        <v>61175.999999999993</v>
      </c>
      <c r="H14" s="30">
        <v>2</v>
      </c>
      <c r="I14" s="95">
        <v>16</v>
      </c>
      <c r="J14" s="13">
        <v>2000</v>
      </c>
      <c r="K14" s="12">
        <f t="shared" si="1"/>
        <v>125</v>
      </c>
      <c r="L14" s="95">
        <v>16</v>
      </c>
      <c r="M14" s="13">
        <f t="shared" si="16"/>
        <v>1945.9459459459445</v>
      </c>
      <c r="N14" s="12">
        <f t="shared" si="3"/>
        <v>121.62162162162153</v>
      </c>
      <c r="O14" s="14">
        <f t="shared" si="4"/>
        <v>0</v>
      </c>
      <c r="P14" s="15">
        <f t="shared" si="5"/>
        <v>-3.3783783783784713</v>
      </c>
      <c r="Q14" s="91">
        <f t="shared" si="6"/>
        <v>0.97297297297297225</v>
      </c>
      <c r="R14" s="177"/>
      <c r="S14" s="21">
        <v>0.70833333333333337</v>
      </c>
      <c r="T14" s="21">
        <v>0.73402777777777783</v>
      </c>
      <c r="U14" s="88" t="str">
        <f t="shared" ref="U14:U17" si="18">IF(S14=TIME(17,0,0),"",(S14-T13)*24*60)</f>
        <v/>
      </c>
      <c r="V14" s="30">
        <f t="shared" si="17"/>
        <v>37.000000000000028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8"/>
        <v>-54.054054054055541</v>
      </c>
      <c r="AF14" s="91">
        <f t="shared" si="9"/>
        <v>0.97297297297297225</v>
      </c>
      <c r="AG14" s="177"/>
    </row>
    <row r="15" spans="1:33" ht="16.5" customHeight="1">
      <c r="A15" s="198" t="s">
        <v>852</v>
      </c>
      <c r="B15" s="88" t="s">
        <v>5</v>
      </c>
      <c r="C15" s="193" t="s">
        <v>15</v>
      </c>
      <c r="D15" s="193"/>
      <c r="E15" s="28">
        <v>50.92</v>
      </c>
      <c r="F15" s="88">
        <v>2416</v>
      </c>
      <c r="G15" s="88">
        <f t="shared" si="15"/>
        <v>123022.72</v>
      </c>
      <c r="H15" s="30" t="s">
        <v>53</v>
      </c>
      <c r="I15" s="95">
        <v>15</v>
      </c>
      <c r="J15" s="13">
        <v>2000</v>
      </c>
      <c r="K15" s="12">
        <f t="shared" si="1"/>
        <v>133.33333333333334</v>
      </c>
      <c r="L15" s="95">
        <v>15</v>
      </c>
      <c r="M15" s="13">
        <f t="shared" si="16"/>
        <v>1907.3684210526301</v>
      </c>
      <c r="N15" s="12">
        <f t="shared" si="3"/>
        <v>127.15789473684201</v>
      </c>
      <c r="O15" s="14">
        <f t="shared" si="4"/>
        <v>0</v>
      </c>
      <c r="P15" s="15">
        <f t="shared" si="5"/>
        <v>-6.1754385964913325</v>
      </c>
      <c r="Q15" s="91">
        <f t="shared" si="6"/>
        <v>0.95368421052631502</v>
      </c>
      <c r="R15" s="177"/>
      <c r="S15" s="21">
        <v>0.73888888888888893</v>
      </c>
      <c r="T15" s="21">
        <v>0.79166666666666674</v>
      </c>
      <c r="U15" s="88">
        <f t="shared" si="18"/>
        <v>6.9999999999999751</v>
      </c>
      <c r="V15" s="30">
        <f t="shared" si="17"/>
        <v>76.000000000000057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-92.631578947369917</v>
      </c>
      <c r="AF15" s="91">
        <f t="shared" si="9"/>
        <v>0.95368421052631502</v>
      </c>
      <c r="AG15" s="177"/>
    </row>
    <row r="16" spans="1:33" ht="16.5" customHeight="1">
      <c r="A16" s="198" t="s">
        <v>852</v>
      </c>
      <c r="B16" s="88" t="s">
        <v>5</v>
      </c>
      <c r="C16" s="193" t="s">
        <v>43</v>
      </c>
      <c r="D16" s="193"/>
      <c r="E16" s="28">
        <v>54.29</v>
      </c>
      <c r="F16" s="88">
        <v>1137</v>
      </c>
      <c r="G16" s="88">
        <f t="shared" si="15"/>
        <v>61727.729999999996</v>
      </c>
      <c r="H16" s="30" t="s">
        <v>53</v>
      </c>
      <c r="I16" s="95">
        <v>20</v>
      </c>
      <c r="J16" s="13">
        <v>2000</v>
      </c>
      <c r="K16" s="12">
        <f t="shared" si="1"/>
        <v>100</v>
      </c>
      <c r="L16" s="95">
        <v>20</v>
      </c>
      <c r="M16" s="13">
        <f t="shared" si="16"/>
        <v>1949.1428571428551</v>
      </c>
      <c r="N16" s="12">
        <f t="shared" si="3"/>
        <v>97.457142857142756</v>
      </c>
      <c r="O16" s="14">
        <f t="shared" si="4"/>
        <v>0</v>
      </c>
      <c r="P16" s="15">
        <f t="shared" si="5"/>
        <v>-2.542857142857244</v>
      </c>
      <c r="Q16" s="91">
        <f t="shared" si="6"/>
        <v>0.97457142857142753</v>
      </c>
      <c r="R16" s="177"/>
      <c r="S16" s="21">
        <v>0.79722222222222228</v>
      </c>
      <c r="T16" s="21">
        <v>0.82152777777777786</v>
      </c>
      <c r="U16" s="88">
        <f t="shared" si="18"/>
        <v>7.9999999999999716</v>
      </c>
      <c r="V16" s="30">
        <f t="shared" si="17"/>
        <v>35.000000000000036</v>
      </c>
      <c r="W16" s="16">
        <f>T16</f>
        <v>0.82152777777777786</v>
      </c>
      <c r="X16" s="16">
        <f>S17</f>
        <v>0.86041666666666672</v>
      </c>
      <c r="Y16" s="16"/>
      <c r="Z16" s="16"/>
      <c r="AA16" s="168"/>
      <c r="AB16" s="168"/>
      <c r="AC16" s="18"/>
      <c r="AD16" s="18"/>
      <c r="AE16" s="14">
        <f t="shared" si="8"/>
        <v>-50.857142857144936</v>
      </c>
      <c r="AF16" s="91">
        <f t="shared" si="9"/>
        <v>0.97457142857142753</v>
      </c>
      <c r="AG16" s="177"/>
    </row>
    <row r="17" spans="1:33" ht="16.5" customHeight="1">
      <c r="A17" s="198" t="s">
        <v>852</v>
      </c>
      <c r="B17" s="88" t="s">
        <v>5</v>
      </c>
      <c r="C17" s="193" t="s">
        <v>14</v>
      </c>
      <c r="D17" s="193"/>
      <c r="E17" s="28">
        <v>50.98</v>
      </c>
      <c r="F17" s="88">
        <v>1291</v>
      </c>
      <c r="G17" s="88">
        <f t="shared" si="15"/>
        <v>65815.179999999993</v>
      </c>
      <c r="H17" s="30" t="s">
        <v>53</v>
      </c>
      <c r="I17" s="95">
        <v>16</v>
      </c>
      <c r="J17" s="13">
        <v>2000</v>
      </c>
      <c r="K17" s="12">
        <f t="shared" si="1"/>
        <v>125</v>
      </c>
      <c r="L17" s="95">
        <v>16</v>
      </c>
      <c r="M17" s="13">
        <f t="shared" si="16"/>
        <v>1936.4999999999995</v>
      </c>
      <c r="N17" s="12">
        <f t="shared" si="3"/>
        <v>121.03124999999997</v>
      </c>
      <c r="O17" s="14">
        <f t="shared" si="4"/>
        <v>0</v>
      </c>
      <c r="P17" s="15">
        <f t="shared" si="5"/>
        <v>-3.9687500000000284</v>
      </c>
      <c r="Q17" s="91">
        <f t="shared" si="6"/>
        <v>0.96824999999999972</v>
      </c>
      <c r="R17" s="177"/>
      <c r="S17" s="21">
        <v>0.86041666666666672</v>
      </c>
      <c r="T17" s="21">
        <v>0.88819444444444451</v>
      </c>
      <c r="U17" s="88">
        <f t="shared" si="18"/>
        <v>55.999999999999957</v>
      </c>
      <c r="V17" s="30">
        <f t="shared" si="17"/>
        <v>40.000000000000014</v>
      </c>
      <c r="W17" s="16"/>
      <c r="X17" s="16"/>
      <c r="Y17" s="16"/>
      <c r="Z17" s="16"/>
      <c r="AA17" s="168"/>
      <c r="AB17" s="168"/>
      <c r="AC17" s="18"/>
      <c r="AD17" s="18"/>
      <c r="AE17" s="14">
        <f t="shared" si="8"/>
        <v>-63.500000000000455</v>
      </c>
      <c r="AF17" s="91">
        <f t="shared" si="9"/>
        <v>0.96824999999999972</v>
      </c>
      <c r="AG17" s="177"/>
    </row>
    <row r="18" spans="1:33" ht="16.5" customHeight="1">
      <c r="A18" s="198" t="s">
        <v>852</v>
      </c>
      <c r="B18" s="28" t="s">
        <v>851</v>
      </c>
      <c r="C18" s="178"/>
      <c r="D18" s="178"/>
      <c r="E18" s="92"/>
      <c r="F18" s="12"/>
      <c r="G18" s="12"/>
      <c r="H18" s="88"/>
      <c r="I18" s="23">
        <v>18.600000000000001</v>
      </c>
      <c r="J18" s="13">
        <v>1900</v>
      </c>
      <c r="K18" s="12">
        <f t="shared" si="1"/>
        <v>102.15053763440859</v>
      </c>
      <c r="L18" s="23">
        <v>18.600000000000001</v>
      </c>
      <c r="M18" s="13">
        <f>AVERAGE(M13:M17)</f>
        <v>1836.0581114949523</v>
      </c>
      <c r="N18" s="12">
        <f t="shared" si="3"/>
        <v>98.712801693277001</v>
      </c>
      <c r="O18" s="14">
        <f t="shared" si="4"/>
        <v>0</v>
      </c>
      <c r="P18" s="15">
        <f t="shared" si="5"/>
        <v>-3.4377359411315922</v>
      </c>
      <c r="Q18" s="91">
        <f t="shared" si="6"/>
        <v>0.96634637447102756</v>
      </c>
      <c r="R18" s="177"/>
      <c r="S18" s="21"/>
      <c r="T18" s="21"/>
      <c r="U18" s="88"/>
      <c r="V18" s="30"/>
      <c r="W18" s="12"/>
      <c r="X18" s="12"/>
      <c r="Y18" s="24">
        <f>SUM(Y13:Y17)</f>
        <v>0</v>
      </c>
      <c r="Z18" s="24">
        <f>SUM(Z13:Z17)</f>
        <v>0</v>
      </c>
      <c r="AA18" s="167"/>
      <c r="AB18" s="167"/>
      <c r="AC18" s="24">
        <f>SUM(AC13:AC17)</f>
        <v>5</v>
      </c>
      <c r="AD18" s="24">
        <f>SUM(AD13:AD17)</f>
        <v>0</v>
      </c>
      <c r="AE18" s="14">
        <f t="shared" si="8"/>
        <v>-63.9418885050477</v>
      </c>
      <c r="AF18" s="91">
        <f t="shared" si="9"/>
        <v>0.96634637447102756</v>
      </c>
      <c r="AG18" s="177"/>
    </row>
    <row r="19" spans="1:33" ht="15.75" customHeight="1">
      <c r="A19" s="195" t="s">
        <v>853</v>
      </c>
      <c r="B19" s="28" t="s">
        <v>5</v>
      </c>
      <c r="C19" s="193" t="s">
        <v>17</v>
      </c>
      <c r="D19" s="193"/>
      <c r="E19" s="28">
        <v>57.73</v>
      </c>
      <c r="F19" s="88">
        <v>2431</v>
      </c>
      <c r="G19" s="88">
        <f t="shared" ref="G19:G25" si="19">E19*F19</f>
        <v>140341.63</v>
      </c>
      <c r="H19" s="30" t="s">
        <v>53</v>
      </c>
      <c r="I19" s="95">
        <v>14</v>
      </c>
      <c r="J19" s="13">
        <v>2000</v>
      </c>
      <c r="K19" s="12">
        <f t="shared" si="1"/>
        <v>142.85714285714286</v>
      </c>
      <c r="L19" s="95">
        <v>14</v>
      </c>
      <c r="M19" s="13">
        <f t="shared" ref="M19:M25" si="20">F19/V19*60</f>
        <v>1919.2105263157891</v>
      </c>
      <c r="N19" s="12">
        <f t="shared" si="3"/>
        <v>137.0864661654135</v>
      </c>
      <c r="O19" s="14">
        <f t="shared" si="4"/>
        <v>0</v>
      </c>
      <c r="P19" s="15">
        <f t="shared" si="5"/>
        <v>-5.7706766917293635</v>
      </c>
      <c r="Q19" s="91">
        <f t="shared" si="6"/>
        <v>0.95960526315789441</v>
      </c>
      <c r="R19" s="177">
        <f>Q26</f>
        <v>0.96084510028681647</v>
      </c>
      <c r="S19" s="21">
        <v>0.20833333333333334</v>
      </c>
      <c r="T19" s="21">
        <v>0.26111111111111113</v>
      </c>
      <c r="U19" s="88"/>
      <c r="V19" s="30">
        <f t="shared" ref="V19:V25" si="21">(T19-S19)*24*60</f>
        <v>76.000000000000014</v>
      </c>
      <c r="W19" s="21"/>
      <c r="X19" s="21"/>
      <c r="Y19" s="21"/>
      <c r="Z19" s="21"/>
      <c r="AA19" s="168"/>
      <c r="AB19" s="168"/>
      <c r="AC19" s="18">
        <v>7</v>
      </c>
      <c r="AD19" s="18"/>
      <c r="AE19" s="14">
        <f t="shared" si="8"/>
        <v>-80.789473684210861</v>
      </c>
      <c r="AF19" s="91">
        <f t="shared" si="9"/>
        <v>0.95960526315789452</v>
      </c>
      <c r="AG19" s="177">
        <f>AF26</f>
        <v>0.96084510028681658</v>
      </c>
    </row>
    <row r="20" spans="1:33" ht="15.75" customHeight="1">
      <c r="A20" s="196" t="s">
        <v>853</v>
      </c>
      <c r="B20" s="28" t="s">
        <v>5</v>
      </c>
      <c r="C20" s="193" t="s">
        <v>18</v>
      </c>
      <c r="D20" s="193"/>
      <c r="E20" s="28">
        <v>53.68</v>
      </c>
      <c r="F20" s="88">
        <v>1381</v>
      </c>
      <c r="G20" s="88">
        <f t="shared" si="19"/>
        <v>74132.08</v>
      </c>
      <c r="H20" s="30" t="s">
        <v>53</v>
      </c>
      <c r="I20" s="95">
        <v>16</v>
      </c>
      <c r="J20" s="13">
        <v>2000</v>
      </c>
      <c r="K20" s="12">
        <f t="shared" si="1"/>
        <v>125</v>
      </c>
      <c r="L20" s="95">
        <v>16</v>
      </c>
      <c r="M20" s="13">
        <f t="shared" si="20"/>
        <v>1926.9767441860463</v>
      </c>
      <c r="N20" s="12">
        <f t="shared" si="3"/>
        <v>120.43604651162789</v>
      </c>
      <c r="O20" s="14">
        <f t="shared" si="4"/>
        <v>0</v>
      </c>
      <c r="P20" s="15">
        <f t="shared" si="5"/>
        <v>-4.5639534883721069</v>
      </c>
      <c r="Q20" s="91">
        <f t="shared" si="6"/>
        <v>0.96348837209302318</v>
      </c>
      <c r="R20" s="177"/>
      <c r="S20" s="21">
        <v>0.26666666666666666</v>
      </c>
      <c r="T20" s="21">
        <v>0.29652777777777778</v>
      </c>
      <c r="U20" s="88">
        <f t="shared" ref="U20:U25" si="22">IF(S20=TIME(17,0,0),"",(S20-T19)*24*60)</f>
        <v>7.9999999999999716</v>
      </c>
      <c r="V20" s="30">
        <f t="shared" si="21"/>
        <v>43.000000000000007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-73.02325581395371</v>
      </c>
      <c r="AF20" s="91">
        <f t="shared" si="9"/>
        <v>0.96348837209302318</v>
      </c>
      <c r="AG20" s="177"/>
    </row>
    <row r="21" spans="1:33" ht="15.75" customHeight="1">
      <c r="A21" s="196" t="s">
        <v>853</v>
      </c>
      <c r="B21" s="28" t="s">
        <v>5</v>
      </c>
      <c r="C21" s="193" t="s">
        <v>73</v>
      </c>
      <c r="D21" s="193"/>
      <c r="E21" s="28">
        <v>50.67</v>
      </c>
      <c r="F21" s="88">
        <v>3017</v>
      </c>
      <c r="G21" s="88">
        <f t="shared" si="19"/>
        <v>152871.39000000001</v>
      </c>
      <c r="H21" s="30" t="s">
        <v>53</v>
      </c>
      <c r="I21" s="95">
        <v>16</v>
      </c>
      <c r="J21" s="13">
        <v>2000</v>
      </c>
      <c r="K21" s="12">
        <f t="shared" si="1"/>
        <v>125</v>
      </c>
      <c r="L21" s="95">
        <v>16</v>
      </c>
      <c r="M21" s="13">
        <f t="shared" si="20"/>
        <v>1905.4736842105267</v>
      </c>
      <c r="N21" s="12">
        <f t="shared" si="3"/>
        <v>119.09210526315792</v>
      </c>
      <c r="O21" s="14">
        <f t="shared" si="4"/>
        <v>0</v>
      </c>
      <c r="P21" s="15">
        <f t="shared" si="5"/>
        <v>-5.9078947368420813</v>
      </c>
      <c r="Q21" s="91">
        <f t="shared" si="6"/>
        <v>0.95273684210526333</v>
      </c>
      <c r="R21" s="177"/>
      <c r="S21" s="21">
        <v>0.30069444444444443</v>
      </c>
      <c r="T21" s="21">
        <v>0.36666666666666664</v>
      </c>
      <c r="U21" s="88">
        <f t="shared" si="22"/>
        <v>5.9999999999999787</v>
      </c>
      <c r="V21" s="30">
        <f t="shared" si="21"/>
        <v>94.999999999999986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8"/>
        <v>-94.526315789473301</v>
      </c>
      <c r="AF21" s="91">
        <f t="shared" si="9"/>
        <v>0.95273684210526333</v>
      </c>
      <c r="AG21" s="177"/>
    </row>
    <row r="22" spans="1:33" ht="15.75" customHeight="1">
      <c r="A22" s="196" t="s">
        <v>853</v>
      </c>
      <c r="B22" s="28" t="s">
        <v>5</v>
      </c>
      <c r="C22" s="193" t="s">
        <v>21</v>
      </c>
      <c r="D22" s="193"/>
      <c r="E22" s="28">
        <v>57.3</v>
      </c>
      <c r="F22" s="88">
        <v>1902</v>
      </c>
      <c r="G22" s="88">
        <f t="shared" si="19"/>
        <v>108984.59999999999</v>
      </c>
      <c r="H22" s="30" t="s">
        <v>53</v>
      </c>
      <c r="I22" s="95">
        <v>13</v>
      </c>
      <c r="J22" s="13">
        <v>2000</v>
      </c>
      <c r="K22" s="12">
        <f t="shared" si="1"/>
        <v>153.84615384615384</v>
      </c>
      <c r="L22" s="95">
        <v>13</v>
      </c>
      <c r="M22" s="13">
        <f t="shared" si="20"/>
        <v>1902.0000000000018</v>
      </c>
      <c r="N22" s="12">
        <f t="shared" si="3"/>
        <v>146.30769230769243</v>
      </c>
      <c r="O22" s="14">
        <f t="shared" si="4"/>
        <v>0</v>
      </c>
      <c r="P22" s="15">
        <f t="shared" si="5"/>
        <v>-7.5384615384614051</v>
      </c>
      <c r="Q22" s="91">
        <f t="shared" si="6"/>
        <v>0.95100000000000084</v>
      </c>
      <c r="R22" s="177"/>
      <c r="S22" s="21">
        <v>0.70833333333333337</v>
      </c>
      <c r="T22" s="21">
        <v>0.75</v>
      </c>
      <c r="U22" s="88" t="str">
        <f t="shared" si="22"/>
        <v/>
      </c>
      <c r="V22" s="30">
        <f t="shared" si="21"/>
        <v>59.999999999999943</v>
      </c>
      <c r="W22" s="16"/>
      <c r="X22" s="88"/>
      <c r="Y22" s="88"/>
      <c r="Z22" s="88"/>
      <c r="AA22" s="168"/>
      <c r="AB22" s="168"/>
      <c r="AC22" s="18"/>
      <c r="AD22" s="18"/>
      <c r="AE22" s="14">
        <f t="shared" si="8"/>
        <v>-97.999999999998181</v>
      </c>
      <c r="AF22" s="91">
        <f t="shared" si="9"/>
        <v>0.95100000000000096</v>
      </c>
      <c r="AG22" s="177"/>
    </row>
    <row r="23" spans="1:33" ht="15.75" customHeight="1">
      <c r="A23" s="196" t="s">
        <v>853</v>
      </c>
      <c r="B23" s="28" t="s">
        <v>5</v>
      </c>
      <c r="C23" s="193" t="s">
        <v>20</v>
      </c>
      <c r="D23" s="193"/>
      <c r="E23" s="28">
        <v>53.68</v>
      </c>
      <c r="F23" s="88">
        <v>1506</v>
      </c>
      <c r="G23" s="88">
        <f t="shared" si="19"/>
        <v>80842.080000000002</v>
      </c>
      <c r="H23" s="30" t="s">
        <v>53</v>
      </c>
      <c r="I23" s="95">
        <v>16</v>
      </c>
      <c r="J23" s="13">
        <v>1500</v>
      </c>
      <c r="K23" s="12">
        <f t="shared" si="1"/>
        <v>93.75</v>
      </c>
      <c r="L23" s="95">
        <v>16</v>
      </c>
      <c r="M23" s="13">
        <f t="shared" si="20"/>
        <v>1434.2857142857158</v>
      </c>
      <c r="N23" s="12">
        <f t="shared" si="3"/>
        <v>89.642857142857238</v>
      </c>
      <c r="O23" s="14">
        <f t="shared" si="4"/>
        <v>0</v>
      </c>
      <c r="P23" s="15">
        <f t="shared" si="5"/>
        <v>-4.1071428571427617</v>
      </c>
      <c r="Q23" s="91">
        <f t="shared" si="6"/>
        <v>0.95619047619047726</v>
      </c>
      <c r="R23" s="177"/>
      <c r="S23" s="21">
        <v>0.75347222222222221</v>
      </c>
      <c r="T23" s="21">
        <v>0.79722222222222217</v>
      </c>
      <c r="U23" s="88">
        <f t="shared" si="22"/>
        <v>4.9999999999999822</v>
      </c>
      <c r="V23" s="30">
        <f t="shared" si="21"/>
        <v>62.999999999999936</v>
      </c>
      <c r="W23" s="16"/>
      <c r="X23" s="16"/>
      <c r="Y23" s="88"/>
      <c r="Z23" s="88"/>
      <c r="AA23" s="168"/>
      <c r="AB23" s="168"/>
      <c r="AC23" s="18"/>
      <c r="AD23" s="18"/>
      <c r="AE23" s="14">
        <f t="shared" si="8"/>
        <v>-65.714285714284188</v>
      </c>
      <c r="AF23" s="91">
        <f t="shared" si="9"/>
        <v>0.95619047619047726</v>
      </c>
      <c r="AG23" s="177"/>
    </row>
    <row r="24" spans="1:33" ht="15.75" customHeight="1">
      <c r="A24" s="196" t="s">
        <v>853</v>
      </c>
      <c r="B24" s="28" t="s">
        <v>5</v>
      </c>
      <c r="C24" s="193" t="s">
        <v>19</v>
      </c>
      <c r="D24" s="193"/>
      <c r="E24" s="28">
        <v>50.49</v>
      </c>
      <c r="F24" s="88">
        <v>1100</v>
      </c>
      <c r="G24" s="88">
        <f t="shared" si="19"/>
        <v>55539</v>
      </c>
      <c r="H24" s="30">
        <v>2</v>
      </c>
      <c r="I24" s="95">
        <v>15</v>
      </c>
      <c r="J24" s="13">
        <v>2000</v>
      </c>
      <c r="K24" s="12">
        <f t="shared" si="1"/>
        <v>133.33333333333334</v>
      </c>
      <c r="L24" s="95">
        <v>15</v>
      </c>
      <c r="M24" s="13">
        <f t="shared" si="20"/>
        <v>1941.1764705882326</v>
      </c>
      <c r="N24" s="12">
        <f t="shared" si="3"/>
        <v>129.41176470588218</v>
      </c>
      <c r="O24" s="14">
        <f t="shared" si="4"/>
        <v>0</v>
      </c>
      <c r="P24" s="15">
        <f t="shared" si="5"/>
        <v>-3.9215686274511654</v>
      </c>
      <c r="Q24" s="91">
        <f t="shared" si="6"/>
        <v>0.97058823529411631</v>
      </c>
      <c r="R24" s="177"/>
      <c r="S24" s="21">
        <v>0.80208333333333326</v>
      </c>
      <c r="T24" s="21">
        <v>0.8256944444444444</v>
      </c>
      <c r="U24" s="88">
        <f t="shared" si="22"/>
        <v>6.9999999999999751</v>
      </c>
      <c r="V24" s="30">
        <f t="shared" si="21"/>
        <v>34.000000000000043</v>
      </c>
      <c r="W24" s="16">
        <f>T24</f>
        <v>0.8256944444444444</v>
      </c>
      <c r="X24" s="16">
        <f>S25</f>
        <v>0.8652777777777777</v>
      </c>
      <c r="Y24" s="21"/>
      <c r="Z24" s="21"/>
      <c r="AA24" s="168"/>
      <c r="AB24" s="168"/>
      <c r="AC24" s="18"/>
      <c r="AD24" s="18"/>
      <c r="AE24" s="14">
        <f t="shared" si="8"/>
        <v>-58.823529411767367</v>
      </c>
      <c r="AF24" s="91">
        <f t="shared" si="9"/>
        <v>0.97058823529411631</v>
      </c>
      <c r="AG24" s="177"/>
    </row>
    <row r="25" spans="1:33" ht="15.75" customHeight="1">
      <c r="A25" s="196" t="s">
        <v>853</v>
      </c>
      <c r="B25" s="28" t="s">
        <v>5</v>
      </c>
      <c r="C25" s="218" t="s">
        <v>19</v>
      </c>
      <c r="D25" s="219"/>
      <c r="E25" s="28">
        <v>50.49</v>
      </c>
      <c r="F25" s="88">
        <v>1133</v>
      </c>
      <c r="G25" s="88">
        <f t="shared" si="19"/>
        <v>57205.170000000006</v>
      </c>
      <c r="H25" s="30" t="s">
        <v>53</v>
      </c>
      <c r="I25" s="95">
        <v>15</v>
      </c>
      <c r="J25" s="13">
        <v>2000</v>
      </c>
      <c r="K25" s="12">
        <f t="shared" si="1"/>
        <v>133.33333333333334</v>
      </c>
      <c r="L25" s="95">
        <v>15</v>
      </c>
      <c r="M25" s="13">
        <f t="shared" si="20"/>
        <v>1942.2857142857124</v>
      </c>
      <c r="N25" s="12">
        <f t="shared" si="3"/>
        <v>129.48571428571415</v>
      </c>
      <c r="O25" s="14">
        <f t="shared" si="4"/>
        <v>0</v>
      </c>
      <c r="P25" s="15">
        <f t="shared" si="5"/>
        <v>-3.8476190476191903</v>
      </c>
      <c r="Q25" s="91">
        <f t="shared" si="6"/>
        <v>0.97114285714285609</v>
      </c>
      <c r="R25" s="177"/>
      <c r="S25" s="21">
        <v>0.8652777777777777</v>
      </c>
      <c r="T25" s="21">
        <v>0.88958333333333328</v>
      </c>
      <c r="U25" s="88">
        <f t="shared" si="22"/>
        <v>56.999999999999957</v>
      </c>
      <c r="V25" s="30">
        <f t="shared" si="21"/>
        <v>35.000000000000036</v>
      </c>
      <c r="W25" s="16"/>
      <c r="X25" s="21"/>
      <c r="Y25" s="22"/>
      <c r="Z25" s="22"/>
      <c r="AA25" s="172"/>
      <c r="AB25" s="173"/>
      <c r="AC25" s="18"/>
      <c r="AD25" s="18"/>
      <c r="AE25" s="14">
        <f t="shared" si="8"/>
        <v>-57.714285714287598</v>
      </c>
      <c r="AF25" s="91">
        <f t="shared" si="9"/>
        <v>0.9711428571428562</v>
      </c>
      <c r="AG25" s="177"/>
    </row>
    <row r="26" spans="1:33" ht="15.75" customHeight="1">
      <c r="A26" s="196" t="s">
        <v>853</v>
      </c>
      <c r="B26" s="28" t="s">
        <v>851</v>
      </c>
      <c r="C26" s="178"/>
      <c r="D26" s="178"/>
      <c r="E26" s="92"/>
      <c r="F26" s="88"/>
      <c r="G26" s="88"/>
      <c r="H26" s="88"/>
      <c r="I26" s="23">
        <v>15</v>
      </c>
      <c r="J26" s="13">
        <v>1928.5714285714287</v>
      </c>
      <c r="K26" s="12">
        <f t="shared" si="1"/>
        <v>128.57142857142858</v>
      </c>
      <c r="L26" s="23">
        <v>15</v>
      </c>
      <c r="M26" s="13">
        <f>AVERAGE(M19:M25)</f>
        <v>1853.0584076960035</v>
      </c>
      <c r="N26" s="12">
        <f t="shared" si="3"/>
        <v>123.53722717973356</v>
      </c>
      <c r="O26" s="14">
        <f t="shared" si="4"/>
        <v>0</v>
      </c>
      <c r="P26" s="15">
        <f t="shared" si="5"/>
        <v>-5.0342013916950208</v>
      </c>
      <c r="Q26" s="91">
        <f t="shared" si="6"/>
        <v>0.96084510028681647</v>
      </c>
      <c r="R26" s="177"/>
      <c r="S26" s="21"/>
      <c r="T26" s="21"/>
      <c r="U26" s="12"/>
      <c r="V26" s="30"/>
      <c r="W26" s="12"/>
      <c r="X26" s="12"/>
      <c r="Y26" s="24">
        <f>SUM(Y19:Y25)</f>
        <v>0</v>
      </c>
      <c r="Z26" s="24">
        <f>SUM(Z19:Z25)</f>
        <v>0</v>
      </c>
      <c r="AA26" s="167"/>
      <c r="AB26" s="167"/>
      <c r="AC26" s="24">
        <f>SUM(AC19:AC25)</f>
        <v>7</v>
      </c>
      <c r="AD26" s="24">
        <f>SUM(AD19:AD25)</f>
        <v>0</v>
      </c>
      <c r="AE26" s="14">
        <f t="shared" si="8"/>
        <v>-75.513020875425127</v>
      </c>
      <c r="AF26" s="91">
        <f t="shared" si="9"/>
        <v>0.96084510028681658</v>
      </c>
      <c r="AG26" s="177"/>
    </row>
    <row r="27" spans="1:33" ht="15.75" customHeight="1">
      <c r="A27" s="194" t="s">
        <v>854</v>
      </c>
      <c r="B27" s="28" t="s">
        <v>22</v>
      </c>
      <c r="C27" s="193" t="s">
        <v>23</v>
      </c>
      <c r="D27" s="193"/>
      <c r="E27" s="28">
        <v>31.29</v>
      </c>
      <c r="F27" s="88">
        <v>5800</v>
      </c>
      <c r="G27" s="88">
        <f t="shared" ref="G27:G32" si="23">E27*F27</f>
        <v>181482</v>
      </c>
      <c r="H27" s="30">
        <v>2</v>
      </c>
      <c r="I27" s="95">
        <v>18</v>
      </c>
      <c r="J27" s="13">
        <v>2400</v>
      </c>
      <c r="K27" s="12">
        <f t="shared" si="1"/>
        <v>133.33333333333334</v>
      </c>
      <c r="L27" s="95">
        <v>18</v>
      </c>
      <c r="M27" s="13">
        <f t="shared" ref="M27:M32" si="24">F27/V27*60</f>
        <v>2289.4736842105262</v>
      </c>
      <c r="N27" s="12">
        <f t="shared" si="3"/>
        <v>127.19298245614034</v>
      </c>
      <c r="O27" s="14">
        <f t="shared" si="4"/>
        <v>0</v>
      </c>
      <c r="P27" s="15">
        <f t="shared" si="5"/>
        <v>-6.1403508771930007</v>
      </c>
      <c r="Q27" s="91">
        <f t="shared" si="6"/>
        <v>0.95394736842105254</v>
      </c>
      <c r="R27" s="177">
        <f>Q33</f>
        <v>0.95570738788471754</v>
      </c>
      <c r="S27" s="21">
        <v>8.3333333333333329E-2</v>
      </c>
      <c r="T27" s="21">
        <v>0.18888888888888888</v>
      </c>
      <c r="U27" s="88"/>
      <c r="V27" s="30">
        <f t="shared" ref="V27:V32" si="25">(T27-S27)*24*60</f>
        <v>152</v>
      </c>
      <c r="W27" s="16">
        <f>T27</f>
        <v>0.18888888888888888</v>
      </c>
      <c r="X27" s="16">
        <f>S28</f>
        <v>0.20902777777777778</v>
      </c>
      <c r="Y27" s="16"/>
      <c r="Z27" s="16"/>
      <c r="AA27" s="168"/>
      <c r="AB27" s="168"/>
      <c r="AC27" s="18">
        <v>6</v>
      </c>
      <c r="AD27" s="18"/>
      <c r="AE27" s="14">
        <f t="shared" si="8"/>
        <v>-110.52631578947376</v>
      </c>
      <c r="AF27" s="91">
        <f t="shared" si="9"/>
        <v>0.95394736842105265</v>
      </c>
      <c r="AG27" s="177">
        <f>AF33</f>
        <v>0.95570738788471754</v>
      </c>
    </row>
    <row r="28" spans="1:33" ht="15.75" customHeight="1">
      <c r="A28" s="194" t="s">
        <v>854</v>
      </c>
      <c r="B28" s="28" t="s">
        <v>22</v>
      </c>
      <c r="C28" s="193" t="s">
        <v>24</v>
      </c>
      <c r="D28" s="193"/>
      <c r="E28" s="28">
        <v>25.98</v>
      </c>
      <c r="F28" s="88">
        <v>3139</v>
      </c>
      <c r="G28" s="88">
        <f t="shared" si="23"/>
        <v>81551.22</v>
      </c>
      <c r="H28" s="30" t="s">
        <v>53</v>
      </c>
      <c r="I28" s="95">
        <v>21</v>
      </c>
      <c r="J28" s="13">
        <v>2400</v>
      </c>
      <c r="K28" s="12">
        <f t="shared" si="1"/>
        <v>114.28571428571429</v>
      </c>
      <c r="L28" s="95">
        <v>21</v>
      </c>
      <c r="M28" s="13">
        <f t="shared" si="24"/>
        <v>2296.8292682926835</v>
      </c>
      <c r="N28" s="12">
        <f t="shared" si="3"/>
        <v>109.3728222996516</v>
      </c>
      <c r="O28" s="14">
        <f t="shared" si="4"/>
        <v>0</v>
      </c>
      <c r="P28" s="15">
        <f t="shared" si="5"/>
        <v>-4.9128919860626894</v>
      </c>
      <c r="Q28" s="91">
        <f t="shared" si="6"/>
        <v>0.95701219512195146</v>
      </c>
      <c r="R28" s="177"/>
      <c r="S28" s="21">
        <v>0.20902777777777778</v>
      </c>
      <c r="T28" s="21">
        <v>0.26597222222222222</v>
      </c>
      <c r="U28" s="88">
        <f t="shared" ref="U28:U32" si="26">(S28-T27)*24*60</f>
        <v>29.000000000000018</v>
      </c>
      <c r="V28" s="30">
        <f t="shared" si="25"/>
        <v>81.999999999999986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-103.17073170731646</v>
      </c>
      <c r="AF28" s="91">
        <f t="shared" si="9"/>
        <v>0.95701219512195146</v>
      </c>
      <c r="AG28" s="177"/>
    </row>
    <row r="29" spans="1:33" ht="15.75" customHeight="1">
      <c r="A29" s="194" t="s">
        <v>854</v>
      </c>
      <c r="B29" s="28" t="s">
        <v>22</v>
      </c>
      <c r="C29" s="193" t="s">
        <v>25</v>
      </c>
      <c r="D29" s="193"/>
      <c r="E29" s="28">
        <v>26.2</v>
      </c>
      <c r="F29" s="88">
        <v>5308</v>
      </c>
      <c r="G29" s="88">
        <f t="shared" si="23"/>
        <v>139069.6</v>
      </c>
      <c r="H29" s="30" t="s">
        <v>53</v>
      </c>
      <c r="I29" s="95">
        <v>20</v>
      </c>
      <c r="J29" s="13">
        <v>2400</v>
      </c>
      <c r="K29" s="12">
        <f t="shared" si="1"/>
        <v>120</v>
      </c>
      <c r="L29" s="95">
        <v>20</v>
      </c>
      <c r="M29" s="13">
        <f t="shared" si="24"/>
        <v>2291.223021582734</v>
      </c>
      <c r="N29" s="12">
        <f t="shared" si="3"/>
        <v>114.56115107913669</v>
      </c>
      <c r="O29" s="14">
        <f t="shared" si="4"/>
        <v>0</v>
      </c>
      <c r="P29" s="15">
        <f t="shared" si="5"/>
        <v>-5.4388489208633075</v>
      </c>
      <c r="Q29" s="91">
        <f t="shared" si="6"/>
        <v>0.95467625899280573</v>
      </c>
      <c r="R29" s="177"/>
      <c r="S29" s="21">
        <v>0.27013888888888887</v>
      </c>
      <c r="T29" s="21">
        <v>0.36666666666666664</v>
      </c>
      <c r="U29" s="88">
        <f t="shared" si="26"/>
        <v>5.9999999999999787</v>
      </c>
      <c r="V29" s="30">
        <f t="shared" si="25"/>
        <v>139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8"/>
        <v>-108.77697841726604</v>
      </c>
      <c r="AF29" s="91">
        <f t="shared" si="9"/>
        <v>0.95467625899280584</v>
      </c>
      <c r="AG29" s="177"/>
    </row>
    <row r="30" spans="1:33" ht="15.75" customHeight="1">
      <c r="A30" s="194" t="s">
        <v>854</v>
      </c>
      <c r="B30" s="28" t="s">
        <v>22</v>
      </c>
      <c r="C30" s="193" t="s">
        <v>26</v>
      </c>
      <c r="D30" s="193"/>
      <c r="E30" s="28">
        <v>25.99</v>
      </c>
      <c r="F30" s="88">
        <v>4168</v>
      </c>
      <c r="G30" s="88">
        <f t="shared" si="23"/>
        <v>108326.31999999999</v>
      </c>
      <c r="H30" s="30" t="s">
        <v>53</v>
      </c>
      <c r="I30" s="95">
        <v>14</v>
      </c>
      <c r="J30" s="13">
        <v>2400</v>
      </c>
      <c r="K30" s="12">
        <f t="shared" si="1"/>
        <v>171.42857142857142</v>
      </c>
      <c r="L30" s="95">
        <v>14</v>
      </c>
      <c r="M30" s="13">
        <f t="shared" si="24"/>
        <v>2294.3119266055046</v>
      </c>
      <c r="N30" s="12">
        <f t="shared" si="3"/>
        <v>163.87942332896461</v>
      </c>
      <c r="O30" s="14">
        <f t="shared" si="4"/>
        <v>0</v>
      </c>
      <c r="P30" s="15">
        <f t="shared" si="5"/>
        <v>-7.5491480996068105</v>
      </c>
      <c r="Q30" s="91">
        <f t="shared" si="6"/>
        <v>0.95596330275229358</v>
      </c>
      <c r="R30" s="177"/>
      <c r="S30" s="21">
        <v>0.37083333333333329</v>
      </c>
      <c r="T30" s="21">
        <v>0.44652777777777775</v>
      </c>
      <c r="U30" s="88">
        <f t="shared" si="26"/>
        <v>5.9999999999999787</v>
      </c>
      <c r="V30" s="30">
        <f t="shared" si="25"/>
        <v>109.00000000000001</v>
      </c>
      <c r="W30" s="16"/>
      <c r="X30" s="16"/>
      <c r="Y30" s="16"/>
      <c r="Z30" s="16"/>
      <c r="AA30" s="168"/>
      <c r="AB30" s="168"/>
      <c r="AC30" s="18"/>
      <c r="AD30" s="18"/>
      <c r="AE30" s="14">
        <f t="shared" si="8"/>
        <v>-105.6880733944954</v>
      </c>
      <c r="AF30" s="91">
        <f t="shared" si="9"/>
        <v>0.95596330275229358</v>
      </c>
      <c r="AG30" s="177"/>
    </row>
    <row r="31" spans="1:33" ht="15.75" customHeight="1">
      <c r="A31" s="194" t="s">
        <v>854</v>
      </c>
      <c r="B31" s="28" t="s">
        <v>22</v>
      </c>
      <c r="C31" s="193" t="s">
        <v>27</v>
      </c>
      <c r="D31" s="193"/>
      <c r="E31" s="28">
        <v>26.18</v>
      </c>
      <c r="F31" s="88">
        <v>1721</v>
      </c>
      <c r="G31" s="88">
        <f t="shared" si="23"/>
        <v>45055.78</v>
      </c>
      <c r="H31" s="30" t="s">
        <v>53</v>
      </c>
      <c r="I31" s="95">
        <v>19</v>
      </c>
      <c r="J31" s="13">
        <v>2400</v>
      </c>
      <c r="K31" s="12">
        <f t="shared" si="1"/>
        <v>126.31578947368421</v>
      </c>
      <c r="L31" s="95">
        <v>19</v>
      </c>
      <c r="M31" s="13">
        <f t="shared" si="24"/>
        <v>2294.666666666667</v>
      </c>
      <c r="N31" s="12">
        <f t="shared" si="3"/>
        <v>120.77192982456143</v>
      </c>
      <c r="O31" s="14">
        <f t="shared" si="4"/>
        <v>0</v>
      </c>
      <c r="P31" s="15">
        <f t="shared" si="5"/>
        <v>-5.5438596491227798</v>
      </c>
      <c r="Q31" s="91">
        <f t="shared" si="6"/>
        <v>0.95611111111111136</v>
      </c>
      <c r="R31" s="177"/>
      <c r="S31" s="21">
        <v>0.44999999999999996</v>
      </c>
      <c r="T31" s="21">
        <v>0.48124999999999996</v>
      </c>
      <c r="U31" s="88">
        <f t="shared" si="26"/>
        <v>4.9999999999999822</v>
      </c>
      <c r="V31" s="30">
        <f t="shared" si="25"/>
        <v>45</v>
      </c>
      <c r="W31" s="16">
        <f>T31</f>
        <v>0.48124999999999996</v>
      </c>
      <c r="X31" s="16">
        <f>S32</f>
        <v>0.5215277777777777</v>
      </c>
      <c r="Y31" s="16"/>
      <c r="Z31" s="16"/>
      <c r="AA31" s="168"/>
      <c r="AB31" s="168"/>
      <c r="AC31" s="18"/>
      <c r="AD31" s="18"/>
      <c r="AE31" s="14">
        <f t="shared" si="8"/>
        <v>-105.33333333333303</v>
      </c>
      <c r="AF31" s="91">
        <f t="shared" si="9"/>
        <v>0.95611111111111124</v>
      </c>
      <c r="AG31" s="177"/>
    </row>
    <row r="32" spans="1:33" ht="15.75" customHeight="1">
      <c r="A32" s="194" t="s">
        <v>854</v>
      </c>
      <c r="B32" s="28" t="s">
        <v>22</v>
      </c>
      <c r="C32" s="193" t="s">
        <v>23</v>
      </c>
      <c r="D32" s="193"/>
      <c r="E32" s="28">
        <v>31.29</v>
      </c>
      <c r="F32" s="88">
        <v>3367</v>
      </c>
      <c r="G32" s="88">
        <f t="shared" si="23"/>
        <v>105353.43</v>
      </c>
      <c r="H32" s="30" t="s">
        <v>53</v>
      </c>
      <c r="I32" s="95">
        <v>18</v>
      </c>
      <c r="J32" s="13">
        <v>2400</v>
      </c>
      <c r="K32" s="12">
        <f t="shared" si="1"/>
        <v>133.33333333333334</v>
      </c>
      <c r="L32" s="95">
        <v>18</v>
      </c>
      <c r="M32" s="13">
        <f t="shared" si="24"/>
        <v>2295.681818181818</v>
      </c>
      <c r="N32" s="12">
        <f t="shared" si="3"/>
        <v>127.53787878787878</v>
      </c>
      <c r="O32" s="14">
        <f t="shared" si="4"/>
        <v>0</v>
      </c>
      <c r="P32" s="15">
        <f t="shared" si="5"/>
        <v>-5.795454545454561</v>
      </c>
      <c r="Q32" s="91">
        <f t="shared" si="6"/>
        <v>0.95653409090909081</v>
      </c>
      <c r="R32" s="177"/>
      <c r="S32" s="21">
        <v>0.5215277777777777</v>
      </c>
      <c r="T32" s="21">
        <v>0.58263888888888882</v>
      </c>
      <c r="U32" s="88">
        <f t="shared" si="26"/>
        <v>57.999999999999957</v>
      </c>
      <c r="V32" s="30">
        <f t="shared" si="25"/>
        <v>88</v>
      </c>
      <c r="W32" s="16"/>
      <c r="X32" s="16"/>
      <c r="Y32" s="16"/>
      <c r="Z32" s="16"/>
      <c r="AA32" s="168"/>
      <c r="AB32" s="168"/>
      <c r="AC32" s="18"/>
      <c r="AD32" s="18"/>
      <c r="AE32" s="14">
        <f t="shared" si="8"/>
        <v>-104.31818181818198</v>
      </c>
      <c r="AF32" s="91">
        <f t="shared" si="9"/>
        <v>0.95653409090909081</v>
      </c>
      <c r="AG32" s="177"/>
    </row>
    <row r="33" spans="1:33" ht="15.75" customHeight="1">
      <c r="A33" s="194" t="s">
        <v>854</v>
      </c>
      <c r="B33" s="28" t="s">
        <v>851</v>
      </c>
      <c r="C33" s="178"/>
      <c r="D33" s="178"/>
      <c r="E33" s="92"/>
      <c r="F33" s="88"/>
      <c r="G33" s="88"/>
      <c r="H33" s="88"/>
      <c r="I33" s="23">
        <v>18.333333333333332</v>
      </c>
      <c r="J33" s="13">
        <v>2400</v>
      </c>
      <c r="K33" s="12">
        <f t="shared" si="1"/>
        <v>130.90909090909091</v>
      </c>
      <c r="L33" s="23">
        <v>18.333333333333332</v>
      </c>
      <c r="M33" s="13">
        <f>AVERAGE(M27:M32)</f>
        <v>2293.6977309233221</v>
      </c>
      <c r="N33" s="12">
        <f t="shared" si="3"/>
        <v>125.1107853230903</v>
      </c>
      <c r="O33" s="14">
        <f t="shared" si="4"/>
        <v>0</v>
      </c>
      <c r="P33" s="15">
        <f t="shared" si="5"/>
        <v>-5.798305586000609</v>
      </c>
      <c r="Q33" s="91">
        <f t="shared" si="6"/>
        <v>0.95570738788471754</v>
      </c>
      <c r="R33" s="177"/>
      <c r="S33" s="21"/>
      <c r="T33" s="21"/>
      <c r="U33" s="88"/>
      <c r="V33" s="30"/>
      <c r="W33" s="88"/>
      <c r="X33" s="88"/>
      <c r="Y33" s="24">
        <f>SUM(Y27:Y32)</f>
        <v>0</v>
      </c>
      <c r="Z33" s="24">
        <f>SUM(Z27:Z32)</f>
        <v>0</v>
      </c>
      <c r="AA33" s="167"/>
      <c r="AB33" s="167"/>
      <c r="AC33" s="24">
        <f>SUM(AC27:AC32)</f>
        <v>6</v>
      </c>
      <c r="AD33" s="24">
        <f>SUM(AD27:AD32)</f>
        <v>0</v>
      </c>
      <c r="AE33" s="14">
        <f t="shared" si="8"/>
        <v>-106.30226907667793</v>
      </c>
      <c r="AF33" s="91">
        <f t="shared" si="9"/>
        <v>0.95570738788471754</v>
      </c>
      <c r="AG33" s="177"/>
    </row>
    <row r="34" spans="1:33" ht="15.75" customHeight="1">
      <c r="A34" s="191" t="s">
        <v>855</v>
      </c>
      <c r="B34" s="28" t="s">
        <v>22</v>
      </c>
      <c r="C34" s="169" t="s">
        <v>28</v>
      </c>
      <c r="D34" s="169"/>
      <c r="E34" s="28">
        <v>26.2</v>
      </c>
      <c r="F34" s="88">
        <v>4000</v>
      </c>
      <c r="G34" s="88">
        <f t="shared" ref="G34:G40" si="27">E34*F34</f>
        <v>104800</v>
      </c>
      <c r="H34" s="30">
        <v>2</v>
      </c>
      <c r="I34" s="95">
        <v>18</v>
      </c>
      <c r="J34" s="13">
        <v>2400</v>
      </c>
      <c r="K34" s="12">
        <f t="shared" si="1"/>
        <v>133.33333333333334</v>
      </c>
      <c r="L34" s="95">
        <v>18</v>
      </c>
      <c r="M34" s="13">
        <f t="shared" ref="M34:M40" si="28">F34/V34*60</f>
        <v>2285.7142857142858</v>
      </c>
      <c r="N34" s="12">
        <f t="shared" si="3"/>
        <v>126.98412698412699</v>
      </c>
      <c r="O34" s="14">
        <f t="shared" si="4"/>
        <v>0</v>
      </c>
      <c r="P34" s="15">
        <f t="shared" si="5"/>
        <v>-6.3492063492063551</v>
      </c>
      <c r="Q34" s="91">
        <f t="shared" si="6"/>
        <v>0.95238095238095233</v>
      </c>
      <c r="R34" s="177">
        <f>Q41</f>
        <v>0.95543268665013836</v>
      </c>
      <c r="S34" s="21">
        <v>8.3333333333333329E-2</v>
      </c>
      <c r="T34" s="21">
        <v>0.15625</v>
      </c>
      <c r="U34" s="88"/>
      <c r="V34" s="30">
        <f t="shared" ref="V34:V40" si="29">(T34-S34)*24*60</f>
        <v>105</v>
      </c>
      <c r="W34" s="21">
        <f>T34</f>
        <v>0.15625</v>
      </c>
      <c r="X34" s="21">
        <f>S35</f>
        <v>0.17500000000000002</v>
      </c>
      <c r="Y34" s="21"/>
      <c r="Z34" s="21"/>
      <c r="AA34" s="168"/>
      <c r="AB34" s="168"/>
      <c r="AC34" s="18">
        <v>7</v>
      </c>
      <c r="AD34" s="18"/>
      <c r="AE34" s="14">
        <f t="shared" si="8"/>
        <v>-114.28571428571422</v>
      </c>
      <c r="AF34" s="91">
        <f t="shared" si="9"/>
        <v>0.95238095238095244</v>
      </c>
      <c r="AG34" s="177">
        <f>AF41</f>
        <v>0.95543268665013836</v>
      </c>
    </row>
    <row r="35" spans="1:33" ht="15.75" customHeight="1">
      <c r="A35" s="191" t="s">
        <v>855</v>
      </c>
      <c r="B35" s="28" t="s">
        <v>22</v>
      </c>
      <c r="C35" s="169" t="s">
        <v>29</v>
      </c>
      <c r="D35" s="169"/>
      <c r="E35" s="28">
        <v>20.52</v>
      </c>
      <c r="F35" s="88">
        <v>3846</v>
      </c>
      <c r="G35" s="88">
        <f t="shared" si="27"/>
        <v>78919.92</v>
      </c>
      <c r="H35" s="30" t="s">
        <v>53</v>
      </c>
      <c r="I35" s="95">
        <v>18</v>
      </c>
      <c r="J35" s="13">
        <v>2400</v>
      </c>
      <c r="K35" s="12">
        <f t="shared" si="1"/>
        <v>133.33333333333334</v>
      </c>
      <c r="L35" s="95">
        <v>18</v>
      </c>
      <c r="M35" s="13">
        <f t="shared" si="28"/>
        <v>2284.7524752475247</v>
      </c>
      <c r="N35" s="12">
        <f t="shared" si="3"/>
        <v>126.93069306930693</v>
      </c>
      <c r="O35" s="14">
        <f t="shared" si="4"/>
        <v>0</v>
      </c>
      <c r="P35" s="15">
        <f t="shared" si="5"/>
        <v>-6.4026402640264166</v>
      </c>
      <c r="Q35" s="91">
        <f t="shared" si="6"/>
        <v>0.95198019801980183</v>
      </c>
      <c r="R35" s="177"/>
      <c r="S35" s="21">
        <v>0.17500000000000002</v>
      </c>
      <c r="T35" s="21">
        <v>0.24513888888888891</v>
      </c>
      <c r="U35" s="88">
        <f t="shared" ref="U35:U40" si="30">(S35-T34)*24*60</f>
        <v>27.000000000000025</v>
      </c>
      <c r="V35" s="30">
        <f t="shared" si="29"/>
        <v>101</v>
      </c>
      <c r="W35" s="88"/>
      <c r="X35" s="88"/>
      <c r="Y35" s="88"/>
      <c r="Z35" s="88"/>
      <c r="AA35" s="168"/>
      <c r="AB35" s="168"/>
      <c r="AC35" s="18"/>
      <c r="AD35" s="18"/>
      <c r="AE35" s="14">
        <f t="shared" si="8"/>
        <v>-115.24752475247533</v>
      </c>
      <c r="AF35" s="91">
        <f t="shared" si="9"/>
        <v>0.95198019801980194</v>
      </c>
      <c r="AG35" s="177"/>
    </row>
    <row r="36" spans="1:33">
      <c r="A36" s="192" t="s">
        <v>855</v>
      </c>
      <c r="B36" s="28" t="s">
        <v>22</v>
      </c>
      <c r="C36" s="169" t="s">
        <v>32</v>
      </c>
      <c r="D36" s="169"/>
      <c r="E36" s="28">
        <v>20.52</v>
      </c>
      <c r="F36" s="88">
        <v>2857</v>
      </c>
      <c r="G36" s="88">
        <f t="shared" si="27"/>
        <v>58625.64</v>
      </c>
      <c r="H36" s="30" t="s">
        <v>53</v>
      </c>
      <c r="I36" s="95">
        <v>18</v>
      </c>
      <c r="J36" s="13">
        <v>2400</v>
      </c>
      <c r="K36" s="12">
        <f t="shared" si="1"/>
        <v>133.33333333333334</v>
      </c>
      <c r="L36" s="95">
        <v>18</v>
      </c>
      <c r="M36" s="13">
        <f t="shared" si="28"/>
        <v>2285.6000000000008</v>
      </c>
      <c r="N36" s="12">
        <f t="shared" si="3"/>
        <v>126.97777777777782</v>
      </c>
      <c r="O36" s="14">
        <f t="shared" si="4"/>
        <v>0</v>
      </c>
      <c r="P36" s="15">
        <f t="shared" si="5"/>
        <v>-6.3555555555555259</v>
      </c>
      <c r="Q36" s="91">
        <f t="shared" si="6"/>
        <v>0.95233333333333359</v>
      </c>
      <c r="R36" s="177"/>
      <c r="S36" s="21">
        <v>0.24861111111111112</v>
      </c>
      <c r="T36" s="21">
        <v>0.30069444444444443</v>
      </c>
      <c r="U36" s="88">
        <f t="shared" si="30"/>
        <v>4.9999999999999822</v>
      </c>
      <c r="V36" s="30">
        <f t="shared" si="29"/>
        <v>74.999999999999972</v>
      </c>
      <c r="W36" s="88"/>
      <c r="X36" s="88"/>
      <c r="Y36" s="88"/>
      <c r="Z36" s="88"/>
      <c r="AA36" s="168"/>
      <c r="AB36" s="168"/>
      <c r="AC36" s="18"/>
      <c r="AD36" s="18"/>
      <c r="AE36" s="14">
        <f t="shared" si="8"/>
        <v>-114.39999999999918</v>
      </c>
      <c r="AF36" s="91">
        <f t="shared" si="9"/>
        <v>0.9523333333333337</v>
      </c>
      <c r="AG36" s="177"/>
    </row>
    <row r="37" spans="1:33">
      <c r="A37" s="192" t="s">
        <v>855</v>
      </c>
      <c r="B37" s="28" t="s">
        <v>22</v>
      </c>
      <c r="C37" s="169" t="s">
        <v>70</v>
      </c>
      <c r="D37" s="169"/>
      <c r="E37" s="28">
        <v>22.69</v>
      </c>
      <c r="F37" s="88">
        <v>5584</v>
      </c>
      <c r="G37" s="88">
        <f t="shared" si="27"/>
        <v>126700.96</v>
      </c>
      <c r="H37" s="30" t="s">
        <v>53</v>
      </c>
      <c r="I37" s="95">
        <v>15</v>
      </c>
      <c r="J37" s="13">
        <v>2400</v>
      </c>
      <c r="K37" s="12">
        <f t="shared" si="1"/>
        <v>160</v>
      </c>
      <c r="L37" s="95">
        <v>15</v>
      </c>
      <c r="M37" s="13">
        <f t="shared" si="28"/>
        <v>2294.7945205479455</v>
      </c>
      <c r="N37" s="12">
        <f t="shared" si="3"/>
        <v>152.98630136986304</v>
      </c>
      <c r="O37" s="14">
        <f t="shared" si="4"/>
        <v>0</v>
      </c>
      <c r="P37" s="15">
        <f t="shared" si="5"/>
        <v>-7.0136986301369575</v>
      </c>
      <c r="Q37" s="91">
        <f t="shared" si="6"/>
        <v>0.95616438356164402</v>
      </c>
      <c r="R37" s="177"/>
      <c r="S37" s="21">
        <v>0.30555555555555552</v>
      </c>
      <c r="T37" s="21">
        <v>0.40694444444444439</v>
      </c>
      <c r="U37" s="88">
        <f t="shared" si="30"/>
        <v>6.9999999999999751</v>
      </c>
      <c r="V37" s="30">
        <f t="shared" si="29"/>
        <v>145.99999999999997</v>
      </c>
      <c r="W37" s="16"/>
      <c r="X37" s="16"/>
      <c r="Y37" s="16"/>
      <c r="Z37" s="16"/>
      <c r="AA37" s="168"/>
      <c r="AB37" s="168"/>
      <c r="AC37" s="18"/>
      <c r="AD37" s="18"/>
      <c r="AE37" s="14">
        <f t="shared" si="8"/>
        <v>-105.20547945205453</v>
      </c>
      <c r="AF37" s="91">
        <f t="shared" si="9"/>
        <v>0.9561643835616439</v>
      </c>
      <c r="AG37" s="177"/>
    </row>
    <row r="38" spans="1:33">
      <c r="A38" s="192" t="s">
        <v>855</v>
      </c>
      <c r="B38" s="28" t="s">
        <v>22</v>
      </c>
      <c r="C38" s="169" t="s">
        <v>30</v>
      </c>
      <c r="D38" s="169"/>
      <c r="E38" s="28">
        <v>26.39</v>
      </c>
      <c r="F38" s="88">
        <v>3400</v>
      </c>
      <c r="G38" s="88">
        <f t="shared" si="27"/>
        <v>89726</v>
      </c>
      <c r="H38" s="30">
        <v>2</v>
      </c>
      <c r="I38" s="95">
        <v>19</v>
      </c>
      <c r="J38" s="13">
        <v>2400</v>
      </c>
      <c r="K38" s="12">
        <f t="shared" si="1"/>
        <v>126.31578947368421</v>
      </c>
      <c r="L38" s="95">
        <v>19</v>
      </c>
      <c r="M38" s="13">
        <f t="shared" si="28"/>
        <v>2292.1348314606744</v>
      </c>
      <c r="N38" s="12">
        <f t="shared" si="3"/>
        <v>120.63867534003549</v>
      </c>
      <c r="O38" s="14">
        <f t="shared" si="4"/>
        <v>0</v>
      </c>
      <c r="P38" s="15">
        <f t="shared" si="5"/>
        <v>-5.6771141336487148</v>
      </c>
      <c r="Q38" s="91">
        <f t="shared" si="6"/>
        <v>0.95505617977528101</v>
      </c>
      <c r="R38" s="177"/>
      <c r="S38" s="21">
        <v>0.41111111111111104</v>
      </c>
      <c r="T38" s="21">
        <v>0.4729166666666666</v>
      </c>
      <c r="U38" s="88">
        <f t="shared" si="30"/>
        <v>5.9999999999999787</v>
      </c>
      <c r="V38" s="30">
        <f t="shared" si="29"/>
        <v>89</v>
      </c>
      <c r="W38" s="16">
        <f>T38</f>
        <v>0.4729166666666666</v>
      </c>
      <c r="X38" s="16">
        <f>S39</f>
        <v>0.5118055555555554</v>
      </c>
      <c r="Y38" s="16"/>
      <c r="Z38" s="16"/>
      <c r="AA38" s="168"/>
      <c r="AB38" s="168"/>
      <c r="AC38" s="18"/>
      <c r="AD38" s="18"/>
      <c r="AE38" s="14">
        <f t="shared" si="8"/>
        <v>-107.86516853932562</v>
      </c>
      <c r="AF38" s="91">
        <f t="shared" si="9"/>
        <v>0.95505617977528101</v>
      </c>
      <c r="AG38" s="177"/>
    </row>
    <row r="39" spans="1:33">
      <c r="A39" s="192" t="s">
        <v>855</v>
      </c>
      <c r="B39" s="28" t="s">
        <v>22</v>
      </c>
      <c r="C39" s="169" t="s">
        <v>30</v>
      </c>
      <c r="D39" s="169"/>
      <c r="E39" s="28">
        <v>26.39</v>
      </c>
      <c r="F39" s="88">
        <v>2493</v>
      </c>
      <c r="G39" s="88">
        <f t="shared" si="27"/>
        <v>65790.27</v>
      </c>
      <c r="H39" s="30" t="s">
        <v>53</v>
      </c>
      <c r="I39" s="95">
        <v>19</v>
      </c>
      <c r="J39" s="13">
        <v>2400</v>
      </c>
      <c r="K39" s="12">
        <f t="shared" si="1"/>
        <v>126.31578947368421</v>
      </c>
      <c r="L39" s="95">
        <v>19</v>
      </c>
      <c r="M39" s="13">
        <f t="shared" si="28"/>
        <v>2301.2307692307718</v>
      </c>
      <c r="N39" s="12">
        <f t="shared" si="3"/>
        <v>121.11740890688273</v>
      </c>
      <c r="O39" s="14">
        <f t="shared" si="4"/>
        <v>0</v>
      </c>
      <c r="P39" s="15">
        <f t="shared" si="5"/>
        <v>-5.1983805668014753</v>
      </c>
      <c r="Q39" s="91">
        <f t="shared" si="6"/>
        <v>0.95884615384615501</v>
      </c>
      <c r="R39" s="177"/>
      <c r="S39" s="21">
        <v>0.5118055555555554</v>
      </c>
      <c r="T39" s="21">
        <v>0.55694444444444424</v>
      </c>
      <c r="U39" s="88">
        <f t="shared" si="30"/>
        <v>55.999999999999879</v>
      </c>
      <c r="V39" s="30">
        <f t="shared" si="29"/>
        <v>64.999999999999929</v>
      </c>
      <c r="W39" s="16"/>
      <c r="X39" s="16"/>
      <c r="Y39" s="16"/>
      <c r="Z39" s="16"/>
      <c r="AA39" s="168"/>
      <c r="AB39" s="168"/>
      <c r="AC39" s="18"/>
      <c r="AD39" s="18"/>
      <c r="AE39" s="14">
        <f t="shared" si="8"/>
        <v>-98.769230769228216</v>
      </c>
      <c r="AF39" s="91">
        <f t="shared" si="9"/>
        <v>0.9588461538461549</v>
      </c>
      <c r="AG39" s="177"/>
    </row>
    <row r="40" spans="1:33">
      <c r="A40" s="192" t="s">
        <v>855</v>
      </c>
      <c r="B40" s="28" t="s">
        <v>22</v>
      </c>
      <c r="C40" s="169" t="s">
        <v>28</v>
      </c>
      <c r="D40" s="169"/>
      <c r="E40" s="28">
        <v>26.2</v>
      </c>
      <c r="F40" s="88">
        <v>2730</v>
      </c>
      <c r="G40" s="88">
        <f t="shared" si="27"/>
        <v>71526</v>
      </c>
      <c r="H40" s="30" t="s">
        <v>53</v>
      </c>
      <c r="I40" s="95">
        <v>18</v>
      </c>
      <c r="J40" s="13">
        <v>2400</v>
      </c>
      <c r="K40" s="12">
        <f t="shared" si="1"/>
        <v>133.33333333333334</v>
      </c>
      <c r="L40" s="95">
        <v>18</v>
      </c>
      <c r="M40" s="13">
        <f t="shared" si="28"/>
        <v>2307.0422535211246</v>
      </c>
      <c r="N40" s="12">
        <f t="shared" si="3"/>
        <v>128.16901408450693</v>
      </c>
      <c r="O40" s="14">
        <f t="shared" si="4"/>
        <v>0</v>
      </c>
      <c r="P40" s="15">
        <f t="shared" si="5"/>
        <v>-5.1643192488264162</v>
      </c>
      <c r="Q40" s="91">
        <f t="shared" si="6"/>
        <v>0.96126760563380187</v>
      </c>
      <c r="R40" s="177"/>
      <c r="S40" s="21">
        <v>0.56111111111111089</v>
      </c>
      <c r="T40" s="21">
        <v>0.6104166666666665</v>
      </c>
      <c r="U40" s="88">
        <f t="shared" si="30"/>
        <v>5.9999999999999787</v>
      </c>
      <c r="V40" s="30">
        <f t="shared" si="29"/>
        <v>71.000000000000071</v>
      </c>
      <c r="W40" s="16"/>
      <c r="X40" s="16"/>
      <c r="Y40" s="19"/>
      <c r="Z40" s="19"/>
      <c r="AA40" s="172"/>
      <c r="AB40" s="173"/>
      <c r="AC40" s="18"/>
      <c r="AD40" s="18"/>
      <c r="AE40" s="14">
        <f t="shared" si="8"/>
        <v>-92.957746478875379</v>
      </c>
      <c r="AF40" s="91">
        <f t="shared" si="9"/>
        <v>0.96126760563380198</v>
      </c>
      <c r="AG40" s="177"/>
    </row>
    <row r="41" spans="1:33">
      <c r="A41" s="192" t="s">
        <v>855</v>
      </c>
      <c r="B41" s="12" t="s">
        <v>851</v>
      </c>
      <c r="C41" s="178"/>
      <c r="D41" s="178"/>
      <c r="E41" s="92"/>
      <c r="F41" s="12"/>
      <c r="G41" s="12"/>
      <c r="H41" s="88"/>
      <c r="I41" s="23">
        <v>17.857142857142858</v>
      </c>
      <c r="J41" s="13">
        <v>2400</v>
      </c>
      <c r="K41" s="12">
        <f t="shared" si="1"/>
        <v>134.4</v>
      </c>
      <c r="L41" s="23">
        <v>17.857142857142858</v>
      </c>
      <c r="M41" s="13">
        <f>AVERAGE(M34:M40)</f>
        <v>2293.0384479603322</v>
      </c>
      <c r="N41" s="12">
        <f t="shared" si="3"/>
        <v>128.4101530857786</v>
      </c>
      <c r="O41" s="14">
        <f t="shared" si="4"/>
        <v>0</v>
      </c>
      <c r="P41" s="15">
        <f t="shared" si="5"/>
        <v>-5.9898469142214026</v>
      </c>
      <c r="Q41" s="91">
        <f t="shared" si="6"/>
        <v>0.95543268665013836</v>
      </c>
      <c r="R41" s="177"/>
      <c r="S41" s="21"/>
      <c r="T41" s="21"/>
      <c r="U41" s="12"/>
      <c r="V41" s="30"/>
      <c r="W41" s="12"/>
      <c r="X41" s="12"/>
      <c r="Y41" s="24">
        <f>SUM(Y34:Y40)</f>
        <v>0</v>
      </c>
      <c r="Z41" s="24">
        <f>SUM(Z34:Z40)</f>
        <v>0</v>
      </c>
      <c r="AA41" s="167"/>
      <c r="AB41" s="167"/>
      <c r="AC41" s="24">
        <f>SUM(AC34:AC40)</f>
        <v>7</v>
      </c>
      <c r="AD41" s="24">
        <f>SUM(AD34:AD40)</f>
        <v>0</v>
      </c>
      <c r="AE41" s="14">
        <f t="shared" si="8"/>
        <v>-106.96155203966782</v>
      </c>
      <c r="AF41" s="91">
        <f t="shared" si="9"/>
        <v>0.95543268665013836</v>
      </c>
      <c r="AG41" s="177"/>
    </row>
    <row r="42" spans="1:33" ht="15.75" customHeight="1">
      <c r="A42" s="188" t="s">
        <v>856</v>
      </c>
      <c r="B42" s="28" t="s">
        <v>33</v>
      </c>
      <c r="C42" s="170" t="s">
        <v>72</v>
      </c>
      <c r="D42" s="171"/>
      <c r="E42" s="28">
        <v>34.35</v>
      </c>
      <c r="F42" s="88">
        <v>3048</v>
      </c>
      <c r="G42" s="88">
        <f t="shared" ref="G42:G46" si="31">E42*F42</f>
        <v>104698.8</v>
      </c>
      <c r="H42" s="30" t="s">
        <v>53</v>
      </c>
      <c r="I42" s="95">
        <v>8</v>
      </c>
      <c r="J42" s="13">
        <v>3000</v>
      </c>
      <c r="K42" s="12">
        <f t="shared" si="1"/>
        <v>375</v>
      </c>
      <c r="L42" s="95">
        <v>8</v>
      </c>
      <c r="M42" s="13">
        <f t="shared" ref="M42:M46" si="32">F42/V42*60</f>
        <v>2857.5000000000005</v>
      </c>
      <c r="N42" s="13">
        <f t="shared" si="3"/>
        <v>357.18750000000006</v>
      </c>
      <c r="O42" s="14">
        <f t="shared" si="4"/>
        <v>0</v>
      </c>
      <c r="P42" s="15">
        <f t="shared" si="5"/>
        <v>-17.812499999999943</v>
      </c>
      <c r="Q42" s="91">
        <f t="shared" si="6"/>
        <v>0.95250000000000012</v>
      </c>
      <c r="R42" s="183">
        <f>Q47</f>
        <v>0.95344134724401564</v>
      </c>
      <c r="S42" s="21">
        <v>8.3333333333333329E-2</v>
      </c>
      <c r="T42" s="21">
        <v>0.12777777777777777</v>
      </c>
      <c r="U42" s="21"/>
      <c r="V42" s="30">
        <f t="shared" ref="V42:V46" si="33">(T42-S42)*24*60</f>
        <v>63.999999999999986</v>
      </c>
      <c r="W42" s="16">
        <f>T42</f>
        <v>0.12777777777777777</v>
      </c>
      <c r="X42" s="16">
        <f>S43</f>
        <v>0.14722222222222223</v>
      </c>
      <c r="Y42" s="19"/>
      <c r="Z42" s="19"/>
      <c r="AA42" s="172"/>
      <c r="AB42" s="173"/>
      <c r="AC42" s="18">
        <v>5</v>
      </c>
      <c r="AD42" s="18"/>
      <c r="AE42" s="14">
        <f t="shared" si="8"/>
        <v>-142.49999999999955</v>
      </c>
      <c r="AF42" s="91">
        <f t="shared" si="9"/>
        <v>0.95250000000000012</v>
      </c>
      <c r="AG42" s="183">
        <f>AF47</f>
        <v>0.95344134724401575</v>
      </c>
    </row>
    <row r="43" spans="1:33" ht="15.75" customHeight="1">
      <c r="A43" s="189" t="s">
        <v>856</v>
      </c>
      <c r="B43" s="28" t="s">
        <v>33</v>
      </c>
      <c r="C43" s="170" t="s">
        <v>36</v>
      </c>
      <c r="D43" s="171"/>
      <c r="E43" s="28">
        <v>21.13</v>
      </c>
      <c r="F43" s="88">
        <v>5200</v>
      </c>
      <c r="G43" s="88">
        <f t="shared" si="31"/>
        <v>109876</v>
      </c>
      <c r="H43" s="30" t="s">
        <v>53</v>
      </c>
      <c r="I43" s="95">
        <v>10</v>
      </c>
      <c r="J43" s="13">
        <v>3000</v>
      </c>
      <c r="K43" s="12">
        <f t="shared" si="1"/>
        <v>300</v>
      </c>
      <c r="L43" s="95">
        <v>10</v>
      </c>
      <c r="M43" s="13">
        <f t="shared" si="32"/>
        <v>2862.3853211009182</v>
      </c>
      <c r="N43" s="13">
        <f t="shared" si="3"/>
        <v>286.2385321100918</v>
      </c>
      <c r="O43" s="14">
        <f t="shared" si="4"/>
        <v>0</v>
      </c>
      <c r="P43" s="15">
        <f t="shared" si="5"/>
        <v>-13.761467889908204</v>
      </c>
      <c r="Q43" s="91">
        <f t="shared" si="6"/>
        <v>0.95412844036697264</v>
      </c>
      <c r="R43" s="184"/>
      <c r="S43" s="21">
        <v>0.14722222222222223</v>
      </c>
      <c r="T43" s="21">
        <v>0.22291666666666665</v>
      </c>
      <c r="U43" s="88">
        <f t="shared" ref="U43:U46" si="34">(S43-T42)*24*60</f>
        <v>28.000000000000021</v>
      </c>
      <c r="V43" s="30">
        <f t="shared" si="33"/>
        <v>108.99999999999997</v>
      </c>
      <c r="W43" s="16"/>
      <c r="X43" s="16"/>
      <c r="Y43" s="19"/>
      <c r="Z43" s="19"/>
      <c r="AA43" s="172"/>
      <c r="AB43" s="173"/>
      <c r="AC43" s="18"/>
      <c r="AD43" s="18"/>
      <c r="AE43" s="14">
        <f t="shared" si="8"/>
        <v>-137.61467889908181</v>
      </c>
      <c r="AF43" s="91">
        <f t="shared" si="9"/>
        <v>0.95412844036697275</v>
      </c>
      <c r="AG43" s="184"/>
    </row>
    <row r="44" spans="1:33" ht="15.75" customHeight="1">
      <c r="A44" s="189" t="s">
        <v>856</v>
      </c>
      <c r="B44" s="28" t="s">
        <v>33</v>
      </c>
      <c r="C44" s="170" t="s">
        <v>37</v>
      </c>
      <c r="D44" s="171"/>
      <c r="E44" s="28">
        <v>27.17</v>
      </c>
      <c r="F44" s="88">
        <v>7051</v>
      </c>
      <c r="G44" s="88">
        <f t="shared" si="31"/>
        <v>191575.67</v>
      </c>
      <c r="H44" s="30" t="s">
        <v>53</v>
      </c>
      <c r="I44" s="95">
        <v>10</v>
      </c>
      <c r="J44" s="13">
        <v>3000</v>
      </c>
      <c r="K44" s="12">
        <f t="shared" si="1"/>
        <v>300</v>
      </c>
      <c r="L44" s="95">
        <v>10</v>
      </c>
      <c r="M44" s="13">
        <f t="shared" si="32"/>
        <v>2858.5135135135138</v>
      </c>
      <c r="N44" s="13">
        <f t="shared" si="3"/>
        <v>285.85135135135135</v>
      </c>
      <c r="O44" s="14">
        <f t="shared" si="4"/>
        <v>0</v>
      </c>
      <c r="P44" s="15">
        <f t="shared" si="5"/>
        <v>-14.148648648648646</v>
      </c>
      <c r="Q44" s="91">
        <f t="shared" si="6"/>
        <v>0.95283783783783782</v>
      </c>
      <c r="R44" s="184"/>
      <c r="S44" s="21">
        <v>0.22708333333333333</v>
      </c>
      <c r="T44" s="21">
        <v>0.3298611111111111</v>
      </c>
      <c r="U44" s="88">
        <f t="shared" si="34"/>
        <v>6.0000000000000187</v>
      </c>
      <c r="V44" s="30">
        <f t="shared" si="33"/>
        <v>148</v>
      </c>
      <c r="W44" s="16"/>
      <c r="X44" s="16"/>
      <c r="Y44" s="19"/>
      <c r="Z44" s="19"/>
      <c r="AA44" s="172"/>
      <c r="AB44" s="173"/>
      <c r="AC44" s="18"/>
      <c r="AD44" s="18"/>
      <c r="AE44" s="14">
        <f t="shared" si="8"/>
        <v>-141.48648648648623</v>
      </c>
      <c r="AF44" s="91">
        <f t="shared" si="9"/>
        <v>0.95283783783783793</v>
      </c>
      <c r="AG44" s="184"/>
    </row>
    <row r="45" spans="1:33" ht="15.75" customHeight="1">
      <c r="A45" s="189" t="s">
        <v>856</v>
      </c>
      <c r="B45" s="28" t="s">
        <v>33</v>
      </c>
      <c r="C45" s="170" t="s">
        <v>38</v>
      </c>
      <c r="D45" s="171"/>
      <c r="E45" s="28">
        <v>35.869999999999997</v>
      </c>
      <c r="F45" s="88">
        <v>3816</v>
      </c>
      <c r="G45" s="88">
        <f t="shared" si="31"/>
        <v>136879.91999999998</v>
      </c>
      <c r="H45" s="30" t="s">
        <v>53</v>
      </c>
      <c r="I45" s="95">
        <v>9</v>
      </c>
      <c r="J45" s="13">
        <v>3000</v>
      </c>
      <c r="K45" s="12">
        <f t="shared" si="1"/>
        <v>333.33333333333331</v>
      </c>
      <c r="L45" s="95">
        <v>9</v>
      </c>
      <c r="M45" s="13">
        <f t="shared" si="32"/>
        <v>2862.0000000000014</v>
      </c>
      <c r="N45" s="13">
        <f t="shared" si="3"/>
        <v>318.00000000000017</v>
      </c>
      <c r="O45" s="14">
        <f t="shared" si="4"/>
        <v>0</v>
      </c>
      <c r="P45" s="15">
        <f t="shared" si="5"/>
        <v>-15.333333333333144</v>
      </c>
      <c r="Q45" s="91">
        <f t="shared" si="6"/>
        <v>0.95400000000000051</v>
      </c>
      <c r="R45" s="184"/>
      <c r="S45" s="21">
        <v>0.3347222222222222</v>
      </c>
      <c r="T45" s="21">
        <v>0.39027777777777772</v>
      </c>
      <c r="U45" s="88">
        <f t="shared" si="34"/>
        <v>6.9999999999999751</v>
      </c>
      <c r="V45" s="30">
        <f t="shared" si="33"/>
        <v>79.999999999999957</v>
      </c>
      <c r="W45" s="16"/>
      <c r="X45" s="16"/>
      <c r="Y45" s="19"/>
      <c r="Z45" s="19"/>
      <c r="AA45" s="172"/>
      <c r="AB45" s="173"/>
      <c r="AC45" s="18"/>
      <c r="AD45" s="18"/>
      <c r="AE45" s="14">
        <f t="shared" si="8"/>
        <v>-137.99999999999864</v>
      </c>
      <c r="AF45" s="91">
        <f t="shared" si="9"/>
        <v>0.9540000000000004</v>
      </c>
      <c r="AG45" s="184"/>
    </row>
    <row r="46" spans="1:33" ht="15.75" customHeight="1">
      <c r="A46" s="189" t="s">
        <v>856</v>
      </c>
      <c r="B46" s="28" t="s">
        <v>33</v>
      </c>
      <c r="C46" s="170" t="s">
        <v>756</v>
      </c>
      <c r="D46" s="171"/>
      <c r="E46" s="28">
        <v>37.880000000000003</v>
      </c>
      <c r="F46" s="88">
        <v>6247</v>
      </c>
      <c r="G46" s="88">
        <f t="shared" si="31"/>
        <v>236636.36000000002</v>
      </c>
      <c r="H46" s="30" t="s">
        <v>53</v>
      </c>
      <c r="I46" s="95">
        <v>10</v>
      </c>
      <c r="J46" s="13">
        <v>3000</v>
      </c>
      <c r="K46" s="12">
        <f t="shared" si="1"/>
        <v>300</v>
      </c>
      <c r="L46" s="95">
        <v>10</v>
      </c>
      <c r="M46" s="13">
        <f t="shared" si="32"/>
        <v>2861.2213740458014</v>
      </c>
      <c r="N46" s="13">
        <f t="shared" si="3"/>
        <v>286.12213740458014</v>
      </c>
      <c r="O46" s="14">
        <f t="shared" si="4"/>
        <v>0</v>
      </c>
      <c r="P46" s="15">
        <f t="shared" si="5"/>
        <v>-13.877862595419856</v>
      </c>
      <c r="Q46" s="91">
        <f t="shared" si="6"/>
        <v>0.95374045801526719</v>
      </c>
      <c r="R46" s="184"/>
      <c r="S46" s="21">
        <v>0.39513888888888882</v>
      </c>
      <c r="T46" s="21">
        <v>0.48611111111111105</v>
      </c>
      <c r="U46" s="88">
        <f t="shared" si="34"/>
        <v>6.9999999999999751</v>
      </c>
      <c r="V46" s="30">
        <f t="shared" si="33"/>
        <v>131</v>
      </c>
      <c r="W46" s="16"/>
      <c r="X46" s="16"/>
      <c r="Y46" s="19"/>
      <c r="Z46" s="19"/>
      <c r="AA46" s="172"/>
      <c r="AB46" s="173"/>
      <c r="AC46" s="18"/>
      <c r="AD46" s="18"/>
      <c r="AE46" s="14">
        <f t="shared" si="8"/>
        <v>-138.77862595419856</v>
      </c>
      <c r="AF46" s="91">
        <f t="shared" si="9"/>
        <v>0.95374045801526719</v>
      </c>
      <c r="AG46" s="184"/>
    </row>
    <row r="47" spans="1:33" ht="15.75" customHeight="1">
      <c r="A47" s="190" t="s">
        <v>856</v>
      </c>
      <c r="B47" s="28" t="s">
        <v>851</v>
      </c>
      <c r="C47" s="165"/>
      <c r="D47" s="166"/>
      <c r="E47" s="89"/>
      <c r="F47" s="88"/>
      <c r="G47" s="88"/>
      <c r="H47" s="88"/>
      <c r="I47" s="23">
        <v>9.4</v>
      </c>
      <c r="J47" s="13">
        <v>3000</v>
      </c>
      <c r="K47" s="12">
        <f t="shared" si="1"/>
        <v>319.14893617021278</v>
      </c>
      <c r="L47" s="23">
        <v>9.4</v>
      </c>
      <c r="M47" s="13">
        <f>AVERAGE(M42:M46)</f>
        <v>2860.3240417320471</v>
      </c>
      <c r="N47" s="12">
        <f t="shared" si="3"/>
        <v>304.28979167362201</v>
      </c>
      <c r="O47" s="14">
        <f t="shared" si="4"/>
        <v>0</v>
      </c>
      <c r="P47" s="15">
        <f t="shared" si="5"/>
        <v>-14.859144496590773</v>
      </c>
      <c r="Q47" s="91">
        <f t="shared" si="6"/>
        <v>0.95344134724401564</v>
      </c>
      <c r="R47" s="185"/>
      <c r="S47" s="21"/>
      <c r="T47" s="21"/>
      <c r="U47" s="88"/>
      <c r="V47" s="30"/>
      <c r="W47" s="16"/>
      <c r="X47" s="16"/>
      <c r="Y47" s="24">
        <f>SUM(Y42:Y46)</f>
        <v>0</v>
      </c>
      <c r="Z47" s="24">
        <f>SUM(Z42:Z46)</f>
        <v>0</v>
      </c>
      <c r="AA47" s="186"/>
      <c r="AB47" s="187"/>
      <c r="AC47" s="24">
        <f>SUM(AC42:AC46)</f>
        <v>5</v>
      </c>
      <c r="AD47" s="24">
        <f>SUM(AD42:AD46)</f>
        <v>0</v>
      </c>
      <c r="AE47" s="14">
        <f t="shared" si="8"/>
        <v>-139.67595826795286</v>
      </c>
      <c r="AF47" s="91">
        <f t="shared" si="9"/>
        <v>0.95344134724401575</v>
      </c>
      <c r="AG47" s="185"/>
    </row>
    <row r="48" spans="1:33" ht="15.75" customHeight="1">
      <c r="A48" s="181" t="s">
        <v>857</v>
      </c>
      <c r="B48" s="28" t="s">
        <v>9</v>
      </c>
      <c r="C48" s="169" t="s">
        <v>39</v>
      </c>
      <c r="D48" s="169"/>
      <c r="E48" s="28">
        <v>46</v>
      </c>
      <c r="F48" s="29">
        <v>2371</v>
      </c>
      <c r="G48" s="88">
        <f t="shared" ref="G48:G53" si="35">E48*F48</f>
        <v>109066</v>
      </c>
      <c r="H48" s="30" t="s">
        <v>53</v>
      </c>
      <c r="I48" s="95">
        <v>17</v>
      </c>
      <c r="J48" s="13">
        <v>2000</v>
      </c>
      <c r="K48" s="12">
        <f t="shared" si="1"/>
        <v>117.64705882352941</v>
      </c>
      <c r="L48" s="95">
        <v>17</v>
      </c>
      <c r="M48" s="13">
        <f t="shared" ref="M48" si="36">F48/V48*60</f>
        <v>1922.4324324324321</v>
      </c>
      <c r="N48" s="13">
        <f t="shared" si="3"/>
        <v>113.08426073131953</v>
      </c>
      <c r="O48" s="14">
        <f t="shared" si="4"/>
        <v>0</v>
      </c>
      <c r="P48" s="15">
        <f t="shared" si="5"/>
        <v>-4.5627980922098743</v>
      </c>
      <c r="Q48" s="91">
        <f t="shared" si="6"/>
        <v>0.96121621621621611</v>
      </c>
      <c r="R48" s="177">
        <f>Q54</f>
        <v>0.96417013362582316</v>
      </c>
      <c r="S48" s="21">
        <v>0.20833333333333334</v>
      </c>
      <c r="T48" s="21">
        <v>0.25972222222222224</v>
      </c>
      <c r="U48" s="21"/>
      <c r="V48" s="30">
        <f t="shared" ref="V48:V53" si="37">(T48-S48)*24*60</f>
        <v>74.000000000000014</v>
      </c>
      <c r="W48" s="21"/>
      <c r="X48" s="21"/>
      <c r="Y48" s="21"/>
      <c r="Z48" s="21"/>
      <c r="AA48" s="168"/>
      <c r="AB48" s="168"/>
      <c r="AC48" s="18">
        <v>6</v>
      </c>
      <c r="AD48" s="18"/>
      <c r="AE48" s="14">
        <f t="shared" si="8"/>
        <v>-77.567567567567949</v>
      </c>
      <c r="AF48" s="91">
        <f t="shared" si="9"/>
        <v>0.961216216216216</v>
      </c>
      <c r="AG48" s="177">
        <f>AF54</f>
        <v>0.96417013362582316</v>
      </c>
    </row>
    <row r="49" spans="1:33" ht="15.75" customHeight="1">
      <c r="A49" s="181" t="s">
        <v>857</v>
      </c>
      <c r="B49" s="28" t="s">
        <v>5</v>
      </c>
      <c r="C49" s="169" t="s">
        <v>40</v>
      </c>
      <c r="D49" s="169"/>
      <c r="E49" s="28">
        <v>56.43</v>
      </c>
      <c r="F49" s="29">
        <v>1608</v>
      </c>
      <c r="G49" s="88">
        <f t="shared" si="35"/>
        <v>90739.44</v>
      </c>
      <c r="H49" s="30" t="s">
        <v>53</v>
      </c>
      <c r="I49" s="95">
        <v>22</v>
      </c>
      <c r="J49" s="13">
        <v>2000</v>
      </c>
      <c r="K49" s="12">
        <f t="shared" si="1"/>
        <v>90.909090909090907</v>
      </c>
      <c r="L49" s="95">
        <v>22</v>
      </c>
      <c r="M49" s="13">
        <f>F49/V49*60</f>
        <v>1929.6000000000006</v>
      </c>
      <c r="N49" s="13">
        <f t="shared" si="3"/>
        <v>87.709090909090932</v>
      </c>
      <c r="O49" s="14">
        <f t="shared" si="4"/>
        <v>0</v>
      </c>
      <c r="P49" s="15">
        <f t="shared" si="5"/>
        <v>-3.1999999999999744</v>
      </c>
      <c r="Q49" s="91">
        <f t="shared" si="6"/>
        <v>0.96480000000000032</v>
      </c>
      <c r="R49" s="177"/>
      <c r="S49" s="21">
        <v>0.2638888888888889</v>
      </c>
      <c r="T49" s="21">
        <v>0.2986111111111111</v>
      </c>
      <c r="U49" s="88">
        <f t="shared" ref="U49:U53" si="38">IF(S49=TIME(17,0,0),"",(S49-T48)*24*60)</f>
        <v>5.9999999999999787</v>
      </c>
      <c r="V49" s="30">
        <f t="shared" si="37"/>
        <v>49.999999999999986</v>
      </c>
      <c r="W49" s="16"/>
      <c r="X49" s="16"/>
      <c r="Y49" s="16"/>
      <c r="Z49" s="16"/>
      <c r="AA49" s="168"/>
      <c r="AB49" s="168"/>
      <c r="AC49" s="18"/>
      <c r="AD49" s="18"/>
      <c r="AE49" s="14">
        <f t="shared" si="8"/>
        <v>-70.399999999999409</v>
      </c>
      <c r="AF49" s="91">
        <f t="shared" si="9"/>
        <v>0.96480000000000032</v>
      </c>
      <c r="AG49" s="177"/>
    </row>
    <row r="50" spans="1:33" ht="15.75" customHeight="1">
      <c r="A50" s="181" t="s">
        <v>857</v>
      </c>
      <c r="B50" s="28" t="s">
        <v>5</v>
      </c>
      <c r="C50" s="170" t="s">
        <v>41</v>
      </c>
      <c r="D50" s="171"/>
      <c r="E50" s="28">
        <v>51.75</v>
      </c>
      <c r="F50" s="29">
        <v>1058</v>
      </c>
      <c r="G50" s="88">
        <f t="shared" si="35"/>
        <v>54751.5</v>
      </c>
      <c r="H50" s="30" t="s">
        <v>53</v>
      </c>
      <c r="I50" s="95">
        <v>25</v>
      </c>
      <c r="J50" s="13">
        <v>2000</v>
      </c>
      <c r="K50" s="12">
        <f t="shared" si="1"/>
        <v>80</v>
      </c>
      <c r="L50" s="95">
        <v>25</v>
      </c>
      <c r="M50" s="13">
        <f t="shared" ref="M50:M53" si="39">F50/V50*60</f>
        <v>1923.6363636363658</v>
      </c>
      <c r="N50" s="13">
        <f t="shared" si="3"/>
        <v>76.945454545454638</v>
      </c>
      <c r="O50" s="14">
        <f t="shared" si="4"/>
        <v>0</v>
      </c>
      <c r="P50" s="15">
        <f t="shared" si="5"/>
        <v>-3.0545454545453623</v>
      </c>
      <c r="Q50" s="91">
        <f t="shared" si="6"/>
        <v>0.96181818181818302</v>
      </c>
      <c r="R50" s="177"/>
      <c r="S50" s="21">
        <v>0.3034722222222222</v>
      </c>
      <c r="T50" s="21">
        <v>0.32638888888888884</v>
      </c>
      <c r="U50" s="88">
        <f t="shared" si="38"/>
        <v>6.9999999999999751</v>
      </c>
      <c r="V50" s="30">
        <f t="shared" si="37"/>
        <v>32.999999999999964</v>
      </c>
      <c r="W50" s="16"/>
      <c r="X50" s="16"/>
      <c r="Y50" s="19"/>
      <c r="Z50" s="19"/>
      <c r="AA50" s="168"/>
      <c r="AB50" s="168"/>
      <c r="AC50" s="18"/>
      <c r="AD50" s="18"/>
      <c r="AE50" s="14">
        <f t="shared" si="8"/>
        <v>-76.363636363634214</v>
      </c>
      <c r="AF50" s="91">
        <f t="shared" si="9"/>
        <v>0.9618181818181829</v>
      </c>
      <c r="AG50" s="177"/>
    </row>
    <row r="51" spans="1:33" ht="15.75" customHeight="1">
      <c r="A51" s="181" t="s">
        <v>857</v>
      </c>
      <c r="B51" s="28" t="s">
        <v>5</v>
      </c>
      <c r="C51" s="93" t="s">
        <v>42</v>
      </c>
      <c r="D51" s="94"/>
      <c r="E51" s="28">
        <v>57.73</v>
      </c>
      <c r="F51" s="29">
        <v>1133</v>
      </c>
      <c r="G51" s="88">
        <f t="shared" si="35"/>
        <v>65408.09</v>
      </c>
      <c r="H51" s="30" t="s">
        <v>53</v>
      </c>
      <c r="I51" s="95">
        <v>16</v>
      </c>
      <c r="J51" s="13">
        <v>1500</v>
      </c>
      <c r="K51" s="12">
        <f t="shared" si="1"/>
        <v>93.75</v>
      </c>
      <c r="L51" s="95">
        <v>16</v>
      </c>
      <c r="M51" s="13">
        <f t="shared" si="39"/>
        <v>1446.3829787234044</v>
      </c>
      <c r="N51" s="13">
        <f t="shared" si="3"/>
        <v>90.398936170212778</v>
      </c>
      <c r="O51" s="14">
        <f t="shared" si="4"/>
        <v>0</v>
      </c>
      <c r="P51" s="15">
        <f t="shared" si="5"/>
        <v>-3.3510638297872219</v>
      </c>
      <c r="Q51" s="91">
        <f t="shared" si="6"/>
        <v>0.96425531914893625</v>
      </c>
      <c r="R51" s="177"/>
      <c r="S51" s="21">
        <v>0.70833333333333337</v>
      </c>
      <c r="T51" s="21">
        <v>0.74097222222222225</v>
      </c>
      <c r="U51" s="88" t="str">
        <f t="shared" si="38"/>
        <v/>
      </c>
      <c r="V51" s="30">
        <f t="shared" si="37"/>
        <v>46.999999999999993</v>
      </c>
      <c r="W51" s="16"/>
      <c r="X51" s="16"/>
      <c r="Y51" s="19"/>
      <c r="Z51" s="19"/>
      <c r="AA51" s="168"/>
      <c r="AB51" s="168"/>
      <c r="AC51" s="18"/>
      <c r="AD51" s="18"/>
      <c r="AE51" s="14">
        <f t="shared" si="8"/>
        <v>-53.617021276595551</v>
      </c>
      <c r="AF51" s="91">
        <f t="shared" si="9"/>
        <v>0.96425531914893625</v>
      </c>
      <c r="AG51" s="177"/>
    </row>
    <row r="52" spans="1:33" ht="15.75" customHeight="1">
      <c r="A52" s="181" t="s">
        <v>857</v>
      </c>
      <c r="B52" s="28" t="s">
        <v>5</v>
      </c>
      <c r="C52" s="93" t="s">
        <v>44</v>
      </c>
      <c r="D52" s="94"/>
      <c r="E52" s="28">
        <v>55.56</v>
      </c>
      <c r="F52" s="29">
        <v>2025</v>
      </c>
      <c r="G52" s="88">
        <f t="shared" si="35"/>
        <v>112509</v>
      </c>
      <c r="H52" s="30" t="s">
        <v>53</v>
      </c>
      <c r="I52" s="95">
        <v>17</v>
      </c>
      <c r="J52" s="13">
        <v>2000</v>
      </c>
      <c r="K52" s="12">
        <f t="shared" si="1"/>
        <v>117.64705882352941</v>
      </c>
      <c r="L52" s="95">
        <v>17</v>
      </c>
      <c r="M52" s="13">
        <f t="shared" si="39"/>
        <v>1928.5714285714305</v>
      </c>
      <c r="N52" s="13">
        <f t="shared" si="3"/>
        <v>113.44537815126061</v>
      </c>
      <c r="O52" s="14">
        <f t="shared" si="4"/>
        <v>0</v>
      </c>
      <c r="P52" s="15">
        <f t="shared" si="5"/>
        <v>-4.2016806722687932</v>
      </c>
      <c r="Q52" s="91">
        <f t="shared" si="6"/>
        <v>0.9642857142857153</v>
      </c>
      <c r="R52" s="177"/>
      <c r="S52" s="21">
        <v>0.74652777777777779</v>
      </c>
      <c r="T52" s="21">
        <v>0.79027777777777775</v>
      </c>
      <c r="U52" s="88">
        <f t="shared" si="38"/>
        <v>7.9999999999999716</v>
      </c>
      <c r="V52" s="30">
        <f t="shared" si="37"/>
        <v>62.999999999999936</v>
      </c>
      <c r="W52" s="16"/>
      <c r="X52" s="16"/>
      <c r="Y52" s="19"/>
      <c r="Z52" s="19"/>
      <c r="AA52" s="168"/>
      <c r="AB52" s="168"/>
      <c r="AC52" s="18"/>
      <c r="AD52" s="18"/>
      <c r="AE52" s="14">
        <f t="shared" si="8"/>
        <v>-71.428571428569512</v>
      </c>
      <c r="AF52" s="91">
        <f t="shared" si="9"/>
        <v>0.96428571428571519</v>
      </c>
      <c r="AG52" s="177"/>
    </row>
    <row r="53" spans="1:33" ht="15.75" customHeight="1">
      <c r="A53" s="181" t="s">
        <v>857</v>
      </c>
      <c r="B53" s="28" t="s">
        <v>5</v>
      </c>
      <c r="C53" s="170" t="s">
        <v>45</v>
      </c>
      <c r="D53" s="171"/>
      <c r="E53" s="28">
        <v>55.32</v>
      </c>
      <c r="F53" s="29">
        <v>1453</v>
      </c>
      <c r="G53" s="88">
        <f t="shared" si="35"/>
        <v>80379.960000000006</v>
      </c>
      <c r="H53" s="30" t="s">
        <v>53</v>
      </c>
      <c r="I53" s="95">
        <v>15</v>
      </c>
      <c r="J53" s="13">
        <v>2000</v>
      </c>
      <c r="K53" s="12">
        <f t="shared" si="1"/>
        <v>133.33333333333334</v>
      </c>
      <c r="L53" s="95">
        <v>15</v>
      </c>
      <c r="M53" s="13">
        <f t="shared" si="39"/>
        <v>1937.3333333333335</v>
      </c>
      <c r="N53" s="13">
        <f t="shared" si="3"/>
        <v>129.15555555555557</v>
      </c>
      <c r="O53" s="14">
        <f t="shared" si="4"/>
        <v>0</v>
      </c>
      <c r="P53" s="15">
        <f t="shared" si="5"/>
        <v>-4.1777777777777771</v>
      </c>
      <c r="Q53" s="91">
        <f t="shared" si="6"/>
        <v>0.96866666666666668</v>
      </c>
      <c r="R53" s="177"/>
      <c r="S53" s="21">
        <v>0.7944444444444444</v>
      </c>
      <c r="T53" s="21">
        <v>0.8256944444444444</v>
      </c>
      <c r="U53" s="88">
        <f t="shared" si="38"/>
        <v>5.9999999999999787</v>
      </c>
      <c r="V53" s="30">
        <f t="shared" si="37"/>
        <v>45</v>
      </c>
      <c r="W53" s="16"/>
      <c r="X53" s="16"/>
      <c r="Y53" s="19"/>
      <c r="Z53" s="19"/>
      <c r="AA53" s="172"/>
      <c r="AB53" s="173"/>
      <c r="AC53" s="18"/>
      <c r="AD53" s="18"/>
      <c r="AE53" s="14">
        <f t="shared" si="8"/>
        <v>-62.666666666666515</v>
      </c>
      <c r="AF53" s="91">
        <f t="shared" si="9"/>
        <v>0.96866666666666679</v>
      </c>
      <c r="AG53" s="177"/>
    </row>
    <row r="54" spans="1:33">
      <c r="A54" s="182" t="s">
        <v>857</v>
      </c>
      <c r="B54" s="28" t="s">
        <v>851</v>
      </c>
      <c r="C54" s="178"/>
      <c r="D54" s="178"/>
      <c r="E54" s="92"/>
      <c r="F54" s="12"/>
      <c r="G54" s="12"/>
      <c r="H54" s="88"/>
      <c r="I54" s="23">
        <v>18.666666666666668</v>
      </c>
      <c r="J54" s="13">
        <v>1916.6666666666667</v>
      </c>
      <c r="K54" s="12">
        <f t="shared" si="1"/>
        <v>102.67857142857143</v>
      </c>
      <c r="L54" s="23">
        <v>18.666666666666668</v>
      </c>
      <c r="M54" s="13">
        <f>AVERAGE(M48:M53)</f>
        <v>1847.9927561161612</v>
      </c>
      <c r="N54" s="12">
        <f t="shared" si="3"/>
        <v>98.999611934794345</v>
      </c>
      <c r="O54" s="14">
        <f t="shared" si="4"/>
        <v>0</v>
      </c>
      <c r="P54" s="15">
        <f t="shared" si="5"/>
        <v>-3.6789594937770858</v>
      </c>
      <c r="Q54" s="91">
        <f t="shared" si="6"/>
        <v>0.96417013362582316</v>
      </c>
      <c r="R54" s="177"/>
      <c r="S54" s="21"/>
      <c r="T54" s="21"/>
      <c r="U54" s="88"/>
      <c r="V54" s="30"/>
      <c r="W54" s="12"/>
      <c r="X54" s="12"/>
      <c r="Y54" s="24">
        <f>SUM(Y48:Y53)</f>
        <v>0</v>
      </c>
      <c r="Z54" s="24">
        <f>SUM(Z48:Z53)</f>
        <v>0</v>
      </c>
      <c r="AA54" s="167"/>
      <c r="AB54" s="167"/>
      <c r="AC54" s="24">
        <f>SUM(AC48:AC53)</f>
        <v>6</v>
      </c>
      <c r="AD54" s="24">
        <f>SUM(AD48:AD53)</f>
        <v>0</v>
      </c>
      <c r="AE54" s="14">
        <f>M54-J54</f>
        <v>-68.673910550505525</v>
      </c>
      <c r="AF54" s="91">
        <f t="shared" si="9"/>
        <v>0.96417013362582316</v>
      </c>
      <c r="AG54" s="177"/>
    </row>
    <row r="55" spans="1:33" ht="15.75" customHeight="1">
      <c r="A55" s="179" t="s">
        <v>858</v>
      </c>
      <c r="B55" s="88" t="s">
        <v>33</v>
      </c>
      <c r="C55" s="169" t="s">
        <v>46</v>
      </c>
      <c r="D55" s="169"/>
      <c r="E55" s="28">
        <v>37.85</v>
      </c>
      <c r="F55" s="29">
        <v>1319</v>
      </c>
      <c r="G55" s="88">
        <f t="shared" ref="G55:G60" si="40">E55*F55</f>
        <v>49924.15</v>
      </c>
      <c r="H55" s="30" t="s">
        <v>53</v>
      </c>
      <c r="I55" s="95">
        <v>12</v>
      </c>
      <c r="J55" s="13">
        <v>2000</v>
      </c>
      <c r="K55" s="12">
        <f t="shared" si="1"/>
        <v>166.66666666666666</v>
      </c>
      <c r="L55" s="95">
        <v>12</v>
      </c>
      <c r="M55" s="13">
        <f t="shared" ref="M55:M60" si="41">F55/V55*60</f>
        <v>1930.2439024390237</v>
      </c>
      <c r="N55" s="12">
        <f t="shared" si="3"/>
        <v>160.8536585365853</v>
      </c>
      <c r="O55" s="14">
        <f t="shared" si="4"/>
        <v>0</v>
      </c>
      <c r="P55" s="15">
        <f t="shared" si="5"/>
        <v>-5.8130081300813572</v>
      </c>
      <c r="Q55" s="91">
        <f t="shared" si="6"/>
        <v>0.96512195121951183</v>
      </c>
      <c r="R55" s="177">
        <f>Q61</f>
        <v>0.96664566277200159</v>
      </c>
      <c r="S55" s="21">
        <v>0.20833333333333334</v>
      </c>
      <c r="T55" s="21">
        <v>0.23680555555555557</v>
      </c>
      <c r="U55" s="88"/>
      <c r="V55" s="30">
        <f t="shared" ref="V55:V60" si="42">(T55-S55)*24*60</f>
        <v>41.000000000000014</v>
      </c>
      <c r="W55" s="21"/>
      <c r="X55" s="21"/>
      <c r="Y55" s="21"/>
      <c r="Z55" s="21"/>
      <c r="AA55" s="168"/>
      <c r="AB55" s="168"/>
      <c r="AC55" s="18">
        <v>6</v>
      </c>
      <c r="AD55" s="18"/>
      <c r="AE55" s="14">
        <f t="shared" ref="AE55:AE68" si="43">M55-J55</f>
        <v>-69.756097560976286</v>
      </c>
      <c r="AF55" s="91">
        <f t="shared" si="9"/>
        <v>0.96512195121951183</v>
      </c>
      <c r="AG55" s="177">
        <f>AF61</f>
        <v>0.9666456627720017</v>
      </c>
    </row>
    <row r="56" spans="1:33" ht="15.75" customHeight="1">
      <c r="A56" s="179" t="s">
        <v>858</v>
      </c>
      <c r="B56" s="88" t="s">
        <v>33</v>
      </c>
      <c r="C56" s="169" t="s">
        <v>47</v>
      </c>
      <c r="D56" s="169"/>
      <c r="E56" s="28">
        <v>34.36</v>
      </c>
      <c r="F56" s="29">
        <v>2232</v>
      </c>
      <c r="G56" s="88">
        <f t="shared" si="40"/>
        <v>76691.520000000004</v>
      </c>
      <c r="H56" s="30" t="s">
        <v>53</v>
      </c>
      <c r="I56" s="95">
        <v>10</v>
      </c>
      <c r="J56" s="13">
        <v>3000</v>
      </c>
      <c r="K56" s="12">
        <f t="shared" si="1"/>
        <v>300</v>
      </c>
      <c r="L56" s="95">
        <v>10</v>
      </c>
      <c r="M56" s="13">
        <f t="shared" si="41"/>
        <v>2911.304347826087</v>
      </c>
      <c r="N56" s="12">
        <f t="shared" si="3"/>
        <v>291.13043478260869</v>
      </c>
      <c r="O56" s="14">
        <f t="shared" si="4"/>
        <v>0</v>
      </c>
      <c r="P56" s="15">
        <f t="shared" si="5"/>
        <v>-8.8695652173913118</v>
      </c>
      <c r="Q56" s="91">
        <f t="shared" si="6"/>
        <v>0.97043478260869565</v>
      </c>
      <c r="R56" s="177"/>
      <c r="S56" s="21">
        <v>0.24236111111111114</v>
      </c>
      <c r="T56" s="21">
        <v>0.27430555555555558</v>
      </c>
      <c r="U56" s="88">
        <f t="shared" ref="U56:U60" si="44">(S56-T55)*24*60</f>
        <v>8.0000000000000107</v>
      </c>
      <c r="V56" s="30">
        <f t="shared" si="42"/>
        <v>46</v>
      </c>
      <c r="W56" s="88"/>
      <c r="X56" s="88"/>
      <c r="Y56" s="88"/>
      <c r="Z56" s="88"/>
      <c r="AA56" s="168"/>
      <c r="AB56" s="168"/>
      <c r="AC56" s="18"/>
      <c r="AD56" s="18"/>
      <c r="AE56" s="14">
        <f t="shared" si="43"/>
        <v>-88.695652173913004</v>
      </c>
      <c r="AF56" s="91">
        <f t="shared" si="9"/>
        <v>0.97043478260869565</v>
      </c>
      <c r="AG56" s="177"/>
    </row>
    <row r="57" spans="1:33" ht="15.75" customHeight="1">
      <c r="A57" s="179" t="s">
        <v>858</v>
      </c>
      <c r="B57" s="88" t="s">
        <v>33</v>
      </c>
      <c r="C57" s="169" t="s">
        <v>48</v>
      </c>
      <c r="D57" s="169"/>
      <c r="E57" s="28">
        <v>35.119999999999997</v>
      </c>
      <c r="F57" s="29">
        <v>5487</v>
      </c>
      <c r="G57" s="88">
        <f t="shared" si="40"/>
        <v>192703.43999999997</v>
      </c>
      <c r="H57" s="30" t="s">
        <v>53</v>
      </c>
      <c r="I57" s="95">
        <v>10</v>
      </c>
      <c r="J57" s="13">
        <v>3000</v>
      </c>
      <c r="K57" s="12">
        <f t="shared" si="1"/>
        <v>300</v>
      </c>
      <c r="L57" s="95">
        <v>10</v>
      </c>
      <c r="M57" s="13">
        <f t="shared" si="41"/>
        <v>2862.7826086956529</v>
      </c>
      <c r="N57" s="12">
        <f t="shared" si="3"/>
        <v>286.27826086956532</v>
      </c>
      <c r="O57" s="14">
        <f t="shared" si="4"/>
        <v>0</v>
      </c>
      <c r="P57" s="15">
        <f t="shared" si="5"/>
        <v>-13.721739130434685</v>
      </c>
      <c r="Q57" s="91">
        <f t="shared" si="6"/>
        <v>0.95426086956521772</v>
      </c>
      <c r="R57" s="177"/>
      <c r="S57" s="21">
        <v>0.27777777777777779</v>
      </c>
      <c r="T57" s="21">
        <v>0.3576388888888889</v>
      </c>
      <c r="U57" s="88">
        <f t="shared" si="44"/>
        <v>4.9999999999999822</v>
      </c>
      <c r="V57" s="30">
        <f t="shared" si="42"/>
        <v>114.99999999999999</v>
      </c>
      <c r="W57" s="88"/>
      <c r="X57" s="88"/>
      <c r="Y57" s="88"/>
      <c r="Z57" s="88"/>
      <c r="AA57" s="168"/>
      <c r="AB57" s="168"/>
      <c r="AC57" s="18"/>
      <c r="AD57" s="18"/>
      <c r="AE57" s="14">
        <f t="shared" si="43"/>
        <v>-137.21739130434707</v>
      </c>
      <c r="AF57" s="91">
        <f t="shared" si="9"/>
        <v>0.95426086956521761</v>
      </c>
      <c r="AG57" s="177"/>
    </row>
    <row r="58" spans="1:33" ht="15.75" customHeight="1">
      <c r="A58" s="179" t="s">
        <v>858</v>
      </c>
      <c r="B58" s="88" t="s">
        <v>33</v>
      </c>
      <c r="C58" s="169" t="s">
        <v>34</v>
      </c>
      <c r="D58" s="169"/>
      <c r="E58" s="28">
        <v>34.36</v>
      </c>
      <c r="F58" s="29">
        <v>1567</v>
      </c>
      <c r="G58" s="88">
        <f t="shared" si="40"/>
        <v>53842.12</v>
      </c>
      <c r="H58" s="30" t="s">
        <v>53</v>
      </c>
      <c r="I58" s="95">
        <v>10</v>
      </c>
      <c r="J58" s="13">
        <v>3000</v>
      </c>
      <c r="K58" s="12">
        <f t="shared" si="1"/>
        <v>300</v>
      </c>
      <c r="L58" s="95">
        <v>10</v>
      </c>
      <c r="M58" s="13">
        <f t="shared" si="41"/>
        <v>2938.1250000000036</v>
      </c>
      <c r="N58" s="12">
        <f t="shared" si="3"/>
        <v>293.81250000000034</v>
      </c>
      <c r="O58" s="14">
        <f t="shared" si="4"/>
        <v>0</v>
      </c>
      <c r="P58" s="15">
        <f t="shared" si="5"/>
        <v>-6.1874999999996589</v>
      </c>
      <c r="Q58" s="91">
        <f t="shared" si="6"/>
        <v>0.97937500000000111</v>
      </c>
      <c r="R58" s="177"/>
      <c r="S58" s="21">
        <v>0.36249999999999999</v>
      </c>
      <c r="T58" s="21">
        <v>0.38472222222222219</v>
      </c>
      <c r="U58" s="88">
        <f t="shared" si="44"/>
        <v>6.9999999999999751</v>
      </c>
      <c r="V58" s="30">
        <f t="shared" si="42"/>
        <v>31.999999999999964</v>
      </c>
      <c r="W58" s="88"/>
      <c r="X58" s="88"/>
      <c r="Y58" s="88"/>
      <c r="Z58" s="88"/>
      <c r="AA58" s="168"/>
      <c r="AB58" s="168"/>
      <c r="AC58" s="18"/>
      <c r="AD58" s="18"/>
      <c r="AE58" s="14">
        <f t="shared" si="43"/>
        <v>-61.874999999996362</v>
      </c>
      <c r="AF58" s="91">
        <f t="shared" si="9"/>
        <v>0.97937500000000122</v>
      </c>
      <c r="AG58" s="177"/>
    </row>
    <row r="59" spans="1:33">
      <c r="A59" s="180" t="s">
        <v>858</v>
      </c>
      <c r="B59" s="88" t="s">
        <v>33</v>
      </c>
      <c r="C59" s="169" t="s">
        <v>35</v>
      </c>
      <c r="D59" s="169"/>
      <c r="E59" s="28">
        <v>26.78</v>
      </c>
      <c r="F59" s="29">
        <v>2361</v>
      </c>
      <c r="G59" s="88">
        <f t="shared" si="40"/>
        <v>63227.58</v>
      </c>
      <c r="H59" s="30" t="s">
        <v>53</v>
      </c>
      <c r="I59" s="95">
        <v>10</v>
      </c>
      <c r="J59" s="13">
        <v>3000</v>
      </c>
      <c r="K59" s="12">
        <f t="shared" si="1"/>
        <v>300</v>
      </c>
      <c r="L59" s="95">
        <v>10</v>
      </c>
      <c r="M59" s="13">
        <f t="shared" si="41"/>
        <v>2891.0204081632664</v>
      </c>
      <c r="N59" s="12">
        <f t="shared" si="3"/>
        <v>289.10204081632662</v>
      </c>
      <c r="O59" s="14">
        <f t="shared" si="4"/>
        <v>0</v>
      </c>
      <c r="P59" s="15">
        <f t="shared" si="5"/>
        <v>-10.897959183673379</v>
      </c>
      <c r="Q59" s="91">
        <f t="shared" si="6"/>
        <v>0.96367346938775544</v>
      </c>
      <c r="R59" s="177"/>
      <c r="S59" s="21">
        <v>0.38888888888888884</v>
      </c>
      <c r="T59" s="21">
        <v>0.42291666666666661</v>
      </c>
      <c r="U59" s="88">
        <f t="shared" si="44"/>
        <v>5.9999999999999787</v>
      </c>
      <c r="V59" s="30">
        <f t="shared" si="42"/>
        <v>48.999999999999986</v>
      </c>
      <c r="W59" s="16"/>
      <c r="X59" s="16"/>
      <c r="Y59" s="16"/>
      <c r="Z59" s="16"/>
      <c r="AA59" s="168"/>
      <c r="AB59" s="168"/>
      <c r="AC59" s="18"/>
      <c r="AD59" s="18"/>
      <c r="AE59" s="14">
        <f t="shared" si="43"/>
        <v>-108.97959183673356</v>
      </c>
      <c r="AF59" s="91">
        <f t="shared" si="9"/>
        <v>0.96367346938775544</v>
      </c>
      <c r="AG59" s="177"/>
    </row>
    <row r="60" spans="1:33" ht="15" customHeight="1">
      <c r="A60" s="180" t="s">
        <v>858</v>
      </c>
      <c r="B60" s="88" t="s">
        <v>33</v>
      </c>
      <c r="C60" s="170" t="s">
        <v>71</v>
      </c>
      <c r="D60" s="171"/>
      <c r="E60" s="28">
        <v>28.3</v>
      </c>
      <c r="F60" s="29">
        <v>1933</v>
      </c>
      <c r="G60" s="88">
        <f t="shared" si="40"/>
        <v>54703.9</v>
      </c>
      <c r="H60" s="30" t="s">
        <v>53</v>
      </c>
      <c r="I60" s="95">
        <v>8</v>
      </c>
      <c r="J60" s="13">
        <v>3000</v>
      </c>
      <c r="K60" s="12">
        <f t="shared" si="1"/>
        <v>375</v>
      </c>
      <c r="L60" s="95">
        <v>8</v>
      </c>
      <c r="M60" s="13">
        <f t="shared" si="41"/>
        <v>2899.4999999999991</v>
      </c>
      <c r="N60" s="12">
        <f t="shared" si="3"/>
        <v>362.43749999999989</v>
      </c>
      <c r="O60" s="14">
        <f t="shared" si="4"/>
        <v>0</v>
      </c>
      <c r="P60" s="15">
        <f t="shared" si="5"/>
        <v>-12.562500000000114</v>
      </c>
      <c r="Q60" s="91">
        <f t="shared" si="6"/>
        <v>0.96649999999999969</v>
      </c>
      <c r="R60" s="177"/>
      <c r="S60" s="21">
        <v>0.42638888888888882</v>
      </c>
      <c r="T60" s="21">
        <v>0.45416666666666661</v>
      </c>
      <c r="U60" s="88">
        <f t="shared" si="44"/>
        <v>4.9999999999999822</v>
      </c>
      <c r="V60" s="30">
        <f t="shared" si="42"/>
        <v>40.000000000000014</v>
      </c>
      <c r="W60" s="88"/>
      <c r="X60" s="88"/>
      <c r="Y60" s="98"/>
      <c r="Z60" s="98"/>
      <c r="AA60" s="172"/>
      <c r="AB60" s="173"/>
      <c r="AC60" s="18"/>
      <c r="AD60" s="18"/>
      <c r="AE60" s="14">
        <f t="shared" si="43"/>
        <v>-100.50000000000091</v>
      </c>
      <c r="AF60" s="91">
        <f t="shared" si="9"/>
        <v>0.96649999999999969</v>
      </c>
      <c r="AG60" s="177"/>
    </row>
    <row r="61" spans="1:33">
      <c r="A61" s="180" t="s">
        <v>858</v>
      </c>
      <c r="B61" s="28" t="s">
        <v>851</v>
      </c>
      <c r="C61" s="178"/>
      <c r="D61" s="178"/>
      <c r="E61" s="92"/>
      <c r="F61" s="12"/>
      <c r="G61" s="12"/>
      <c r="H61" s="88"/>
      <c r="I61" s="23">
        <v>10</v>
      </c>
      <c r="J61" s="13">
        <v>2833.3333333333335</v>
      </c>
      <c r="K61" s="12">
        <f t="shared" si="1"/>
        <v>283.33333333333337</v>
      </c>
      <c r="L61" s="23">
        <v>10</v>
      </c>
      <c r="M61" s="13">
        <f>AVERAGE(M55:M60)</f>
        <v>2738.8293778540051</v>
      </c>
      <c r="N61" s="12">
        <f t="shared" si="3"/>
        <v>273.88293778540049</v>
      </c>
      <c r="O61" s="14">
        <f t="shared" si="4"/>
        <v>0</v>
      </c>
      <c r="P61" s="15">
        <f t="shared" si="5"/>
        <v>-9.4503955479328852</v>
      </c>
      <c r="Q61" s="91">
        <f t="shared" si="6"/>
        <v>0.96664566277200159</v>
      </c>
      <c r="R61" s="177"/>
      <c r="S61" s="21"/>
      <c r="T61" s="21"/>
      <c r="U61" s="12"/>
      <c r="V61" s="30"/>
      <c r="W61" s="12"/>
      <c r="X61" s="12"/>
      <c r="Y61" s="24">
        <f>SUM(Y55:Y60)</f>
        <v>0</v>
      </c>
      <c r="Z61" s="24">
        <f>SUM(Z55:Z60)</f>
        <v>0</v>
      </c>
      <c r="AA61" s="167"/>
      <c r="AB61" s="167"/>
      <c r="AC61" s="24">
        <f>SUM(AC55:AC60)</f>
        <v>6</v>
      </c>
      <c r="AD61" s="24">
        <f>SUM(AD55:AD60)</f>
        <v>0</v>
      </c>
      <c r="AE61" s="14">
        <f t="shared" si="43"/>
        <v>-94.503955479328397</v>
      </c>
      <c r="AF61" s="91">
        <f t="shared" si="9"/>
        <v>0.9666456627720017</v>
      </c>
      <c r="AG61" s="177"/>
    </row>
    <row r="62" spans="1:33" ht="15.75" customHeight="1">
      <c r="A62" s="174" t="s">
        <v>859</v>
      </c>
      <c r="B62" s="88" t="s">
        <v>22</v>
      </c>
      <c r="C62" s="169" t="s">
        <v>49</v>
      </c>
      <c r="D62" s="169"/>
      <c r="E62" s="28">
        <v>20.2</v>
      </c>
      <c r="F62" s="88">
        <v>2165</v>
      </c>
      <c r="G62" s="88">
        <f t="shared" ref="G62:G67" si="45">E62*F62</f>
        <v>43733</v>
      </c>
      <c r="H62" s="30" t="s">
        <v>53</v>
      </c>
      <c r="I62" s="95">
        <v>15</v>
      </c>
      <c r="J62" s="13">
        <v>2400</v>
      </c>
      <c r="K62" s="12">
        <f t="shared" si="1"/>
        <v>160</v>
      </c>
      <c r="L62" s="95">
        <v>15</v>
      </c>
      <c r="M62" s="13">
        <f t="shared" ref="M62:M67" si="46">F62/V62*60</f>
        <v>2319.6428571428569</v>
      </c>
      <c r="N62" s="12">
        <f t="shared" si="3"/>
        <v>154.64285714285714</v>
      </c>
      <c r="O62" s="14">
        <f t="shared" si="4"/>
        <v>0</v>
      </c>
      <c r="P62" s="15">
        <f t="shared" si="5"/>
        <v>-5.3571428571428612</v>
      </c>
      <c r="Q62" s="91">
        <f t="shared" si="6"/>
        <v>0.9665178571428571</v>
      </c>
      <c r="R62" s="177">
        <f>Q68</f>
        <v>0.95607468269900953</v>
      </c>
      <c r="S62" s="21">
        <v>8.3333333333333329E-2</v>
      </c>
      <c r="T62" s="21">
        <v>0.12222222222222222</v>
      </c>
      <c r="U62" s="21"/>
      <c r="V62" s="30">
        <f t="shared" ref="V62:V67" si="47">(T62-S62)*24*60</f>
        <v>56</v>
      </c>
      <c r="W62" s="16">
        <f>T62</f>
        <v>0.12222222222222222</v>
      </c>
      <c r="X62" s="16">
        <f>S63</f>
        <v>0.1423611111111111</v>
      </c>
      <c r="Y62" s="16"/>
      <c r="Z62" s="16"/>
      <c r="AA62" s="168"/>
      <c r="AB62" s="168"/>
      <c r="AC62" s="18">
        <v>6</v>
      </c>
      <c r="AD62" s="18"/>
      <c r="AE62" s="14">
        <f t="shared" si="43"/>
        <v>-80.357142857143117</v>
      </c>
      <c r="AF62" s="91">
        <f t="shared" si="9"/>
        <v>0.96651785714285698</v>
      </c>
      <c r="AG62" s="177">
        <f>AF68</f>
        <v>0.95607468269900953</v>
      </c>
    </row>
    <row r="63" spans="1:33" ht="15.75" customHeight="1">
      <c r="A63" s="175" t="s">
        <v>859</v>
      </c>
      <c r="B63" s="88" t="s">
        <v>22</v>
      </c>
      <c r="C63" s="169" t="s">
        <v>50</v>
      </c>
      <c r="D63" s="169"/>
      <c r="E63" s="28">
        <v>24.45</v>
      </c>
      <c r="F63" s="88">
        <v>2592</v>
      </c>
      <c r="G63" s="88">
        <f t="shared" si="45"/>
        <v>63374.400000000001</v>
      </c>
      <c r="H63" s="30" t="s">
        <v>53</v>
      </c>
      <c r="I63" s="95">
        <v>19</v>
      </c>
      <c r="J63" s="13">
        <v>2400</v>
      </c>
      <c r="K63" s="12">
        <f t="shared" si="1"/>
        <v>126.31578947368421</v>
      </c>
      <c r="L63" s="95">
        <v>19</v>
      </c>
      <c r="M63" s="13">
        <f t="shared" si="46"/>
        <v>2287.0588235294117</v>
      </c>
      <c r="N63" s="12">
        <f t="shared" si="3"/>
        <v>120.37151702786377</v>
      </c>
      <c r="O63" s="14">
        <f t="shared" si="4"/>
        <v>0</v>
      </c>
      <c r="P63" s="15">
        <f t="shared" si="5"/>
        <v>-5.944272445820431</v>
      </c>
      <c r="Q63" s="91">
        <f t="shared" si="6"/>
        <v>0.95294117647058829</v>
      </c>
      <c r="R63" s="177"/>
      <c r="S63" s="21">
        <v>0.1423611111111111</v>
      </c>
      <c r="T63" s="21">
        <v>0.18958333333333333</v>
      </c>
      <c r="U63" s="88">
        <f t="shared" ref="U63:U67" si="48">(S63-T62)*24*60</f>
        <v>28.999999999999996</v>
      </c>
      <c r="V63" s="30">
        <f t="shared" si="47"/>
        <v>68</v>
      </c>
      <c r="W63" s="16"/>
      <c r="X63" s="16"/>
      <c r="Y63" s="16"/>
      <c r="Z63" s="16"/>
      <c r="AA63" s="168"/>
      <c r="AB63" s="168"/>
      <c r="AC63" s="18"/>
      <c r="AD63" s="18"/>
      <c r="AE63" s="14">
        <f t="shared" si="43"/>
        <v>-112.94117647058829</v>
      </c>
      <c r="AF63" s="91">
        <f t="shared" si="9"/>
        <v>0.95294117647058818</v>
      </c>
      <c r="AG63" s="177"/>
    </row>
    <row r="64" spans="1:33" ht="15.75" customHeight="1">
      <c r="A64" s="175" t="s">
        <v>859</v>
      </c>
      <c r="B64" s="88" t="s">
        <v>22</v>
      </c>
      <c r="C64" s="169" t="s">
        <v>31</v>
      </c>
      <c r="D64" s="169"/>
      <c r="E64" s="28">
        <v>20.21</v>
      </c>
      <c r="F64" s="88">
        <v>2706</v>
      </c>
      <c r="G64" s="88">
        <f t="shared" si="45"/>
        <v>54688.26</v>
      </c>
      <c r="H64" s="30" t="s">
        <v>53</v>
      </c>
      <c r="I64" s="95">
        <v>15</v>
      </c>
      <c r="J64" s="13">
        <v>2400</v>
      </c>
      <c r="K64" s="12">
        <f t="shared" si="1"/>
        <v>160</v>
      </c>
      <c r="L64" s="95">
        <v>15</v>
      </c>
      <c r="M64" s="13">
        <f t="shared" si="46"/>
        <v>2286.7605633802823</v>
      </c>
      <c r="N64" s="12">
        <f t="shared" si="3"/>
        <v>152.45070422535215</v>
      </c>
      <c r="O64" s="14">
        <f t="shared" si="4"/>
        <v>0</v>
      </c>
      <c r="P64" s="15">
        <f t="shared" si="5"/>
        <v>-7.5492957746478453</v>
      </c>
      <c r="Q64" s="91">
        <f t="shared" si="6"/>
        <v>0.95281690140845099</v>
      </c>
      <c r="R64" s="177"/>
      <c r="S64" s="21">
        <v>0.19444444444444445</v>
      </c>
      <c r="T64" s="21">
        <v>0.24374999999999999</v>
      </c>
      <c r="U64" s="88">
        <f t="shared" si="48"/>
        <v>7.0000000000000151</v>
      </c>
      <c r="V64" s="30">
        <f t="shared" si="47"/>
        <v>70.999999999999986</v>
      </c>
      <c r="W64" s="16"/>
      <c r="X64" s="16"/>
      <c r="Y64" s="16"/>
      <c r="Z64" s="16"/>
      <c r="AA64" s="168"/>
      <c r="AB64" s="168"/>
      <c r="AC64" s="18"/>
      <c r="AD64" s="18"/>
      <c r="AE64" s="14">
        <f t="shared" si="43"/>
        <v>-113.23943661971771</v>
      </c>
      <c r="AF64" s="91">
        <f t="shared" si="9"/>
        <v>0.95281690140845099</v>
      </c>
      <c r="AG64" s="177"/>
    </row>
    <row r="65" spans="1:33" ht="15.75" customHeight="1">
      <c r="A65" s="175" t="s">
        <v>859</v>
      </c>
      <c r="B65" s="88" t="s">
        <v>22</v>
      </c>
      <c r="C65" s="169" t="s">
        <v>51</v>
      </c>
      <c r="D65" s="169"/>
      <c r="E65" s="28">
        <v>24.43</v>
      </c>
      <c r="F65" s="88">
        <v>6671</v>
      </c>
      <c r="G65" s="88">
        <f t="shared" si="45"/>
        <v>162972.53</v>
      </c>
      <c r="H65" s="30" t="s">
        <v>53</v>
      </c>
      <c r="I65" s="95">
        <v>14</v>
      </c>
      <c r="J65" s="13">
        <v>2400</v>
      </c>
      <c r="K65" s="12">
        <f t="shared" si="1"/>
        <v>171.42857142857142</v>
      </c>
      <c r="L65" s="95">
        <v>14</v>
      </c>
      <c r="M65" s="13">
        <f t="shared" si="46"/>
        <v>2287.1999999999994</v>
      </c>
      <c r="N65" s="12">
        <f t="shared" si="3"/>
        <v>163.37142857142854</v>
      </c>
      <c r="O65" s="14">
        <f t="shared" si="4"/>
        <v>0</v>
      </c>
      <c r="P65" s="15">
        <f t="shared" si="5"/>
        <v>-8.0571428571428783</v>
      </c>
      <c r="Q65" s="91">
        <f t="shared" si="6"/>
        <v>0.95299999999999985</v>
      </c>
      <c r="R65" s="177"/>
      <c r="S65" s="21">
        <v>0.24930555555555556</v>
      </c>
      <c r="T65" s="21">
        <v>0.37083333333333335</v>
      </c>
      <c r="U65" s="88">
        <f t="shared" si="48"/>
        <v>8.0000000000000107</v>
      </c>
      <c r="V65" s="30">
        <f t="shared" si="47"/>
        <v>175.00000000000003</v>
      </c>
      <c r="W65" s="16"/>
      <c r="X65" s="16"/>
      <c r="Y65" s="16"/>
      <c r="Z65" s="16"/>
      <c r="AA65" s="168"/>
      <c r="AB65" s="168"/>
      <c r="AC65" s="18"/>
      <c r="AD65" s="18"/>
      <c r="AE65" s="14">
        <f t="shared" si="43"/>
        <v>-112.80000000000064</v>
      </c>
      <c r="AF65" s="91">
        <f t="shared" si="9"/>
        <v>0.95299999999999974</v>
      </c>
      <c r="AG65" s="177"/>
    </row>
    <row r="66" spans="1:33" ht="15.75" customHeight="1">
      <c r="A66" s="175" t="s">
        <v>859</v>
      </c>
      <c r="B66" s="88" t="s">
        <v>22</v>
      </c>
      <c r="C66" s="169" t="s">
        <v>52</v>
      </c>
      <c r="D66" s="169"/>
      <c r="E66" s="28">
        <v>19.02</v>
      </c>
      <c r="F66" s="88">
        <v>5600</v>
      </c>
      <c r="G66" s="88">
        <f t="shared" si="45"/>
        <v>106512</v>
      </c>
      <c r="H66" s="30">
        <v>2</v>
      </c>
      <c r="I66" s="95">
        <v>14</v>
      </c>
      <c r="J66" s="13">
        <v>2400</v>
      </c>
      <c r="K66" s="12">
        <f t="shared" si="1"/>
        <v>171.42857142857142</v>
      </c>
      <c r="L66" s="95">
        <v>14</v>
      </c>
      <c r="M66" s="13">
        <f t="shared" si="46"/>
        <v>2285.7142857142853</v>
      </c>
      <c r="N66" s="12">
        <f t="shared" si="3"/>
        <v>163.26530612244895</v>
      </c>
      <c r="O66" s="14">
        <f t="shared" si="4"/>
        <v>0</v>
      </c>
      <c r="P66" s="15">
        <f t="shared" si="5"/>
        <v>-8.1632653061224687</v>
      </c>
      <c r="Q66" s="91">
        <f t="shared" si="6"/>
        <v>0.95238095238095222</v>
      </c>
      <c r="R66" s="177"/>
      <c r="S66" s="21">
        <v>0.375</v>
      </c>
      <c r="T66" s="21">
        <v>0.47708333333333336</v>
      </c>
      <c r="U66" s="88">
        <f t="shared" si="48"/>
        <v>5.9999999999999787</v>
      </c>
      <c r="V66" s="30">
        <f t="shared" si="47"/>
        <v>147.00000000000003</v>
      </c>
      <c r="W66" s="16">
        <f>T66</f>
        <v>0.47708333333333336</v>
      </c>
      <c r="X66" s="16">
        <f>S67</f>
        <v>0.51805555555555549</v>
      </c>
      <c r="Y66" s="16"/>
      <c r="Z66" s="16"/>
      <c r="AA66" s="168"/>
      <c r="AB66" s="168"/>
      <c r="AC66" s="18"/>
      <c r="AD66" s="18"/>
      <c r="AE66" s="14">
        <f t="shared" si="43"/>
        <v>-114.28571428571468</v>
      </c>
      <c r="AF66" s="91">
        <f t="shared" si="9"/>
        <v>0.95238095238095222</v>
      </c>
      <c r="AG66" s="177"/>
    </row>
    <row r="67" spans="1:33" ht="15.75" customHeight="1">
      <c r="A67" s="175" t="s">
        <v>859</v>
      </c>
      <c r="B67" s="88" t="s">
        <v>22</v>
      </c>
      <c r="C67" s="169" t="s">
        <v>52</v>
      </c>
      <c r="D67" s="169"/>
      <c r="E67" s="28">
        <v>19.02</v>
      </c>
      <c r="F67" s="88">
        <v>3490</v>
      </c>
      <c r="G67" s="88">
        <f t="shared" si="45"/>
        <v>66379.8</v>
      </c>
      <c r="H67" s="30" t="s">
        <v>53</v>
      </c>
      <c r="I67" s="95">
        <v>14</v>
      </c>
      <c r="J67" s="13">
        <v>2400</v>
      </c>
      <c r="K67" s="12">
        <f t="shared" si="1"/>
        <v>171.42857142857142</v>
      </c>
      <c r="L67" s="95">
        <v>14</v>
      </c>
      <c r="M67" s="13">
        <f t="shared" si="46"/>
        <v>2301.098901098901</v>
      </c>
      <c r="N67" s="12">
        <f t="shared" si="3"/>
        <v>164.36420722135009</v>
      </c>
      <c r="O67" s="14">
        <f t="shared" si="4"/>
        <v>0</v>
      </c>
      <c r="P67" s="15">
        <f t="shared" si="5"/>
        <v>-7.0643642072213311</v>
      </c>
      <c r="Q67" s="91">
        <f t="shared" si="6"/>
        <v>0.95879120879120894</v>
      </c>
      <c r="R67" s="177"/>
      <c r="S67" s="21">
        <v>0.51805555555555549</v>
      </c>
      <c r="T67" s="21">
        <v>0.58124999999999993</v>
      </c>
      <c r="U67" s="88">
        <f t="shared" si="48"/>
        <v>58.999999999999872</v>
      </c>
      <c r="V67" s="30">
        <f t="shared" si="47"/>
        <v>91</v>
      </c>
      <c r="W67" s="16"/>
      <c r="X67" s="16"/>
      <c r="Y67" s="16"/>
      <c r="Z67" s="16"/>
      <c r="AA67" s="168"/>
      <c r="AB67" s="168"/>
      <c r="AC67" s="18"/>
      <c r="AD67" s="18"/>
      <c r="AE67" s="14">
        <f t="shared" si="43"/>
        <v>-98.901098901098976</v>
      </c>
      <c r="AF67" s="91">
        <f t="shared" si="9"/>
        <v>0.95879120879120872</v>
      </c>
      <c r="AG67" s="177"/>
    </row>
    <row r="68" spans="1:33" ht="16.5" customHeight="1">
      <c r="A68" s="176" t="s">
        <v>859</v>
      </c>
      <c r="B68" s="28" t="s">
        <v>851</v>
      </c>
      <c r="C68" s="165"/>
      <c r="D68" s="166"/>
      <c r="E68" s="92"/>
      <c r="F68" s="12"/>
      <c r="G68" s="12"/>
      <c r="H68" s="88"/>
      <c r="I68" s="23">
        <v>15.166666666666666</v>
      </c>
      <c r="J68" s="13">
        <v>2400</v>
      </c>
      <c r="K68" s="12">
        <f t="shared" si="1"/>
        <v>158.24175824175825</v>
      </c>
      <c r="L68" s="23">
        <v>15.166666666666666</v>
      </c>
      <c r="M68" s="13">
        <f>AVERAGE(M62:M67)</f>
        <v>2294.5792384776228</v>
      </c>
      <c r="N68" s="12">
        <f t="shared" si="3"/>
        <v>151.29093880072239</v>
      </c>
      <c r="O68" s="14">
        <f t="shared" si="4"/>
        <v>0</v>
      </c>
      <c r="P68" s="15">
        <f t="shared" si="5"/>
        <v>-6.9508194410358612</v>
      </c>
      <c r="Q68" s="91">
        <f t="shared" si="6"/>
        <v>0.95607468269900953</v>
      </c>
      <c r="R68" s="177"/>
      <c r="S68" s="21"/>
      <c r="T68" s="21"/>
      <c r="U68" s="12"/>
      <c r="V68" s="30"/>
      <c r="W68" s="12"/>
      <c r="X68" s="12"/>
      <c r="Y68" s="24">
        <f>SUM(Y62:Y67)</f>
        <v>0</v>
      </c>
      <c r="Z68" s="24">
        <f>SUM(Z62:Z67)</f>
        <v>0</v>
      </c>
      <c r="AA68" s="167"/>
      <c r="AB68" s="167"/>
      <c r="AC68" s="24">
        <f>SUM(AC62:AC67)</f>
        <v>6</v>
      </c>
      <c r="AD68" s="24">
        <f>SUM(AD62:AD67)</f>
        <v>0</v>
      </c>
      <c r="AE68" s="14">
        <f t="shared" si="43"/>
        <v>-105.42076152237723</v>
      </c>
      <c r="AF68" s="91">
        <f t="shared" si="9"/>
        <v>0.95607468269900953</v>
      </c>
      <c r="AG68" s="177"/>
    </row>
    <row r="69" spans="1:33">
      <c r="D69" s="87"/>
      <c r="E69" s="87"/>
    </row>
  </sheetData>
  <mergeCells count="189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18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18:D18"/>
    <mergeCell ref="AA18:AB18"/>
    <mergeCell ref="A19:A26"/>
    <mergeCell ref="C19:D19"/>
    <mergeCell ref="R19:R26"/>
    <mergeCell ref="AA19:AB19"/>
    <mergeCell ref="AA24:AB24"/>
    <mergeCell ref="A13:A18"/>
    <mergeCell ref="C13:D13"/>
    <mergeCell ref="R13:R18"/>
    <mergeCell ref="AA13:AB13"/>
    <mergeCell ref="AG19:AG26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C25:D25"/>
    <mergeCell ref="AA25:AB25"/>
    <mergeCell ref="C26:D26"/>
    <mergeCell ref="AA26:AB26"/>
    <mergeCell ref="AG34:AG41"/>
    <mergeCell ref="C35:D35"/>
    <mergeCell ref="AA35:AB35"/>
    <mergeCell ref="C36:D36"/>
    <mergeCell ref="AA36:AB36"/>
    <mergeCell ref="AG27:AG33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C37:D37"/>
    <mergeCell ref="AA37:AB37"/>
    <mergeCell ref="C38:D38"/>
    <mergeCell ref="AA38:AB38"/>
    <mergeCell ref="C39:D39"/>
    <mergeCell ref="AA39:AB39"/>
    <mergeCell ref="AA33:AB33"/>
    <mergeCell ref="A34:A41"/>
    <mergeCell ref="C34:D34"/>
    <mergeCell ref="R34:R41"/>
    <mergeCell ref="AA34:AB34"/>
    <mergeCell ref="C40:D40"/>
    <mergeCell ref="AA40:AB40"/>
    <mergeCell ref="C41:D41"/>
    <mergeCell ref="AA41:AB41"/>
    <mergeCell ref="A27:A33"/>
    <mergeCell ref="C27:D27"/>
    <mergeCell ref="R27:R33"/>
    <mergeCell ref="AA27:AB27"/>
    <mergeCell ref="AA32:AB32"/>
    <mergeCell ref="C33:D33"/>
    <mergeCell ref="A42:A47"/>
    <mergeCell ref="C42:D42"/>
    <mergeCell ref="R42:R47"/>
    <mergeCell ref="AA42:AB42"/>
    <mergeCell ref="AA47:AB47"/>
    <mergeCell ref="AG48:AG54"/>
    <mergeCell ref="C49:D49"/>
    <mergeCell ref="AA49:AB49"/>
    <mergeCell ref="C50:D50"/>
    <mergeCell ref="AA50:AB50"/>
    <mergeCell ref="AA51:AB51"/>
    <mergeCell ref="AG42:AG47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C47:D47"/>
    <mergeCell ref="AA52:AB52"/>
    <mergeCell ref="C53:D53"/>
    <mergeCell ref="AA53:AB53"/>
    <mergeCell ref="C54:D54"/>
    <mergeCell ref="AA54:AB54"/>
    <mergeCell ref="A55:A61"/>
    <mergeCell ref="C55:D55"/>
    <mergeCell ref="R55:R61"/>
    <mergeCell ref="AA55:AB55"/>
    <mergeCell ref="AA60:AB60"/>
    <mergeCell ref="A48:A54"/>
    <mergeCell ref="C48:D48"/>
    <mergeCell ref="R48:R54"/>
    <mergeCell ref="AA48:AB48"/>
    <mergeCell ref="AG55:AG61"/>
    <mergeCell ref="C56:D56"/>
    <mergeCell ref="AA56:AB56"/>
    <mergeCell ref="C57:D57"/>
    <mergeCell ref="AA57:AB57"/>
    <mergeCell ref="C58:D58"/>
    <mergeCell ref="AA58:AB58"/>
    <mergeCell ref="C59:D59"/>
    <mergeCell ref="AA59:AB59"/>
    <mergeCell ref="C60:D60"/>
    <mergeCell ref="C61:D61"/>
    <mergeCell ref="AA61:AB61"/>
    <mergeCell ref="A62:A68"/>
    <mergeCell ref="C62:D62"/>
    <mergeCell ref="R62:R68"/>
    <mergeCell ref="AA62:AB62"/>
    <mergeCell ref="AA67:AB67"/>
    <mergeCell ref="C68:D68"/>
    <mergeCell ref="AA68:AB68"/>
    <mergeCell ref="AG62:AG68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</mergeCells>
  <phoneticPr fontId="3" type="noConversion"/>
  <conditionalFormatting sqref="O5:O68">
    <cfRule type="cellIs" dxfId="62" priority="9" operator="greaterThan">
      <formula>0</formula>
    </cfRule>
  </conditionalFormatting>
  <conditionalFormatting sqref="P5:P68">
    <cfRule type="cellIs" dxfId="61" priority="1" operator="lessThan">
      <formula>0</formula>
    </cfRule>
  </conditionalFormatting>
  <conditionalFormatting sqref="Q5:Q68 AF5:AF68">
    <cfRule type="cellIs" dxfId="60" priority="10" operator="greaterThan">
      <formula>1</formula>
    </cfRule>
    <cfRule type="cellIs" dxfId="59" priority="11" operator="lessThan">
      <formula>0.8</formula>
    </cfRule>
  </conditionalFormatting>
  <conditionalFormatting sqref="R5:R9 AG5:AG9">
    <cfRule type="cellIs" dxfId="58" priority="44" operator="lessThan">
      <formula>0.8</formula>
    </cfRule>
  </conditionalFormatting>
  <conditionalFormatting sqref="AE5:AE68">
    <cfRule type="cellIs" dxfId="57" priority="12" operator="lessThan">
      <formula>0</formula>
    </cfRule>
  </conditionalFormatting>
  <conditionalFormatting sqref="AG13:AG58 R13:R68">
    <cfRule type="cellIs" dxfId="56" priority="13" operator="lessThan">
      <formula>0.8</formula>
    </cfRule>
  </conditionalFormatting>
  <dataValidations count="1">
    <dataValidation type="list" allowBlank="1" showInputMessage="1" showErrorMessage="1" sqref="AB8 AA5:AB7 AB59:AB60 AA8:AA60 AB10:AB55 AA61:AB68" xr:uid="{00000000-0002-0000-2D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1:Q32"/>
  <sheetViews>
    <sheetView zoomScale="85" zoomScaleNormal="85" workbookViewId="0">
      <selection activeCell="H12" sqref="H12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690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691</v>
      </c>
      <c r="C3" s="154" t="str">
        <f>TEXT('0407 4度C'!A2,"yyyy.mm.ddaaaa")</f>
        <v>2026.04.07星期二</v>
      </c>
      <c r="D3" s="155"/>
      <c r="E3" s="33" t="s">
        <v>178</v>
      </c>
      <c r="F3" s="156">
        <f>'0407 4度C'!D1</f>
        <v>171106</v>
      </c>
      <c r="G3" s="157"/>
      <c r="H3" s="33" t="s">
        <v>595</v>
      </c>
      <c r="I3" s="158">
        <f>'0407 4度C'!F1</f>
        <v>5751262.9000000013</v>
      </c>
      <c r="J3" s="159"/>
      <c r="K3" s="34"/>
      <c r="L3" s="35"/>
      <c r="M3" s="35"/>
      <c r="N3" s="35"/>
    </row>
    <row r="4" spans="2:17" ht="28.5" customHeight="1">
      <c r="B4" s="160" t="s">
        <v>79</v>
      </c>
      <c r="C4" s="146" t="s">
        <v>692</v>
      </c>
      <c r="D4" s="147"/>
      <c r="E4" s="163" t="s">
        <v>693</v>
      </c>
      <c r="F4" s="164"/>
      <c r="G4" s="163" t="s">
        <v>290</v>
      </c>
      <c r="H4" s="164"/>
      <c r="I4" s="163" t="s">
        <v>694</v>
      </c>
      <c r="J4" s="164"/>
      <c r="K4" s="144" t="s">
        <v>695</v>
      </c>
      <c r="L4" s="145"/>
      <c r="M4" s="145" t="s">
        <v>85</v>
      </c>
      <c r="N4" s="145"/>
    </row>
    <row r="5" spans="2:17" ht="28.5" customHeight="1">
      <c r="B5" s="161"/>
      <c r="C5" s="146" t="s">
        <v>293</v>
      </c>
      <c r="D5" s="147"/>
      <c r="E5" s="146" t="s">
        <v>87</v>
      </c>
      <c r="F5" s="147"/>
      <c r="G5" s="148" t="s">
        <v>88</v>
      </c>
      <c r="H5" s="149"/>
      <c r="I5" s="150" t="s">
        <v>696</v>
      </c>
      <c r="J5" s="151"/>
      <c r="K5" s="36" t="s">
        <v>90</v>
      </c>
      <c r="L5" s="37" t="s">
        <v>192</v>
      </c>
      <c r="M5" s="36" t="s">
        <v>697</v>
      </c>
      <c r="N5" s="37" t="s">
        <v>698</v>
      </c>
    </row>
    <row r="6" spans="2:17" ht="28.5" customHeight="1">
      <c r="B6" s="161"/>
      <c r="C6" s="146" t="s">
        <v>54</v>
      </c>
      <c r="D6" s="147"/>
      <c r="E6" s="138">
        <f>AVERAGE(D13:M13)</f>
        <v>155.20909652912715</v>
      </c>
      <c r="F6" s="139">
        <f>AVERAGE(D31:O31,D13:J13)</f>
        <v>161.22001659148887</v>
      </c>
      <c r="G6" s="140">
        <f>AVERAGE(D13:J13)</f>
        <v>161.22001659148887</v>
      </c>
      <c r="H6" s="141"/>
      <c r="I6" s="140">
        <f>AVERAGE(K13:M13)</f>
        <v>141.1836163836164</v>
      </c>
      <c r="J6" s="141"/>
      <c r="K6" s="142">
        <f>'0407 4度C'!Y2</f>
        <v>0</v>
      </c>
      <c r="L6" s="127">
        <f>'0407 4度C'!Z2</f>
        <v>0</v>
      </c>
      <c r="M6" s="143">
        <f>'0407 4度C'!AC2</f>
        <v>56</v>
      </c>
      <c r="N6" s="127">
        <f>'0407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148.47091427853442</v>
      </c>
      <c r="F7" s="131">
        <f>AVERAGE(D32:O32,D14:J14)</f>
        <v>154.38628621133188</v>
      </c>
      <c r="G7" s="132">
        <f>AVERAGE(D14:J14)</f>
        <v>154.38628621133188</v>
      </c>
      <c r="H7" s="133"/>
      <c r="I7" s="132">
        <f>AVERAGE(K14:M14)</f>
        <v>134.66837976867376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0.95589651847770685</v>
      </c>
      <c r="F8" s="135">
        <f>AVERAGE(D15:J15,D33:O33)</f>
        <v>0.95673819230602763</v>
      </c>
      <c r="G8" s="136">
        <f>AVERAGE(D15:J15)</f>
        <v>0.95673819230602763</v>
      </c>
      <c r="H8" s="137"/>
      <c r="I8" s="136">
        <f>AVERAGE(K15:M15)</f>
        <v>0.95393261287829223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93</v>
      </c>
      <c r="N9" s="35"/>
      <c r="O9" s="35"/>
      <c r="P9" s="35"/>
      <c r="Q9" s="35"/>
    </row>
    <row r="10" spans="2:17" ht="30" customHeight="1">
      <c r="B10" s="110" t="s">
        <v>196</v>
      </c>
      <c r="C10" s="111"/>
      <c r="D10" s="112" t="s">
        <v>399</v>
      </c>
      <c r="E10" s="113"/>
      <c r="F10" s="113"/>
      <c r="G10" s="113"/>
      <c r="H10" s="113"/>
      <c r="I10" s="113"/>
      <c r="J10" s="114"/>
      <c r="K10" s="115" t="s">
        <v>95</v>
      </c>
      <c r="L10" s="116"/>
      <c r="M10" s="117"/>
      <c r="P10" s="41"/>
      <c r="Q10" s="41"/>
    </row>
    <row r="11" spans="2:17" ht="17.25" customHeight="1">
      <c r="B11" s="118" t="s">
        <v>96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305</v>
      </c>
      <c r="C13" s="48" t="s">
        <v>98</v>
      </c>
      <c r="D13" s="49">
        <f>SUMIFS('0407 4度C'!$K:$K,'0407 4度C'!$A:$A,"新豐6線",'0407 4度C'!$B:$B,"平均")</f>
        <v>111.11111111111111</v>
      </c>
      <c r="E13" s="50">
        <f>SUMIFS('0407 4度C'!$K:$K,'0407 4度C'!$A:$A,"新豐2線",'0407 4度C'!$B:$B,"平均")</f>
        <v>84.905660377358487</v>
      </c>
      <c r="F13" s="51">
        <f>SUMIFS('0407 4度C'!$K:$K,'0407 4度C'!$A:$A,"新豐5線",'0407 4度C'!$B:$B,"平均")</f>
        <v>102.15053763440859</v>
      </c>
      <c r="G13" s="51">
        <f>SUMIFS('0407 4度C'!$K:$K,'0407 4度C'!$A:$A,"新豐7線",'0407 4度C'!$B:$B,"平均")</f>
        <v>128.57142857142858</v>
      </c>
      <c r="H13" s="51">
        <f>SUMIFS('0407 4度C'!$K:$K,'0407 4度C'!$A:$A,"新豐3線",'0407 4度C'!$B:$B,"平均")</f>
        <v>315.78947368421052</v>
      </c>
      <c r="I13" s="51">
        <f>SUMIFS('0407 4度C'!$K:$K,'0407 4度C'!$A:$A,"新豐1線",'0407 4度C'!$B:$B,"平均")</f>
        <v>102.67857142857143</v>
      </c>
      <c r="J13" s="52">
        <f>SUMIFS('0407 4度C'!$K:$K,'0407 4度C'!$A:$A,"新豐10線",'0407 4度C'!$B:$B,"平均")</f>
        <v>283.33333333333337</v>
      </c>
      <c r="K13" s="53">
        <f>SUMIFS('0407 4度C'!$K:$K,'0407 4度C'!$A:$A,"新豐8線",'0407 4度C'!$B:$B,"平均")</f>
        <v>130.90909090909091</v>
      </c>
      <c r="L13" s="54">
        <f>SUMIFS('0407 4度C'!$K:$K,'0407 4度C'!$A:$A,"新豐9線",'0407 4度C'!$B:$B,"平均")</f>
        <v>134.4</v>
      </c>
      <c r="M13" s="52">
        <f>SUMIFS('0407 4度C'!$K:$K,'0407 4度C'!$A:$A,"新豐4線",'0407 4度C'!$B:$B,"平均")</f>
        <v>158.24175824175825</v>
      </c>
    </row>
    <row r="14" spans="2:17" ht="39.6" customHeight="1">
      <c r="B14" s="123"/>
      <c r="C14" s="55" t="s">
        <v>202</v>
      </c>
      <c r="D14" s="56">
        <f>SUMIFS('0407 4度C'!$N:$N,'0407 4度C'!$A:$A,"新豐6線",'0407 4度C'!$B:$B,"平均")</f>
        <v>104.56511231707209</v>
      </c>
      <c r="E14" s="57">
        <f>SUMIFS('0407 4度C'!$N:$N,'0407 4度C'!$A:$A,"新豐2線",'0407 4度C'!$B:$B,"平均")</f>
        <v>81.048452665804447</v>
      </c>
      <c r="F14" s="57">
        <f>SUMIFS('0407 4度C'!$N:$N,'0407 4度C'!$A:$A,"新豐5線",'0407 4度C'!$B:$B,"平均")</f>
        <v>98.296236430580748</v>
      </c>
      <c r="G14" s="57">
        <f>SUMIFS('0407 4度C'!$N:$N,'0407 4度C'!$A:$A,"新豐7線",'0407 4度C'!$B:$B,"平均")</f>
        <v>123.60029376841038</v>
      </c>
      <c r="H14" s="57">
        <f>SUMIFS('0407 4度C'!$N:$N,'0407 4度C'!$A:$A,"新豐3線",'0407 4度C'!$B:$B,"平均")</f>
        <v>302.02865156949582</v>
      </c>
      <c r="I14" s="57">
        <f>SUMIFS('0407 4度C'!$N:$N,'0407 4度C'!$A:$A,"新豐1線",'0407 4度C'!$B:$B,"平均")</f>
        <v>98.472664866862075</v>
      </c>
      <c r="J14" s="58">
        <f>SUMIFS('0407 4度C'!$N:$N,'0407 4度C'!$A:$A,"新豐10線",'0407 4度C'!$B:$B,"平均")</f>
        <v>272.69259186109764</v>
      </c>
      <c r="K14" s="59">
        <f>SUMIFS('0407 4度C'!$N:$N,'0407 4度C'!$A:$A,"新豐8線",'0407 4度C'!$B:$B,"平均")</f>
        <v>124.87908092858048</v>
      </c>
      <c r="L14" s="60">
        <f>SUMIFS('0407 4度C'!$N:$N,'0407 4度C'!$A:$A,"新豐9線",'0407 4度C'!$B:$B,"平均")</f>
        <v>128.39850117662672</v>
      </c>
      <c r="M14" s="58">
        <f>SUMIFS('0407 4度C'!$N:$N,'0407 4度C'!$A:$A,"新豐4線",'0407 4度C'!$B:$B,"平均")</f>
        <v>150.72755720081409</v>
      </c>
    </row>
    <row r="15" spans="2:17" ht="40.15" customHeight="1">
      <c r="B15" s="124"/>
      <c r="C15" s="61" t="s">
        <v>308</v>
      </c>
      <c r="D15" s="62">
        <f t="shared" ref="D15:M15" si="0">D14/D13</f>
        <v>0.94108601085364885</v>
      </c>
      <c r="E15" s="63">
        <f t="shared" si="0"/>
        <v>0.95457066473058572</v>
      </c>
      <c r="F15" s="63">
        <f t="shared" si="0"/>
        <v>0.96226841979410638</v>
      </c>
      <c r="G15" s="63">
        <f t="shared" si="0"/>
        <v>0.96133561819874735</v>
      </c>
      <c r="H15" s="63">
        <f t="shared" si="0"/>
        <v>0.95642406330340346</v>
      </c>
      <c r="I15" s="63">
        <f t="shared" si="0"/>
        <v>0.95903812739900451</v>
      </c>
      <c r="J15" s="64">
        <f t="shared" si="0"/>
        <v>0.9624444418626974</v>
      </c>
      <c r="K15" s="62">
        <f t="shared" si="0"/>
        <v>0.9539374237599898</v>
      </c>
      <c r="L15" s="63">
        <f t="shared" si="0"/>
        <v>0.95534599089752026</v>
      </c>
      <c r="M15" s="64">
        <f t="shared" si="0"/>
        <v>0.95251442397736674</v>
      </c>
    </row>
    <row r="16" spans="2:17" ht="17.25" customHeight="1">
      <c r="B16" s="125" t="s">
        <v>309</v>
      </c>
      <c r="C16" s="65" t="s">
        <v>102</v>
      </c>
      <c r="D16" s="66">
        <f>VLOOKUP("新豐6線",'0407 4度C'!$A:$T,19,0)</f>
        <v>0.70833333333333337</v>
      </c>
      <c r="E16" s="67">
        <f>VLOOKUP("新豐2線",'0407 4度C'!$A:$T,19,0)</f>
        <v>0.20833333333333334</v>
      </c>
      <c r="F16" s="67">
        <f>VLOOKUP("新豐5線",'0407 4度C'!$A:$T,19,0)</f>
        <v>0.20833333333333334</v>
      </c>
      <c r="G16" s="67">
        <f>VLOOKUP("新豐7線",'0407 4度C'!$A:$T,19,0)</f>
        <v>0.20833333333333334</v>
      </c>
      <c r="H16" s="67">
        <f>VLOOKUP("新豐3線",'0407 4度C'!$A:$T,19,0)</f>
        <v>8.3333333333333329E-2</v>
      </c>
      <c r="I16" s="67">
        <f>VLOOKUP("新豐1線",'0407 4度C'!$A:$T,19,0)</f>
        <v>0.20833333333333334</v>
      </c>
      <c r="J16" s="68">
        <f>VLOOKUP("新豐10線",'0407 4度C'!$A:$T,19,0)</f>
        <v>0.20833333333333334</v>
      </c>
      <c r="K16" s="69">
        <f>VLOOKUP("新豐8線",'0407 4度C'!$A:$T,19,0)</f>
        <v>8.3333333333333329E-2</v>
      </c>
      <c r="L16" s="70">
        <f>VLOOKUP("新豐9線",'0407 4度C'!$A:$T,19,0)</f>
        <v>8.3333333333333329E-2</v>
      </c>
      <c r="M16" s="71">
        <f>VLOOKUP("新豐4線",'0407 4度C'!$A:$T,19,0)</f>
        <v>8.3333333333333329E-2</v>
      </c>
    </row>
    <row r="17" spans="2:13" ht="17.25" customHeight="1">
      <c r="B17" s="126"/>
      <c r="C17" s="65" t="s">
        <v>596</v>
      </c>
      <c r="D17" s="69">
        <f>LOOKUP(2,1/(('0407 4度C'!$A:$A="新豐6線")*('0407 4度C'!$T:$T&lt;&gt;"")),'0407 4度C'!$T:$T)</f>
        <v>0.82291666666666663</v>
      </c>
      <c r="E17" s="67">
        <f>LOOKUP(2,1/(('0407 4度C'!$A:$A="新豐2線")*('0407 4度C'!$T:$T&lt;&gt;"")),'0407 4度C'!$T:$T)</f>
        <v>0.64999999999999991</v>
      </c>
      <c r="F17" s="67">
        <f>LOOKUP(2,1/(('0407 4度C'!$A:$A="新豐5線")*('0407 4度C'!$T:$T&lt;&gt;"")),'0407 4度C'!$T:$T)</f>
        <v>0.89444444444444449</v>
      </c>
      <c r="G17" s="67">
        <f>LOOKUP(2,1/(('0407 4度C'!$A:$A="新豐7線")*('0407 4度C'!$T:$T&lt;&gt;"")),'0407 4度C'!$T:$T)</f>
        <v>0.89166666666666661</v>
      </c>
      <c r="H17" s="67">
        <f>LOOKUP(2,1/(('0407 4度C'!$A:$A="新豐3線")*('0407 4度C'!$T:$T&lt;&gt;"")),'0407 4度C'!$T:$T)</f>
        <v>0.59374999999999989</v>
      </c>
      <c r="I17" s="67">
        <f>LOOKUP(2,1/(('0407 4度C'!$A:$A="新豐1線")*('0407 4度C'!$T:$T&lt;&gt;"")),'0407 4度C'!$T:$T)</f>
        <v>0.83333333333333326</v>
      </c>
      <c r="J17" s="68">
        <f>LOOKUP(2,1/(('0407 4度C'!$A:$A="新豐10線")*('0407 4度C'!$T:$T&lt;&gt;"")),'0407 4度C'!$T:$T)</f>
        <v>0.46805555555555545</v>
      </c>
      <c r="K17" s="66">
        <f>LOOKUP(2,1/(('0407 4度C'!$A:$A="新豐8線")*('0407 4度C'!$T:$T&lt;&gt;"")),'0407 4度C'!$T:$T)</f>
        <v>0.60624999999999996</v>
      </c>
      <c r="L17" s="67">
        <f>LOOKUP(2,1/(('0407 4度C'!$A:$A="新豐9線")*('0407 4度C'!$T:$T&lt;&gt;"")),'0407 4度C'!$T:$T)</f>
        <v>0.62152777777777768</v>
      </c>
      <c r="M17" s="68">
        <f>LOOKUP(2,1/(('0407 4度C'!$A:$A="新豐4線")*('0407 4度C'!$T:$T&lt;&gt;"")),'0407 4度C'!$T:$T)</f>
        <v>0.60763888888888884</v>
      </c>
    </row>
    <row r="18" spans="2:13" ht="17.25" customHeight="1">
      <c r="B18" s="104" t="s">
        <v>104</v>
      </c>
      <c r="C18" s="72" t="s">
        <v>699</v>
      </c>
      <c r="D18" s="73">
        <f>SUMIFS('0407 4度C'!$Y:$Y,'0407 4度C'!$A:$A,"新豐6線",'0407 4度C'!$B:$B,"平均")</f>
        <v>0</v>
      </c>
      <c r="E18" s="74">
        <f>SUMIFS('0407 4度C'!$Y:$Y,'0407 4度C'!$A:$A,"新豐2線",'0407 4度C'!$B:$B,"平均")</f>
        <v>0</v>
      </c>
      <c r="F18" s="74">
        <f>SUMIFS('0407 4度C'!$Y:$Y,'0407 4度C'!$A:$A,"新豐5線",'0407 4度C'!$B:$B,"平均")</f>
        <v>0</v>
      </c>
      <c r="G18" s="74">
        <f>SUMIFS('0407 4度C'!$Y:$Y,'0407 4度C'!$A:$A,"新豐7線",'0407 4度C'!$B:$B,"平均")</f>
        <v>0</v>
      </c>
      <c r="H18" s="74">
        <f>SUMIFS('0407 4度C'!$Y:$Y,'0407 4度C'!$A:$A,"新豐3線",'0407 4度C'!$B:$B,"平均")</f>
        <v>0</v>
      </c>
      <c r="I18" s="74">
        <f>SUMIFS('0407 4度C'!$Y:$Y,'0407 4度C'!$A:$A,"新豐1線",'0407 4度C'!$B:$B,"平均")</f>
        <v>0</v>
      </c>
      <c r="J18" s="75">
        <f>SUMIFS('0407 4度C'!$Y:$Y,'0407 4度C'!$A:$A,"新豐10線",'0407 4度C'!$B:$B,"平均")</f>
        <v>0</v>
      </c>
      <c r="K18" s="76">
        <f>SUMIFS('0407 4度C'!$Y:$Y,'0407 4度C'!$A:$A,"新豐8線",'0407 4度C'!$B:$B,"平均")</f>
        <v>0</v>
      </c>
      <c r="L18" s="74">
        <f>SUMIFS('0407 4度C'!$Y:$Y,'0407 4度C'!$A:$A,"新豐9線",'0407 4度C'!$B:$B,"平均")</f>
        <v>0</v>
      </c>
      <c r="M18" s="75">
        <f>SUMIFS('0407 4度C'!$Y:$Y,'0407 4度C'!$A:$A,"新豐4線",'0407 4度C'!$B:$B,"平均")</f>
        <v>0</v>
      </c>
    </row>
    <row r="19" spans="2:13" ht="17.25" customHeight="1">
      <c r="B19" s="105"/>
      <c r="C19" s="72" t="s">
        <v>159</v>
      </c>
      <c r="D19" s="73">
        <f>SUMIFS('0407 4度C'!$Z:$Z,'0407 4度C'!$A:$A,"新豐6線",'0407 4度C'!$B:$B,"平均")</f>
        <v>0</v>
      </c>
      <c r="E19" s="74">
        <f>SUMIFS('0407 4度C'!$Z:$Z,'0407 4度C'!$A:$A,"新豐2線",'0407 4度C'!$B:$B,"平均")</f>
        <v>0</v>
      </c>
      <c r="F19" s="74">
        <f>SUMIFS('0407 4度C'!$Z:$Z,'0407 4度C'!$A:$A,"新豐5線",'0407 4度C'!$B:$B,"平均")</f>
        <v>0</v>
      </c>
      <c r="G19" s="74">
        <f>SUMIFS('0407 4度C'!$Z:$Z,'0407 4度C'!$A:$A,"新豐7線",'0407 4度C'!$B:$B,"平均")</f>
        <v>0</v>
      </c>
      <c r="H19" s="74">
        <f>SUMIFS('0407 4度C'!$Z:$Z,'0407 4度C'!$A:$A,"新豐3線",'0407 4度C'!$B:$B,"平均")</f>
        <v>0</v>
      </c>
      <c r="I19" s="74">
        <f>SUMIFS('0407 4度C'!$Z:$Z,'0407 4度C'!$A:$A,"新豐1線",'0407 4度C'!$B:$B,"平均")</f>
        <v>0</v>
      </c>
      <c r="J19" s="75">
        <f>SUMIFS('0407 4度C'!$Z:$Z,'0407 4度C'!$A:$A,"新豐10線",'0407 4度C'!$B:$B,"平均")</f>
        <v>0</v>
      </c>
      <c r="K19" s="76">
        <f>SUMIFS('0407 4度C'!$Z:$Z,'0407 4度C'!$A:$A,"新豐8線",'0407 4度C'!$B:$B,"平均")</f>
        <v>0</v>
      </c>
      <c r="L19" s="74">
        <f>SUMIFS('0407 4度C'!$Z:$Z,'0407 4度C'!$A:$A,"新豐9線",'0407 4度C'!$B:$B,"平均")</f>
        <v>0</v>
      </c>
      <c r="M19" s="75">
        <f>SUMIFS('0407 4度C'!$Z:$Z,'0407 4度C'!$A:$A,"新豐4線",'0407 4度C'!$B:$B,"平均")</f>
        <v>0</v>
      </c>
    </row>
    <row r="20" spans="2:13" ht="17.25" customHeight="1">
      <c r="B20" s="104" t="s">
        <v>107</v>
      </c>
      <c r="C20" s="72" t="s">
        <v>208</v>
      </c>
      <c r="D20" s="73">
        <f>SUMIFS('0407 4度C'!$AC:$AC,'0407 4度C'!$A:$A,"新豐6線",'0407 4度C'!$B:$B,"平均")</f>
        <v>4</v>
      </c>
      <c r="E20" s="74">
        <f>SUMIFS('0407 4度C'!$AC:$AC,'0407 4度C'!$A:$A,"新豐2線",'0407 4度C'!$B:$B,"平均")</f>
        <v>3</v>
      </c>
      <c r="F20" s="74">
        <f>SUMIFS('0407 4度C'!$AC:$AC,'0407 4度C'!$A:$A,"新豐5線",'0407 4度C'!$B:$B,"平均")</f>
        <v>5</v>
      </c>
      <c r="G20" s="74">
        <f>SUMIFS('0407 4度C'!$AC:$AC,'0407 4度C'!$A:$A,"新豐7線",'0407 4度C'!$B:$B,"平均")</f>
        <v>7</v>
      </c>
      <c r="H20" s="74">
        <f>SUMIFS('0407 4度C'!$AC:$AC,'0407 4度C'!$A:$A,"新豐3線",'0407 4度C'!$B:$B,"平均")</f>
        <v>6</v>
      </c>
      <c r="I20" s="74">
        <f>SUMIFS('0407 4度C'!$AC:$AC,'0407 4度C'!$A:$A,"新豐1線",'0407 4度C'!$B:$B,"平均")</f>
        <v>6</v>
      </c>
      <c r="J20" s="75">
        <f>SUMIFS('0407 4度C'!$AC:$AC,'0407 4度C'!$A:$A,"新豐10線",'0407 4度C'!$B:$B,"平均")</f>
        <v>6</v>
      </c>
      <c r="K20" s="76">
        <f>SUMIFS('0407 4度C'!$AC:$AC,'0407 4度C'!$A:$A,"新豐8線",'0407 4度C'!$B:$B,"平均")</f>
        <v>6</v>
      </c>
      <c r="L20" s="74">
        <f>SUMIFS('0407 4度C'!$AC:$AC,'0407 4度C'!$A:$A,"新豐9線",'0407 4度C'!$B:$B,"平均")</f>
        <v>7</v>
      </c>
      <c r="M20" s="75">
        <f>SUMIFS('0407 4度C'!$AC:$AC,'0407 4度C'!$A:$A,"新豐4線",'0407 4度C'!$B:$B,"平均")</f>
        <v>6</v>
      </c>
    </row>
    <row r="21" spans="2:13" ht="17.25" customHeight="1">
      <c r="B21" s="105"/>
      <c r="C21" s="72" t="s">
        <v>108</v>
      </c>
      <c r="D21" s="73">
        <f>SUMIFS('0407 4度C'!$AD:$AD,'0407 4度C'!$A:$A,"新豐6線",'0407 4度C'!$B:$B,"平均")</f>
        <v>0</v>
      </c>
      <c r="E21" s="74">
        <f>SUMIFS('0407 4度C'!$AD:$AD,'0407 4度C'!$A:$A,"新豐2線",'0407 4度C'!$B:$B,"平均")</f>
        <v>0</v>
      </c>
      <c r="F21" s="74">
        <f>SUMIFS('0407 4度C'!$AD:$AD,'0407 4度C'!$A:$A,"新豐5線",'0407 4度C'!$B:$B,"平均")</f>
        <v>0</v>
      </c>
      <c r="G21" s="74">
        <f>SUMIFS('0407 4度C'!$AD:$AD,'0407 4度C'!$A:$A,"新豐7線",'0407 4度C'!$B:$B,"平均")</f>
        <v>0</v>
      </c>
      <c r="H21" s="74">
        <f>SUMIFS('0407 4度C'!$AD:$AD,'0407 4度C'!$A:$A,"新豐3線",'0407 4度C'!$B:$B,"平均")</f>
        <v>0</v>
      </c>
      <c r="I21" s="74">
        <f>SUMIFS('0407 4度C'!$AD:$AD,'0407 4度C'!$A:$A,"新豐1線",'0407 4度C'!$B:$B,"平均")</f>
        <v>0</v>
      </c>
      <c r="J21" s="75">
        <f>SUMIFS('0407 4度C'!$AD:$AD,'0407 4度C'!$A:$A,"新豐10線",'0407 4度C'!$B:$B,"平均")</f>
        <v>0</v>
      </c>
      <c r="K21" s="76">
        <f>SUMIFS('0407 4度C'!$AD:$AD,'0407 4度C'!$A:$A,"新豐8線",'0407 4度C'!$B:$B,"平均")</f>
        <v>0</v>
      </c>
      <c r="L21" s="74">
        <f>SUMIFS('0407 4度C'!$AD:$AD,'0407 4度C'!$A:$A,"新豐9線",'0407 4度C'!$B:$B,"平均")</f>
        <v>0</v>
      </c>
      <c r="M21" s="75">
        <f>SUMIFS('0407 4度C'!$AD:$AD,'0407 4度C'!$A:$A,"新豐4線",'0407 4度C'!$B:$B,"平均")</f>
        <v>0</v>
      </c>
    </row>
    <row r="22" spans="2:13" ht="17.25" customHeight="1">
      <c r="B22" s="106" t="s">
        <v>109</v>
      </c>
      <c r="C22" s="107"/>
      <c r="D22" s="77">
        <f>SUMIFS('0407 4度C'!$I:$I,'0407 4度C'!$A:$A,"新豐6線",'0407 4度C'!$B:$B,"平均")</f>
        <v>18</v>
      </c>
      <c r="E22" s="78">
        <f>SUMIFS('0407 4度C'!$I:$I,'0407 4度C'!$A:$A,"新豐2線",'0407 4度C'!$B:$B,"平均")</f>
        <v>17.666666666666668</v>
      </c>
      <c r="F22" s="78">
        <f>SUMIFS('0407 4度C'!$I:$I,'0407 4度C'!$A:$A,"新豐5線",'0407 4度C'!$B:$B,"平均")</f>
        <v>18.600000000000001</v>
      </c>
      <c r="G22" s="78">
        <f>SUMIFS('0407 4度C'!$I:$I,'0407 4度C'!$A:$A,"新豐7線",'0407 4度C'!$B:$B,"平均")</f>
        <v>15</v>
      </c>
      <c r="H22" s="78">
        <f>SUMIFS('0407 4度C'!$I:$I,'0407 4度C'!$A:$A,"新豐3線",'0407 4度C'!$B:$B,"平均")</f>
        <v>9.5</v>
      </c>
      <c r="I22" s="78">
        <f>SUMIFS('0407 4度C'!$I:$I,'0407 4度C'!$A:$A,"新豐1線",'0407 4度C'!$B:$B,"平均")</f>
        <v>18.666666666666668</v>
      </c>
      <c r="J22" s="79">
        <f>SUMIFS('0407 4度C'!$I:$I,'0407 4度C'!$A:$A,"新豐10線",'0407 4度C'!$B:$B,"平均")</f>
        <v>10</v>
      </c>
      <c r="K22" s="77">
        <f>SUMIFS('0407 4度C'!$I:$I,'0407 4度C'!$A:$A,"新豐8線",'0407 4度C'!$B:$B,"平均")</f>
        <v>18.333333333333332</v>
      </c>
      <c r="L22" s="78">
        <f>SUMIFS('0407 4度C'!$I:$I,'0407 4度C'!$A:$A,"新豐9線",'0407 4度C'!$B:$B,"平均")</f>
        <v>17.857142857142858</v>
      </c>
      <c r="M22" s="79">
        <f>SUMIFS('0407 4度C'!$I:$I,'0407 4度C'!$A:$A,"新豐4線",'0407 4度C'!$B:$B,"平均")</f>
        <v>15.166666666666666</v>
      </c>
    </row>
    <row r="23" spans="2:13" ht="17.25" customHeight="1">
      <c r="B23" s="106" t="s">
        <v>700</v>
      </c>
      <c r="C23" s="107"/>
      <c r="D23" s="80" t="s">
        <v>67</v>
      </c>
      <c r="E23" s="81" t="s">
        <v>68</v>
      </c>
      <c r="F23" s="81" t="s">
        <v>111</v>
      </c>
      <c r="G23" s="81" t="s">
        <v>111</v>
      </c>
      <c r="H23" s="81" t="s">
        <v>69</v>
      </c>
      <c r="I23" s="81" t="s">
        <v>67</v>
      </c>
      <c r="J23" s="82" t="s">
        <v>69</v>
      </c>
      <c r="K23" s="80" t="s">
        <v>112</v>
      </c>
      <c r="L23" s="81" t="s">
        <v>112</v>
      </c>
      <c r="M23" s="82" t="s">
        <v>112</v>
      </c>
    </row>
    <row r="24" spans="2:13" ht="17.25" customHeight="1">
      <c r="B24" s="106" t="s">
        <v>113</v>
      </c>
      <c r="C24" s="107"/>
      <c r="D24" s="80"/>
      <c r="E24" s="81"/>
      <c r="F24" s="81" t="s">
        <v>217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115</v>
      </c>
      <c r="C25" s="109"/>
      <c r="D25" s="83"/>
      <c r="E25" s="84" t="s">
        <v>701</v>
      </c>
      <c r="F25" s="102" t="s">
        <v>117</v>
      </c>
      <c r="G25" s="103"/>
      <c r="H25" s="84" t="s">
        <v>118</v>
      </c>
      <c r="I25" s="84" t="s">
        <v>119</v>
      </c>
      <c r="J25" s="85" t="s">
        <v>118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5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AG71"/>
  <sheetViews>
    <sheetView zoomScale="80" zoomScaleNormal="80" workbookViewId="0">
      <pane ySplit="4" topLeftCell="A50" activePane="bottomLeft" state="frozen"/>
      <selection activeCell="J13" sqref="J13"/>
      <selection pane="bottomLeft" activeCell="H12" sqref="H12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702</v>
      </c>
      <c r="B1" s="1"/>
      <c r="C1" s="2" t="s">
        <v>703</v>
      </c>
      <c r="D1" s="3">
        <f>SUM(F5:F70)</f>
        <v>171106</v>
      </c>
      <c r="E1" s="88" t="s">
        <v>704</v>
      </c>
      <c r="F1" s="1">
        <f>SUM(G5:G70)</f>
        <v>5751262.9000000013</v>
      </c>
      <c r="G1" s="1" t="s">
        <v>705</v>
      </c>
      <c r="H1" s="4">
        <f>L9+L13+L49+L56+L19+L63+L34+L42+L27+L70</f>
        <v>158.79047619047617</v>
      </c>
      <c r="I1" s="215" t="s">
        <v>706</v>
      </c>
      <c r="J1" s="215"/>
      <c r="K1" s="215"/>
      <c r="L1" s="215" t="s">
        <v>707</v>
      </c>
      <c r="M1" s="215"/>
      <c r="N1" s="215"/>
      <c r="O1" s="215" t="s">
        <v>708</v>
      </c>
      <c r="P1" s="215"/>
      <c r="Q1" s="215"/>
      <c r="R1" s="215"/>
      <c r="S1" s="215" t="s">
        <v>709</v>
      </c>
      <c r="T1" s="215"/>
      <c r="U1" s="215"/>
      <c r="V1" s="215"/>
      <c r="W1" s="215"/>
      <c r="X1" s="215"/>
      <c r="Y1" s="5" t="s">
        <v>710</v>
      </c>
      <c r="Z1" s="6" t="s">
        <v>711</v>
      </c>
      <c r="AA1" s="216" t="s">
        <v>712</v>
      </c>
      <c r="AB1" s="216"/>
      <c r="AC1" s="97" t="s">
        <v>710</v>
      </c>
      <c r="AD1" s="6" t="s">
        <v>713</v>
      </c>
      <c r="AE1" s="215" t="s">
        <v>714</v>
      </c>
      <c r="AF1" s="217"/>
      <c r="AG1" s="217"/>
    </row>
    <row r="2" spans="1:33" ht="26.25" customHeight="1">
      <c r="A2" s="26">
        <v>46119</v>
      </c>
      <c r="B2" s="27" t="s">
        <v>715</v>
      </c>
      <c r="C2" s="2" t="s">
        <v>716</v>
      </c>
      <c r="D2" s="8">
        <f>AVERAGE(N9,N13,N49,N56,N19,N63,N27,N34,N42,N70)</f>
        <v>148.47091427853442</v>
      </c>
      <c r="E2" s="9" t="s">
        <v>0</v>
      </c>
      <c r="F2" s="10">
        <f>F1/D1</f>
        <v>33.612280691501184</v>
      </c>
      <c r="G2" s="1" t="s">
        <v>717</v>
      </c>
      <c r="H2" s="96">
        <f>COUNT(H5:H70)</f>
        <v>8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SUM(Y9+Y13+Y19+Y27+Y34+Y42+Y49+Y56+Y63+Y70)</f>
        <v>0</v>
      </c>
      <c r="Z2" s="11">
        <f>SUM(Z9+Z13+Z19+Z27+Z34+Z42+Z49+Z56+Z63+Z70)</f>
        <v>0</v>
      </c>
      <c r="AA2" s="216"/>
      <c r="AB2" s="216"/>
      <c r="AC2" s="11">
        <f>SUM(AC9+AC13+AC19+AC27+AC34+AC42+AC49+AC56+AC63+AC70)</f>
        <v>56</v>
      </c>
      <c r="AD2" s="11">
        <f>SUM(AD9+AD13+AD19+AD27+AD34+AD42+AD49+AD56+AD63+AD70)</f>
        <v>0</v>
      </c>
      <c r="AE2" s="217"/>
      <c r="AF2" s="217"/>
      <c r="AG2" s="217"/>
    </row>
    <row r="3" spans="1:33" ht="40.5" customHeight="1">
      <c r="A3" s="168" t="s">
        <v>718</v>
      </c>
      <c r="B3" s="168" t="s">
        <v>719</v>
      </c>
      <c r="C3" s="168" t="s">
        <v>720</v>
      </c>
      <c r="D3" s="168"/>
      <c r="E3" s="213" t="s">
        <v>721</v>
      </c>
      <c r="F3" s="168" t="s">
        <v>722</v>
      </c>
      <c r="G3" s="213" t="s">
        <v>723</v>
      </c>
      <c r="H3" s="207" t="s">
        <v>724</v>
      </c>
      <c r="I3" s="205" t="s">
        <v>725</v>
      </c>
      <c r="J3" s="202" t="s">
        <v>726</v>
      </c>
      <c r="K3" s="212" t="s">
        <v>716</v>
      </c>
      <c r="L3" s="205" t="s">
        <v>727</v>
      </c>
      <c r="M3" s="202" t="s">
        <v>726</v>
      </c>
      <c r="N3" s="212" t="s">
        <v>716</v>
      </c>
      <c r="O3" s="205" t="s">
        <v>725</v>
      </c>
      <c r="P3" s="212" t="s">
        <v>716</v>
      </c>
      <c r="Q3" s="203" t="s">
        <v>728</v>
      </c>
      <c r="R3" s="181" t="s">
        <v>729</v>
      </c>
      <c r="S3" s="168" t="s">
        <v>1</v>
      </c>
      <c r="T3" s="168"/>
      <c r="U3" s="207" t="s">
        <v>2</v>
      </c>
      <c r="V3" s="207" t="s">
        <v>249</v>
      </c>
      <c r="W3" s="168" t="s">
        <v>730</v>
      </c>
      <c r="X3" s="168"/>
      <c r="Y3" s="208" t="s">
        <v>731</v>
      </c>
      <c r="Z3" s="167"/>
      <c r="AA3" s="209" t="s">
        <v>732</v>
      </c>
      <c r="AB3" s="210"/>
      <c r="AC3" s="208" t="s">
        <v>733</v>
      </c>
      <c r="AD3" s="167"/>
      <c r="AE3" s="202" t="s">
        <v>726</v>
      </c>
      <c r="AF3" s="203" t="s">
        <v>728</v>
      </c>
      <c r="AG3" s="181" t="s">
        <v>734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735</v>
      </c>
      <c r="X4" s="88" t="s">
        <v>736</v>
      </c>
      <c r="Y4" s="90" t="s">
        <v>737</v>
      </c>
      <c r="Z4" s="90" t="s">
        <v>682</v>
      </c>
      <c r="AA4" s="211"/>
      <c r="AB4" s="210"/>
      <c r="AC4" s="90" t="s">
        <v>738</v>
      </c>
      <c r="AD4" s="90" t="s">
        <v>684</v>
      </c>
      <c r="AE4" s="202"/>
      <c r="AF4" s="203"/>
      <c r="AG4" s="181"/>
    </row>
    <row r="5" spans="1:33">
      <c r="A5" s="204" t="s">
        <v>685</v>
      </c>
      <c r="B5" s="28" t="s">
        <v>5</v>
      </c>
      <c r="C5" s="206" t="s">
        <v>6</v>
      </c>
      <c r="D5" s="206"/>
      <c r="E5" s="28">
        <v>50.67</v>
      </c>
      <c r="F5" s="88">
        <v>1507</v>
      </c>
      <c r="G5" s="88">
        <f t="shared" ref="G5:G8" si="0">E5*F5</f>
        <v>76359.69</v>
      </c>
      <c r="H5" s="30" t="s">
        <v>53</v>
      </c>
      <c r="I5" s="95">
        <v>17</v>
      </c>
      <c r="J5" s="13">
        <v>2000</v>
      </c>
      <c r="K5" s="12">
        <f t="shared" ref="K5:K68" si="1">J5/I5</f>
        <v>117.64705882352941</v>
      </c>
      <c r="L5" s="95">
        <v>17</v>
      </c>
      <c r="M5" s="13">
        <f t="shared" ref="M5:M8" si="2">F5/V5*60</f>
        <v>1923.8297872340429</v>
      </c>
      <c r="N5" s="12">
        <f t="shared" ref="N5:N68" si="3">M5/L5</f>
        <v>113.16645807259076</v>
      </c>
      <c r="O5" s="14">
        <f t="shared" ref="O5:O68" si="4">L5-I5</f>
        <v>0</v>
      </c>
      <c r="P5" s="15">
        <f t="shared" ref="P5:P68" si="5">N5-K5</f>
        <v>-4.480600750938649</v>
      </c>
      <c r="Q5" s="91">
        <f t="shared" ref="Q5:Q68" si="6">N5/K5</f>
        <v>0.96191489361702143</v>
      </c>
      <c r="R5" s="177">
        <f>Q9</f>
        <v>0.94108601085364885</v>
      </c>
      <c r="S5" s="21">
        <v>0.70833333333333337</v>
      </c>
      <c r="T5" s="21">
        <v>0.74097222222222225</v>
      </c>
      <c r="U5" s="88"/>
      <c r="V5" s="30">
        <f t="shared" ref="V5:V8" si="7">(T5-S5)*24*60</f>
        <v>46.999999999999993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55" si="8">M5-J5</f>
        <v>-76.170212765957103</v>
      </c>
      <c r="AF5" s="91">
        <f t="shared" ref="AF5:AF68" si="9">M5/J5</f>
        <v>0.96191489361702143</v>
      </c>
      <c r="AG5" s="177">
        <f>AF9</f>
        <v>0.94108601085364885</v>
      </c>
    </row>
    <row r="6" spans="1:33">
      <c r="A6" s="205" t="s">
        <v>739</v>
      </c>
      <c r="B6" s="28" t="s">
        <v>5</v>
      </c>
      <c r="C6" s="206" t="s">
        <v>7</v>
      </c>
      <c r="D6" s="206"/>
      <c r="E6" s="28">
        <v>54.09</v>
      </c>
      <c r="F6" s="88">
        <v>1245</v>
      </c>
      <c r="G6" s="88">
        <f t="shared" si="0"/>
        <v>67342.05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1915.3846153846143</v>
      </c>
      <c r="N6" s="12">
        <f t="shared" si="3"/>
        <v>100.80971659919022</v>
      </c>
      <c r="O6" s="14">
        <f t="shared" si="4"/>
        <v>0</v>
      </c>
      <c r="P6" s="15">
        <f t="shared" si="5"/>
        <v>-4.4534412955466109</v>
      </c>
      <c r="Q6" s="91">
        <f t="shared" si="6"/>
        <v>0.95769230769230718</v>
      </c>
      <c r="R6" s="177"/>
      <c r="S6" s="21">
        <v>0.74583333333333335</v>
      </c>
      <c r="T6" s="21">
        <v>0.7729166666666667</v>
      </c>
      <c r="U6" s="88">
        <f t="shared" ref="U6:U8" si="10">IF(S6=TIME(17,0,0),"",(S6-T5)*24*60)</f>
        <v>6.9999999999999751</v>
      </c>
      <c r="V6" s="30">
        <f t="shared" si="7"/>
        <v>39.000000000000021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-84.615384615385665</v>
      </c>
      <c r="AF6" s="91">
        <f t="shared" si="9"/>
        <v>0.95769230769230718</v>
      </c>
      <c r="AG6" s="177"/>
    </row>
    <row r="7" spans="1:33">
      <c r="A7" s="205" t="s">
        <v>740</v>
      </c>
      <c r="B7" s="28" t="s">
        <v>5</v>
      </c>
      <c r="C7" s="200" t="s">
        <v>8</v>
      </c>
      <c r="D7" s="201"/>
      <c r="E7" s="28">
        <v>50.67</v>
      </c>
      <c r="F7" s="88">
        <v>176</v>
      </c>
      <c r="G7" s="88">
        <f t="shared" si="0"/>
        <v>8917.92</v>
      </c>
      <c r="H7" s="30" t="s">
        <v>53</v>
      </c>
      <c r="I7" s="95">
        <v>21</v>
      </c>
      <c r="J7" s="13">
        <v>2000</v>
      </c>
      <c r="K7" s="12">
        <f t="shared" si="1"/>
        <v>95.238095238095241</v>
      </c>
      <c r="L7" s="95">
        <v>21</v>
      </c>
      <c r="M7" s="13">
        <f t="shared" si="2"/>
        <v>1760.0000000000064</v>
      </c>
      <c r="N7" s="12">
        <f t="shared" si="3"/>
        <v>83.809523809524109</v>
      </c>
      <c r="O7" s="14">
        <f t="shared" si="4"/>
        <v>0</v>
      </c>
      <c r="P7" s="15">
        <f t="shared" si="5"/>
        <v>-11.428571428571132</v>
      </c>
      <c r="Q7" s="91">
        <f t="shared" si="6"/>
        <v>0.88000000000000311</v>
      </c>
      <c r="R7" s="177"/>
      <c r="S7" s="21">
        <v>0.77638888888888891</v>
      </c>
      <c r="T7" s="21">
        <v>0.78055555555555556</v>
      </c>
      <c r="U7" s="88">
        <f t="shared" si="10"/>
        <v>4.9999999999999822</v>
      </c>
      <c r="V7" s="30">
        <f t="shared" si="7"/>
        <v>5.9999999999999787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-239.99999999999363</v>
      </c>
      <c r="AF7" s="91">
        <f t="shared" si="9"/>
        <v>0.88000000000000322</v>
      </c>
      <c r="AG7" s="177"/>
    </row>
    <row r="8" spans="1:33">
      <c r="A8" s="205" t="s">
        <v>739</v>
      </c>
      <c r="B8" s="28" t="s">
        <v>5</v>
      </c>
      <c r="C8" s="200" t="s">
        <v>16</v>
      </c>
      <c r="D8" s="201"/>
      <c r="E8" s="28">
        <v>50.67</v>
      </c>
      <c r="F8" s="88">
        <v>1833</v>
      </c>
      <c r="G8" s="88">
        <f t="shared" si="0"/>
        <v>92878.11</v>
      </c>
      <c r="H8" s="30" t="s">
        <v>53</v>
      </c>
      <c r="I8" s="95">
        <v>15</v>
      </c>
      <c r="J8" s="13">
        <v>2000</v>
      </c>
      <c r="K8" s="12">
        <f t="shared" si="1"/>
        <v>133.33333333333334</v>
      </c>
      <c r="L8" s="95">
        <v>15</v>
      </c>
      <c r="M8" s="13">
        <f t="shared" si="2"/>
        <v>1929.4736842105278</v>
      </c>
      <c r="N8" s="12">
        <f t="shared" si="3"/>
        <v>128.63157894736852</v>
      </c>
      <c r="O8" s="14">
        <f t="shared" si="4"/>
        <v>0</v>
      </c>
      <c r="P8" s="15">
        <f t="shared" si="5"/>
        <v>-4.7017543859648185</v>
      </c>
      <c r="Q8" s="91">
        <f t="shared" si="6"/>
        <v>0.96473684210526389</v>
      </c>
      <c r="R8" s="177"/>
      <c r="S8" s="21">
        <v>0.78333333333333333</v>
      </c>
      <c r="T8" s="21">
        <v>0.82291666666666663</v>
      </c>
      <c r="U8" s="88">
        <f t="shared" si="10"/>
        <v>3.9999999999999858</v>
      </c>
      <c r="V8" s="30">
        <f t="shared" si="7"/>
        <v>56.999999999999957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-70.526315789472164</v>
      </c>
      <c r="AF8" s="91">
        <f t="shared" si="9"/>
        <v>0.96473684210526389</v>
      </c>
      <c r="AG8" s="177"/>
    </row>
    <row r="9" spans="1:33">
      <c r="A9" s="205" t="s">
        <v>739</v>
      </c>
      <c r="B9" s="28" t="s">
        <v>741</v>
      </c>
      <c r="C9" s="178"/>
      <c r="D9" s="178"/>
      <c r="E9" s="92"/>
      <c r="F9" s="12"/>
      <c r="G9" s="12"/>
      <c r="H9" s="88"/>
      <c r="I9" s="23">
        <v>18</v>
      </c>
      <c r="J9" s="13">
        <v>2000</v>
      </c>
      <c r="K9" s="12">
        <f t="shared" si="1"/>
        <v>111.11111111111111</v>
      </c>
      <c r="L9" s="23">
        <v>18</v>
      </c>
      <c r="M9" s="13">
        <f>AVERAGE(M5:M8)</f>
        <v>1882.1720217072977</v>
      </c>
      <c r="N9" s="12">
        <f t="shared" si="3"/>
        <v>104.56511231707209</v>
      </c>
      <c r="O9" s="14">
        <f t="shared" si="4"/>
        <v>0</v>
      </c>
      <c r="P9" s="15">
        <f t="shared" si="5"/>
        <v>-6.5459987940390221</v>
      </c>
      <c r="Q9" s="91">
        <f t="shared" si="6"/>
        <v>0.94108601085364885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f>SUM(AC5:AC8)</f>
        <v>4</v>
      </c>
      <c r="AD9" s="24">
        <f>SUM(AD5:AD8)</f>
        <v>0</v>
      </c>
      <c r="AE9" s="14">
        <f t="shared" si="8"/>
        <v>-117.82797829270226</v>
      </c>
      <c r="AF9" s="91">
        <f t="shared" si="9"/>
        <v>0.94108601085364885</v>
      </c>
      <c r="AG9" s="177"/>
    </row>
    <row r="10" spans="1:33" ht="15.75" customHeight="1">
      <c r="A10" s="199" t="s">
        <v>742</v>
      </c>
      <c r="B10" s="28" t="s">
        <v>9</v>
      </c>
      <c r="C10" s="200" t="s">
        <v>10</v>
      </c>
      <c r="D10" s="201"/>
      <c r="E10" s="28">
        <v>39.619999999999997</v>
      </c>
      <c r="F10" s="88">
        <v>5387</v>
      </c>
      <c r="G10" s="88">
        <f t="shared" ref="G10:G12" si="11">E10*F10</f>
        <v>213432.93999999997</v>
      </c>
      <c r="H10" s="30" t="s">
        <v>53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2" si="12">F10/V10*60</f>
        <v>1430.1769911504421</v>
      </c>
      <c r="N10" s="12">
        <f t="shared" si="3"/>
        <v>75.272473218444318</v>
      </c>
      <c r="O10" s="14">
        <f t="shared" si="4"/>
        <v>0</v>
      </c>
      <c r="P10" s="15">
        <f t="shared" si="5"/>
        <v>-3.6748952026083117</v>
      </c>
      <c r="Q10" s="91">
        <f t="shared" si="6"/>
        <v>0.95345132743362804</v>
      </c>
      <c r="R10" s="177">
        <f>Q13</f>
        <v>0.95457066473058572</v>
      </c>
      <c r="S10" s="21">
        <v>0.20833333333333334</v>
      </c>
      <c r="T10" s="21">
        <v>0.36527777777777781</v>
      </c>
      <c r="U10" s="88"/>
      <c r="V10" s="30">
        <f t="shared" ref="V10:V12" si="13">(T10-S10)*24*60</f>
        <v>226.00000000000006</v>
      </c>
      <c r="W10" s="16"/>
      <c r="X10" s="16"/>
      <c r="Y10" s="16"/>
      <c r="Z10" s="16"/>
      <c r="AA10" s="168"/>
      <c r="AB10" s="168"/>
      <c r="AC10" s="18">
        <v>3</v>
      </c>
      <c r="AD10" s="18"/>
      <c r="AE10" s="14">
        <f t="shared" si="8"/>
        <v>-69.823008849557937</v>
      </c>
      <c r="AF10" s="91">
        <f t="shared" si="9"/>
        <v>0.95345132743362804</v>
      </c>
      <c r="AG10" s="177">
        <f>AF13</f>
        <v>0.95457066473058572</v>
      </c>
    </row>
    <row r="11" spans="1:33" ht="15.75" customHeight="1">
      <c r="A11" s="199" t="s">
        <v>742</v>
      </c>
      <c r="B11" s="28" t="s">
        <v>9</v>
      </c>
      <c r="C11" s="200" t="s">
        <v>11</v>
      </c>
      <c r="D11" s="201"/>
      <c r="E11" s="28">
        <v>39.799999999999997</v>
      </c>
      <c r="F11" s="88">
        <v>4700</v>
      </c>
      <c r="G11" s="88">
        <f t="shared" si="11"/>
        <v>187060</v>
      </c>
      <c r="H11" s="30">
        <v>2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1431.4720812182745</v>
      </c>
      <c r="N11" s="12">
        <f t="shared" si="3"/>
        <v>84.204240071663207</v>
      </c>
      <c r="O11" s="14">
        <f t="shared" si="4"/>
        <v>0</v>
      </c>
      <c r="P11" s="15">
        <f t="shared" si="5"/>
        <v>-4.0310540459838506</v>
      </c>
      <c r="Q11" s="91">
        <f t="shared" si="6"/>
        <v>0.95431472081218305</v>
      </c>
      <c r="R11" s="177"/>
      <c r="S11" s="21">
        <v>0.36944444444444446</v>
      </c>
      <c r="T11" s="21">
        <v>0.50624999999999998</v>
      </c>
      <c r="U11" s="88">
        <f t="shared" ref="U11:U12" si="14">IF(S11=TIME(17,0,0),"",(S11-T10)*24*60)</f>
        <v>5.9999999999999787</v>
      </c>
      <c r="V11" s="30">
        <f t="shared" si="13"/>
        <v>196.99999999999994</v>
      </c>
      <c r="W11" s="16">
        <f>T11</f>
        <v>0.50624999999999998</v>
      </c>
      <c r="X11" s="16">
        <f>S12</f>
        <v>0.54722222222222217</v>
      </c>
      <c r="Y11" s="16"/>
      <c r="Z11" s="16"/>
      <c r="AA11" s="168"/>
      <c r="AB11" s="168"/>
      <c r="AC11" s="18"/>
      <c r="AD11" s="18"/>
      <c r="AE11" s="14">
        <f t="shared" si="8"/>
        <v>-68.527918781725475</v>
      </c>
      <c r="AF11" s="91">
        <f t="shared" si="9"/>
        <v>0.95431472081218305</v>
      </c>
      <c r="AG11" s="177"/>
    </row>
    <row r="12" spans="1:33" ht="15.75" customHeight="1">
      <c r="A12" s="199" t="s">
        <v>742</v>
      </c>
      <c r="B12" s="28" t="s">
        <v>9</v>
      </c>
      <c r="C12" s="200" t="s">
        <v>11</v>
      </c>
      <c r="D12" s="201"/>
      <c r="E12" s="28">
        <v>39.799999999999997</v>
      </c>
      <c r="F12" s="88">
        <v>3537</v>
      </c>
      <c r="G12" s="88">
        <f t="shared" si="11"/>
        <v>140772.59999999998</v>
      </c>
      <c r="H12" s="30" t="s">
        <v>53</v>
      </c>
      <c r="I12" s="95">
        <v>17</v>
      </c>
      <c r="J12" s="13">
        <v>1500</v>
      </c>
      <c r="K12" s="12">
        <f t="shared" si="1"/>
        <v>88.235294117647058</v>
      </c>
      <c r="L12" s="95">
        <v>17</v>
      </c>
      <c r="M12" s="13">
        <f t="shared" si="12"/>
        <v>1433.9189189189194</v>
      </c>
      <c r="N12" s="12">
        <f t="shared" si="3"/>
        <v>84.348171701112904</v>
      </c>
      <c r="O12" s="14">
        <f t="shared" si="4"/>
        <v>0</v>
      </c>
      <c r="P12" s="15">
        <f t="shared" si="5"/>
        <v>-3.8871224165341545</v>
      </c>
      <c r="Q12" s="91">
        <f t="shared" si="6"/>
        <v>0.95594594594594628</v>
      </c>
      <c r="R12" s="177"/>
      <c r="S12" s="21">
        <v>0.54722222222222217</v>
      </c>
      <c r="T12" s="21">
        <v>0.64999999999999991</v>
      </c>
      <c r="U12" s="88">
        <f t="shared" si="14"/>
        <v>58.99999999999995</v>
      </c>
      <c r="V12" s="30">
        <f t="shared" si="13"/>
        <v>147.99999999999994</v>
      </c>
      <c r="W12" s="16"/>
      <c r="X12" s="16"/>
      <c r="Y12" s="16"/>
      <c r="Z12" s="16"/>
      <c r="AA12" s="168"/>
      <c r="AB12" s="168"/>
      <c r="AC12" s="18"/>
      <c r="AD12" s="18"/>
      <c r="AE12" s="14">
        <f t="shared" si="8"/>
        <v>-66.081081081080583</v>
      </c>
      <c r="AF12" s="91">
        <f t="shared" si="9"/>
        <v>0.95594594594594628</v>
      </c>
      <c r="AG12" s="177"/>
    </row>
    <row r="13" spans="1:33" ht="16.5" customHeight="1">
      <c r="A13" s="199" t="s">
        <v>742</v>
      </c>
      <c r="B13" s="28" t="s">
        <v>743</v>
      </c>
      <c r="C13" s="178"/>
      <c r="D13" s="178"/>
      <c r="E13" s="92"/>
      <c r="F13" s="13"/>
      <c r="G13" s="13"/>
      <c r="H13" s="88"/>
      <c r="I13" s="23">
        <v>17.666666666666668</v>
      </c>
      <c r="J13" s="13">
        <v>1500</v>
      </c>
      <c r="K13" s="12">
        <f t="shared" si="1"/>
        <v>84.905660377358487</v>
      </c>
      <c r="L13" s="23">
        <v>17.666666666666668</v>
      </c>
      <c r="M13" s="13">
        <f>AVERAGE(M10:M12)</f>
        <v>1431.8559970958786</v>
      </c>
      <c r="N13" s="12">
        <f t="shared" si="3"/>
        <v>81.048452665804447</v>
      </c>
      <c r="O13" s="14">
        <f t="shared" si="4"/>
        <v>0</v>
      </c>
      <c r="P13" s="15">
        <f t="shared" si="5"/>
        <v>-3.8572077115540395</v>
      </c>
      <c r="Q13" s="91">
        <f t="shared" si="6"/>
        <v>0.95457066473058572</v>
      </c>
      <c r="R13" s="177"/>
      <c r="S13" s="21"/>
      <c r="T13" s="21"/>
      <c r="U13" s="12"/>
      <c r="V13" s="30"/>
      <c r="W13" s="12"/>
      <c r="X13" s="12"/>
      <c r="Y13" s="24">
        <f>SUM(Y10:Y12)</f>
        <v>0</v>
      </c>
      <c r="Z13" s="24">
        <f>SUM(Z10:Z12)</f>
        <v>0</v>
      </c>
      <c r="AA13" s="167"/>
      <c r="AB13" s="167"/>
      <c r="AC13" s="24">
        <f>SUM(AC10:AC12)</f>
        <v>3</v>
      </c>
      <c r="AD13" s="24">
        <f>SUM(AD10:AD12)</f>
        <v>0</v>
      </c>
      <c r="AE13" s="14">
        <f t="shared" si="8"/>
        <v>-68.144002904121407</v>
      </c>
      <c r="AF13" s="91">
        <f t="shared" si="9"/>
        <v>0.95457066473058572</v>
      </c>
      <c r="AG13" s="177"/>
    </row>
    <row r="14" spans="1:33" ht="16.5" customHeight="1">
      <c r="A14" s="197" t="s">
        <v>744</v>
      </c>
      <c r="B14" s="88" t="s">
        <v>12</v>
      </c>
      <c r="C14" s="193" t="s">
        <v>13</v>
      </c>
      <c r="D14" s="193"/>
      <c r="E14" s="28">
        <v>41</v>
      </c>
      <c r="F14" s="88">
        <v>2305</v>
      </c>
      <c r="G14" s="88">
        <f t="shared" ref="G14:G18" si="15">E14*F14</f>
        <v>94505</v>
      </c>
      <c r="H14" s="30" t="s">
        <v>53</v>
      </c>
      <c r="I14" s="95">
        <v>26</v>
      </c>
      <c r="J14" s="13">
        <v>1500</v>
      </c>
      <c r="K14" s="12">
        <f t="shared" si="1"/>
        <v>57.692307692307693</v>
      </c>
      <c r="L14" s="95">
        <v>26</v>
      </c>
      <c r="M14" s="13">
        <f t="shared" ref="M14:M18" si="16">F14/V14*60</f>
        <v>1425.7731958762886</v>
      </c>
      <c r="N14" s="12">
        <f t="shared" si="3"/>
        <v>54.837430610626484</v>
      </c>
      <c r="O14" s="14">
        <f t="shared" si="4"/>
        <v>0</v>
      </c>
      <c r="P14" s="15">
        <f t="shared" si="5"/>
        <v>-2.8548770816812095</v>
      </c>
      <c r="Q14" s="91">
        <f t="shared" si="6"/>
        <v>0.95051546391752573</v>
      </c>
      <c r="R14" s="177">
        <f>Q19</f>
        <v>0.96226841979410638</v>
      </c>
      <c r="S14" s="21">
        <v>0.20833333333333334</v>
      </c>
      <c r="T14" s="21">
        <v>0.27569444444444446</v>
      </c>
      <c r="U14" s="88"/>
      <c r="V14" s="30">
        <f t="shared" ref="V14:V18" si="17">(T14-S14)*24*60</f>
        <v>97.000000000000014</v>
      </c>
      <c r="W14" s="21"/>
      <c r="X14" s="21"/>
      <c r="Y14" s="21"/>
      <c r="Z14" s="21"/>
      <c r="AA14" s="168"/>
      <c r="AB14" s="168"/>
      <c r="AC14" s="18">
        <v>5</v>
      </c>
      <c r="AD14" s="18"/>
      <c r="AE14" s="14">
        <f t="shared" si="8"/>
        <v>-74.226804123711418</v>
      </c>
      <c r="AF14" s="91">
        <f t="shared" si="9"/>
        <v>0.95051546391752573</v>
      </c>
      <c r="AG14" s="177">
        <f>AF19</f>
        <v>0.96226841979410627</v>
      </c>
    </row>
    <row r="15" spans="1:33" ht="16.5" customHeight="1">
      <c r="A15" s="198" t="s">
        <v>169</v>
      </c>
      <c r="B15" s="88" t="s">
        <v>5</v>
      </c>
      <c r="C15" s="193" t="s">
        <v>14</v>
      </c>
      <c r="D15" s="193"/>
      <c r="E15" s="28">
        <v>50.98</v>
      </c>
      <c r="F15" s="88">
        <v>1200</v>
      </c>
      <c r="G15" s="88">
        <f t="shared" si="15"/>
        <v>61175.999999999993</v>
      </c>
      <c r="H15" s="30">
        <v>2</v>
      </c>
      <c r="I15" s="95">
        <v>16</v>
      </c>
      <c r="J15" s="13">
        <v>2000</v>
      </c>
      <c r="K15" s="12">
        <f t="shared" si="1"/>
        <v>125</v>
      </c>
      <c r="L15" s="95">
        <v>16</v>
      </c>
      <c r="M15" s="13">
        <f t="shared" si="16"/>
        <v>1945.9459459459445</v>
      </c>
      <c r="N15" s="12">
        <f t="shared" si="3"/>
        <v>121.62162162162153</v>
      </c>
      <c r="O15" s="14">
        <f t="shared" si="4"/>
        <v>0</v>
      </c>
      <c r="P15" s="15">
        <f t="shared" si="5"/>
        <v>-3.3783783783784713</v>
      </c>
      <c r="Q15" s="91">
        <f t="shared" si="6"/>
        <v>0.97297297297297225</v>
      </c>
      <c r="R15" s="177"/>
      <c r="S15" s="21">
        <v>0.70833333333333337</v>
      </c>
      <c r="T15" s="21">
        <v>0.73402777777777783</v>
      </c>
      <c r="U15" s="88" t="str">
        <f t="shared" ref="U15:U18" si="18">IF(S15=TIME(17,0,0),"",(S15-T14)*24*60)</f>
        <v/>
      </c>
      <c r="V15" s="30">
        <f t="shared" si="17"/>
        <v>37.000000000000028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-54.054054054055541</v>
      </c>
      <c r="AF15" s="91">
        <f t="shared" si="9"/>
        <v>0.97297297297297225</v>
      </c>
      <c r="AG15" s="177"/>
    </row>
    <row r="16" spans="1:33" ht="16.5" customHeight="1">
      <c r="A16" s="198" t="s">
        <v>169</v>
      </c>
      <c r="B16" s="88" t="s">
        <v>5</v>
      </c>
      <c r="C16" s="193" t="s">
        <v>15</v>
      </c>
      <c r="D16" s="193"/>
      <c r="E16" s="28">
        <v>50.92</v>
      </c>
      <c r="F16" s="88">
        <v>2527</v>
      </c>
      <c r="G16" s="88">
        <f t="shared" si="15"/>
        <v>128674.84000000001</v>
      </c>
      <c r="H16" s="30" t="s">
        <v>53</v>
      </c>
      <c r="I16" s="95">
        <v>15</v>
      </c>
      <c r="J16" s="13">
        <v>2000</v>
      </c>
      <c r="K16" s="12">
        <f t="shared" si="1"/>
        <v>133.33333333333334</v>
      </c>
      <c r="L16" s="95">
        <v>15</v>
      </c>
      <c r="M16" s="13">
        <f t="shared" si="16"/>
        <v>1919.240506329113</v>
      </c>
      <c r="N16" s="12">
        <f t="shared" si="3"/>
        <v>127.94936708860753</v>
      </c>
      <c r="O16" s="14">
        <f t="shared" si="4"/>
        <v>0</v>
      </c>
      <c r="P16" s="15">
        <f t="shared" si="5"/>
        <v>-5.3839662447258121</v>
      </c>
      <c r="Q16" s="91">
        <f t="shared" si="6"/>
        <v>0.95962025316455646</v>
      </c>
      <c r="R16" s="177"/>
      <c r="S16" s="21">
        <v>0.73888888888888893</v>
      </c>
      <c r="T16" s="21">
        <v>0.79375000000000007</v>
      </c>
      <c r="U16" s="88">
        <f t="shared" si="18"/>
        <v>6.9999999999999751</v>
      </c>
      <c r="V16" s="30">
        <f t="shared" si="17"/>
        <v>79.000000000000043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-80.759493670886968</v>
      </c>
      <c r="AF16" s="91">
        <f t="shared" si="9"/>
        <v>0.95962025316455657</v>
      </c>
      <c r="AG16" s="177"/>
    </row>
    <row r="17" spans="1:33" ht="16.5" customHeight="1">
      <c r="A17" s="198" t="s">
        <v>169</v>
      </c>
      <c r="B17" s="88" t="s">
        <v>5</v>
      </c>
      <c r="C17" s="193" t="s">
        <v>43</v>
      </c>
      <c r="D17" s="193"/>
      <c r="E17" s="28">
        <v>54.29</v>
      </c>
      <c r="F17" s="88">
        <v>1244</v>
      </c>
      <c r="G17" s="88">
        <f t="shared" si="15"/>
        <v>67536.759999999995</v>
      </c>
      <c r="H17" s="30" t="s">
        <v>53</v>
      </c>
      <c r="I17" s="95">
        <v>20</v>
      </c>
      <c r="J17" s="13">
        <v>2000</v>
      </c>
      <c r="K17" s="12">
        <f t="shared" si="1"/>
        <v>100</v>
      </c>
      <c r="L17" s="95">
        <v>20</v>
      </c>
      <c r="M17" s="13">
        <f t="shared" si="16"/>
        <v>1913.8461538461529</v>
      </c>
      <c r="N17" s="12">
        <f t="shared" si="3"/>
        <v>95.692307692307651</v>
      </c>
      <c r="O17" s="14">
        <f t="shared" si="4"/>
        <v>0</v>
      </c>
      <c r="P17" s="15">
        <f t="shared" si="5"/>
        <v>-4.3076923076923492</v>
      </c>
      <c r="Q17" s="91">
        <f t="shared" si="6"/>
        <v>0.95692307692307654</v>
      </c>
      <c r="R17" s="177"/>
      <c r="S17" s="21">
        <v>0.79722222222222228</v>
      </c>
      <c r="T17" s="21">
        <v>0.82430555555555562</v>
      </c>
      <c r="U17" s="88">
        <f t="shared" si="18"/>
        <v>4.9999999999999822</v>
      </c>
      <c r="V17" s="30">
        <f t="shared" si="17"/>
        <v>39.000000000000021</v>
      </c>
      <c r="W17" s="16">
        <f>T17</f>
        <v>0.82430555555555562</v>
      </c>
      <c r="X17" s="16">
        <f>S18</f>
        <v>0.86458333333333337</v>
      </c>
      <c r="Y17" s="16"/>
      <c r="Z17" s="16"/>
      <c r="AA17" s="168"/>
      <c r="AB17" s="168"/>
      <c r="AC17" s="18"/>
      <c r="AD17" s="18"/>
      <c r="AE17" s="14">
        <f t="shared" si="8"/>
        <v>-86.153846153847098</v>
      </c>
      <c r="AF17" s="91">
        <f t="shared" si="9"/>
        <v>0.95692307692307643</v>
      </c>
      <c r="AG17" s="177"/>
    </row>
    <row r="18" spans="1:33" ht="16.5" customHeight="1">
      <c r="A18" s="198" t="s">
        <v>745</v>
      </c>
      <c r="B18" s="88" t="s">
        <v>5</v>
      </c>
      <c r="C18" s="193" t="s">
        <v>14</v>
      </c>
      <c r="D18" s="193"/>
      <c r="E18" s="28">
        <v>50.98</v>
      </c>
      <c r="F18" s="88">
        <v>1388</v>
      </c>
      <c r="G18" s="88">
        <f t="shared" si="15"/>
        <v>70760.239999999991</v>
      </c>
      <c r="H18" s="30" t="s">
        <v>53</v>
      </c>
      <c r="I18" s="95">
        <v>16</v>
      </c>
      <c r="J18" s="13">
        <v>2000</v>
      </c>
      <c r="K18" s="12">
        <f t="shared" si="1"/>
        <v>125</v>
      </c>
      <c r="L18" s="95">
        <v>16</v>
      </c>
      <c r="M18" s="13">
        <f t="shared" si="16"/>
        <v>1936.7441860465112</v>
      </c>
      <c r="N18" s="12">
        <f t="shared" si="3"/>
        <v>121.04651162790695</v>
      </c>
      <c r="O18" s="14">
        <f t="shared" si="4"/>
        <v>0</v>
      </c>
      <c r="P18" s="15">
        <f t="shared" si="5"/>
        <v>-3.953488372093048</v>
      </c>
      <c r="Q18" s="91">
        <f t="shared" si="6"/>
        <v>0.96837209302325566</v>
      </c>
      <c r="R18" s="177"/>
      <c r="S18" s="21">
        <v>0.86458333333333337</v>
      </c>
      <c r="T18" s="21">
        <v>0.89444444444444449</v>
      </c>
      <c r="U18" s="88">
        <f t="shared" si="18"/>
        <v>57.999999999999957</v>
      </c>
      <c r="V18" s="30">
        <f t="shared" si="17"/>
        <v>43.000000000000007</v>
      </c>
      <c r="W18" s="16"/>
      <c r="X18" s="16"/>
      <c r="Y18" s="16"/>
      <c r="Z18" s="16"/>
      <c r="AA18" s="168"/>
      <c r="AB18" s="168"/>
      <c r="AC18" s="18"/>
      <c r="AD18" s="18"/>
      <c r="AE18" s="14">
        <f t="shared" si="8"/>
        <v>-63.255813953488769</v>
      </c>
      <c r="AF18" s="91">
        <f t="shared" si="9"/>
        <v>0.96837209302325566</v>
      </c>
      <c r="AG18" s="177"/>
    </row>
    <row r="19" spans="1:33" ht="16.5" customHeight="1">
      <c r="A19" s="198" t="s">
        <v>169</v>
      </c>
      <c r="B19" s="28" t="s">
        <v>165</v>
      </c>
      <c r="C19" s="178"/>
      <c r="D19" s="178"/>
      <c r="E19" s="92"/>
      <c r="F19" s="12"/>
      <c r="G19" s="12"/>
      <c r="H19" s="88"/>
      <c r="I19" s="23">
        <v>18.600000000000001</v>
      </c>
      <c r="J19" s="13">
        <v>1900</v>
      </c>
      <c r="K19" s="12">
        <f t="shared" si="1"/>
        <v>102.15053763440859</v>
      </c>
      <c r="L19" s="23">
        <v>18.600000000000001</v>
      </c>
      <c r="M19" s="13">
        <f>AVERAGE(M14:M18)</f>
        <v>1828.309997608802</v>
      </c>
      <c r="N19" s="12">
        <f t="shared" si="3"/>
        <v>98.296236430580748</v>
      </c>
      <c r="O19" s="14">
        <f t="shared" si="4"/>
        <v>0</v>
      </c>
      <c r="P19" s="15">
        <f t="shared" si="5"/>
        <v>-3.8543012038278448</v>
      </c>
      <c r="Q19" s="91">
        <f t="shared" si="6"/>
        <v>0.96226841979410638</v>
      </c>
      <c r="R19" s="177"/>
      <c r="S19" s="21"/>
      <c r="T19" s="21"/>
      <c r="U19" s="88"/>
      <c r="V19" s="30"/>
      <c r="W19" s="12"/>
      <c r="X19" s="12"/>
      <c r="Y19" s="24">
        <f>SUM(Y14:Y18)</f>
        <v>0</v>
      </c>
      <c r="Z19" s="24">
        <f>SUM(Z14:Z18)</f>
        <v>0</v>
      </c>
      <c r="AA19" s="167"/>
      <c r="AB19" s="167"/>
      <c r="AC19" s="24">
        <f>SUM(AC14:AC18)</f>
        <v>5</v>
      </c>
      <c r="AD19" s="24">
        <f>SUM(AD14:AD18)</f>
        <v>0</v>
      </c>
      <c r="AE19" s="14">
        <f t="shared" si="8"/>
        <v>-71.69000239119805</v>
      </c>
      <c r="AF19" s="91">
        <f t="shared" si="9"/>
        <v>0.96226841979410627</v>
      </c>
      <c r="AG19" s="177"/>
    </row>
    <row r="20" spans="1:33" ht="15.75" customHeight="1">
      <c r="A20" s="195" t="s">
        <v>746</v>
      </c>
      <c r="B20" s="28" t="s">
        <v>5</v>
      </c>
      <c r="C20" s="193" t="s">
        <v>17</v>
      </c>
      <c r="D20" s="193"/>
      <c r="E20" s="28">
        <v>57.73</v>
      </c>
      <c r="F20" s="88">
        <v>2592</v>
      </c>
      <c r="G20" s="88">
        <f t="shared" ref="G20:G26" si="19">E20*F20</f>
        <v>149636.16</v>
      </c>
      <c r="H20" s="30" t="s">
        <v>53</v>
      </c>
      <c r="I20" s="95">
        <v>14</v>
      </c>
      <c r="J20" s="13">
        <v>2000</v>
      </c>
      <c r="K20" s="12">
        <f t="shared" si="1"/>
        <v>142.85714285714286</v>
      </c>
      <c r="L20" s="95">
        <v>14</v>
      </c>
      <c r="M20" s="13">
        <f t="shared" ref="M20:M26" si="20">F20/V20*60</f>
        <v>1920.0000000000005</v>
      </c>
      <c r="N20" s="12">
        <f t="shared" si="3"/>
        <v>137.14285714285717</v>
      </c>
      <c r="O20" s="14">
        <f t="shared" si="4"/>
        <v>0</v>
      </c>
      <c r="P20" s="15">
        <f t="shared" si="5"/>
        <v>-5.714285714285694</v>
      </c>
      <c r="Q20" s="91">
        <f t="shared" si="6"/>
        <v>0.96000000000000019</v>
      </c>
      <c r="R20" s="177">
        <f>Q27</f>
        <v>0.96133561819874735</v>
      </c>
      <c r="S20" s="21">
        <v>0.20833333333333334</v>
      </c>
      <c r="T20" s="21">
        <v>0.26458333333333334</v>
      </c>
      <c r="U20" s="88"/>
      <c r="V20" s="30">
        <f t="shared" ref="V20:V26" si="21">(T20-S20)*24*60</f>
        <v>80.999999999999986</v>
      </c>
      <c r="W20" s="21"/>
      <c r="X20" s="21"/>
      <c r="Y20" s="21"/>
      <c r="Z20" s="21"/>
      <c r="AA20" s="168"/>
      <c r="AB20" s="168"/>
      <c r="AC20" s="18">
        <v>7</v>
      </c>
      <c r="AD20" s="18"/>
      <c r="AE20" s="14">
        <f t="shared" si="8"/>
        <v>-79.999999999999545</v>
      </c>
      <c r="AF20" s="91">
        <f t="shared" si="9"/>
        <v>0.96000000000000019</v>
      </c>
      <c r="AG20" s="177">
        <f>AF27</f>
        <v>0.96133561819874735</v>
      </c>
    </row>
    <row r="21" spans="1:33" ht="15.75" customHeight="1">
      <c r="A21" s="196" t="s">
        <v>746</v>
      </c>
      <c r="B21" s="28" t="s">
        <v>5</v>
      </c>
      <c r="C21" s="193" t="s">
        <v>18</v>
      </c>
      <c r="D21" s="193"/>
      <c r="E21" s="28">
        <v>53.68</v>
      </c>
      <c r="F21" s="88">
        <v>1501</v>
      </c>
      <c r="G21" s="88">
        <f t="shared" si="19"/>
        <v>80573.679999999993</v>
      </c>
      <c r="H21" s="30" t="s">
        <v>53</v>
      </c>
      <c r="I21" s="95">
        <v>16</v>
      </c>
      <c r="J21" s="13">
        <v>2000</v>
      </c>
      <c r="K21" s="12">
        <f t="shared" si="1"/>
        <v>125</v>
      </c>
      <c r="L21" s="95">
        <v>16</v>
      </c>
      <c r="M21" s="13">
        <f t="shared" si="20"/>
        <v>1916.1702127659578</v>
      </c>
      <c r="N21" s="12">
        <f t="shared" si="3"/>
        <v>119.76063829787236</v>
      </c>
      <c r="O21" s="14">
        <f t="shared" si="4"/>
        <v>0</v>
      </c>
      <c r="P21" s="15">
        <f t="shared" si="5"/>
        <v>-5.2393617021276384</v>
      </c>
      <c r="Q21" s="91">
        <f t="shared" si="6"/>
        <v>0.95808510638297895</v>
      </c>
      <c r="R21" s="177"/>
      <c r="S21" s="21">
        <v>0.27013888888888887</v>
      </c>
      <c r="T21" s="21">
        <v>0.30277777777777776</v>
      </c>
      <c r="U21" s="88">
        <f t="shared" ref="U21:U26" si="22">IF(S21=TIME(17,0,0),"",(S21-T20)*24*60)</f>
        <v>7.9999999999999716</v>
      </c>
      <c r="V21" s="30">
        <f t="shared" si="21"/>
        <v>46.999999999999993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8"/>
        <v>-83.829787234042215</v>
      </c>
      <c r="AF21" s="91">
        <f t="shared" si="9"/>
        <v>0.95808510638297895</v>
      </c>
      <c r="AG21" s="177"/>
    </row>
    <row r="22" spans="1:33" ht="15.75" customHeight="1">
      <c r="A22" s="196" t="s">
        <v>746</v>
      </c>
      <c r="B22" s="28" t="s">
        <v>5</v>
      </c>
      <c r="C22" s="193" t="s">
        <v>73</v>
      </c>
      <c r="D22" s="193"/>
      <c r="E22" s="28">
        <v>50.67</v>
      </c>
      <c r="F22" s="88">
        <v>2915</v>
      </c>
      <c r="G22" s="88">
        <f t="shared" si="19"/>
        <v>147703.05000000002</v>
      </c>
      <c r="H22" s="30" t="s">
        <v>53</v>
      </c>
      <c r="I22" s="95">
        <v>16</v>
      </c>
      <c r="J22" s="13">
        <v>2000</v>
      </c>
      <c r="K22" s="12">
        <f t="shared" si="1"/>
        <v>125</v>
      </c>
      <c r="L22" s="95">
        <v>16</v>
      </c>
      <c r="M22" s="13">
        <f t="shared" si="20"/>
        <v>1921.9780219780223</v>
      </c>
      <c r="N22" s="12">
        <f t="shared" si="3"/>
        <v>120.12362637362639</v>
      </c>
      <c r="O22" s="14">
        <f t="shared" si="4"/>
        <v>0</v>
      </c>
      <c r="P22" s="15">
        <f t="shared" si="5"/>
        <v>-4.8763736263736064</v>
      </c>
      <c r="Q22" s="91">
        <f t="shared" si="6"/>
        <v>0.96098901098901113</v>
      </c>
      <c r="R22" s="177"/>
      <c r="S22" s="21">
        <v>0.30624999999999997</v>
      </c>
      <c r="T22" s="21">
        <v>0.36944444444444441</v>
      </c>
      <c r="U22" s="88">
        <f t="shared" si="22"/>
        <v>4.9999999999999822</v>
      </c>
      <c r="V22" s="30">
        <f t="shared" si="21"/>
        <v>91</v>
      </c>
      <c r="W22" s="16"/>
      <c r="X22" s="88"/>
      <c r="Y22" s="88"/>
      <c r="Z22" s="88"/>
      <c r="AA22" s="168"/>
      <c r="AB22" s="168"/>
      <c r="AC22" s="18"/>
      <c r="AD22" s="18"/>
      <c r="AE22" s="14">
        <f t="shared" si="8"/>
        <v>-78.021978021977702</v>
      </c>
      <c r="AF22" s="91">
        <f t="shared" si="9"/>
        <v>0.96098901098901113</v>
      </c>
      <c r="AG22" s="177"/>
    </row>
    <row r="23" spans="1:33" ht="15.75" customHeight="1">
      <c r="A23" s="196" t="s">
        <v>746</v>
      </c>
      <c r="B23" s="28" t="s">
        <v>5</v>
      </c>
      <c r="C23" s="193" t="s">
        <v>21</v>
      </c>
      <c r="D23" s="193"/>
      <c r="E23" s="28">
        <v>57.3</v>
      </c>
      <c r="F23" s="88">
        <v>1839</v>
      </c>
      <c r="G23" s="88">
        <f t="shared" si="19"/>
        <v>105374.7</v>
      </c>
      <c r="H23" s="30" t="s">
        <v>53</v>
      </c>
      <c r="I23" s="95">
        <v>13</v>
      </c>
      <c r="J23" s="13">
        <v>2000</v>
      </c>
      <c r="K23" s="12">
        <f t="shared" si="1"/>
        <v>153.84615384615384</v>
      </c>
      <c r="L23" s="95">
        <v>13</v>
      </c>
      <c r="M23" s="13">
        <f t="shared" si="20"/>
        <v>1935.7894736842118</v>
      </c>
      <c r="N23" s="12">
        <f t="shared" si="3"/>
        <v>148.90688259109322</v>
      </c>
      <c r="O23" s="14">
        <f t="shared" si="4"/>
        <v>0</v>
      </c>
      <c r="P23" s="15">
        <f t="shared" si="5"/>
        <v>-4.9392712550606177</v>
      </c>
      <c r="Q23" s="91">
        <f t="shared" si="6"/>
        <v>0.96789473684210603</v>
      </c>
      <c r="R23" s="177"/>
      <c r="S23" s="21">
        <v>0.70833333333333337</v>
      </c>
      <c r="T23" s="21">
        <v>0.74791666666666667</v>
      </c>
      <c r="U23" s="88" t="str">
        <f t="shared" si="22"/>
        <v/>
      </c>
      <c r="V23" s="30">
        <f t="shared" si="21"/>
        <v>56.999999999999957</v>
      </c>
      <c r="W23" s="16"/>
      <c r="X23" s="88"/>
      <c r="Y23" s="88"/>
      <c r="Z23" s="88"/>
      <c r="AA23" s="168"/>
      <c r="AB23" s="168"/>
      <c r="AC23" s="18"/>
      <c r="AD23" s="18"/>
      <c r="AE23" s="14">
        <f t="shared" si="8"/>
        <v>-64.210526315788229</v>
      </c>
      <c r="AF23" s="91">
        <f t="shared" si="9"/>
        <v>0.96789473684210592</v>
      </c>
      <c r="AG23" s="177"/>
    </row>
    <row r="24" spans="1:33" ht="15.75" customHeight="1">
      <c r="A24" s="196" t="s">
        <v>746</v>
      </c>
      <c r="B24" s="28" t="s">
        <v>5</v>
      </c>
      <c r="C24" s="193" t="s">
        <v>20</v>
      </c>
      <c r="D24" s="193"/>
      <c r="E24" s="28">
        <v>53.68</v>
      </c>
      <c r="F24" s="88">
        <v>1532</v>
      </c>
      <c r="G24" s="88">
        <f t="shared" si="19"/>
        <v>82237.759999999995</v>
      </c>
      <c r="H24" s="30" t="s">
        <v>53</v>
      </c>
      <c r="I24" s="95">
        <v>16</v>
      </c>
      <c r="J24" s="13">
        <v>1500</v>
      </c>
      <c r="K24" s="12">
        <f t="shared" si="1"/>
        <v>93.75</v>
      </c>
      <c r="L24" s="95">
        <v>16</v>
      </c>
      <c r="M24" s="13">
        <f t="shared" si="20"/>
        <v>1436.2500000000016</v>
      </c>
      <c r="N24" s="12">
        <f t="shared" si="3"/>
        <v>89.765625000000099</v>
      </c>
      <c r="O24" s="14">
        <f t="shared" si="4"/>
        <v>0</v>
      </c>
      <c r="P24" s="15">
        <f t="shared" si="5"/>
        <v>-3.9843749999999005</v>
      </c>
      <c r="Q24" s="91">
        <f t="shared" si="6"/>
        <v>0.95750000000000102</v>
      </c>
      <c r="R24" s="177"/>
      <c r="S24" s="21">
        <v>0.75347222222222221</v>
      </c>
      <c r="T24" s="21">
        <v>0.79791666666666661</v>
      </c>
      <c r="U24" s="88">
        <f t="shared" si="22"/>
        <v>7.9999999999999716</v>
      </c>
      <c r="V24" s="30">
        <f t="shared" si="21"/>
        <v>63.999999999999929</v>
      </c>
      <c r="W24" s="16"/>
      <c r="X24" s="16"/>
      <c r="Y24" s="88"/>
      <c r="Z24" s="88"/>
      <c r="AA24" s="168"/>
      <c r="AB24" s="168"/>
      <c r="AC24" s="18"/>
      <c r="AD24" s="18"/>
      <c r="AE24" s="14">
        <f t="shared" si="8"/>
        <v>-63.749999999998408</v>
      </c>
      <c r="AF24" s="91">
        <f t="shared" si="9"/>
        <v>0.95750000000000102</v>
      </c>
      <c r="AG24" s="177"/>
    </row>
    <row r="25" spans="1:33" ht="15.75" customHeight="1">
      <c r="A25" s="196" t="s">
        <v>746</v>
      </c>
      <c r="B25" s="28" t="s">
        <v>5</v>
      </c>
      <c r="C25" s="193" t="s">
        <v>19</v>
      </c>
      <c r="D25" s="193"/>
      <c r="E25" s="28">
        <v>50.49</v>
      </c>
      <c r="F25" s="88">
        <v>1100</v>
      </c>
      <c r="G25" s="88">
        <f t="shared" si="19"/>
        <v>55539</v>
      </c>
      <c r="H25" s="30">
        <v>2</v>
      </c>
      <c r="I25" s="95">
        <v>15</v>
      </c>
      <c r="J25" s="13">
        <v>2000</v>
      </c>
      <c r="K25" s="12">
        <f t="shared" si="1"/>
        <v>133.33333333333334</v>
      </c>
      <c r="L25" s="95">
        <v>15</v>
      </c>
      <c r="M25" s="13">
        <f t="shared" si="20"/>
        <v>1941.1764705882326</v>
      </c>
      <c r="N25" s="12">
        <f t="shared" si="3"/>
        <v>129.41176470588218</v>
      </c>
      <c r="O25" s="14">
        <f t="shared" si="4"/>
        <v>0</v>
      </c>
      <c r="P25" s="15">
        <f t="shared" si="5"/>
        <v>-3.9215686274511654</v>
      </c>
      <c r="Q25" s="91">
        <f t="shared" si="6"/>
        <v>0.97058823529411631</v>
      </c>
      <c r="R25" s="177"/>
      <c r="S25" s="21">
        <v>0.8027777777777777</v>
      </c>
      <c r="T25" s="21">
        <v>0.82638888888888884</v>
      </c>
      <c r="U25" s="88">
        <f t="shared" si="22"/>
        <v>6.9999999999999751</v>
      </c>
      <c r="V25" s="30">
        <f t="shared" si="21"/>
        <v>34.000000000000043</v>
      </c>
      <c r="W25" s="16">
        <f>T25</f>
        <v>0.82638888888888884</v>
      </c>
      <c r="X25" s="16">
        <f>S26</f>
        <v>0.86666666666666659</v>
      </c>
      <c r="Y25" s="21"/>
      <c r="Z25" s="21"/>
      <c r="AA25" s="168"/>
      <c r="AB25" s="168"/>
      <c r="AC25" s="18"/>
      <c r="AD25" s="18"/>
      <c r="AE25" s="14">
        <f t="shared" si="8"/>
        <v>-58.823529411767367</v>
      </c>
      <c r="AF25" s="91">
        <f t="shared" si="9"/>
        <v>0.97058823529411631</v>
      </c>
      <c r="AG25" s="177"/>
    </row>
    <row r="26" spans="1:33" ht="15.75" customHeight="1">
      <c r="A26" s="196" t="s">
        <v>170</v>
      </c>
      <c r="B26" s="28" t="s">
        <v>5</v>
      </c>
      <c r="C26" s="218" t="s">
        <v>19</v>
      </c>
      <c r="D26" s="219"/>
      <c r="E26" s="28">
        <v>50.49</v>
      </c>
      <c r="F26" s="88">
        <v>1144</v>
      </c>
      <c r="G26" s="88">
        <f t="shared" si="19"/>
        <v>57760.560000000005</v>
      </c>
      <c r="H26" s="30" t="s">
        <v>53</v>
      </c>
      <c r="I26" s="95">
        <v>15</v>
      </c>
      <c r="J26" s="13">
        <v>2000</v>
      </c>
      <c r="K26" s="12">
        <f t="shared" si="1"/>
        <v>133.33333333333334</v>
      </c>
      <c r="L26" s="95">
        <v>15</v>
      </c>
      <c r="M26" s="13">
        <f t="shared" si="20"/>
        <v>1906.6666666666652</v>
      </c>
      <c r="N26" s="12">
        <f t="shared" si="3"/>
        <v>127.11111111111101</v>
      </c>
      <c r="O26" s="14">
        <f t="shared" si="4"/>
        <v>0</v>
      </c>
      <c r="P26" s="15">
        <f t="shared" si="5"/>
        <v>-6.222222222222328</v>
      </c>
      <c r="Q26" s="91">
        <f t="shared" si="6"/>
        <v>0.95333333333333259</v>
      </c>
      <c r="R26" s="177"/>
      <c r="S26" s="21">
        <v>0.86666666666666659</v>
      </c>
      <c r="T26" s="21">
        <v>0.89166666666666661</v>
      </c>
      <c r="U26" s="88">
        <f t="shared" si="22"/>
        <v>57.999999999999957</v>
      </c>
      <c r="V26" s="30">
        <f t="shared" si="21"/>
        <v>36.000000000000028</v>
      </c>
      <c r="W26" s="16"/>
      <c r="X26" s="21"/>
      <c r="Y26" s="22"/>
      <c r="Z26" s="22"/>
      <c r="AA26" s="172"/>
      <c r="AB26" s="173"/>
      <c r="AC26" s="18"/>
      <c r="AD26" s="18"/>
      <c r="AE26" s="14">
        <f t="shared" si="8"/>
        <v>-93.333333333334849</v>
      </c>
      <c r="AF26" s="91">
        <f t="shared" si="9"/>
        <v>0.95333333333333259</v>
      </c>
      <c r="AG26" s="177"/>
    </row>
    <row r="27" spans="1:33" ht="15.75" customHeight="1">
      <c r="A27" s="196" t="s">
        <v>170</v>
      </c>
      <c r="B27" s="28" t="s">
        <v>165</v>
      </c>
      <c r="C27" s="178"/>
      <c r="D27" s="178"/>
      <c r="E27" s="92"/>
      <c r="F27" s="88"/>
      <c r="G27" s="88"/>
      <c r="H27" s="88"/>
      <c r="I27" s="23">
        <v>15</v>
      </c>
      <c r="J27" s="13">
        <v>1928.5714285714287</v>
      </c>
      <c r="K27" s="12">
        <f t="shared" si="1"/>
        <v>128.57142857142858</v>
      </c>
      <c r="L27" s="23">
        <v>15</v>
      </c>
      <c r="M27" s="13">
        <f>AVERAGE(M20:M26)</f>
        <v>1854.0044065261557</v>
      </c>
      <c r="N27" s="12">
        <f t="shared" si="3"/>
        <v>123.60029376841038</v>
      </c>
      <c r="O27" s="14">
        <f t="shared" si="4"/>
        <v>0</v>
      </c>
      <c r="P27" s="15">
        <f t="shared" si="5"/>
        <v>-4.9711348030182023</v>
      </c>
      <c r="Q27" s="91">
        <f t="shared" si="6"/>
        <v>0.96133561819874735</v>
      </c>
      <c r="R27" s="177"/>
      <c r="S27" s="21"/>
      <c r="T27" s="21"/>
      <c r="U27" s="12"/>
      <c r="V27" s="30"/>
      <c r="W27" s="12"/>
      <c r="X27" s="12"/>
      <c r="Y27" s="24">
        <f>SUM(Y20:Y26)</f>
        <v>0</v>
      </c>
      <c r="Z27" s="24">
        <f>SUM(Z20:Z26)</f>
        <v>0</v>
      </c>
      <c r="AA27" s="167"/>
      <c r="AB27" s="167"/>
      <c r="AC27" s="24">
        <f>SUM(AC20:AC26)</f>
        <v>7</v>
      </c>
      <c r="AD27" s="24">
        <f>SUM(AD20:AD26)</f>
        <v>0</v>
      </c>
      <c r="AE27" s="14">
        <f t="shared" si="8"/>
        <v>-74.567022045273006</v>
      </c>
      <c r="AF27" s="91">
        <f t="shared" si="9"/>
        <v>0.96133561819874735</v>
      </c>
      <c r="AG27" s="177"/>
    </row>
    <row r="28" spans="1:33" ht="15.75" customHeight="1">
      <c r="A28" s="194" t="s">
        <v>747</v>
      </c>
      <c r="B28" s="28" t="s">
        <v>22</v>
      </c>
      <c r="C28" s="193" t="s">
        <v>23</v>
      </c>
      <c r="D28" s="193"/>
      <c r="E28" s="28">
        <v>31.29</v>
      </c>
      <c r="F28" s="88">
        <v>5800</v>
      </c>
      <c r="G28" s="88">
        <f t="shared" ref="G28:G33" si="23">E28*F28</f>
        <v>181482</v>
      </c>
      <c r="H28" s="30">
        <v>2</v>
      </c>
      <c r="I28" s="95">
        <v>18</v>
      </c>
      <c r="J28" s="13">
        <v>2400</v>
      </c>
      <c r="K28" s="12">
        <f t="shared" si="1"/>
        <v>133.33333333333334</v>
      </c>
      <c r="L28" s="95">
        <v>18</v>
      </c>
      <c r="M28" s="13">
        <f t="shared" ref="M28:M33" si="24">F28/V28*60</f>
        <v>2289.4736842105262</v>
      </c>
      <c r="N28" s="12">
        <f t="shared" si="3"/>
        <v>127.19298245614034</v>
      </c>
      <c r="O28" s="14">
        <f t="shared" si="4"/>
        <v>0</v>
      </c>
      <c r="P28" s="15">
        <f t="shared" si="5"/>
        <v>-6.1403508771930007</v>
      </c>
      <c r="Q28" s="91">
        <f t="shared" si="6"/>
        <v>0.95394736842105254</v>
      </c>
      <c r="R28" s="177">
        <f>Q34</f>
        <v>0.9539374237599898</v>
      </c>
      <c r="S28" s="21">
        <v>8.3333333333333329E-2</v>
      </c>
      <c r="T28" s="21">
        <v>0.18888888888888888</v>
      </c>
      <c r="U28" s="88"/>
      <c r="V28" s="30">
        <f t="shared" ref="V28:V33" si="25">(T28-S28)*24*60</f>
        <v>152</v>
      </c>
      <c r="W28" s="16">
        <f>T28</f>
        <v>0.18888888888888888</v>
      </c>
      <c r="X28" s="16">
        <f>S29</f>
        <v>0.20972222222222223</v>
      </c>
      <c r="Y28" s="16"/>
      <c r="Z28" s="16"/>
      <c r="AA28" s="168"/>
      <c r="AB28" s="168"/>
      <c r="AC28" s="18">
        <v>6</v>
      </c>
      <c r="AD28" s="18"/>
      <c r="AE28" s="14">
        <f t="shared" si="8"/>
        <v>-110.52631578947376</v>
      </c>
      <c r="AF28" s="91">
        <f t="shared" si="9"/>
        <v>0.95394736842105265</v>
      </c>
      <c r="AG28" s="177">
        <f>AF34</f>
        <v>0.95393742375998969</v>
      </c>
    </row>
    <row r="29" spans="1:33" ht="15.75" customHeight="1">
      <c r="A29" s="194" t="s">
        <v>748</v>
      </c>
      <c r="B29" s="28" t="s">
        <v>22</v>
      </c>
      <c r="C29" s="193" t="s">
        <v>24</v>
      </c>
      <c r="D29" s="193"/>
      <c r="E29" s="28">
        <v>25.98</v>
      </c>
      <c r="F29" s="88">
        <v>3253</v>
      </c>
      <c r="G29" s="88">
        <f t="shared" si="23"/>
        <v>84512.94</v>
      </c>
      <c r="H29" s="30" t="s">
        <v>53</v>
      </c>
      <c r="I29" s="95">
        <v>21</v>
      </c>
      <c r="J29" s="13">
        <v>2400</v>
      </c>
      <c r="K29" s="12">
        <f t="shared" si="1"/>
        <v>114.28571428571429</v>
      </c>
      <c r="L29" s="95">
        <v>21</v>
      </c>
      <c r="M29" s="13">
        <f t="shared" si="24"/>
        <v>2296.2352941176478</v>
      </c>
      <c r="N29" s="12">
        <f t="shared" si="3"/>
        <v>109.34453781512609</v>
      </c>
      <c r="O29" s="14">
        <f t="shared" si="4"/>
        <v>0</v>
      </c>
      <c r="P29" s="15">
        <f t="shared" si="5"/>
        <v>-4.9411764705882035</v>
      </c>
      <c r="Q29" s="91">
        <f t="shared" si="6"/>
        <v>0.95676470588235318</v>
      </c>
      <c r="R29" s="177"/>
      <c r="S29" s="21">
        <v>0.20972222222222223</v>
      </c>
      <c r="T29" s="21">
        <v>0.26874999999999999</v>
      </c>
      <c r="U29" s="88">
        <f t="shared" ref="U29:U33" si="26">(S29-T28)*24*60</f>
        <v>30.000000000000014</v>
      </c>
      <c r="V29" s="30">
        <f t="shared" si="25"/>
        <v>84.999999999999972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8"/>
        <v>-103.76470588235225</v>
      </c>
      <c r="AF29" s="91">
        <f t="shared" si="9"/>
        <v>0.95676470588235318</v>
      </c>
      <c r="AG29" s="177"/>
    </row>
    <row r="30" spans="1:33" ht="15.75" customHeight="1">
      <c r="A30" s="194" t="s">
        <v>748</v>
      </c>
      <c r="B30" s="28" t="s">
        <v>22</v>
      </c>
      <c r="C30" s="193" t="s">
        <v>25</v>
      </c>
      <c r="D30" s="193"/>
      <c r="E30" s="28">
        <v>26.2</v>
      </c>
      <c r="F30" s="88">
        <v>5520</v>
      </c>
      <c r="G30" s="88">
        <f t="shared" si="23"/>
        <v>144624</v>
      </c>
      <c r="H30" s="30" t="s">
        <v>53</v>
      </c>
      <c r="I30" s="95">
        <v>20</v>
      </c>
      <c r="J30" s="13">
        <v>2400</v>
      </c>
      <c r="K30" s="12">
        <f t="shared" si="1"/>
        <v>120</v>
      </c>
      <c r="L30" s="95">
        <v>20</v>
      </c>
      <c r="M30" s="13">
        <f t="shared" si="24"/>
        <v>2284.1379310344832</v>
      </c>
      <c r="N30" s="12">
        <f t="shared" si="3"/>
        <v>114.20689655172416</v>
      </c>
      <c r="O30" s="14">
        <f t="shared" si="4"/>
        <v>0</v>
      </c>
      <c r="P30" s="15">
        <f t="shared" si="5"/>
        <v>-5.7931034482758434</v>
      </c>
      <c r="Q30" s="91">
        <f t="shared" si="6"/>
        <v>0.95172413793103461</v>
      </c>
      <c r="R30" s="177"/>
      <c r="S30" s="21">
        <v>0.2722222222222222</v>
      </c>
      <c r="T30" s="21">
        <v>0.37291666666666662</v>
      </c>
      <c r="U30" s="88">
        <f t="shared" si="26"/>
        <v>4.9999999999999822</v>
      </c>
      <c r="V30" s="30">
        <f t="shared" si="25"/>
        <v>144.99999999999997</v>
      </c>
      <c r="W30" s="16"/>
      <c r="X30" s="16"/>
      <c r="Y30" s="16"/>
      <c r="Z30" s="16"/>
      <c r="AA30" s="168"/>
      <c r="AB30" s="168"/>
      <c r="AC30" s="18"/>
      <c r="AD30" s="18"/>
      <c r="AE30" s="14">
        <f t="shared" si="8"/>
        <v>-115.86206896551676</v>
      </c>
      <c r="AF30" s="91">
        <f t="shared" si="9"/>
        <v>0.95172413793103472</v>
      </c>
      <c r="AG30" s="177"/>
    </row>
    <row r="31" spans="1:33" ht="15.75" customHeight="1">
      <c r="A31" s="194" t="s">
        <v>748</v>
      </c>
      <c r="B31" s="28" t="s">
        <v>22</v>
      </c>
      <c r="C31" s="193" t="s">
        <v>26</v>
      </c>
      <c r="D31" s="193"/>
      <c r="E31" s="28">
        <v>25.99</v>
      </c>
      <c r="F31" s="88">
        <v>4320</v>
      </c>
      <c r="G31" s="88">
        <f t="shared" si="23"/>
        <v>112276.79999999999</v>
      </c>
      <c r="H31" s="30" t="s">
        <v>53</v>
      </c>
      <c r="I31" s="95">
        <v>14</v>
      </c>
      <c r="J31" s="13">
        <v>2400</v>
      </c>
      <c r="K31" s="12">
        <f t="shared" si="1"/>
        <v>171.42857142857142</v>
      </c>
      <c r="L31" s="95">
        <v>14</v>
      </c>
      <c r="M31" s="13">
        <f t="shared" si="24"/>
        <v>2293.8053097345132</v>
      </c>
      <c r="N31" s="12">
        <f t="shared" si="3"/>
        <v>163.8432364096081</v>
      </c>
      <c r="O31" s="14">
        <f t="shared" si="4"/>
        <v>0</v>
      </c>
      <c r="P31" s="15">
        <f t="shared" si="5"/>
        <v>-7.5853350189633204</v>
      </c>
      <c r="Q31" s="91">
        <f t="shared" si="6"/>
        <v>0.95575221238938057</v>
      </c>
      <c r="R31" s="177"/>
      <c r="S31" s="21">
        <v>0.37708333333333327</v>
      </c>
      <c r="T31" s="21">
        <v>0.45555555555555549</v>
      </c>
      <c r="U31" s="88">
        <f t="shared" si="26"/>
        <v>5.9999999999999787</v>
      </c>
      <c r="V31" s="30">
        <f t="shared" si="25"/>
        <v>113</v>
      </c>
      <c r="W31" s="16"/>
      <c r="X31" s="16"/>
      <c r="Y31" s="16"/>
      <c r="Z31" s="16"/>
      <c r="AA31" s="168"/>
      <c r="AB31" s="168"/>
      <c r="AC31" s="18"/>
      <c r="AD31" s="18"/>
      <c r="AE31" s="14">
        <f t="shared" si="8"/>
        <v>-106.19469026548677</v>
      </c>
      <c r="AF31" s="91">
        <f t="shared" si="9"/>
        <v>0.95575221238938046</v>
      </c>
      <c r="AG31" s="177"/>
    </row>
    <row r="32" spans="1:33" ht="15.75" customHeight="1">
      <c r="A32" s="194" t="s">
        <v>748</v>
      </c>
      <c r="B32" s="28" t="s">
        <v>22</v>
      </c>
      <c r="C32" s="193" t="s">
        <v>27</v>
      </c>
      <c r="D32" s="193"/>
      <c r="E32" s="28">
        <v>26.18</v>
      </c>
      <c r="F32" s="88">
        <v>1678</v>
      </c>
      <c r="G32" s="88">
        <f t="shared" si="23"/>
        <v>43930.04</v>
      </c>
      <c r="H32" s="30" t="s">
        <v>53</v>
      </c>
      <c r="I32" s="95">
        <v>19</v>
      </c>
      <c r="J32" s="13">
        <v>2400</v>
      </c>
      <c r="K32" s="12">
        <f t="shared" si="1"/>
        <v>126.31578947368421</v>
      </c>
      <c r="L32" s="95">
        <v>19</v>
      </c>
      <c r="M32" s="13">
        <f t="shared" si="24"/>
        <v>2288.181818181818</v>
      </c>
      <c r="N32" s="12">
        <f t="shared" si="3"/>
        <v>120.43062200956938</v>
      </c>
      <c r="O32" s="14">
        <f t="shared" si="4"/>
        <v>0</v>
      </c>
      <c r="P32" s="15">
        <f t="shared" si="5"/>
        <v>-5.8851674641148293</v>
      </c>
      <c r="Q32" s="91">
        <f t="shared" si="6"/>
        <v>0.95340909090909098</v>
      </c>
      <c r="R32" s="177"/>
      <c r="S32" s="21">
        <v>0.45972222222222214</v>
      </c>
      <c r="T32" s="21">
        <v>0.4902777777777777</v>
      </c>
      <c r="U32" s="88">
        <f t="shared" si="26"/>
        <v>5.9999999999999787</v>
      </c>
      <c r="V32" s="30">
        <f t="shared" si="25"/>
        <v>44</v>
      </c>
      <c r="W32" s="16">
        <f>T32</f>
        <v>0.4902777777777777</v>
      </c>
      <c r="X32" s="16">
        <f>S33</f>
        <v>0.52916666666666656</v>
      </c>
      <c r="Y32" s="16"/>
      <c r="Z32" s="16"/>
      <c r="AA32" s="168"/>
      <c r="AB32" s="168"/>
      <c r="AC32" s="18"/>
      <c r="AD32" s="18"/>
      <c r="AE32" s="14">
        <f t="shared" si="8"/>
        <v>-111.81818181818198</v>
      </c>
      <c r="AF32" s="91">
        <f t="shared" si="9"/>
        <v>0.95340909090909087</v>
      </c>
      <c r="AG32" s="177"/>
    </row>
    <row r="33" spans="1:33" ht="15.75" customHeight="1">
      <c r="A33" s="194" t="s">
        <v>748</v>
      </c>
      <c r="B33" s="28" t="s">
        <v>22</v>
      </c>
      <c r="C33" s="193" t="s">
        <v>23</v>
      </c>
      <c r="D33" s="193"/>
      <c r="E33" s="28">
        <v>31.29</v>
      </c>
      <c r="F33" s="88">
        <v>4227</v>
      </c>
      <c r="G33" s="88">
        <f t="shared" si="23"/>
        <v>132262.82999999999</v>
      </c>
      <c r="H33" s="30" t="s">
        <v>53</v>
      </c>
      <c r="I33" s="95">
        <v>18</v>
      </c>
      <c r="J33" s="13">
        <v>2400</v>
      </c>
      <c r="K33" s="12">
        <f t="shared" si="1"/>
        <v>133.33333333333334</v>
      </c>
      <c r="L33" s="95">
        <v>18</v>
      </c>
      <c r="M33" s="13">
        <f t="shared" si="24"/>
        <v>2284.8648648648632</v>
      </c>
      <c r="N33" s="12">
        <f t="shared" si="3"/>
        <v>126.93693693693685</v>
      </c>
      <c r="O33" s="14">
        <f t="shared" si="4"/>
        <v>0</v>
      </c>
      <c r="P33" s="15">
        <f t="shared" si="5"/>
        <v>-6.3963963963964972</v>
      </c>
      <c r="Q33" s="91">
        <f t="shared" si="6"/>
        <v>0.95202702702702624</v>
      </c>
      <c r="R33" s="177"/>
      <c r="S33" s="21">
        <v>0.52916666666666656</v>
      </c>
      <c r="T33" s="21">
        <v>0.60624999999999996</v>
      </c>
      <c r="U33" s="88">
        <f t="shared" si="26"/>
        <v>55.999999999999957</v>
      </c>
      <c r="V33" s="30">
        <f t="shared" si="25"/>
        <v>111.00000000000009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-115.13513513513681</v>
      </c>
      <c r="AF33" s="91">
        <f t="shared" si="9"/>
        <v>0.95202702702702635</v>
      </c>
      <c r="AG33" s="177"/>
    </row>
    <row r="34" spans="1:33" ht="15.75" customHeight="1">
      <c r="A34" s="194" t="s">
        <v>748</v>
      </c>
      <c r="B34" s="28" t="s">
        <v>749</v>
      </c>
      <c r="C34" s="178"/>
      <c r="D34" s="178"/>
      <c r="E34" s="92"/>
      <c r="F34" s="88"/>
      <c r="G34" s="88"/>
      <c r="H34" s="88"/>
      <c r="I34" s="23">
        <v>18.333333333333332</v>
      </c>
      <c r="J34" s="13">
        <v>2400</v>
      </c>
      <c r="K34" s="12">
        <f t="shared" si="1"/>
        <v>130.90909090909091</v>
      </c>
      <c r="L34" s="23">
        <v>18.333333333333332</v>
      </c>
      <c r="M34" s="13">
        <f>AVERAGE(M28:M33)</f>
        <v>2289.4498170239754</v>
      </c>
      <c r="N34" s="12">
        <f t="shared" si="3"/>
        <v>124.87908092858048</v>
      </c>
      <c r="O34" s="14">
        <f t="shared" si="4"/>
        <v>0</v>
      </c>
      <c r="P34" s="15">
        <f t="shared" si="5"/>
        <v>-6.0300099805104281</v>
      </c>
      <c r="Q34" s="91">
        <f t="shared" si="6"/>
        <v>0.9539374237599898</v>
      </c>
      <c r="R34" s="177"/>
      <c r="S34" s="21"/>
      <c r="T34" s="21"/>
      <c r="U34" s="88"/>
      <c r="V34" s="30"/>
      <c r="W34" s="88"/>
      <c r="X34" s="88"/>
      <c r="Y34" s="24">
        <f>SUM(Y28:Y33)</f>
        <v>0</v>
      </c>
      <c r="Z34" s="24">
        <f>SUM(Z28:Z33)</f>
        <v>0</v>
      </c>
      <c r="AA34" s="167"/>
      <c r="AB34" s="167"/>
      <c r="AC34" s="24">
        <f>SUM(AC28:AC33)</f>
        <v>6</v>
      </c>
      <c r="AD34" s="24">
        <f>SUM(AD28:AD33)</f>
        <v>0</v>
      </c>
      <c r="AE34" s="14">
        <f t="shared" si="8"/>
        <v>-110.55018297602464</v>
      </c>
      <c r="AF34" s="91">
        <f t="shared" si="9"/>
        <v>0.95393742375998969</v>
      </c>
      <c r="AG34" s="177"/>
    </row>
    <row r="35" spans="1:33" ht="15.75" customHeight="1">
      <c r="A35" s="191" t="s">
        <v>268</v>
      </c>
      <c r="B35" s="28" t="s">
        <v>22</v>
      </c>
      <c r="C35" s="169" t="s">
        <v>28</v>
      </c>
      <c r="D35" s="169"/>
      <c r="E35" s="28">
        <v>26.2</v>
      </c>
      <c r="F35" s="88">
        <v>4200</v>
      </c>
      <c r="G35" s="88">
        <f t="shared" ref="G35:G41" si="27">E35*F35</f>
        <v>110040</v>
      </c>
      <c r="H35" s="30">
        <v>2</v>
      </c>
      <c r="I35" s="95">
        <v>18</v>
      </c>
      <c r="J35" s="13">
        <v>2400</v>
      </c>
      <c r="K35" s="12">
        <f t="shared" si="1"/>
        <v>133.33333333333334</v>
      </c>
      <c r="L35" s="95">
        <v>18</v>
      </c>
      <c r="M35" s="13">
        <f t="shared" ref="M35:M41" si="28">F35/V35*60</f>
        <v>2290.909090909091</v>
      </c>
      <c r="N35" s="12">
        <f t="shared" si="3"/>
        <v>127.27272727272728</v>
      </c>
      <c r="O35" s="14">
        <f t="shared" si="4"/>
        <v>0</v>
      </c>
      <c r="P35" s="15">
        <f t="shared" si="5"/>
        <v>-6.0606060606060623</v>
      </c>
      <c r="Q35" s="91">
        <f t="shared" si="6"/>
        <v>0.95454545454545459</v>
      </c>
      <c r="R35" s="177">
        <f>Q42</f>
        <v>0.95534599089752026</v>
      </c>
      <c r="S35" s="21">
        <v>8.3333333333333329E-2</v>
      </c>
      <c r="T35" s="21">
        <v>0.15972222222222221</v>
      </c>
      <c r="U35" s="88"/>
      <c r="V35" s="30">
        <f t="shared" ref="V35:V41" si="29">(T35-S35)*24*60</f>
        <v>109.99999999999999</v>
      </c>
      <c r="W35" s="21">
        <f>T35</f>
        <v>0.15972222222222221</v>
      </c>
      <c r="X35" s="21">
        <f>S36</f>
        <v>0.1784722222222222</v>
      </c>
      <c r="Y35" s="21"/>
      <c r="Z35" s="21"/>
      <c r="AA35" s="168"/>
      <c r="AB35" s="168"/>
      <c r="AC35" s="18">
        <v>7</v>
      </c>
      <c r="AD35" s="18"/>
      <c r="AE35" s="14">
        <f t="shared" si="8"/>
        <v>-109.09090909090901</v>
      </c>
      <c r="AF35" s="91">
        <f t="shared" si="9"/>
        <v>0.95454545454545459</v>
      </c>
      <c r="AG35" s="177">
        <f>AF42</f>
        <v>0.95534599089752026</v>
      </c>
    </row>
    <row r="36" spans="1:33" ht="15.75" customHeight="1">
      <c r="A36" s="191" t="s">
        <v>750</v>
      </c>
      <c r="B36" s="28" t="s">
        <v>22</v>
      </c>
      <c r="C36" s="169" t="s">
        <v>29</v>
      </c>
      <c r="D36" s="169"/>
      <c r="E36" s="28">
        <v>20.52</v>
      </c>
      <c r="F36" s="88">
        <v>3968</v>
      </c>
      <c r="G36" s="88">
        <f t="shared" si="27"/>
        <v>81423.360000000001</v>
      </c>
      <c r="H36" s="30" t="s">
        <v>53</v>
      </c>
      <c r="I36" s="95">
        <v>18</v>
      </c>
      <c r="J36" s="13">
        <v>2400</v>
      </c>
      <c r="K36" s="12">
        <f t="shared" si="1"/>
        <v>133.33333333333334</v>
      </c>
      <c r="L36" s="95">
        <v>18</v>
      </c>
      <c r="M36" s="13">
        <f t="shared" si="28"/>
        <v>2289.2307692307686</v>
      </c>
      <c r="N36" s="12">
        <f t="shared" si="3"/>
        <v>127.17948717948714</v>
      </c>
      <c r="O36" s="14">
        <f t="shared" si="4"/>
        <v>0</v>
      </c>
      <c r="P36" s="15">
        <f t="shared" si="5"/>
        <v>-6.153846153846203</v>
      </c>
      <c r="Q36" s="91">
        <f t="shared" si="6"/>
        <v>0.95384615384615346</v>
      </c>
      <c r="R36" s="177"/>
      <c r="S36" s="21">
        <v>0.1784722222222222</v>
      </c>
      <c r="T36" s="21">
        <v>0.25069444444444444</v>
      </c>
      <c r="U36" s="88">
        <f t="shared" ref="U36:U41" si="30">(S36-T35)*24*60</f>
        <v>26.999999999999986</v>
      </c>
      <c r="V36" s="30">
        <f t="shared" si="29"/>
        <v>104.00000000000003</v>
      </c>
      <c r="W36" s="88"/>
      <c r="X36" s="88"/>
      <c r="Y36" s="88"/>
      <c r="Z36" s="88"/>
      <c r="AA36" s="168"/>
      <c r="AB36" s="168"/>
      <c r="AC36" s="18"/>
      <c r="AD36" s="18"/>
      <c r="AE36" s="14">
        <f t="shared" si="8"/>
        <v>-110.7692307692314</v>
      </c>
      <c r="AF36" s="91">
        <f t="shared" si="9"/>
        <v>0.95384615384615357</v>
      </c>
      <c r="AG36" s="177"/>
    </row>
    <row r="37" spans="1:33">
      <c r="A37" s="192" t="s">
        <v>750</v>
      </c>
      <c r="B37" s="28" t="s">
        <v>22</v>
      </c>
      <c r="C37" s="169" t="s">
        <v>32</v>
      </c>
      <c r="D37" s="169"/>
      <c r="E37" s="28">
        <v>20.52</v>
      </c>
      <c r="F37" s="88">
        <v>2857</v>
      </c>
      <c r="G37" s="88">
        <f t="shared" si="27"/>
        <v>58625.64</v>
      </c>
      <c r="H37" s="30" t="s">
        <v>53</v>
      </c>
      <c r="I37" s="95">
        <v>18</v>
      </c>
      <c r="J37" s="13">
        <v>2400</v>
      </c>
      <c r="K37" s="12">
        <f t="shared" si="1"/>
        <v>133.33333333333334</v>
      </c>
      <c r="L37" s="95">
        <v>18</v>
      </c>
      <c r="M37" s="13">
        <f t="shared" si="28"/>
        <v>2285.6000000000008</v>
      </c>
      <c r="N37" s="12">
        <f t="shared" si="3"/>
        <v>126.97777777777782</v>
      </c>
      <c r="O37" s="14">
        <f t="shared" si="4"/>
        <v>0</v>
      </c>
      <c r="P37" s="15">
        <f t="shared" si="5"/>
        <v>-6.3555555555555259</v>
      </c>
      <c r="Q37" s="91">
        <f t="shared" si="6"/>
        <v>0.95233333333333359</v>
      </c>
      <c r="R37" s="177"/>
      <c r="S37" s="21">
        <v>0.25416666666666665</v>
      </c>
      <c r="T37" s="21">
        <v>0.30624999999999997</v>
      </c>
      <c r="U37" s="88">
        <f t="shared" si="30"/>
        <v>4.9999999999999822</v>
      </c>
      <c r="V37" s="30">
        <f t="shared" si="29"/>
        <v>74.999999999999972</v>
      </c>
      <c r="W37" s="88"/>
      <c r="X37" s="88"/>
      <c r="Y37" s="88"/>
      <c r="Z37" s="88"/>
      <c r="AA37" s="168"/>
      <c r="AB37" s="168"/>
      <c r="AC37" s="18"/>
      <c r="AD37" s="18"/>
      <c r="AE37" s="14">
        <f t="shared" si="8"/>
        <v>-114.39999999999918</v>
      </c>
      <c r="AF37" s="91">
        <f t="shared" si="9"/>
        <v>0.9523333333333337</v>
      </c>
      <c r="AG37" s="177"/>
    </row>
    <row r="38" spans="1:33">
      <c r="A38" s="192" t="s">
        <v>750</v>
      </c>
      <c r="B38" s="28" t="s">
        <v>22</v>
      </c>
      <c r="C38" s="169" t="s">
        <v>70</v>
      </c>
      <c r="D38" s="169"/>
      <c r="E38" s="28">
        <v>22.69</v>
      </c>
      <c r="F38" s="88">
        <v>5474</v>
      </c>
      <c r="G38" s="88">
        <f t="shared" si="27"/>
        <v>124205.06000000001</v>
      </c>
      <c r="H38" s="30" t="s">
        <v>53</v>
      </c>
      <c r="I38" s="95">
        <v>15</v>
      </c>
      <c r="J38" s="13">
        <v>2400</v>
      </c>
      <c r="K38" s="12">
        <f t="shared" si="1"/>
        <v>160</v>
      </c>
      <c r="L38" s="95">
        <v>15</v>
      </c>
      <c r="M38" s="13">
        <f t="shared" si="28"/>
        <v>2296.7832167832171</v>
      </c>
      <c r="N38" s="12">
        <f t="shared" si="3"/>
        <v>153.11888111888115</v>
      </c>
      <c r="O38" s="14">
        <f t="shared" si="4"/>
        <v>0</v>
      </c>
      <c r="P38" s="15">
        <f t="shared" si="5"/>
        <v>-6.8811188811188515</v>
      </c>
      <c r="Q38" s="91">
        <f t="shared" si="6"/>
        <v>0.95699300699300716</v>
      </c>
      <c r="R38" s="177"/>
      <c r="S38" s="21">
        <v>0.3118055555555555</v>
      </c>
      <c r="T38" s="21">
        <v>0.41111111111111104</v>
      </c>
      <c r="U38" s="88">
        <f t="shared" si="30"/>
        <v>7.9999999999999716</v>
      </c>
      <c r="V38" s="30">
        <f t="shared" si="29"/>
        <v>142.99999999999997</v>
      </c>
      <c r="W38" s="16"/>
      <c r="X38" s="16"/>
      <c r="Y38" s="16"/>
      <c r="Z38" s="16"/>
      <c r="AA38" s="168"/>
      <c r="AB38" s="168"/>
      <c r="AC38" s="18"/>
      <c r="AD38" s="18"/>
      <c r="AE38" s="14">
        <f t="shared" si="8"/>
        <v>-103.21678321678291</v>
      </c>
      <c r="AF38" s="91">
        <f t="shared" si="9"/>
        <v>0.95699300699300716</v>
      </c>
      <c r="AG38" s="177"/>
    </row>
    <row r="39" spans="1:33">
      <c r="A39" s="192" t="s">
        <v>750</v>
      </c>
      <c r="B39" s="28" t="s">
        <v>22</v>
      </c>
      <c r="C39" s="169" t="s">
        <v>30</v>
      </c>
      <c r="D39" s="169"/>
      <c r="E39" s="28">
        <v>26.39</v>
      </c>
      <c r="F39" s="88">
        <v>3600</v>
      </c>
      <c r="G39" s="88">
        <f t="shared" si="27"/>
        <v>95004</v>
      </c>
      <c r="H39" s="30">
        <v>2</v>
      </c>
      <c r="I39" s="95">
        <v>19</v>
      </c>
      <c r="J39" s="13">
        <v>2400</v>
      </c>
      <c r="K39" s="12">
        <f t="shared" si="1"/>
        <v>126.31578947368421</v>
      </c>
      <c r="L39" s="95">
        <v>19</v>
      </c>
      <c r="M39" s="13">
        <f t="shared" si="28"/>
        <v>2297.872340425532</v>
      </c>
      <c r="N39" s="12">
        <f t="shared" si="3"/>
        <v>120.94064949608064</v>
      </c>
      <c r="O39" s="14">
        <f t="shared" si="4"/>
        <v>0</v>
      </c>
      <c r="P39" s="15">
        <f t="shared" si="5"/>
        <v>-5.3751399776035669</v>
      </c>
      <c r="Q39" s="91">
        <f t="shared" si="6"/>
        <v>0.95744680851063846</v>
      </c>
      <c r="R39" s="177"/>
      <c r="S39" s="21">
        <v>0.41666666666666657</v>
      </c>
      <c r="T39" s="21">
        <v>0.48194444444444434</v>
      </c>
      <c r="U39" s="88">
        <f t="shared" si="30"/>
        <v>7.9999999999999716</v>
      </c>
      <c r="V39" s="30">
        <f t="shared" si="29"/>
        <v>93.999999999999986</v>
      </c>
      <c r="W39" s="16">
        <f>T39</f>
        <v>0.48194444444444434</v>
      </c>
      <c r="X39" s="16">
        <f>S40</f>
        <v>0.52222222222222214</v>
      </c>
      <c r="Y39" s="16"/>
      <c r="Z39" s="16"/>
      <c r="AA39" s="168"/>
      <c r="AB39" s="168"/>
      <c r="AC39" s="18"/>
      <c r="AD39" s="18"/>
      <c r="AE39" s="14">
        <f t="shared" si="8"/>
        <v>-102.127659574468</v>
      </c>
      <c r="AF39" s="91">
        <f t="shared" si="9"/>
        <v>0.95744680851063835</v>
      </c>
      <c r="AG39" s="177"/>
    </row>
    <row r="40" spans="1:33">
      <c r="A40" s="192" t="s">
        <v>750</v>
      </c>
      <c r="B40" s="28" t="s">
        <v>22</v>
      </c>
      <c r="C40" s="169" t="s">
        <v>30</v>
      </c>
      <c r="D40" s="169"/>
      <c r="E40" s="28">
        <v>26.39</v>
      </c>
      <c r="F40" s="88">
        <v>2453</v>
      </c>
      <c r="G40" s="88">
        <f t="shared" si="27"/>
        <v>64734.67</v>
      </c>
      <c r="H40" s="30" t="s">
        <v>53</v>
      </c>
      <c r="I40" s="95">
        <v>19</v>
      </c>
      <c r="J40" s="13">
        <v>2400</v>
      </c>
      <c r="K40" s="12">
        <f t="shared" si="1"/>
        <v>126.31578947368421</v>
      </c>
      <c r="L40" s="95">
        <v>19</v>
      </c>
      <c r="M40" s="13">
        <f t="shared" si="28"/>
        <v>2299.6875000000027</v>
      </c>
      <c r="N40" s="12">
        <f t="shared" si="3"/>
        <v>121.03618421052646</v>
      </c>
      <c r="O40" s="14">
        <f t="shared" si="4"/>
        <v>0</v>
      </c>
      <c r="P40" s="15">
        <f t="shared" si="5"/>
        <v>-5.2796052631577481</v>
      </c>
      <c r="Q40" s="91">
        <f t="shared" si="6"/>
        <v>0.95820312500000115</v>
      </c>
      <c r="R40" s="177"/>
      <c r="S40" s="21">
        <v>0.52222222222222214</v>
      </c>
      <c r="T40" s="21">
        <v>0.56666666666666654</v>
      </c>
      <c r="U40" s="88">
        <f t="shared" si="30"/>
        <v>58.000000000000036</v>
      </c>
      <c r="V40" s="30">
        <f t="shared" si="29"/>
        <v>63.999999999999929</v>
      </c>
      <c r="W40" s="16"/>
      <c r="X40" s="16"/>
      <c r="Y40" s="16"/>
      <c r="Z40" s="16"/>
      <c r="AA40" s="168"/>
      <c r="AB40" s="168"/>
      <c r="AC40" s="18"/>
      <c r="AD40" s="18"/>
      <c r="AE40" s="14">
        <f t="shared" si="8"/>
        <v>-100.31249999999727</v>
      </c>
      <c r="AF40" s="91">
        <f t="shared" si="9"/>
        <v>0.95820312500000115</v>
      </c>
      <c r="AG40" s="177"/>
    </row>
    <row r="41" spans="1:33">
      <c r="A41" s="192" t="s">
        <v>751</v>
      </c>
      <c r="B41" s="28" t="s">
        <v>22</v>
      </c>
      <c r="C41" s="169" t="s">
        <v>28</v>
      </c>
      <c r="D41" s="169"/>
      <c r="E41" s="28">
        <v>26.2</v>
      </c>
      <c r="F41" s="88">
        <v>2824</v>
      </c>
      <c r="G41" s="88">
        <f t="shared" si="27"/>
        <v>73988.800000000003</v>
      </c>
      <c r="H41" s="30" t="s">
        <v>53</v>
      </c>
      <c r="I41" s="95">
        <v>18</v>
      </c>
      <c r="J41" s="13">
        <v>2400</v>
      </c>
      <c r="K41" s="12">
        <f t="shared" si="1"/>
        <v>133.33333333333334</v>
      </c>
      <c r="L41" s="95">
        <v>18</v>
      </c>
      <c r="M41" s="13">
        <f t="shared" si="28"/>
        <v>2289.7297297297282</v>
      </c>
      <c r="N41" s="12">
        <f t="shared" si="3"/>
        <v>127.20720720720712</v>
      </c>
      <c r="O41" s="14">
        <f t="shared" si="4"/>
        <v>0</v>
      </c>
      <c r="P41" s="15">
        <f t="shared" si="5"/>
        <v>-6.1261261261262234</v>
      </c>
      <c r="Q41" s="91">
        <f t="shared" si="6"/>
        <v>0.9540540540540533</v>
      </c>
      <c r="R41" s="177"/>
      <c r="S41" s="21">
        <v>0.57013888888888875</v>
      </c>
      <c r="T41" s="21">
        <v>0.62152777777777768</v>
      </c>
      <c r="U41" s="88">
        <f t="shared" si="30"/>
        <v>4.9999999999999822</v>
      </c>
      <c r="V41" s="30">
        <f t="shared" si="29"/>
        <v>74.000000000000057</v>
      </c>
      <c r="W41" s="16"/>
      <c r="X41" s="16"/>
      <c r="Y41" s="19"/>
      <c r="Z41" s="19"/>
      <c r="AA41" s="172"/>
      <c r="AB41" s="173"/>
      <c r="AC41" s="18"/>
      <c r="AD41" s="18"/>
      <c r="AE41" s="14">
        <f t="shared" si="8"/>
        <v>-110.27027027027179</v>
      </c>
      <c r="AF41" s="91">
        <f t="shared" si="9"/>
        <v>0.95405405405405341</v>
      </c>
      <c r="AG41" s="177"/>
    </row>
    <row r="42" spans="1:33">
      <c r="A42" s="192" t="s">
        <v>752</v>
      </c>
      <c r="B42" s="12" t="s">
        <v>753</v>
      </c>
      <c r="C42" s="178"/>
      <c r="D42" s="178"/>
      <c r="E42" s="92"/>
      <c r="F42" s="12"/>
      <c r="G42" s="12"/>
      <c r="H42" s="88"/>
      <c r="I42" s="23">
        <v>17.857142857142858</v>
      </c>
      <c r="J42" s="13">
        <v>2400</v>
      </c>
      <c r="K42" s="12">
        <f t="shared" si="1"/>
        <v>134.4</v>
      </c>
      <c r="L42" s="23">
        <v>17.857142857142858</v>
      </c>
      <c r="M42" s="13">
        <f>AVERAGE(M35:M41)</f>
        <v>2292.8303781540485</v>
      </c>
      <c r="N42" s="12">
        <f t="shared" si="3"/>
        <v>128.39850117662672</v>
      </c>
      <c r="O42" s="14">
        <f t="shared" si="4"/>
        <v>0</v>
      </c>
      <c r="P42" s="15">
        <f t="shared" si="5"/>
        <v>-6.0014988233732822</v>
      </c>
      <c r="Q42" s="91">
        <f t="shared" si="6"/>
        <v>0.95534599089752026</v>
      </c>
      <c r="R42" s="177"/>
      <c r="S42" s="21"/>
      <c r="T42" s="21"/>
      <c r="U42" s="12"/>
      <c r="V42" s="30"/>
      <c r="W42" s="12"/>
      <c r="X42" s="12"/>
      <c r="Y42" s="24">
        <f>SUM(Y35:Y41)</f>
        <v>0</v>
      </c>
      <c r="Z42" s="24">
        <f>SUM(Z35:Z41)</f>
        <v>0</v>
      </c>
      <c r="AA42" s="167"/>
      <c r="AB42" s="167"/>
      <c r="AC42" s="24">
        <f>SUM(AC35:AC41)</f>
        <v>7</v>
      </c>
      <c r="AD42" s="24">
        <f>SUM(AD35:AD41)</f>
        <v>0</v>
      </c>
      <c r="AE42" s="14">
        <f t="shared" si="8"/>
        <v>-107.1696218459515</v>
      </c>
      <c r="AF42" s="91">
        <f t="shared" si="9"/>
        <v>0.95534599089752026</v>
      </c>
      <c r="AG42" s="177"/>
    </row>
    <row r="43" spans="1:33" ht="15.75" customHeight="1">
      <c r="A43" s="188" t="s">
        <v>754</v>
      </c>
      <c r="B43" s="28" t="s">
        <v>33</v>
      </c>
      <c r="C43" s="170" t="s">
        <v>72</v>
      </c>
      <c r="D43" s="171"/>
      <c r="E43" s="28">
        <v>34.35</v>
      </c>
      <c r="F43" s="88">
        <v>3182</v>
      </c>
      <c r="G43" s="88">
        <f t="shared" ref="G43:G48" si="31">E43*F43</f>
        <v>109301.70000000001</v>
      </c>
      <c r="H43" s="30" t="s">
        <v>53</v>
      </c>
      <c r="I43" s="95">
        <v>8</v>
      </c>
      <c r="J43" s="13">
        <v>3000</v>
      </c>
      <c r="K43" s="12">
        <f t="shared" si="1"/>
        <v>375</v>
      </c>
      <c r="L43" s="95">
        <v>8</v>
      </c>
      <c r="M43" s="13">
        <f t="shared" ref="M43:M48" si="32">F43/V43*60</f>
        <v>2892.7272727272739</v>
      </c>
      <c r="N43" s="13">
        <f t="shared" si="3"/>
        <v>361.59090909090924</v>
      </c>
      <c r="O43" s="14">
        <f t="shared" si="4"/>
        <v>0</v>
      </c>
      <c r="P43" s="15">
        <f t="shared" si="5"/>
        <v>-13.409090909090764</v>
      </c>
      <c r="Q43" s="91">
        <f t="shared" si="6"/>
        <v>0.96424242424242468</v>
      </c>
      <c r="R43" s="183">
        <f>Q49</f>
        <v>0.95642406330340346</v>
      </c>
      <c r="S43" s="21">
        <v>8.3333333333333329E-2</v>
      </c>
      <c r="T43" s="21">
        <v>0.12916666666666665</v>
      </c>
      <c r="U43" s="21"/>
      <c r="V43" s="30">
        <f t="shared" ref="V43:V48" si="33">(T43-S43)*24*60</f>
        <v>65.999999999999972</v>
      </c>
      <c r="W43" s="16">
        <f>T43</f>
        <v>0.12916666666666665</v>
      </c>
      <c r="X43" s="16">
        <f>S44</f>
        <v>0.15069444444444444</v>
      </c>
      <c r="Y43" s="19"/>
      <c r="Z43" s="19"/>
      <c r="AA43" s="172"/>
      <c r="AB43" s="173"/>
      <c r="AC43" s="18">
        <v>6</v>
      </c>
      <c r="AD43" s="18"/>
      <c r="AE43" s="14">
        <f t="shared" si="8"/>
        <v>-107.27272727272612</v>
      </c>
      <c r="AF43" s="91">
        <f t="shared" si="9"/>
        <v>0.96424242424242468</v>
      </c>
      <c r="AG43" s="183">
        <f>AF49</f>
        <v>0.95642406330340346</v>
      </c>
    </row>
    <row r="44" spans="1:33" ht="15.75" customHeight="1">
      <c r="A44" s="189" t="s">
        <v>755</v>
      </c>
      <c r="B44" s="28" t="s">
        <v>33</v>
      </c>
      <c r="C44" s="170" t="s">
        <v>36</v>
      </c>
      <c r="D44" s="171"/>
      <c r="E44" s="28">
        <v>21.13</v>
      </c>
      <c r="F44" s="88">
        <v>5837</v>
      </c>
      <c r="G44" s="88">
        <f t="shared" si="31"/>
        <v>123335.81</v>
      </c>
      <c r="H44" s="30" t="s">
        <v>53</v>
      </c>
      <c r="I44" s="95">
        <v>10</v>
      </c>
      <c r="J44" s="13">
        <v>3000</v>
      </c>
      <c r="K44" s="12">
        <f t="shared" si="1"/>
        <v>300</v>
      </c>
      <c r="L44" s="95">
        <v>10</v>
      </c>
      <c r="M44" s="13">
        <f t="shared" si="32"/>
        <v>2870.655737704918</v>
      </c>
      <c r="N44" s="13">
        <f t="shared" si="3"/>
        <v>287.06557377049182</v>
      </c>
      <c r="O44" s="14">
        <f t="shared" si="4"/>
        <v>0</v>
      </c>
      <c r="P44" s="15">
        <f t="shared" si="5"/>
        <v>-12.934426229508176</v>
      </c>
      <c r="Q44" s="91">
        <f t="shared" si="6"/>
        <v>0.95688524590163937</v>
      </c>
      <c r="R44" s="184"/>
      <c r="S44" s="21">
        <v>0.15069444444444444</v>
      </c>
      <c r="T44" s="21">
        <v>0.23541666666666666</v>
      </c>
      <c r="U44" s="88">
        <f t="shared" ref="U44:U48" si="34">(S44-T43)*24*60</f>
        <v>31.000000000000011</v>
      </c>
      <c r="V44" s="30">
        <f t="shared" si="33"/>
        <v>122</v>
      </c>
      <c r="W44" s="16"/>
      <c r="X44" s="16"/>
      <c r="Y44" s="19"/>
      <c r="Z44" s="19"/>
      <c r="AA44" s="172"/>
      <c r="AB44" s="173"/>
      <c r="AC44" s="18"/>
      <c r="AD44" s="18"/>
      <c r="AE44" s="14">
        <f t="shared" si="8"/>
        <v>-129.34426229508199</v>
      </c>
      <c r="AF44" s="91">
        <f t="shared" si="9"/>
        <v>0.95688524590163937</v>
      </c>
      <c r="AG44" s="184"/>
    </row>
    <row r="45" spans="1:33" ht="15.75" customHeight="1">
      <c r="A45" s="189" t="s">
        <v>755</v>
      </c>
      <c r="B45" s="28" t="s">
        <v>33</v>
      </c>
      <c r="C45" s="170" t="s">
        <v>37</v>
      </c>
      <c r="D45" s="171"/>
      <c r="E45" s="28">
        <v>27.17</v>
      </c>
      <c r="F45" s="88">
        <v>7229</v>
      </c>
      <c r="G45" s="88">
        <f t="shared" si="31"/>
        <v>196411.93000000002</v>
      </c>
      <c r="H45" s="30" t="s">
        <v>53</v>
      </c>
      <c r="I45" s="95">
        <v>10</v>
      </c>
      <c r="J45" s="13">
        <v>3000</v>
      </c>
      <c r="K45" s="12">
        <f t="shared" si="1"/>
        <v>300</v>
      </c>
      <c r="L45" s="95">
        <v>10</v>
      </c>
      <c r="M45" s="13">
        <f t="shared" si="32"/>
        <v>2872.4503311258272</v>
      </c>
      <c r="N45" s="13">
        <f t="shared" si="3"/>
        <v>287.24503311258275</v>
      </c>
      <c r="O45" s="14">
        <f t="shared" si="4"/>
        <v>0</v>
      </c>
      <c r="P45" s="15">
        <f t="shared" si="5"/>
        <v>-12.754966887417254</v>
      </c>
      <c r="Q45" s="91">
        <f t="shared" si="6"/>
        <v>0.95748344370860916</v>
      </c>
      <c r="R45" s="184"/>
      <c r="S45" s="21">
        <v>0.23888888888888887</v>
      </c>
      <c r="T45" s="21">
        <v>0.34375</v>
      </c>
      <c r="U45" s="88">
        <f t="shared" si="34"/>
        <v>4.9999999999999822</v>
      </c>
      <c r="V45" s="30">
        <f t="shared" si="33"/>
        <v>151.00000000000003</v>
      </c>
      <c r="W45" s="16"/>
      <c r="X45" s="16"/>
      <c r="Y45" s="19"/>
      <c r="Z45" s="19"/>
      <c r="AA45" s="172"/>
      <c r="AB45" s="173"/>
      <c r="AC45" s="18"/>
      <c r="AD45" s="18"/>
      <c r="AE45" s="14">
        <f t="shared" si="8"/>
        <v>-127.54966887417277</v>
      </c>
      <c r="AF45" s="91">
        <f t="shared" si="9"/>
        <v>0.95748344370860905</v>
      </c>
      <c r="AG45" s="184"/>
    </row>
    <row r="46" spans="1:33" ht="15.75" customHeight="1">
      <c r="A46" s="189" t="s">
        <v>755</v>
      </c>
      <c r="B46" s="28" t="s">
        <v>33</v>
      </c>
      <c r="C46" s="170" t="s">
        <v>38</v>
      </c>
      <c r="D46" s="171"/>
      <c r="E46" s="28">
        <v>35.869999999999997</v>
      </c>
      <c r="F46" s="88">
        <v>4141</v>
      </c>
      <c r="G46" s="88">
        <f t="shared" si="31"/>
        <v>148537.66999999998</v>
      </c>
      <c r="H46" s="30" t="s">
        <v>53</v>
      </c>
      <c r="I46" s="95">
        <v>9</v>
      </c>
      <c r="J46" s="13">
        <v>3000</v>
      </c>
      <c r="K46" s="12">
        <f t="shared" si="1"/>
        <v>333.33333333333331</v>
      </c>
      <c r="L46" s="95">
        <v>9</v>
      </c>
      <c r="M46" s="13">
        <f t="shared" si="32"/>
        <v>2855.8620689655168</v>
      </c>
      <c r="N46" s="13">
        <f t="shared" si="3"/>
        <v>317.31800766283521</v>
      </c>
      <c r="O46" s="14">
        <f t="shared" si="4"/>
        <v>0</v>
      </c>
      <c r="P46" s="15">
        <f t="shared" si="5"/>
        <v>-16.0153256704981</v>
      </c>
      <c r="Q46" s="91">
        <f t="shared" si="6"/>
        <v>0.95195402298850573</v>
      </c>
      <c r="R46" s="184"/>
      <c r="S46" s="21">
        <v>0.34861111111111109</v>
      </c>
      <c r="T46" s="21">
        <v>0.40902777777777777</v>
      </c>
      <c r="U46" s="88">
        <f t="shared" si="34"/>
        <v>6.9999999999999751</v>
      </c>
      <c r="V46" s="30">
        <f t="shared" si="33"/>
        <v>87.000000000000014</v>
      </c>
      <c r="W46" s="16"/>
      <c r="X46" s="16"/>
      <c r="Y46" s="19"/>
      <c r="Z46" s="19"/>
      <c r="AA46" s="172"/>
      <c r="AB46" s="173"/>
      <c r="AC46" s="18"/>
      <c r="AD46" s="18"/>
      <c r="AE46" s="14">
        <f t="shared" si="8"/>
        <v>-144.13793103448324</v>
      </c>
      <c r="AF46" s="91">
        <f t="shared" si="9"/>
        <v>0.95195402298850562</v>
      </c>
      <c r="AG46" s="184"/>
    </row>
    <row r="47" spans="1:33" ht="15.75" customHeight="1">
      <c r="A47" s="189" t="s">
        <v>755</v>
      </c>
      <c r="B47" s="28" t="s">
        <v>33</v>
      </c>
      <c r="C47" s="170" t="s">
        <v>756</v>
      </c>
      <c r="D47" s="171"/>
      <c r="E47" s="28">
        <v>37.880000000000003</v>
      </c>
      <c r="F47" s="88">
        <v>5600</v>
      </c>
      <c r="G47" s="88">
        <f t="shared" si="31"/>
        <v>212128</v>
      </c>
      <c r="H47" s="30">
        <v>2</v>
      </c>
      <c r="I47" s="95">
        <v>10</v>
      </c>
      <c r="J47" s="13">
        <v>3000</v>
      </c>
      <c r="K47" s="12">
        <f t="shared" si="1"/>
        <v>300</v>
      </c>
      <c r="L47" s="95">
        <v>10</v>
      </c>
      <c r="M47" s="13">
        <f t="shared" si="32"/>
        <v>2871.7948717948721</v>
      </c>
      <c r="N47" s="13">
        <f t="shared" si="3"/>
        <v>287.17948717948718</v>
      </c>
      <c r="O47" s="14">
        <f t="shared" si="4"/>
        <v>0</v>
      </c>
      <c r="P47" s="15">
        <f t="shared" si="5"/>
        <v>-12.820512820512818</v>
      </c>
      <c r="Q47" s="91">
        <f t="shared" si="6"/>
        <v>0.95726495726495731</v>
      </c>
      <c r="R47" s="184"/>
      <c r="S47" s="21">
        <v>0.41319444444444442</v>
      </c>
      <c r="T47" s="21">
        <v>0.49444444444444441</v>
      </c>
      <c r="U47" s="88">
        <f t="shared" si="34"/>
        <v>5.9999999999999787</v>
      </c>
      <c r="V47" s="30">
        <f t="shared" si="33"/>
        <v>116.99999999999999</v>
      </c>
      <c r="W47" s="16">
        <f>T47</f>
        <v>0.49444444444444441</v>
      </c>
      <c r="X47" s="16">
        <f>S48</f>
        <v>0.53541666666666654</v>
      </c>
      <c r="Y47" s="19"/>
      <c r="Z47" s="19"/>
      <c r="AA47" s="172"/>
      <c r="AB47" s="173"/>
      <c r="AC47" s="18"/>
      <c r="AD47" s="18"/>
      <c r="AE47" s="14">
        <f t="shared" si="8"/>
        <v>-128.20512820512795</v>
      </c>
      <c r="AF47" s="91">
        <f t="shared" si="9"/>
        <v>0.95726495726495731</v>
      </c>
      <c r="AG47" s="184"/>
    </row>
    <row r="48" spans="1:33" ht="15.75" customHeight="1">
      <c r="A48" s="189" t="s">
        <v>757</v>
      </c>
      <c r="B48" s="28" t="s">
        <v>33</v>
      </c>
      <c r="C48" s="170" t="s">
        <v>756</v>
      </c>
      <c r="D48" s="171"/>
      <c r="E48" s="28">
        <v>37.880000000000003</v>
      </c>
      <c r="F48" s="88">
        <v>3993</v>
      </c>
      <c r="G48" s="88">
        <f t="shared" si="31"/>
        <v>151254.84</v>
      </c>
      <c r="H48" s="30" t="s">
        <v>53</v>
      </c>
      <c r="I48" s="95">
        <v>10</v>
      </c>
      <c r="J48" s="13">
        <v>3000</v>
      </c>
      <c r="K48" s="12">
        <f t="shared" si="1"/>
        <v>300</v>
      </c>
      <c r="L48" s="95">
        <v>10</v>
      </c>
      <c r="M48" s="13">
        <f t="shared" si="32"/>
        <v>2852.1428571428564</v>
      </c>
      <c r="N48" s="13">
        <f t="shared" si="3"/>
        <v>285.21428571428567</v>
      </c>
      <c r="O48" s="14">
        <f t="shared" si="4"/>
        <v>0</v>
      </c>
      <c r="P48" s="15">
        <f t="shared" si="5"/>
        <v>-14.785714285714334</v>
      </c>
      <c r="Q48" s="91">
        <f t="shared" si="6"/>
        <v>0.95071428571428551</v>
      </c>
      <c r="R48" s="184"/>
      <c r="S48" s="21">
        <v>0.53541666666666654</v>
      </c>
      <c r="T48" s="21">
        <v>0.59374999999999989</v>
      </c>
      <c r="U48" s="88">
        <f t="shared" si="34"/>
        <v>58.999999999999872</v>
      </c>
      <c r="V48" s="30">
        <f t="shared" si="33"/>
        <v>84.000000000000028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-147.85714285714357</v>
      </c>
      <c r="AF48" s="91">
        <f t="shared" si="9"/>
        <v>0.95071428571428551</v>
      </c>
      <c r="AG48" s="184"/>
    </row>
    <row r="49" spans="1:33" ht="15.75" customHeight="1">
      <c r="A49" s="190" t="s">
        <v>757</v>
      </c>
      <c r="B49" s="28" t="s">
        <v>749</v>
      </c>
      <c r="C49" s="165"/>
      <c r="D49" s="166"/>
      <c r="E49" s="89"/>
      <c r="F49" s="88"/>
      <c r="G49" s="88"/>
      <c r="H49" s="88"/>
      <c r="I49" s="23">
        <v>9.5</v>
      </c>
      <c r="J49" s="13">
        <v>3000</v>
      </c>
      <c r="K49" s="12">
        <f t="shared" si="1"/>
        <v>315.78947368421052</v>
      </c>
      <c r="L49" s="23">
        <v>9.5</v>
      </c>
      <c r="M49" s="13">
        <f>AVERAGE(M43:M48)</f>
        <v>2869.2721899102103</v>
      </c>
      <c r="N49" s="12">
        <f t="shared" si="3"/>
        <v>302.02865156949582</v>
      </c>
      <c r="O49" s="14">
        <f t="shared" si="4"/>
        <v>0</v>
      </c>
      <c r="P49" s="15">
        <f t="shared" si="5"/>
        <v>-13.760822114714699</v>
      </c>
      <c r="Q49" s="91">
        <f t="shared" si="6"/>
        <v>0.95642406330340346</v>
      </c>
      <c r="R49" s="185"/>
      <c r="S49" s="21"/>
      <c r="T49" s="21"/>
      <c r="U49" s="88"/>
      <c r="V49" s="30"/>
      <c r="W49" s="16"/>
      <c r="X49" s="16"/>
      <c r="Y49" s="24">
        <f>SUM(Y43:Y48)</f>
        <v>0</v>
      </c>
      <c r="Z49" s="24">
        <f>SUM(Z43:Z48)</f>
        <v>0</v>
      </c>
      <c r="AA49" s="186"/>
      <c r="AB49" s="187"/>
      <c r="AC49" s="24">
        <f>SUM(AC43:AC48)</f>
        <v>6</v>
      </c>
      <c r="AD49" s="24">
        <f>SUM(AD43:AD48)</f>
        <v>0</v>
      </c>
      <c r="AE49" s="14">
        <f t="shared" si="8"/>
        <v>-130.72781008978973</v>
      </c>
      <c r="AF49" s="91">
        <f t="shared" si="9"/>
        <v>0.95642406330340346</v>
      </c>
      <c r="AG49" s="185"/>
    </row>
    <row r="50" spans="1:33" ht="15.75" customHeight="1">
      <c r="A50" s="181" t="s">
        <v>758</v>
      </c>
      <c r="B50" s="28" t="s">
        <v>9</v>
      </c>
      <c r="C50" s="169" t="s">
        <v>39</v>
      </c>
      <c r="D50" s="169"/>
      <c r="E50" s="28">
        <v>46</v>
      </c>
      <c r="F50" s="29">
        <v>2726</v>
      </c>
      <c r="G50" s="88">
        <f t="shared" ref="G50:G55" si="35">E50*F50</f>
        <v>125396</v>
      </c>
      <c r="H50" s="30" t="s">
        <v>53</v>
      </c>
      <c r="I50" s="95">
        <v>17</v>
      </c>
      <c r="J50" s="13">
        <v>2000</v>
      </c>
      <c r="K50" s="12">
        <f t="shared" si="1"/>
        <v>117.64705882352941</v>
      </c>
      <c r="L50" s="95">
        <v>17</v>
      </c>
      <c r="M50" s="13">
        <f t="shared" ref="M50" si="36">F50/V50*60</f>
        <v>1924.235294117648</v>
      </c>
      <c r="N50" s="13">
        <f t="shared" si="3"/>
        <v>113.19031141868517</v>
      </c>
      <c r="O50" s="14">
        <f t="shared" si="4"/>
        <v>0</v>
      </c>
      <c r="P50" s="15">
        <f t="shared" si="5"/>
        <v>-4.4567474048442364</v>
      </c>
      <c r="Q50" s="91">
        <f t="shared" si="6"/>
        <v>0.96211764705882397</v>
      </c>
      <c r="R50" s="177">
        <f>Q56</f>
        <v>0.95903812739900451</v>
      </c>
      <c r="S50" s="21">
        <v>0.20833333333333334</v>
      </c>
      <c r="T50" s="21">
        <v>0.2673611111111111</v>
      </c>
      <c r="U50" s="21"/>
      <c r="V50" s="30">
        <f t="shared" ref="V50:V55" si="37">(T50-S50)*24*60</f>
        <v>84.999999999999972</v>
      </c>
      <c r="W50" s="21"/>
      <c r="X50" s="21"/>
      <c r="Y50" s="21"/>
      <c r="Z50" s="21"/>
      <c r="AA50" s="168"/>
      <c r="AB50" s="168"/>
      <c r="AC50" s="18">
        <v>6</v>
      </c>
      <c r="AD50" s="18"/>
      <c r="AE50" s="14">
        <f t="shared" si="8"/>
        <v>-75.764705882352018</v>
      </c>
      <c r="AF50" s="91">
        <f t="shared" si="9"/>
        <v>0.96211764705882397</v>
      </c>
      <c r="AG50" s="177">
        <f>AF56</f>
        <v>0.95903812739900463</v>
      </c>
    </row>
    <row r="51" spans="1:33" ht="15.75" customHeight="1">
      <c r="A51" s="181" t="s">
        <v>759</v>
      </c>
      <c r="B51" s="28" t="s">
        <v>5</v>
      </c>
      <c r="C51" s="169" t="s">
        <v>40</v>
      </c>
      <c r="D51" s="169"/>
      <c r="E51" s="28">
        <v>56.43</v>
      </c>
      <c r="F51" s="29">
        <v>1816</v>
      </c>
      <c r="G51" s="88">
        <f t="shared" si="35"/>
        <v>102476.88</v>
      </c>
      <c r="H51" s="30" t="s">
        <v>53</v>
      </c>
      <c r="I51" s="95">
        <v>22</v>
      </c>
      <c r="J51" s="13">
        <v>2000</v>
      </c>
      <c r="K51" s="12">
        <f t="shared" si="1"/>
        <v>90.909090909090907</v>
      </c>
      <c r="L51" s="95">
        <v>22</v>
      </c>
      <c r="M51" s="13">
        <f>F51/V51*60</f>
        <v>1911.5789473684199</v>
      </c>
      <c r="N51" s="13">
        <f t="shared" si="3"/>
        <v>86.889952153110002</v>
      </c>
      <c r="O51" s="14">
        <f t="shared" si="4"/>
        <v>0</v>
      </c>
      <c r="P51" s="15">
        <f t="shared" si="5"/>
        <v>-4.0191387559809044</v>
      </c>
      <c r="Q51" s="91">
        <f t="shared" si="6"/>
        <v>0.95578947368421008</v>
      </c>
      <c r="R51" s="177"/>
      <c r="S51" s="21">
        <v>0.27152777777777776</v>
      </c>
      <c r="T51" s="21">
        <v>0.31111111111111112</v>
      </c>
      <c r="U51" s="88">
        <f t="shared" ref="U51:U55" si="38">IF(S51=TIME(17,0,0),"",(S51-T50)*24*60)</f>
        <v>5.9999999999999787</v>
      </c>
      <c r="V51" s="30">
        <f t="shared" si="37"/>
        <v>57.000000000000036</v>
      </c>
      <c r="W51" s="16"/>
      <c r="X51" s="16"/>
      <c r="Y51" s="16"/>
      <c r="Z51" s="16"/>
      <c r="AA51" s="168"/>
      <c r="AB51" s="168"/>
      <c r="AC51" s="18"/>
      <c r="AD51" s="18"/>
      <c r="AE51" s="14">
        <f t="shared" si="8"/>
        <v>-88.421052631580096</v>
      </c>
      <c r="AF51" s="91">
        <f t="shared" si="9"/>
        <v>0.95578947368420997</v>
      </c>
      <c r="AG51" s="177"/>
    </row>
    <row r="52" spans="1:33" ht="15.75" customHeight="1">
      <c r="A52" s="181" t="s">
        <v>759</v>
      </c>
      <c r="B52" s="28" t="s">
        <v>5</v>
      </c>
      <c r="C52" s="170" t="s">
        <v>41</v>
      </c>
      <c r="D52" s="171"/>
      <c r="E52" s="28">
        <v>51.75</v>
      </c>
      <c r="F52" s="29">
        <v>1129</v>
      </c>
      <c r="G52" s="88">
        <f t="shared" si="35"/>
        <v>58425.75</v>
      </c>
      <c r="H52" s="30" t="s">
        <v>53</v>
      </c>
      <c r="I52" s="95">
        <v>25</v>
      </c>
      <c r="J52" s="13">
        <v>2000</v>
      </c>
      <c r="K52" s="12">
        <f t="shared" si="1"/>
        <v>80</v>
      </c>
      <c r="L52" s="95">
        <v>25</v>
      </c>
      <c r="M52" s="13">
        <f t="shared" ref="M52:M55" si="39">F52/V52*60</f>
        <v>1935.4285714285695</v>
      </c>
      <c r="N52" s="13">
        <f t="shared" si="3"/>
        <v>77.417142857142778</v>
      </c>
      <c r="O52" s="14">
        <f t="shared" si="4"/>
        <v>0</v>
      </c>
      <c r="P52" s="15">
        <f t="shared" si="5"/>
        <v>-2.5828571428572218</v>
      </c>
      <c r="Q52" s="91">
        <f t="shared" si="6"/>
        <v>0.96771428571428475</v>
      </c>
      <c r="R52" s="177"/>
      <c r="S52" s="21">
        <v>0.31597222222222221</v>
      </c>
      <c r="T52" s="21">
        <v>0.34027777777777779</v>
      </c>
      <c r="U52" s="88">
        <f t="shared" si="38"/>
        <v>6.9999999999999751</v>
      </c>
      <c r="V52" s="30">
        <f t="shared" si="37"/>
        <v>35.000000000000036</v>
      </c>
      <c r="W52" s="16"/>
      <c r="X52" s="16"/>
      <c r="Y52" s="19"/>
      <c r="Z52" s="19"/>
      <c r="AA52" s="168"/>
      <c r="AB52" s="168"/>
      <c r="AC52" s="18"/>
      <c r="AD52" s="18"/>
      <c r="AE52" s="14">
        <f t="shared" si="8"/>
        <v>-64.571428571430488</v>
      </c>
      <c r="AF52" s="91">
        <f t="shared" si="9"/>
        <v>0.96771428571428475</v>
      </c>
      <c r="AG52" s="177"/>
    </row>
    <row r="53" spans="1:33" ht="15.75" customHeight="1">
      <c r="A53" s="181" t="s">
        <v>760</v>
      </c>
      <c r="B53" s="28" t="s">
        <v>5</v>
      </c>
      <c r="C53" s="93" t="s">
        <v>42</v>
      </c>
      <c r="D53" s="94"/>
      <c r="E53" s="28">
        <v>57.73</v>
      </c>
      <c r="F53" s="29">
        <v>1148</v>
      </c>
      <c r="G53" s="88">
        <f t="shared" si="35"/>
        <v>66274.039999999994</v>
      </c>
      <c r="H53" s="30" t="s">
        <v>53</v>
      </c>
      <c r="I53" s="95">
        <v>16</v>
      </c>
      <c r="J53" s="13">
        <v>1500</v>
      </c>
      <c r="K53" s="12">
        <f t="shared" si="1"/>
        <v>93.75</v>
      </c>
      <c r="L53" s="95">
        <v>16</v>
      </c>
      <c r="M53" s="13">
        <f t="shared" si="39"/>
        <v>1435.0000000000005</v>
      </c>
      <c r="N53" s="13">
        <f t="shared" si="3"/>
        <v>89.687500000000028</v>
      </c>
      <c r="O53" s="14">
        <f t="shared" si="4"/>
        <v>0</v>
      </c>
      <c r="P53" s="15">
        <f t="shared" si="5"/>
        <v>-4.0624999999999716</v>
      </c>
      <c r="Q53" s="91">
        <f t="shared" si="6"/>
        <v>0.956666666666667</v>
      </c>
      <c r="R53" s="177"/>
      <c r="S53" s="21">
        <v>0.70833333333333337</v>
      </c>
      <c r="T53" s="21">
        <v>0.7416666666666667</v>
      </c>
      <c r="U53" s="88" t="str">
        <f t="shared" si="38"/>
        <v/>
      </c>
      <c r="V53" s="30">
        <f t="shared" si="37"/>
        <v>47.999999999999986</v>
      </c>
      <c r="W53" s="16"/>
      <c r="X53" s="16"/>
      <c r="Y53" s="19"/>
      <c r="Z53" s="19"/>
      <c r="AA53" s="168"/>
      <c r="AB53" s="168"/>
      <c r="AC53" s="18"/>
      <c r="AD53" s="18"/>
      <c r="AE53" s="14">
        <f t="shared" si="8"/>
        <v>-64.999999999999545</v>
      </c>
      <c r="AF53" s="91">
        <f t="shared" si="9"/>
        <v>0.956666666666667</v>
      </c>
      <c r="AG53" s="177"/>
    </row>
    <row r="54" spans="1:33" ht="15.75" customHeight="1">
      <c r="A54" s="181" t="s">
        <v>759</v>
      </c>
      <c r="B54" s="28" t="s">
        <v>5</v>
      </c>
      <c r="C54" s="93" t="s">
        <v>44</v>
      </c>
      <c r="D54" s="94"/>
      <c r="E54" s="28">
        <v>55.56</v>
      </c>
      <c r="F54" s="29">
        <v>2195</v>
      </c>
      <c r="G54" s="88">
        <f t="shared" si="35"/>
        <v>121954.20000000001</v>
      </c>
      <c r="H54" s="30" t="s">
        <v>53</v>
      </c>
      <c r="I54" s="95">
        <v>17</v>
      </c>
      <c r="J54" s="13">
        <v>2000</v>
      </c>
      <c r="K54" s="12">
        <f t="shared" si="1"/>
        <v>117.64705882352941</v>
      </c>
      <c r="L54" s="95">
        <v>17</v>
      </c>
      <c r="M54" s="13">
        <f t="shared" si="39"/>
        <v>1908.6956521739153</v>
      </c>
      <c r="N54" s="13">
        <f t="shared" si="3"/>
        <v>112.27621483375972</v>
      </c>
      <c r="O54" s="14">
        <f t="shared" si="4"/>
        <v>0</v>
      </c>
      <c r="P54" s="15">
        <f t="shared" si="5"/>
        <v>-5.370843989769682</v>
      </c>
      <c r="Q54" s="91">
        <f t="shared" si="6"/>
        <v>0.95434782608695767</v>
      </c>
      <c r="R54" s="177"/>
      <c r="S54" s="21">
        <v>0.74722222222222223</v>
      </c>
      <c r="T54" s="21">
        <v>0.79513888888888884</v>
      </c>
      <c r="U54" s="88">
        <f t="shared" si="38"/>
        <v>7.9999999999999716</v>
      </c>
      <c r="V54" s="30">
        <f t="shared" si="37"/>
        <v>68.999999999999915</v>
      </c>
      <c r="W54" s="16"/>
      <c r="X54" s="16"/>
      <c r="Y54" s="19"/>
      <c r="Z54" s="19"/>
      <c r="AA54" s="168"/>
      <c r="AB54" s="168"/>
      <c r="AC54" s="18"/>
      <c r="AD54" s="18"/>
      <c r="AE54" s="14">
        <f t="shared" si="8"/>
        <v>-91.304347826084722</v>
      </c>
      <c r="AF54" s="91">
        <f t="shared" si="9"/>
        <v>0.95434782608695767</v>
      </c>
      <c r="AG54" s="177"/>
    </row>
    <row r="55" spans="1:33" ht="15.75" customHeight="1">
      <c r="A55" s="181" t="s">
        <v>760</v>
      </c>
      <c r="B55" s="28" t="s">
        <v>5</v>
      </c>
      <c r="C55" s="170" t="s">
        <v>45</v>
      </c>
      <c r="D55" s="171"/>
      <c r="E55" s="28">
        <v>55.32</v>
      </c>
      <c r="F55" s="29">
        <v>1595</v>
      </c>
      <c r="G55" s="88">
        <f t="shared" si="35"/>
        <v>88235.4</v>
      </c>
      <c r="H55" s="30" t="s">
        <v>53</v>
      </c>
      <c r="I55" s="95">
        <v>15</v>
      </c>
      <c r="J55" s="13">
        <v>2000</v>
      </c>
      <c r="K55" s="12">
        <f t="shared" si="1"/>
        <v>133.33333333333334</v>
      </c>
      <c r="L55" s="95">
        <v>15</v>
      </c>
      <c r="M55" s="13">
        <f t="shared" si="39"/>
        <v>1914.0000000000005</v>
      </c>
      <c r="N55" s="13">
        <f t="shared" si="3"/>
        <v>127.60000000000004</v>
      </c>
      <c r="O55" s="14">
        <f t="shared" si="4"/>
        <v>0</v>
      </c>
      <c r="P55" s="15">
        <f t="shared" si="5"/>
        <v>-5.7333333333333059</v>
      </c>
      <c r="Q55" s="91">
        <f t="shared" si="6"/>
        <v>0.95700000000000018</v>
      </c>
      <c r="R55" s="177"/>
      <c r="S55" s="21">
        <v>0.79861111111111105</v>
      </c>
      <c r="T55" s="21">
        <v>0.83333333333333326</v>
      </c>
      <c r="U55" s="88">
        <f t="shared" si="38"/>
        <v>4.9999999999999822</v>
      </c>
      <c r="V55" s="30">
        <f t="shared" si="37"/>
        <v>49.999999999999986</v>
      </c>
      <c r="W55" s="16"/>
      <c r="X55" s="16"/>
      <c r="Y55" s="19"/>
      <c r="Z55" s="19"/>
      <c r="AA55" s="172"/>
      <c r="AB55" s="173"/>
      <c r="AC55" s="18"/>
      <c r="AD55" s="18"/>
      <c r="AE55" s="14">
        <f t="shared" si="8"/>
        <v>-85.999999999999545</v>
      </c>
      <c r="AF55" s="91">
        <f t="shared" si="9"/>
        <v>0.95700000000000018</v>
      </c>
      <c r="AG55" s="177"/>
    </row>
    <row r="56" spans="1:33">
      <c r="A56" s="182" t="s">
        <v>759</v>
      </c>
      <c r="B56" s="28" t="s">
        <v>761</v>
      </c>
      <c r="C56" s="178"/>
      <c r="D56" s="178"/>
      <c r="E56" s="92"/>
      <c r="F56" s="12"/>
      <c r="G56" s="12"/>
      <c r="H56" s="88"/>
      <c r="I56" s="23">
        <v>18.666666666666668</v>
      </c>
      <c r="J56" s="13">
        <v>1916.6666666666667</v>
      </c>
      <c r="K56" s="12">
        <f t="shared" si="1"/>
        <v>102.67857142857143</v>
      </c>
      <c r="L56" s="23">
        <v>18.666666666666668</v>
      </c>
      <c r="M56" s="13">
        <f>AVERAGE(M50:M55)</f>
        <v>1838.1564108480923</v>
      </c>
      <c r="N56" s="12">
        <f t="shared" si="3"/>
        <v>98.472664866862075</v>
      </c>
      <c r="O56" s="14">
        <f t="shared" si="4"/>
        <v>0</v>
      </c>
      <c r="P56" s="15">
        <f t="shared" si="5"/>
        <v>-4.2059065617093552</v>
      </c>
      <c r="Q56" s="91">
        <f t="shared" si="6"/>
        <v>0.95903812739900451</v>
      </c>
      <c r="R56" s="177"/>
      <c r="S56" s="21"/>
      <c r="T56" s="21"/>
      <c r="U56" s="88"/>
      <c r="V56" s="30"/>
      <c r="W56" s="12"/>
      <c r="X56" s="12"/>
      <c r="Y56" s="24">
        <f>SUM(Y50:Y55)</f>
        <v>0</v>
      </c>
      <c r="Z56" s="24">
        <f>SUM(Z50:Z55)</f>
        <v>0</v>
      </c>
      <c r="AA56" s="167"/>
      <c r="AB56" s="167"/>
      <c r="AC56" s="24">
        <f>SUM(AC50:AC55)</f>
        <v>6</v>
      </c>
      <c r="AD56" s="24">
        <f>SUM(AD50:AD55)</f>
        <v>0</v>
      </c>
      <c r="AE56" s="14">
        <f>M56-J56</f>
        <v>-78.510255818574478</v>
      </c>
      <c r="AF56" s="91">
        <f t="shared" si="9"/>
        <v>0.95903812739900463</v>
      </c>
      <c r="AG56" s="177"/>
    </row>
    <row r="57" spans="1:33" ht="15.75" customHeight="1">
      <c r="A57" s="179" t="s">
        <v>762</v>
      </c>
      <c r="B57" s="88" t="s">
        <v>33</v>
      </c>
      <c r="C57" s="169" t="s">
        <v>46</v>
      </c>
      <c r="D57" s="169"/>
      <c r="E57" s="28">
        <v>37.85</v>
      </c>
      <c r="F57" s="29">
        <v>1393</v>
      </c>
      <c r="G57" s="88">
        <f t="shared" ref="G57:G62" si="40">E57*F57</f>
        <v>52725.05</v>
      </c>
      <c r="H57" s="30" t="s">
        <v>53</v>
      </c>
      <c r="I57" s="95">
        <v>12</v>
      </c>
      <c r="J57" s="13">
        <v>2000</v>
      </c>
      <c r="K57" s="12">
        <f t="shared" si="1"/>
        <v>166.66666666666666</v>
      </c>
      <c r="L57" s="95">
        <v>12</v>
      </c>
      <c r="M57" s="13">
        <f t="shared" ref="M57:M62" si="41">F57/V57*60</f>
        <v>1943.7209302325577</v>
      </c>
      <c r="N57" s="12">
        <f t="shared" si="3"/>
        <v>161.97674418604649</v>
      </c>
      <c r="O57" s="14">
        <f t="shared" si="4"/>
        <v>0</v>
      </c>
      <c r="P57" s="15">
        <f t="shared" si="5"/>
        <v>-4.6899224806201687</v>
      </c>
      <c r="Q57" s="91">
        <f t="shared" si="6"/>
        <v>0.97186046511627899</v>
      </c>
      <c r="R57" s="177">
        <f>Q63</f>
        <v>0.9624444418626974</v>
      </c>
      <c r="S57" s="21">
        <v>0.20833333333333334</v>
      </c>
      <c r="T57" s="21">
        <v>0.23819444444444446</v>
      </c>
      <c r="U57" s="88"/>
      <c r="V57" s="30">
        <f t="shared" ref="V57:V62" si="42">(T57-S57)*24*60</f>
        <v>43.000000000000007</v>
      </c>
      <c r="W57" s="21"/>
      <c r="X57" s="21"/>
      <c r="Y57" s="21"/>
      <c r="Z57" s="21"/>
      <c r="AA57" s="168"/>
      <c r="AB57" s="168"/>
      <c r="AC57" s="18">
        <v>6</v>
      </c>
      <c r="AD57" s="18"/>
      <c r="AE57" s="14">
        <f t="shared" ref="AE57:AE70" si="43">M57-J57</f>
        <v>-56.279069767442252</v>
      </c>
      <c r="AF57" s="91">
        <f t="shared" si="9"/>
        <v>0.97186046511627888</v>
      </c>
      <c r="AG57" s="177">
        <f>AF63</f>
        <v>0.9624444418626974</v>
      </c>
    </row>
    <row r="58" spans="1:33" ht="15.75" customHeight="1">
      <c r="A58" s="179" t="s">
        <v>175</v>
      </c>
      <c r="B58" s="88" t="s">
        <v>33</v>
      </c>
      <c r="C58" s="169" t="s">
        <v>47</v>
      </c>
      <c r="D58" s="169"/>
      <c r="E58" s="28">
        <v>34.36</v>
      </c>
      <c r="F58" s="29">
        <v>2308</v>
      </c>
      <c r="G58" s="88">
        <f t="shared" si="40"/>
        <v>79302.880000000005</v>
      </c>
      <c r="H58" s="30" t="s">
        <v>53</v>
      </c>
      <c r="I58" s="95">
        <v>10</v>
      </c>
      <c r="J58" s="13">
        <v>3000</v>
      </c>
      <c r="K58" s="12">
        <f t="shared" si="1"/>
        <v>300</v>
      </c>
      <c r="L58" s="95">
        <v>10</v>
      </c>
      <c r="M58" s="13">
        <f t="shared" si="41"/>
        <v>2885.0000000000009</v>
      </c>
      <c r="N58" s="12">
        <f t="shared" si="3"/>
        <v>288.50000000000011</v>
      </c>
      <c r="O58" s="14">
        <f t="shared" si="4"/>
        <v>0</v>
      </c>
      <c r="P58" s="15">
        <f t="shared" si="5"/>
        <v>-11.499999999999886</v>
      </c>
      <c r="Q58" s="91">
        <f t="shared" si="6"/>
        <v>0.961666666666667</v>
      </c>
      <c r="R58" s="177"/>
      <c r="S58" s="21">
        <v>0.24375000000000002</v>
      </c>
      <c r="T58" s="21">
        <v>0.27708333333333335</v>
      </c>
      <c r="U58" s="88">
        <f t="shared" ref="U58:U62" si="44">(S58-T57)*24*60</f>
        <v>8.0000000000000107</v>
      </c>
      <c r="V58" s="30">
        <f t="shared" si="42"/>
        <v>47.999999999999986</v>
      </c>
      <c r="W58" s="88"/>
      <c r="X58" s="88"/>
      <c r="Y58" s="88"/>
      <c r="Z58" s="88"/>
      <c r="AA58" s="168"/>
      <c r="AB58" s="168"/>
      <c r="AC58" s="18"/>
      <c r="AD58" s="18"/>
      <c r="AE58" s="14">
        <f t="shared" si="43"/>
        <v>-114.99999999999909</v>
      </c>
      <c r="AF58" s="91">
        <f t="shared" si="9"/>
        <v>0.961666666666667</v>
      </c>
      <c r="AG58" s="177"/>
    </row>
    <row r="59" spans="1:33" ht="15.75" customHeight="1">
      <c r="A59" s="179" t="s">
        <v>175</v>
      </c>
      <c r="B59" s="88" t="s">
        <v>33</v>
      </c>
      <c r="C59" s="169" t="s">
        <v>48</v>
      </c>
      <c r="D59" s="169"/>
      <c r="E59" s="28">
        <v>35.119999999999997</v>
      </c>
      <c r="F59" s="29">
        <v>5867</v>
      </c>
      <c r="G59" s="88">
        <f t="shared" si="40"/>
        <v>206049.03999999998</v>
      </c>
      <c r="H59" s="30" t="s">
        <v>53</v>
      </c>
      <c r="I59" s="95">
        <v>10</v>
      </c>
      <c r="J59" s="13">
        <v>3000</v>
      </c>
      <c r="K59" s="12">
        <f t="shared" si="1"/>
        <v>300</v>
      </c>
      <c r="L59" s="95">
        <v>10</v>
      </c>
      <c r="M59" s="13">
        <f t="shared" si="41"/>
        <v>2861.9512195121961</v>
      </c>
      <c r="N59" s="12">
        <f t="shared" si="3"/>
        <v>286.19512195121962</v>
      </c>
      <c r="O59" s="14">
        <f t="shared" si="4"/>
        <v>0</v>
      </c>
      <c r="P59" s="15">
        <f t="shared" si="5"/>
        <v>-13.804878048780381</v>
      </c>
      <c r="Q59" s="91">
        <f t="shared" si="6"/>
        <v>0.9539837398373987</v>
      </c>
      <c r="R59" s="177"/>
      <c r="S59" s="21">
        <v>0.28125</v>
      </c>
      <c r="T59" s="21">
        <v>0.36666666666666664</v>
      </c>
      <c r="U59" s="88">
        <f t="shared" si="44"/>
        <v>5.9999999999999787</v>
      </c>
      <c r="V59" s="30">
        <f t="shared" si="42"/>
        <v>122.99999999999996</v>
      </c>
      <c r="W59" s="88"/>
      <c r="X59" s="88"/>
      <c r="Y59" s="88"/>
      <c r="Z59" s="88"/>
      <c r="AA59" s="168"/>
      <c r="AB59" s="168"/>
      <c r="AC59" s="18"/>
      <c r="AD59" s="18"/>
      <c r="AE59" s="14">
        <f t="shared" si="43"/>
        <v>-138.04878048780392</v>
      </c>
      <c r="AF59" s="91">
        <f t="shared" si="9"/>
        <v>0.9539837398373987</v>
      </c>
      <c r="AG59" s="177"/>
    </row>
    <row r="60" spans="1:33" ht="15.75" customHeight="1">
      <c r="A60" s="179" t="s">
        <v>175</v>
      </c>
      <c r="B60" s="88" t="s">
        <v>33</v>
      </c>
      <c r="C60" s="169" t="s">
        <v>34</v>
      </c>
      <c r="D60" s="169"/>
      <c r="E60" s="28">
        <v>34.36</v>
      </c>
      <c r="F60" s="29">
        <v>1607</v>
      </c>
      <c r="G60" s="88">
        <f t="shared" si="40"/>
        <v>55216.52</v>
      </c>
      <c r="H60" s="30" t="s">
        <v>53</v>
      </c>
      <c r="I60" s="95">
        <v>10</v>
      </c>
      <c r="J60" s="13">
        <v>3000</v>
      </c>
      <c r="K60" s="12">
        <f t="shared" si="1"/>
        <v>300</v>
      </c>
      <c r="L60" s="95">
        <v>10</v>
      </c>
      <c r="M60" s="13">
        <f t="shared" si="41"/>
        <v>2921.8181818181852</v>
      </c>
      <c r="N60" s="12">
        <f t="shared" si="3"/>
        <v>292.18181818181853</v>
      </c>
      <c r="O60" s="14">
        <f t="shared" si="4"/>
        <v>0</v>
      </c>
      <c r="P60" s="15">
        <f t="shared" si="5"/>
        <v>-7.818181818181472</v>
      </c>
      <c r="Q60" s="91">
        <f t="shared" si="6"/>
        <v>0.9739393939393951</v>
      </c>
      <c r="R60" s="177"/>
      <c r="S60" s="21">
        <v>0.37013888888888885</v>
      </c>
      <c r="T60" s="21">
        <v>0.39305555555555549</v>
      </c>
      <c r="U60" s="88">
        <f t="shared" si="44"/>
        <v>4.9999999999999822</v>
      </c>
      <c r="V60" s="30">
        <f t="shared" si="42"/>
        <v>32.999999999999964</v>
      </c>
      <c r="W60" s="88"/>
      <c r="X60" s="88"/>
      <c r="Y60" s="88"/>
      <c r="Z60" s="88"/>
      <c r="AA60" s="168"/>
      <c r="AB60" s="168"/>
      <c r="AC60" s="18"/>
      <c r="AD60" s="18"/>
      <c r="AE60" s="14">
        <f t="shared" si="43"/>
        <v>-78.181818181814833</v>
      </c>
      <c r="AF60" s="91">
        <f t="shared" si="9"/>
        <v>0.9739393939393951</v>
      </c>
      <c r="AG60" s="177"/>
    </row>
    <row r="61" spans="1:33">
      <c r="A61" s="180" t="s">
        <v>175</v>
      </c>
      <c r="B61" s="88" t="s">
        <v>33</v>
      </c>
      <c r="C61" s="169" t="s">
        <v>35</v>
      </c>
      <c r="D61" s="169"/>
      <c r="E61" s="28">
        <v>26.78</v>
      </c>
      <c r="F61" s="29">
        <v>2550</v>
      </c>
      <c r="G61" s="88">
        <f t="shared" si="40"/>
        <v>68289</v>
      </c>
      <c r="H61" s="30" t="s">
        <v>53</v>
      </c>
      <c r="I61" s="95">
        <v>10</v>
      </c>
      <c r="J61" s="13">
        <v>3000</v>
      </c>
      <c r="K61" s="12">
        <f t="shared" si="1"/>
        <v>300</v>
      </c>
      <c r="L61" s="95">
        <v>10</v>
      </c>
      <c r="M61" s="13">
        <f t="shared" si="41"/>
        <v>2886.7924528301901</v>
      </c>
      <c r="N61" s="12">
        <f t="shared" si="3"/>
        <v>288.67924528301899</v>
      </c>
      <c r="O61" s="14">
        <f t="shared" si="4"/>
        <v>0</v>
      </c>
      <c r="P61" s="15">
        <f t="shared" si="5"/>
        <v>-11.320754716981014</v>
      </c>
      <c r="Q61" s="91">
        <f t="shared" si="6"/>
        <v>0.96226415094339657</v>
      </c>
      <c r="R61" s="177"/>
      <c r="S61" s="21">
        <v>0.3965277777777777</v>
      </c>
      <c r="T61" s="21">
        <v>0.43333333333333324</v>
      </c>
      <c r="U61" s="88">
        <f t="shared" si="44"/>
        <v>4.9999999999999822</v>
      </c>
      <c r="V61" s="30">
        <f t="shared" si="42"/>
        <v>52.999999999999972</v>
      </c>
      <c r="W61" s="16"/>
      <c r="X61" s="16"/>
      <c r="Y61" s="16"/>
      <c r="Z61" s="16"/>
      <c r="AA61" s="168"/>
      <c r="AB61" s="168"/>
      <c r="AC61" s="18"/>
      <c r="AD61" s="18"/>
      <c r="AE61" s="14">
        <f t="shared" si="43"/>
        <v>-113.20754716980991</v>
      </c>
      <c r="AF61" s="91">
        <f t="shared" si="9"/>
        <v>0.96226415094339668</v>
      </c>
      <c r="AG61" s="177"/>
    </row>
    <row r="62" spans="1:33" ht="15" customHeight="1">
      <c r="A62" s="180" t="s">
        <v>762</v>
      </c>
      <c r="B62" s="88" t="s">
        <v>33</v>
      </c>
      <c r="C62" s="170" t="s">
        <v>71</v>
      </c>
      <c r="D62" s="171"/>
      <c r="E62" s="28">
        <v>28.3</v>
      </c>
      <c r="F62" s="29">
        <v>2099</v>
      </c>
      <c r="G62" s="88">
        <f t="shared" si="40"/>
        <v>59401.700000000004</v>
      </c>
      <c r="H62" s="30" t="s">
        <v>53</v>
      </c>
      <c r="I62" s="95">
        <v>8</v>
      </c>
      <c r="J62" s="13">
        <v>3000</v>
      </c>
      <c r="K62" s="12">
        <f t="shared" si="1"/>
        <v>375</v>
      </c>
      <c r="L62" s="95">
        <v>8</v>
      </c>
      <c r="M62" s="13">
        <f t="shared" si="41"/>
        <v>2862.272727272727</v>
      </c>
      <c r="N62" s="12">
        <f t="shared" si="3"/>
        <v>357.78409090909088</v>
      </c>
      <c r="O62" s="14">
        <f t="shared" si="4"/>
        <v>0</v>
      </c>
      <c r="P62" s="15">
        <f t="shared" si="5"/>
        <v>-17.215909090909122</v>
      </c>
      <c r="Q62" s="91">
        <f t="shared" si="6"/>
        <v>0.95409090909090899</v>
      </c>
      <c r="R62" s="177"/>
      <c r="S62" s="21">
        <v>0.43749999999999989</v>
      </c>
      <c r="T62" s="21">
        <v>0.46805555555555545</v>
      </c>
      <c r="U62" s="88">
        <f t="shared" si="44"/>
        <v>5.9999999999999787</v>
      </c>
      <c r="V62" s="30">
        <f t="shared" si="42"/>
        <v>44</v>
      </c>
      <c r="W62" s="88"/>
      <c r="X62" s="88"/>
      <c r="Y62" s="98"/>
      <c r="Z62" s="98"/>
      <c r="AA62" s="172"/>
      <c r="AB62" s="173"/>
      <c r="AC62" s="18"/>
      <c r="AD62" s="18"/>
      <c r="AE62" s="14">
        <f t="shared" si="43"/>
        <v>-137.72727272727298</v>
      </c>
      <c r="AF62" s="91">
        <f t="shared" si="9"/>
        <v>0.95409090909090899</v>
      </c>
      <c r="AG62" s="177"/>
    </row>
    <row r="63" spans="1:33">
      <c r="A63" s="180" t="s">
        <v>762</v>
      </c>
      <c r="B63" s="28" t="s">
        <v>763</v>
      </c>
      <c r="C63" s="178"/>
      <c r="D63" s="178"/>
      <c r="E63" s="92"/>
      <c r="F63" s="12"/>
      <c r="G63" s="12"/>
      <c r="H63" s="88"/>
      <c r="I63" s="23">
        <v>10</v>
      </c>
      <c r="J63" s="13">
        <v>2833.3333333333335</v>
      </c>
      <c r="K63" s="12">
        <f t="shared" si="1"/>
        <v>283.33333333333337</v>
      </c>
      <c r="L63" s="23">
        <v>10</v>
      </c>
      <c r="M63" s="13">
        <f>AVERAGE(M57:M62)</f>
        <v>2726.9259186109762</v>
      </c>
      <c r="N63" s="12">
        <f t="shared" si="3"/>
        <v>272.69259186109764</v>
      </c>
      <c r="O63" s="14">
        <f t="shared" si="4"/>
        <v>0</v>
      </c>
      <c r="P63" s="15">
        <f t="shared" si="5"/>
        <v>-10.640741472235732</v>
      </c>
      <c r="Q63" s="91">
        <f t="shared" si="6"/>
        <v>0.9624444418626974</v>
      </c>
      <c r="R63" s="177"/>
      <c r="S63" s="21"/>
      <c r="T63" s="21"/>
      <c r="U63" s="12"/>
      <c r="V63" s="30"/>
      <c r="W63" s="12"/>
      <c r="X63" s="12"/>
      <c r="Y63" s="24">
        <f>SUM(Y57:Y62)</f>
        <v>0</v>
      </c>
      <c r="Z63" s="24">
        <f>SUM(Z57:Z62)</f>
        <v>0</v>
      </c>
      <c r="AA63" s="167"/>
      <c r="AB63" s="167"/>
      <c r="AC63" s="24">
        <f>SUM(AC57:AC62)</f>
        <v>6</v>
      </c>
      <c r="AD63" s="24">
        <f>SUM(AD57:AD62)</f>
        <v>0</v>
      </c>
      <c r="AE63" s="14">
        <f t="shared" si="43"/>
        <v>-106.40741472235732</v>
      </c>
      <c r="AF63" s="91">
        <f t="shared" si="9"/>
        <v>0.9624444418626974</v>
      </c>
      <c r="AG63" s="177"/>
    </row>
    <row r="64" spans="1:33" ht="15.75" customHeight="1">
      <c r="A64" s="174" t="s">
        <v>764</v>
      </c>
      <c r="B64" s="88" t="s">
        <v>22</v>
      </c>
      <c r="C64" s="169" t="s">
        <v>49</v>
      </c>
      <c r="D64" s="169"/>
      <c r="E64" s="28">
        <v>20.2</v>
      </c>
      <c r="F64" s="88">
        <v>2286</v>
      </c>
      <c r="G64" s="88">
        <f t="shared" ref="G64:G69" si="45">E64*F64</f>
        <v>46177.2</v>
      </c>
      <c r="H64" s="30" t="s">
        <v>53</v>
      </c>
      <c r="I64" s="95">
        <v>15</v>
      </c>
      <c r="J64" s="13">
        <v>2400</v>
      </c>
      <c r="K64" s="12">
        <f t="shared" si="1"/>
        <v>160</v>
      </c>
      <c r="L64" s="95">
        <v>15</v>
      </c>
      <c r="M64" s="13">
        <f t="shared" ref="M64:M69" si="46">F64/V64*60</f>
        <v>2286</v>
      </c>
      <c r="N64" s="12">
        <f t="shared" si="3"/>
        <v>152.4</v>
      </c>
      <c r="O64" s="14">
        <f t="shared" si="4"/>
        <v>0</v>
      </c>
      <c r="P64" s="15">
        <f t="shared" si="5"/>
        <v>-7.5999999999999943</v>
      </c>
      <c r="Q64" s="91">
        <f t="shared" si="6"/>
        <v>0.95250000000000001</v>
      </c>
      <c r="R64" s="177">
        <f>Q70</f>
        <v>0.95251442397736674</v>
      </c>
      <c r="S64" s="21">
        <v>8.3333333333333329E-2</v>
      </c>
      <c r="T64" s="21">
        <v>0.125</v>
      </c>
      <c r="U64" s="21"/>
      <c r="V64" s="30">
        <f t="shared" ref="V64:V69" si="47">(T64-S64)*24*60</f>
        <v>60</v>
      </c>
      <c r="W64" s="16">
        <f>T64</f>
        <v>0.125</v>
      </c>
      <c r="X64" s="16">
        <f>S65</f>
        <v>0.14375000000000002</v>
      </c>
      <c r="Y64" s="16"/>
      <c r="Z64" s="16"/>
      <c r="AA64" s="168"/>
      <c r="AB64" s="168"/>
      <c r="AC64" s="18">
        <v>6</v>
      </c>
      <c r="AD64" s="18"/>
      <c r="AE64" s="14">
        <f t="shared" si="43"/>
        <v>-114</v>
      </c>
      <c r="AF64" s="91">
        <f t="shared" si="9"/>
        <v>0.95250000000000001</v>
      </c>
      <c r="AG64" s="177">
        <f>AF70</f>
        <v>0.95251442397736674</v>
      </c>
    </row>
    <row r="65" spans="1:33" ht="15.75" customHeight="1">
      <c r="A65" s="175" t="s">
        <v>176</v>
      </c>
      <c r="B65" s="88" t="s">
        <v>22</v>
      </c>
      <c r="C65" s="169" t="s">
        <v>50</v>
      </c>
      <c r="D65" s="169"/>
      <c r="E65" s="28">
        <v>24.45</v>
      </c>
      <c r="F65" s="88">
        <v>2741</v>
      </c>
      <c r="G65" s="88">
        <f t="shared" si="45"/>
        <v>67017.45</v>
      </c>
      <c r="H65" s="30" t="s">
        <v>53</v>
      </c>
      <c r="I65" s="95">
        <v>19</v>
      </c>
      <c r="J65" s="13">
        <v>2400</v>
      </c>
      <c r="K65" s="12">
        <f t="shared" si="1"/>
        <v>126.31578947368421</v>
      </c>
      <c r="L65" s="95">
        <v>19</v>
      </c>
      <c r="M65" s="13">
        <f t="shared" si="46"/>
        <v>2284.166666666667</v>
      </c>
      <c r="N65" s="12">
        <f t="shared" si="3"/>
        <v>120.21929824561406</v>
      </c>
      <c r="O65" s="14">
        <f t="shared" si="4"/>
        <v>0</v>
      </c>
      <c r="P65" s="15">
        <f t="shared" si="5"/>
        <v>-6.0964912280701498</v>
      </c>
      <c r="Q65" s="91">
        <f t="shared" si="6"/>
        <v>0.95173611111111134</v>
      </c>
      <c r="R65" s="177"/>
      <c r="S65" s="21">
        <v>0.14375000000000002</v>
      </c>
      <c r="T65" s="21">
        <v>0.19375000000000001</v>
      </c>
      <c r="U65" s="88">
        <f t="shared" ref="U65:U69" si="48">(S65-T64)*24*60</f>
        <v>27.000000000000025</v>
      </c>
      <c r="V65" s="30">
        <f t="shared" si="47"/>
        <v>71.999999999999986</v>
      </c>
      <c r="W65" s="16"/>
      <c r="X65" s="16"/>
      <c r="Y65" s="16"/>
      <c r="Z65" s="16"/>
      <c r="AA65" s="168"/>
      <c r="AB65" s="168"/>
      <c r="AC65" s="18"/>
      <c r="AD65" s="18"/>
      <c r="AE65" s="14">
        <f t="shared" si="43"/>
        <v>-115.83333333333303</v>
      </c>
      <c r="AF65" s="91">
        <f t="shared" si="9"/>
        <v>0.95173611111111123</v>
      </c>
      <c r="AG65" s="177"/>
    </row>
    <row r="66" spans="1:33" ht="15.75" customHeight="1">
      <c r="A66" s="175" t="s">
        <v>764</v>
      </c>
      <c r="B66" s="88" t="s">
        <v>22</v>
      </c>
      <c r="C66" s="169" t="s">
        <v>31</v>
      </c>
      <c r="D66" s="169"/>
      <c r="E66" s="28">
        <v>20.21</v>
      </c>
      <c r="F66" s="88">
        <v>2969</v>
      </c>
      <c r="G66" s="88">
        <f t="shared" si="45"/>
        <v>60003.490000000005</v>
      </c>
      <c r="H66" s="30" t="s">
        <v>53</v>
      </c>
      <c r="I66" s="95">
        <v>15</v>
      </c>
      <c r="J66" s="13">
        <v>2400</v>
      </c>
      <c r="K66" s="12">
        <f t="shared" si="1"/>
        <v>160</v>
      </c>
      <c r="L66" s="95">
        <v>15</v>
      </c>
      <c r="M66" s="13">
        <f t="shared" si="46"/>
        <v>2283.8461538461552</v>
      </c>
      <c r="N66" s="12">
        <f t="shared" si="3"/>
        <v>152.25641025641033</v>
      </c>
      <c r="O66" s="14">
        <f t="shared" si="4"/>
        <v>0</v>
      </c>
      <c r="P66" s="15">
        <f t="shared" si="5"/>
        <v>-7.7435897435896663</v>
      </c>
      <c r="Q66" s="91">
        <f t="shared" si="6"/>
        <v>0.95160256410256461</v>
      </c>
      <c r="R66" s="177"/>
      <c r="S66" s="21">
        <v>0.19930555555555557</v>
      </c>
      <c r="T66" s="21">
        <v>0.25347222222222221</v>
      </c>
      <c r="U66" s="88">
        <f t="shared" si="48"/>
        <v>8.0000000000000107</v>
      </c>
      <c r="V66" s="30">
        <f t="shared" si="47"/>
        <v>77.999999999999957</v>
      </c>
      <c r="W66" s="16"/>
      <c r="X66" s="16"/>
      <c r="Y66" s="16"/>
      <c r="Z66" s="16"/>
      <c r="AA66" s="168"/>
      <c r="AB66" s="168"/>
      <c r="AC66" s="18"/>
      <c r="AD66" s="18"/>
      <c r="AE66" s="14">
        <f t="shared" si="43"/>
        <v>-116.15384615384482</v>
      </c>
      <c r="AF66" s="91">
        <f t="shared" si="9"/>
        <v>0.95160256410256461</v>
      </c>
      <c r="AG66" s="177"/>
    </row>
    <row r="67" spans="1:33" ht="15.75" customHeight="1">
      <c r="A67" s="175" t="s">
        <v>176</v>
      </c>
      <c r="B67" s="88" t="s">
        <v>22</v>
      </c>
      <c r="C67" s="169" t="s">
        <v>51</v>
      </c>
      <c r="D67" s="169"/>
      <c r="E67" s="28">
        <v>24.43</v>
      </c>
      <c r="F67" s="88">
        <v>6937</v>
      </c>
      <c r="G67" s="88">
        <f t="shared" si="45"/>
        <v>169470.91</v>
      </c>
      <c r="H67" s="30" t="s">
        <v>53</v>
      </c>
      <c r="I67" s="95">
        <v>14</v>
      </c>
      <c r="J67" s="13">
        <v>2400</v>
      </c>
      <c r="K67" s="12">
        <f t="shared" si="1"/>
        <v>171.42857142857142</v>
      </c>
      <c r="L67" s="95">
        <v>14</v>
      </c>
      <c r="M67" s="13">
        <f t="shared" si="46"/>
        <v>2286.9230769230767</v>
      </c>
      <c r="N67" s="12">
        <f t="shared" si="3"/>
        <v>163.35164835164832</v>
      </c>
      <c r="O67" s="14">
        <f t="shared" si="4"/>
        <v>0</v>
      </c>
      <c r="P67" s="15">
        <f t="shared" si="5"/>
        <v>-8.0769230769230944</v>
      </c>
      <c r="Q67" s="91">
        <f t="shared" si="6"/>
        <v>0.95288461538461533</v>
      </c>
      <c r="R67" s="177"/>
      <c r="S67" s="21">
        <v>0.25763888888888886</v>
      </c>
      <c r="T67" s="21">
        <v>0.38402777777777775</v>
      </c>
      <c r="U67" s="88">
        <f t="shared" si="48"/>
        <v>5.9999999999999787</v>
      </c>
      <c r="V67" s="30">
        <f t="shared" si="47"/>
        <v>182</v>
      </c>
      <c r="W67" s="16"/>
      <c r="X67" s="16"/>
      <c r="Y67" s="16"/>
      <c r="Z67" s="16"/>
      <c r="AA67" s="168"/>
      <c r="AB67" s="168"/>
      <c r="AC67" s="18"/>
      <c r="AD67" s="18"/>
      <c r="AE67" s="14">
        <f t="shared" si="43"/>
        <v>-113.07692307692332</v>
      </c>
      <c r="AF67" s="91">
        <f t="shared" si="9"/>
        <v>0.95288461538461533</v>
      </c>
      <c r="AG67" s="177"/>
    </row>
    <row r="68" spans="1:33" ht="15.75" customHeight="1">
      <c r="A68" s="175" t="s">
        <v>764</v>
      </c>
      <c r="B68" s="88" t="s">
        <v>22</v>
      </c>
      <c r="C68" s="169" t="s">
        <v>52</v>
      </c>
      <c r="D68" s="169"/>
      <c r="E68" s="28">
        <v>19.02</v>
      </c>
      <c r="F68" s="88">
        <v>5600</v>
      </c>
      <c r="G68" s="88">
        <f t="shared" si="45"/>
        <v>106512</v>
      </c>
      <c r="H68" s="30">
        <v>2</v>
      </c>
      <c r="I68" s="95">
        <v>14</v>
      </c>
      <c r="J68" s="13">
        <v>2400</v>
      </c>
      <c r="K68" s="12">
        <f t="shared" si="1"/>
        <v>171.42857142857142</v>
      </c>
      <c r="L68" s="95">
        <v>14</v>
      </c>
      <c r="M68" s="13">
        <f t="shared" si="46"/>
        <v>2285.7142857142853</v>
      </c>
      <c r="N68" s="12">
        <f t="shared" si="3"/>
        <v>163.26530612244895</v>
      </c>
      <c r="O68" s="14">
        <f t="shared" si="4"/>
        <v>0</v>
      </c>
      <c r="P68" s="15">
        <f t="shared" si="5"/>
        <v>-8.1632653061224687</v>
      </c>
      <c r="Q68" s="91">
        <f t="shared" si="6"/>
        <v>0.95238095238095222</v>
      </c>
      <c r="R68" s="177"/>
      <c r="S68" s="21">
        <v>0.38749999999999996</v>
      </c>
      <c r="T68" s="21">
        <v>0.48958333333333331</v>
      </c>
      <c r="U68" s="88">
        <f t="shared" si="48"/>
        <v>4.9999999999999822</v>
      </c>
      <c r="V68" s="30">
        <f t="shared" si="47"/>
        <v>147.00000000000003</v>
      </c>
      <c r="W68" s="16">
        <f>T68</f>
        <v>0.48958333333333331</v>
      </c>
      <c r="X68" s="16">
        <f>S69</f>
        <v>0.52916666666666667</v>
      </c>
      <c r="Y68" s="16"/>
      <c r="Z68" s="16"/>
      <c r="AA68" s="168"/>
      <c r="AB68" s="168"/>
      <c r="AC68" s="18"/>
      <c r="AD68" s="18"/>
      <c r="AE68" s="14">
        <f t="shared" si="43"/>
        <v>-114.28571428571468</v>
      </c>
      <c r="AF68" s="91">
        <f t="shared" si="9"/>
        <v>0.95238095238095222</v>
      </c>
      <c r="AG68" s="177"/>
    </row>
    <row r="69" spans="1:33" ht="15.75" customHeight="1">
      <c r="A69" s="175" t="s">
        <v>764</v>
      </c>
      <c r="B69" s="88" t="s">
        <v>22</v>
      </c>
      <c r="C69" s="169" t="s">
        <v>52</v>
      </c>
      <c r="D69" s="169"/>
      <c r="E69" s="28">
        <v>19.02</v>
      </c>
      <c r="F69" s="88">
        <v>4312</v>
      </c>
      <c r="G69" s="88">
        <f t="shared" si="45"/>
        <v>82014.240000000005</v>
      </c>
      <c r="H69" s="30" t="s">
        <v>53</v>
      </c>
      <c r="I69" s="95">
        <v>14</v>
      </c>
      <c r="J69" s="13">
        <v>2400</v>
      </c>
      <c r="K69" s="12">
        <f t="shared" ref="K69:K70" si="49">J69/I69</f>
        <v>171.42857142857142</v>
      </c>
      <c r="L69" s="95">
        <v>14</v>
      </c>
      <c r="M69" s="13">
        <f t="shared" si="46"/>
        <v>2289.5575221238955</v>
      </c>
      <c r="N69" s="12">
        <f t="shared" ref="N69:N70" si="50">M69/L69</f>
        <v>163.53982300884968</v>
      </c>
      <c r="O69" s="14">
        <f t="shared" ref="O69:O70" si="51">L69-I69</f>
        <v>0</v>
      </c>
      <c r="P69" s="15">
        <f t="shared" ref="P69:P70" si="52">N69-K69</f>
        <v>-7.8887484197217361</v>
      </c>
      <c r="Q69" s="91">
        <f t="shared" ref="Q69:Q70" si="53">N69/K69</f>
        <v>0.9539823008849565</v>
      </c>
      <c r="R69" s="177"/>
      <c r="S69" s="21">
        <v>0.52916666666666667</v>
      </c>
      <c r="T69" s="21">
        <v>0.60763888888888884</v>
      </c>
      <c r="U69" s="88">
        <f t="shared" si="48"/>
        <v>57.000000000000036</v>
      </c>
      <c r="V69" s="30">
        <f t="shared" si="47"/>
        <v>112.99999999999991</v>
      </c>
      <c r="W69" s="16"/>
      <c r="X69" s="16"/>
      <c r="Y69" s="16"/>
      <c r="Z69" s="16"/>
      <c r="AA69" s="168"/>
      <c r="AB69" s="168"/>
      <c r="AC69" s="18"/>
      <c r="AD69" s="18"/>
      <c r="AE69" s="14">
        <f t="shared" si="43"/>
        <v>-110.44247787610448</v>
      </c>
      <c r="AF69" s="91">
        <f t="shared" ref="AF69:AF70" si="54">M69/J69</f>
        <v>0.9539823008849565</v>
      </c>
      <c r="AG69" s="177"/>
    </row>
    <row r="70" spans="1:33" ht="16.5" customHeight="1">
      <c r="A70" s="176" t="s">
        <v>176</v>
      </c>
      <c r="B70" s="28" t="s">
        <v>165</v>
      </c>
      <c r="C70" s="165"/>
      <c r="D70" s="166"/>
      <c r="E70" s="92"/>
      <c r="F70" s="12"/>
      <c r="G70" s="12"/>
      <c r="H70" s="88"/>
      <c r="I70" s="23">
        <v>15.166666666666666</v>
      </c>
      <c r="J70" s="13">
        <v>2400</v>
      </c>
      <c r="K70" s="12">
        <f t="shared" si="49"/>
        <v>158.24175824175825</v>
      </c>
      <c r="L70" s="23">
        <v>15.166666666666666</v>
      </c>
      <c r="M70" s="13">
        <f>AVERAGE(M64:M69)</f>
        <v>2286.0346175456802</v>
      </c>
      <c r="N70" s="12">
        <f t="shared" si="50"/>
        <v>150.72755720081409</v>
      </c>
      <c r="O70" s="14">
        <f t="shared" si="51"/>
        <v>0</v>
      </c>
      <c r="P70" s="15">
        <f t="shared" si="52"/>
        <v>-7.5142010409441582</v>
      </c>
      <c r="Q70" s="91">
        <f t="shared" si="53"/>
        <v>0.95251442397736674</v>
      </c>
      <c r="R70" s="177"/>
      <c r="S70" s="21"/>
      <c r="T70" s="21"/>
      <c r="U70" s="12"/>
      <c r="V70" s="30"/>
      <c r="W70" s="12"/>
      <c r="X70" s="12"/>
      <c r="Y70" s="24">
        <f>SUM(Y64:Y69)</f>
        <v>0</v>
      </c>
      <c r="Z70" s="24">
        <f>SUM(Z64:Z69)</f>
        <v>0</v>
      </c>
      <c r="AA70" s="167"/>
      <c r="AB70" s="167"/>
      <c r="AC70" s="24">
        <f>SUM(AC64:AC69)</f>
        <v>6</v>
      </c>
      <c r="AD70" s="24">
        <f>SUM(AD64:AD69)</f>
        <v>0</v>
      </c>
      <c r="AE70" s="14">
        <f t="shared" si="43"/>
        <v>-113.96538245431975</v>
      </c>
      <c r="AF70" s="91">
        <f t="shared" si="54"/>
        <v>0.95251442397736674</v>
      </c>
      <c r="AG70" s="177"/>
    </row>
    <row r="71" spans="1:33">
      <c r="D71" s="87"/>
      <c r="E71" s="87"/>
    </row>
  </sheetData>
  <mergeCells count="193">
    <mergeCell ref="A64:A70"/>
    <mergeCell ref="C64:D64"/>
    <mergeCell ref="R64:R70"/>
    <mergeCell ref="AA64:AB64"/>
    <mergeCell ref="AA69:AB69"/>
    <mergeCell ref="C70:D70"/>
    <mergeCell ref="AA70:AB70"/>
    <mergeCell ref="AG64:AG70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  <mergeCell ref="AG57:AG63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62:D62"/>
    <mergeCell ref="C63:D63"/>
    <mergeCell ref="AA63:AB63"/>
    <mergeCell ref="A57:A63"/>
    <mergeCell ref="C57:D57"/>
    <mergeCell ref="R57:R63"/>
    <mergeCell ref="AA57:AB57"/>
    <mergeCell ref="AA62:AB62"/>
    <mergeCell ref="A50:A56"/>
    <mergeCell ref="C50:D50"/>
    <mergeCell ref="R50:R56"/>
    <mergeCell ref="AA50:AB50"/>
    <mergeCell ref="AG50:AG56"/>
    <mergeCell ref="C51:D51"/>
    <mergeCell ref="AA51:AB51"/>
    <mergeCell ref="C52:D52"/>
    <mergeCell ref="AA52:AB52"/>
    <mergeCell ref="AA53:AB53"/>
    <mergeCell ref="AG43:AG49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C48:D48"/>
    <mergeCell ref="AA54:AB54"/>
    <mergeCell ref="C55:D55"/>
    <mergeCell ref="AA55:AB55"/>
    <mergeCell ref="C56:D56"/>
    <mergeCell ref="AA56:AB56"/>
    <mergeCell ref="A35:A42"/>
    <mergeCell ref="C35:D35"/>
    <mergeCell ref="R35:R42"/>
    <mergeCell ref="AA35:AB35"/>
    <mergeCell ref="C42:D42"/>
    <mergeCell ref="AA42:AB42"/>
    <mergeCell ref="A43:A49"/>
    <mergeCell ref="C43:D43"/>
    <mergeCell ref="R43:R49"/>
    <mergeCell ref="AA43:AB43"/>
    <mergeCell ref="AA48:AB48"/>
    <mergeCell ref="C49:D49"/>
    <mergeCell ref="AA49:AB49"/>
    <mergeCell ref="AG35:AG42"/>
    <mergeCell ref="C36:D36"/>
    <mergeCell ref="AA36:AB36"/>
    <mergeCell ref="C37:D37"/>
    <mergeCell ref="AA37:AB37"/>
    <mergeCell ref="C38:D38"/>
    <mergeCell ref="AG28:AG34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8:AB38"/>
    <mergeCell ref="C39:D39"/>
    <mergeCell ref="AA39:AB39"/>
    <mergeCell ref="C40:D40"/>
    <mergeCell ref="AA40:AB40"/>
    <mergeCell ref="C41:D41"/>
    <mergeCell ref="AA41:AB41"/>
    <mergeCell ref="A20:A27"/>
    <mergeCell ref="C20:D20"/>
    <mergeCell ref="R20:R27"/>
    <mergeCell ref="AA20:AB20"/>
    <mergeCell ref="C27:D27"/>
    <mergeCell ref="AA27:AB27"/>
    <mergeCell ref="A28:A34"/>
    <mergeCell ref="C28:D28"/>
    <mergeCell ref="R28:R34"/>
    <mergeCell ref="AA28:AB28"/>
    <mergeCell ref="AA33:AB33"/>
    <mergeCell ref="C34:D34"/>
    <mergeCell ref="AA34:AB34"/>
    <mergeCell ref="AG20:AG27"/>
    <mergeCell ref="C21:D21"/>
    <mergeCell ref="AA21:AB21"/>
    <mergeCell ref="C22:D22"/>
    <mergeCell ref="AA22:AB22"/>
    <mergeCell ref="C23:D23"/>
    <mergeCell ref="C17:D17"/>
    <mergeCell ref="AA17:AB17"/>
    <mergeCell ref="C18:D18"/>
    <mergeCell ref="AA18:AB18"/>
    <mergeCell ref="C19:D19"/>
    <mergeCell ref="AA19:AB19"/>
    <mergeCell ref="AA23:AB23"/>
    <mergeCell ref="C24:D24"/>
    <mergeCell ref="AA24:AB24"/>
    <mergeCell ref="C25:D25"/>
    <mergeCell ref="AA25:AB25"/>
    <mergeCell ref="C26:D26"/>
    <mergeCell ref="AA26:AB26"/>
    <mergeCell ref="AA13:AB13"/>
    <mergeCell ref="A14:A19"/>
    <mergeCell ref="C14:D14"/>
    <mergeCell ref="R14:R19"/>
    <mergeCell ref="AA14:AB14"/>
    <mergeCell ref="AG14:AG19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:O70">
    <cfRule type="cellIs" dxfId="54" priority="9" operator="greaterThan">
      <formula>0</formula>
    </cfRule>
  </conditionalFormatting>
  <conditionalFormatting sqref="P5:P70">
    <cfRule type="cellIs" dxfId="53" priority="1" operator="lessThan">
      <formula>0</formula>
    </cfRule>
  </conditionalFormatting>
  <conditionalFormatting sqref="Q5:Q70 AF5:AF70">
    <cfRule type="cellIs" dxfId="52" priority="10" operator="greaterThan">
      <formula>1</formula>
    </cfRule>
    <cfRule type="cellIs" dxfId="51" priority="11" operator="lessThan">
      <formula>0.8</formula>
    </cfRule>
  </conditionalFormatting>
  <conditionalFormatting sqref="R5:R10 AG5:AG10">
    <cfRule type="cellIs" dxfId="50" priority="44" operator="lessThan">
      <formula>0.8</formula>
    </cfRule>
  </conditionalFormatting>
  <conditionalFormatting sqref="AE5:AE70">
    <cfRule type="cellIs" dxfId="49" priority="12" operator="lessThan">
      <formula>0</formula>
    </cfRule>
  </conditionalFormatting>
  <conditionalFormatting sqref="AG14:AG60 R14:R70">
    <cfRule type="cellIs" dxfId="48" priority="13" operator="lessThan">
      <formula>0.8</formula>
    </cfRule>
  </conditionalFormatting>
  <dataValidations count="1">
    <dataValidation type="list" allowBlank="1" showInputMessage="1" showErrorMessage="1" sqref="AB9 AA5:AB8 AB61:AB62 AA9:AA62 AB11:AB57 AA63:AB70" xr:uid="{00000000-0002-0000-2F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Q32"/>
  <sheetViews>
    <sheetView topLeftCell="B1" zoomScale="85" zoomScaleNormal="85" workbookViewId="0">
      <selection activeCell="C60" sqref="C60:H60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598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599</v>
      </c>
      <c r="C3" s="154" t="str">
        <f>TEXT('0406 4度C'!A2,"yyyy.mm.ddaaaa")</f>
        <v>2026.04.06星期一</v>
      </c>
      <c r="D3" s="155"/>
      <c r="E3" s="33" t="s">
        <v>600</v>
      </c>
      <c r="F3" s="156">
        <f>'0406 4度C'!D1</f>
        <v>175475</v>
      </c>
      <c r="G3" s="157"/>
      <c r="H3" s="33" t="s">
        <v>601</v>
      </c>
      <c r="I3" s="158">
        <f>'0406 4度C'!F1</f>
        <v>5821999.7100000009</v>
      </c>
      <c r="J3" s="159"/>
      <c r="K3" s="34"/>
      <c r="L3" s="35"/>
      <c r="M3" s="35"/>
      <c r="N3" s="35"/>
    </row>
    <row r="4" spans="2:17" ht="28.5" customHeight="1">
      <c r="B4" s="160" t="s">
        <v>602</v>
      </c>
      <c r="C4" s="146" t="s">
        <v>603</v>
      </c>
      <c r="D4" s="147"/>
      <c r="E4" s="163" t="s">
        <v>604</v>
      </c>
      <c r="F4" s="164"/>
      <c r="G4" s="163" t="s">
        <v>605</v>
      </c>
      <c r="H4" s="164"/>
      <c r="I4" s="163" t="s">
        <v>606</v>
      </c>
      <c r="J4" s="164"/>
      <c r="K4" s="144" t="s">
        <v>607</v>
      </c>
      <c r="L4" s="145"/>
      <c r="M4" s="145" t="s">
        <v>608</v>
      </c>
      <c r="N4" s="145"/>
    </row>
    <row r="5" spans="2:17" ht="28.5" customHeight="1">
      <c r="B5" s="161"/>
      <c r="C5" s="146" t="s">
        <v>609</v>
      </c>
      <c r="D5" s="147"/>
      <c r="E5" s="146" t="s">
        <v>610</v>
      </c>
      <c r="F5" s="147"/>
      <c r="G5" s="148" t="s">
        <v>611</v>
      </c>
      <c r="H5" s="149"/>
      <c r="I5" s="150" t="s">
        <v>612</v>
      </c>
      <c r="J5" s="151"/>
      <c r="K5" s="36" t="s">
        <v>613</v>
      </c>
      <c r="L5" s="37" t="s">
        <v>614</v>
      </c>
      <c r="M5" s="36" t="s">
        <v>613</v>
      </c>
      <c r="N5" s="37" t="s">
        <v>615</v>
      </c>
    </row>
    <row r="6" spans="2:17" ht="28.5" customHeight="1">
      <c r="B6" s="161"/>
      <c r="C6" s="146" t="s">
        <v>54</v>
      </c>
      <c r="D6" s="147"/>
      <c r="E6" s="138">
        <f>AVERAGE(D13:M13)</f>
        <v>156.06258159313853</v>
      </c>
      <c r="F6" s="139">
        <f>AVERAGE(D31:O31,D13:J13)</f>
        <v>162.43928096864801</v>
      </c>
      <c r="G6" s="140">
        <f>AVERAGE(D13:J13)</f>
        <v>162.43928096864801</v>
      </c>
      <c r="H6" s="141"/>
      <c r="I6" s="140">
        <f>AVERAGE(K13:M13)</f>
        <v>141.1836163836164</v>
      </c>
      <c r="J6" s="141"/>
      <c r="K6" s="142">
        <f>'0406 4度C'!Y2</f>
        <v>0</v>
      </c>
      <c r="L6" s="127">
        <f>'0406 4度C'!Z2</f>
        <v>0</v>
      </c>
      <c r="M6" s="143">
        <f>'0406 4度C'!AC2</f>
        <v>54</v>
      </c>
      <c r="N6" s="127">
        <f>'0406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149.38095570150369</v>
      </c>
      <c r="F7" s="131">
        <f>AVERAGE(D32:O32,D14:J14)</f>
        <v>155.58388415741601</v>
      </c>
      <c r="G7" s="132">
        <f>AVERAGE(D14:J14)</f>
        <v>155.58388415741601</v>
      </c>
      <c r="H7" s="133"/>
      <c r="I7" s="132">
        <f>AVERAGE(K14:M14)</f>
        <v>134.90745597104163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0.95789254773157162</v>
      </c>
      <c r="F8" s="135">
        <f>AVERAGE(D15:J15,D33:O33)</f>
        <v>0.95885598571392272</v>
      </c>
      <c r="G8" s="136">
        <f>AVERAGE(D15:J15)</f>
        <v>0.95885598571392272</v>
      </c>
      <c r="H8" s="137"/>
      <c r="I8" s="136">
        <f>AVERAGE(K15:M15)</f>
        <v>0.9556445257727525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616</v>
      </c>
      <c r="N9" s="35"/>
      <c r="O9" s="35"/>
      <c r="P9" s="35"/>
      <c r="Q9" s="35"/>
    </row>
    <row r="10" spans="2:17" ht="30" customHeight="1">
      <c r="B10" s="110" t="s">
        <v>617</v>
      </c>
      <c r="C10" s="111"/>
      <c r="D10" s="112" t="s">
        <v>618</v>
      </c>
      <c r="E10" s="113"/>
      <c r="F10" s="113"/>
      <c r="G10" s="113"/>
      <c r="H10" s="113"/>
      <c r="I10" s="113"/>
      <c r="J10" s="114"/>
      <c r="K10" s="115" t="s">
        <v>619</v>
      </c>
      <c r="L10" s="116"/>
      <c r="M10" s="117"/>
      <c r="P10" s="41"/>
      <c r="Q10" s="41"/>
    </row>
    <row r="11" spans="2:17" ht="17.25" customHeight="1">
      <c r="B11" s="118" t="s">
        <v>620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621</v>
      </c>
      <c r="C13" s="48" t="s">
        <v>622</v>
      </c>
      <c r="D13" s="49">
        <f>SUMIFS('0406 4度C'!$K:$K,'0406 4度C'!$A:$A,"新豐6線",'0406 4度C'!$B:$B,"平均")</f>
        <v>111.11111111111111</v>
      </c>
      <c r="E13" s="50">
        <f>SUMIFS('0406 4度C'!$K:$K,'0406 4度C'!$A:$A,"新豐2線",'0406 4度C'!$B:$B,"平均")</f>
        <v>84.905660377358487</v>
      </c>
      <c r="F13" s="51">
        <f>SUMIFS('0406 4度C'!$K:$K,'0406 4度C'!$A:$A,"新豐5線",'0406 4度C'!$B:$B,"平均")</f>
        <v>102.15053763440859</v>
      </c>
      <c r="G13" s="51">
        <f>SUMIFS('0406 4度C'!$K:$K,'0406 4度C'!$A:$A,"新豐7線",'0406 4度C'!$B:$B,"平均")</f>
        <v>128.57142857142858</v>
      </c>
      <c r="H13" s="51">
        <f>SUMIFS('0406 4度C'!$K:$K,'0406 4度C'!$A:$A,"新豐3線",'0406 4度C'!$B:$B,"平均")</f>
        <v>324.32432432432432</v>
      </c>
      <c r="I13" s="51">
        <f>SUMIFS('0406 4度C'!$K:$K,'0406 4度C'!$A:$A,"新豐1線",'0406 4度C'!$B:$B,"平均")</f>
        <v>102.67857142857143</v>
      </c>
      <c r="J13" s="52">
        <f>SUMIFS('0406 4度C'!$K:$K,'0406 4度C'!$A:$A,"新豐10線",'0406 4度C'!$B:$B,"平均")</f>
        <v>283.33333333333337</v>
      </c>
      <c r="K13" s="53">
        <f>SUMIFS('0406 4度C'!$K:$K,'0406 4度C'!$A:$A,"新豐8線",'0406 4度C'!$B:$B,"平均")</f>
        <v>130.90909090909091</v>
      </c>
      <c r="L13" s="54">
        <f>SUMIFS('0406 4度C'!$K:$K,'0406 4度C'!$A:$A,"新豐9線",'0406 4度C'!$B:$B,"平均")</f>
        <v>134.4</v>
      </c>
      <c r="M13" s="52">
        <f>SUMIFS('0406 4度C'!$K:$K,'0406 4度C'!$A:$A,"新豐4線",'0406 4度C'!$B:$B,"平均")</f>
        <v>158.24175824175825</v>
      </c>
    </row>
    <row r="14" spans="2:17" ht="39.6" customHeight="1">
      <c r="B14" s="123"/>
      <c r="C14" s="55" t="s">
        <v>623</v>
      </c>
      <c r="D14" s="56">
        <f>SUMIFS('0406 4度C'!$N:$N,'0406 4度C'!$A:$A,"新豐6線",'0406 4度C'!$B:$B,"平均")</f>
        <v>106.73785983319893</v>
      </c>
      <c r="E14" s="57">
        <f>SUMIFS('0406 4度C'!$N:$N,'0406 4度C'!$A:$A,"新豐2線",'0406 4度C'!$B:$B,"平均")</f>
        <v>81.058150762532435</v>
      </c>
      <c r="F14" s="57">
        <f>SUMIFS('0406 4度C'!$N:$N,'0406 4度C'!$A:$A,"新豐5線",'0406 4度C'!$B:$B,"平均")</f>
        <v>98.335056254411057</v>
      </c>
      <c r="G14" s="57">
        <f>SUMIFS('0406 4度C'!$N:$N,'0406 4度C'!$A:$A,"新豐7線",'0406 4度C'!$B:$B,"平均")</f>
        <v>123.66703133231836</v>
      </c>
      <c r="H14" s="57">
        <f>SUMIFS('0406 4度C'!$N:$N,'0406 4度C'!$A:$A,"新豐3線",'0406 4度C'!$B:$B,"平均")</f>
        <v>309.26795930333594</v>
      </c>
      <c r="I14" s="57">
        <f>SUMIFS('0406 4度C'!$N:$N,'0406 4度C'!$A:$A,"新豐1線",'0406 4度C'!$B:$B,"平均")</f>
        <v>98.656643037027834</v>
      </c>
      <c r="J14" s="58">
        <f>SUMIFS('0406 4度C'!$N:$N,'0406 4度C'!$A:$A,"新豐10線",'0406 4度C'!$B:$B,"平均")</f>
        <v>271.36448857908761</v>
      </c>
      <c r="K14" s="59">
        <f>SUMIFS('0406 4度C'!$N:$N,'0406 4度C'!$A:$A,"新豐8線",'0406 4度C'!$B:$B,"平均")</f>
        <v>125.27547185990542</v>
      </c>
      <c r="L14" s="60">
        <f>SUMIFS('0406 4度C'!$N:$N,'0406 4度C'!$A:$A,"新豐9線",'0406 4度C'!$B:$B,"平均")</f>
        <v>128.4700750057732</v>
      </c>
      <c r="M14" s="58">
        <f>SUMIFS('0406 4度C'!$N:$N,'0406 4度C'!$A:$A,"新豐4線",'0406 4度C'!$B:$B,"平均")</f>
        <v>150.97682104744626</v>
      </c>
    </row>
    <row r="15" spans="2:17" ht="40.15" customHeight="1">
      <c r="B15" s="124"/>
      <c r="C15" s="61" t="s">
        <v>624</v>
      </c>
      <c r="D15" s="62">
        <f t="shared" ref="D15:M15" si="0">D14/D13</f>
        <v>0.96064073849879028</v>
      </c>
      <c r="E15" s="63">
        <f t="shared" si="0"/>
        <v>0.95468488675871543</v>
      </c>
      <c r="F15" s="63">
        <f t="shared" si="0"/>
        <v>0.96264844543791883</v>
      </c>
      <c r="G15" s="63">
        <f t="shared" si="0"/>
        <v>0.96185468814025377</v>
      </c>
      <c r="H15" s="63">
        <f t="shared" si="0"/>
        <v>0.95357620785195252</v>
      </c>
      <c r="I15" s="63">
        <f t="shared" si="0"/>
        <v>0.96082991479540147</v>
      </c>
      <c r="J15" s="64">
        <f t="shared" si="0"/>
        <v>0.95775701851442674</v>
      </c>
      <c r="K15" s="62">
        <f t="shared" si="0"/>
        <v>0.95696541004094426</v>
      </c>
      <c r="L15" s="63">
        <f t="shared" si="0"/>
        <v>0.95587853426914582</v>
      </c>
      <c r="M15" s="64">
        <f t="shared" si="0"/>
        <v>0.95408963300816729</v>
      </c>
    </row>
    <row r="16" spans="2:17" ht="17.25" customHeight="1">
      <c r="B16" s="125" t="s">
        <v>625</v>
      </c>
      <c r="C16" s="65" t="s">
        <v>626</v>
      </c>
      <c r="D16" s="66">
        <f>VLOOKUP("新豐6線",'0406 4度C'!$A:$T,19,0)</f>
        <v>0.70833333333333337</v>
      </c>
      <c r="E16" s="67">
        <f>VLOOKUP("新豐2線",'0406 4度C'!$A:$T,19,0)</f>
        <v>0.20833333333333334</v>
      </c>
      <c r="F16" s="67">
        <f>VLOOKUP("新豐5線",'0406 4度C'!$A:$T,19,0)</f>
        <v>0.20833333333333334</v>
      </c>
      <c r="G16" s="67">
        <f>VLOOKUP("新豐7線",'0406 4度C'!$A:$T,19,0)</f>
        <v>0.20833333333333334</v>
      </c>
      <c r="H16" s="67">
        <f>VLOOKUP("新豐3線",'0406 4度C'!$A:$T,19,0)</f>
        <v>8.3333333333333329E-2</v>
      </c>
      <c r="I16" s="67">
        <f>VLOOKUP("新豐1線",'0406 4度C'!$A:$T,19,0)</f>
        <v>0.20833333333333334</v>
      </c>
      <c r="J16" s="68">
        <f>VLOOKUP("新豐10線",'0406 4度C'!$A:$T,19,0)</f>
        <v>0.20833333333333334</v>
      </c>
      <c r="K16" s="69">
        <f>VLOOKUP("新豐8線",'0406 4度C'!$A:$T,19,0)</f>
        <v>8.3333333333333329E-2</v>
      </c>
      <c r="L16" s="70">
        <f>VLOOKUP("新豐9線",'0406 4度C'!$A:$T,19,0)</f>
        <v>8.3333333333333329E-2</v>
      </c>
      <c r="M16" s="71">
        <f>VLOOKUP("新豐4線",'0406 4度C'!$A:$T,19,0)</f>
        <v>8.3333333333333329E-2</v>
      </c>
    </row>
    <row r="17" spans="2:13" ht="17.25" customHeight="1">
      <c r="B17" s="126"/>
      <c r="C17" s="65" t="s">
        <v>627</v>
      </c>
      <c r="D17" s="69">
        <f>LOOKUP(2,1/(('0406 4度C'!$A:$A="新豐6線")*('0406 4度C'!$T:$T&lt;&gt;"")),'0406 4度C'!$T:$T)</f>
        <v>0.83611111111111103</v>
      </c>
      <c r="E17" s="67">
        <f>LOOKUP(2,1/(('0406 4度C'!$A:$A="新豐2線")*('0406 4度C'!$T:$T&lt;&gt;"")),'0406 4度C'!$T:$T)</f>
        <v>0.7006944444444444</v>
      </c>
      <c r="F17" s="67">
        <f>LOOKUP(2,1/(('0406 4度C'!$A:$A="新豐5線")*('0406 4度C'!$T:$T&lt;&gt;"")),'0406 4度C'!$T:$T)</f>
        <v>0.90555555555555556</v>
      </c>
      <c r="G17" s="67">
        <f>LOOKUP(2,1/(('0406 4度C'!$A:$A="新豐7線")*('0406 4度C'!$T:$T&lt;&gt;"")),'0406 4度C'!$T:$T)</f>
        <v>0.89444444444444438</v>
      </c>
      <c r="H17" s="67">
        <f>LOOKUP(2,1/(('0406 4度C'!$A:$A="新豐3線")*('0406 4度C'!$T:$T&lt;&gt;"")),'0406 4度C'!$T:$T)</f>
        <v>0.42916666666666664</v>
      </c>
      <c r="I17" s="67">
        <f>LOOKUP(2,1/(('0406 4度C'!$A:$A="新豐1線")*('0406 4度C'!$T:$T&lt;&gt;"")),'0406 4度C'!$T:$T)</f>
        <v>0.83958333333333335</v>
      </c>
      <c r="J17" s="68">
        <f>LOOKUP(2,1/(('0406 4度C'!$A:$A="新豐10線")*('0406 4度C'!$T:$T&lt;&gt;"")),'0406 4度C'!$T:$T)</f>
        <v>0.49444444444444441</v>
      </c>
      <c r="K17" s="66">
        <f>LOOKUP(2,1/(('0406 4度C'!$A:$A="新豐8線")*('0406 4度C'!$T:$T&lt;&gt;"")),'0406 4度C'!$T:$T)</f>
        <v>0.65069444444444435</v>
      </c>
      <c r="L17" s="67">
        <f>LOOKUP(2,1/(('0406 4度C'!$A:$A="新豐9線")*('0406 4度C'!$T:$T&lt;&gt;"")),'0406 4度C'!$T:$T)</f>
        <v>0.67430555555555549</v>
      </c>
      <c r="M17" s="68">
        <f>LOOKUP(2,1/(('0406 4度C'!$A:$A="新豐4線")*('0406 4度C'!$T:$T&lt;&gt;"")),'0406 4度C'!$T:$T)</f>
        <v>0.64861111111111103</v>
      </c>
    </row>
    <row r="18" spans="2:13" ht="17.25" customHeight="1">
      <c r="B18" s="104" t="s">
        <v>628</v>
      </c>
      <c r="C18" s="72" t="s">
        <v>629</v>
      </c>
      <c r="D18" s="73">
        <f>SUMIFS('0406 4度C'!$Y:$Y,'0406 4度C'!$A:$A,"新豐6線",'0406 4度C'!$B:$B,"平均")</f>
        <v>0</v>
      </c>
      <c r="E18" s="74">
        <f>SUMIFS('0406 4度C'!$Y:$Y,'0406 4度C'!$A:$A,"新豐2線",'0406 4度C'!$B:$B,"平均")</f>
        <v>0</v>
      </c>
      <c r="F18" s="74">
        <f>SUMIFS('0406 4度C'!$Y:$Y,'0406 4度C'!$A:$A,"新豐5線",'0406 4度C'!$B:$B,"平均")</f>
        <v>0</v>
      </c>
      <c r="G18" s="74">
        <f>SUMIFS('0406 4度C'!$Y:$Y,'0406 4度C'!$A:$A,"新豐7線",'0406 4度C'!$B:$B,"平均")</f>
        <v>0</v>
      </c>
      <c r="H18" s="74">
        <f>SUMIFS('0406 4度C'!$Y:$Y,'0406 4度C'!$A:$A,"新豐3線",'0406 4度C'!$B:$B,"平均")</f>
        <v>0</v>
      </c>
      <c r="I18" s="74">
        <f>SUMIFS('0406 4度C'!$Y:$Y,'0406 4度C'!$A:$A,"新豐1線",'0406 4度C'!$B:$B,"平均")</f>
        <v>0</v>
      </c>
      <c r="J18" s="75">
        <f>SUMIFS('0406 4度C'!$Y:$Y,'0406 4度C'!$A:$A,"新豐10線",'0406 4度C'!$B:$B,"平均")</f>
        <v>0</v>
      </c>
      <c r="K18" s="76">
        <f>SUMIFS('0406 4度C'!$Y:$Y,'0406 4度C'!$A:$A,"新豐8線",'0406 4度C'!$B:$B,"平均")</f>
        <v>0</v>
      </c>
      <c r="L18" s="74">
        <f>SUMIFS('0406 4度C'!$Y:$Y,'0406 4度C'!$A:$A,"新豐9線",'0406 4度C'!$B:$B,"平均")</f>
        <v>0</v>
      </c>
      <c r="M18" s="75">
        <f>SUMIFS('0406 4度C'!$Y:$Y,'0406 4度C'!$A:$A,"新豐4線",'0406 4度C'!$B:$B,"平均")</f>
        <v>0</v>
      </c>
    </row>
    <row r="19" spans="2:13" ht="17.25" customHeight="1">
      <c r="B19" s="105"/>
      <c r="C19" s="72" t="s">
        <v>630</v>
      </c>
      <c r="D19" s="73">
        <f>SUMIFS('0406 4度C'!$Z:$Z,'0406 4度C'!$A:$A,"新豐6線",'0406 4度C'!$B:$B,"平均")</f>
        <v>0</v>
      </c>
      <c r="E19" s="74">
        <f>SUMIFS('0406 4度C'!$Z:$Z,'0406 4度C'!$A:$A,"新豐2線",'0406 4度C'!$B:$B,"平均")</f>
        <v>0</v>
      </c>
      <c r="F19" s="74">
        <f>SUMIFS('0406 4度C'!$Z:$Z,'0406 4度C'!$A:$A,"新豐5線",'0406 4度C'!$B:$B,"平均")</f>
        <v>0</v>
      </c>
      <c r="G19" s="74">
        <f>SUMIFS('0406 4度C'!$Z:$Z,'0406 4度C'!$A:$A,"新豐7線",'0406 4度C'!$B:$B,"平均")</f>
        <v>0</v>
      </c>
      <c r="H19" s="74">
        <f>SUMIFS('0406 4度C'!$Z:$Z,'0406 4度C'!$A:$A,"新豐3線",'0406 4度C'!$B:$B,"平均")</f>
        <v>0</v>
      </c>
      <c r="I19" s="74">
        <f>SUMIFS('0406 4度C'!$Z:$Z,'0406 4度C'!$A:$A,"新豐1線",'0406 4度C'!$B:$B,"平均")</f>
        <v>0</v>
      </c>
      <c r="J19" s="75">
        <f>SUMIFS('0406 4度C'!$Z:$Z,'0406 4度C'!$A:$A,"新豐10線",'0406 4度C'!$B:$B,"平均")</f>
        <v>0</v>
      </c>
      <c r="K19" s="76">
        <f>SUMIFS('0406 4度C'!$Z:$Z,'0406 4度C'!$A:$A,"新豐8線",'0406 4度C'!$B:$B,"平均")</f>
        <v>0</v>
      </c>
      <c r="L19" s="74">
        <f>SUMIFS('0406 4度C'!$Z:$Z,'0406 4度C'!$A:$A,"新豐9線",'0406 4度C'!$B:$B,"平均")</f>
        <v>0</v>
      </c>
      <c r="M19" s="75">
        <f>SUMIFS('0406 4度C'!$Z:$Z,'0406 4度C'!$A:$A,"新豐4線",'0406 4度C'!$B:$B,"平均")</f>
        <v>0</v>
      </c>
    </row>
    <row r="20" spans="2:13" ht="17.25" customHeight="1">
      <c r="B20" s="104" t="s">
        <v>631</v>
      </c>
      <c r="C20" s="72" t="s">
        <v>629</v>
      </c>
      <c r="D20" s="73">
        <f>SUMIFS('0406 4度C'!$AC:$AC,'0406 4度C'!$A:$A,"新豐6線",'0406 4度C'!$B:$B,"平均")</f>
        <v>4</v>
      </c>
      <c r="E20" s="74">
        <f>SUMIFS('0406 4度C'!$AC:$AC,'0406 4度C'!$A:$A,"新豐2線",'0406 4度C'!$B:$B,"平均")</f>
        <v>3</v>
      </c>
      <c r="F20" s="74">
        <f>SUMIFS('0406 4度C'!$AC:$AC,'0406 4度C'!$A:$A,"新豐5線",'0406 4度C'!$B:$B,"平均")</f>
        <v>5</v>
      </c>
      <c r="G20" s="74">
        <f>SUMIFS('0406 4度C'!$AC:$AC,'0406 4度C'!$A:$A,"新豐7線",'0406 4度C'!$B:$B,"平均")</f>
        <v>7</v>
      </c>
      <c r="H20" s="74">
        <f>SUMIFS('0406 4度C'!$AC:$AC,'0406 4度C'!$A:$A,"新豐3線",'0406 4度C'!$B:$B,"平均")</f>
        <v>4</v>
      </c>
      <c r="I20" s="74">
        <f>SUMIFS('0406 4度C'!$AC:$AC,'0406 4度C'!$A:$A,"新豐1線",'0406 4度C'!$B:$B,"平均")</f>
        <v>6</v>
      </c>
      <c r="J20" s="75">
        <f>SUMIFS('0406 4度C'!$AC:$AC,'0406 4度C'!$A:$A,"新豐10線",'0406 4度C'!$B:$B,"平均")</f>
        <v>6</v>
      </c>
      <c r="K20" s="76">
        <f>SUMIFS('0406 4度C'!$AC:$AC,'0406 4度C'!$A:$A,"新豐8線",'0406 4度C'!$B:$B,"平均")</f>
        <v>6</v>
      </c>
      <c r="L20" s="74">
        <f>SUMIFS('0406 4度C'!$AC:$AC,'0406 4度C'!$A:$A,"新豐9線",'0406 4度C'!$B:$B,"平均")</f>
        <v>7</v>
      </c>
      <c r="M20" s="75">
        <f>SUMIFS('0406 4度C'!$AC:$AC,'0406 4度C'!$A:$A,"新豐4線",'0406 4度C'!$B:$B,"平均")</f>
        <v>6</v>
      </c>
    </row>
    <row r="21" spans="2:13" ht="17.25" customHeight="1">
      <c r="B21" s="105"/>
      <c r="C21" s="72" t="s">
        <v>632</v>
      </c>
      <c r="D21" s="73">
        <f>SUMIFS('0406 4度C'!$AD:$AD,'0406 4度C'!$A:$A,"新豐6線",'0406 4度C'!$B:$B,"平均")</f>
        <v>0</v>
      </c>
      <c r="E21" s="74">
        <f>SUMIFS('0406 4度C'!$AD:$AD,'0406 4度C'!$A:$A,"新豐2線",'0406 4度C'!$B:$B,"平均")</f>
        <v>0</v>
      </c>
      <c r="F21" s="74">
        <f>SUMIFS('0406 4度C'!$AD:$AD,'0406 4度C'!$A:$A,"新豐5線",'0406 4度C'!$B:$B,"平均")</f>
        <v>0</v>
      </c>
      <c r="G21" s="74">
        <f>SUMIFS('0406 4度C'!$AD:$AD,'0406 4度C'!$A:$A,"新豐7線",'0406 4度C'!$B:$B,"平均")</f>
        <v>0</v>
      </c>
      <c r="H21" s="74">
        <f>SUMIFS('0406 4度C'!$AD:$AD,'0406 4度C'!$A:$A,"新豐3線",'0406 4度C'!$B:$B,"平均")</f>
        <v>0</v>
      </c>
      <c r="I21" s="74">
        <f>SUMIFS('0406 4度C'!$AD:$AD,'0406 4度C'!$A:$A,"新豐1線",'0406 4度C'!$B:$B,"平均")</f>
        <v>0</v>
      </c>
      <c r="J21" s="75">
        <f>SUMIFS('0406 4度C'!$AD:$AD,'0406 4度C'!$A:$A,"新豐10線",'0406 4度C'!$B:$B,"平均")</f>
        <v>0</v>
      </c>
      <c r="K21" s="76">
        <f>SUMIFS('0406 4度C'!$AD:$AD,'0406 4度C'!$A:$A,"新豐8線",'0406 4度C'!$B:$B,"平均")</f>
        <v>0</v>
      </c>
      <c r="L21" s="74">
        <f>SUMIFS('0406 4度C'!$AD:$AD,'0406 4度C'!$A:$A,"新豐9線",'0406 4度C'!$B:$B,"平均")</f>
        <v>0</v>
      </c>
      <c r="M21" s="75">
        <f>SUMIFS('0406 4度C'!$AD:$AD,'0406 4度C'!$A:$A,"新豐4線",'0406 4度C'!$B:$B,"平均")</f>
        <v>0</v>
      </c>
    </row>
    <row r="22" spans="2:13" ht="17.25" customHeight="1">
      <c r="B22" s="106" t="s">
        <v>633</v>
      </c>
      <c r="C22" s="107"/>
      <c r="D22" s="77">
        <f>SUMIFS('0406 4度C'!$I:$I,'0406 4度C'!$A:$A,"新豐6線",'0406 4度C'!$B:$B,"平均")</f>
        <v>18</v>
      </c>
      <c r="E22" s="78">
        <f>SUMIFS('0406 4度C'!$I:$I,'0406 4度C'!$A:$A,"新豐2線",'0406 4度C'!$B:$B,"平均")</f>
        <v>17.666666666666668</v>
      </c>
      <c r="F22" s="78">
        <f>SUMIFS('0406 4度C'!$I:$I,'0406 4度C'!$A:$A,"新豐5線",'0406 4度C'!$B:$B,"平均")</f>
        <v>18.600000000000001</v>
      </c>
      <c r="G22" s="78">
        <f>SUMIFS('0406 4度C'!$I:$I,'0406 4度C'!$A:$A,"新豐7線",'0406 4度C'!$B:$B,"平均")</f>
        <v>15</v>
      </c>
      <c r="H22" s="78">
        <f>SUMIFS('0406 4度C'!$I:$I,'0406 4度C'!$A:$A,"新豐3線",'0406 4度C'!$B:$B,"平均")</f>
        <v>9.25</v>
      </c>
      <c r="I22" s="78">
        <f>SUMIFS('0406 4度C'!$I:$I,'0406 4度C'!$A:$A,"新豐1線",'0406 4度C'!$B:$B,"平均")</f>
        <v>18.666666666666668</v>
      </c>
      <c r="J22" s="79">
        <f>SUMIFS('0406 4度C'!$I:$I,'0406 4度C'!$A:$A,"新豐10線",'0406 4度C'!$B:$B,"平均")</f>
        <v>10</v>
      </c>
      <c r="K22" s="77">
        <f>SUMIFS('0406 4度C'!$I:$I,'0406 4度C'!$A:$A,"新豐8線",'0406 4度C'!$B:$B,"平均")</f>
        <v>18.333333333333332</v>
      </c>
      <c r="L22" s="78">
        <f>SUMIFS('0406 4度C'!$I:$I,'0406 4度C'!$A:$A,"新豐9線",'0406 4度C'!$B:$B,"平均")</f>
        <v>17.857142857142858</v>
      </c>
      <c r="M22" s="79">
        <f>SUMIFS('0406 4度C'!$I:$I,'0406 4度C'!$A:$A,"新豐4線",'0406 4度C'!$B:$B,"平均")</f>
        <v>15.166666666666666</v>
      </c>
    </row>
    <row r="23" spans="2:13" ht="17.25" customHeight="1">
      <c r="B23" s="106" t="s">
        <v>634</v>
      </c>
      <c r="C23" s="107"/>
      <c r="D23" s="80" t="s">
        <v>67</v>
      </c>
      <c r="E23" s="81" t="s">
        <v>68</v>
      </c>
      <c r="F23" s="81" t="s">
        <v>635</v>
      </c>
      <c r="G23" s="81" t="s">
        <v>635</v>
      </c>
      <c r="H23" s="81" t="s">
        <v>69</v>
      </c>
      <c r="I23" s="81" t="s">
        <v>67</v>
      </c>
      <c r="J23" s="82" t="s">
        <v>69</v>
      </c>
      <c r="K23" s="80" t="s">
        <v>636</v>
      </c>
      <c r="L23" s="81" t="s">
        <v>636</v>
      </c>
      <c r="M23" s="82" t="s">
        <v>636</v>
      </c>
    </row>
    <row r="24" spans="2:13" ht="17.25" customHeight="1">
      <c r="B24" s="106" t="s">
        <v>637</v>
      </c>
      <c r="C24" s="107"/>
      <c r="D24" s="80"/>
      <c r="E24" s="81"/>
      <c r="F24" s="81" t="s">
        <v>638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639</v>
      </c>
      <c r="C25" s="109"/>
      <c r="D25" s="83"/>
      <c r="E25" s="84" t="s">
        <v>640</v>
      </c>
      <c r="F25" s="102" t="s">
        <v>641</v>
      </c>
      <c r="G25" s="103"/>
      <c r="H25" s="84" t="s">
        <v>642</v>
      </c>
      <c r="I25" s="84" t="s">
        <v>643</v>
      </c>
      <c r="J25" s="85" t="s">
        <v>642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4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工作表13">
    <pageSetUpPr fitToPage="1"/>
  </sheetPr>
  <dimension ref="A1:AG69"/>
  <sheetViews>
    <sheetView zoomScale="80" zoomScaleNormal="80" workbookViewId="0">
      <pane ySplit="4" topLeftCell="A5" activePane="bottomLeft" state="frozen"/>
      <selection activeCell="J13" sqref="J13"/>
      <selection pane="bottomLeft" activeCell="T6" sqref="T6:Y70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644</v>
      </c>
      <c r="B1" s="1"/>
      <c r="C1" s="2" t="s">
        <v>645</v>
      </c>
      <c r="D1" s="3">
        <f>SUM(F5:F68)</f>
        <v>175475</v>
      </c>
      <c r="E1" s="88" t="s">
        <v>646</v>
      </c>
      <c r="F1" s="1">
        <f>SUM(G5:G68)</f>
        <v>5821999.7100000009</v>
      </c>
      <c r="G1" s="1" t="s">
        <v>647</v>
      </c>
      <c r="H1" s="4">
        <f>L9+L13+L47+L54+L19+L61+L34+L42+L27+L68</f>
        <v>158.54047619047617</v>
      </c>
      <c r="I1" s="215" t="s">
        <v>648</v>
      </c>
      <c r="J1" s="215"/>
      <c r="K1" s="215"/>
      <c r="L1" s="215" t="s">
        <v>649</v>
      </c>
      <c r="M1" s="215"/>
      <c r="N1" s="215"/>
      <c r="O1" s="215" t="s">
        <v>650</v>
      </c>
      <c r="P1" s="215"/>
      <c r="Q1" s="215"/>
      <c r="R1" s="215"/>
      <c r="S1" s="215" t="s">
        <v>651</v>
      </c>
      <c r="T1" s="215"/>
      <c r="U1" s="215"/>
      <c r="V1" s="215"/>
      <c r="W1" s="215"/>
      <c r="X1" s="215"/>
      <c r="Y1" s="5" t="s">
        <v>652</v>
      </c>
      <c r="Z1" s="6" t="s">
        <v>653</v>
      </c>
      <c r="AA1" s="216" t="s">
        <v>654</v>
      </c>
      <c r="AB1" s="216"/>
      <c r="AC1" s="97" t="s">
        <v>652</v>
      </c>
      <c r="AD1" s="6" t="s">
        <v>655</v>
      </c>
      <c r="AE1" s="215" t="s">
        <v>656</v>
      </c>
      <c r="AF1" s="217"/>
      <c r="AG1" s="217"/>
    </row>
    <row r="2" spans="1:33" ht="26.25" customHeight="1">
      <c r="A2" s="26">
        <v>46118</v>
      </c>
      <c r="B2" s="27" t="s">
        <v>597</v>
      </c>
      <c r="C2" s="2" t="s">
        <v>657</v>
      </c>
      <c r="D2" s="8">
        <f>AVERAGE(N9,N13,N47,N54,N19,N61,N27,N34,N42,N68)</f>
        <v>149.38095570150369</v>
      </c>
      <c r="E2" s="9" t="s">
        <v>0</v>
      </c>
      <c r="F2" s="10">
        <f>F1/D1</f>
        <v>33.178513805385386</v>
      </c>
      <c r="G2" s="1" t="s">
        <v>658</v>
      </c>
      <c r="H2" s="96">
        <f>COUNT(H5:H68)</f>
        <v>7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SUM(Y9+Y13+Y19+Y27+Y34+Y42+Y47+Y54+Y61+Y68)</f>
        <v>0</v>
      </c>
      <c r="Z2" s="11">
        <f>SUM(Z9+Z13+Z19+Z27+Z34+Z42+Z47+Z54+Z61+Z68)</f>
        <v>0</v>
      </c>
      <c r="AA2" s="216"/>
      <c r="AB2" s="216"/>
      <c r="AC2" s="11">
        <v>54</v>
      </c>
      <c r="AD2" s="11">
        <f>SUM(AD9+AD13+AD19+AD27+AD34+AD42+AD47+AD54+AD61+AD68)</f>
        <v>0</v>
      </c>
      <c r="AE2" s="217"/>
      <c r="AF2" s="217"/>
      <c r="AG2" s="217"/>
    </row>
    <row r="3" spans="1:33" ht="40.5" customHeight="1">
      <c r="A3" s="168" t="s">
        <v>659</v>
      </c>
      <c r="B3" s="168" t="s">
        <v>660</v>
      </c>
      <c r="C3" s="168" t="s">
        <v>661</v>
      </c>
      <c r="D3" s="168"/>
      <c r="E3" s="213" t="s">
        <v>662</v>
      </c>
      <c r="F3" s="168" t="s">
        <v>663</v>
      </c>
      <c r="G3" s="213" t="s">
        <v>664</v>
      </c>
      <c r="H3" s="207" t="s">
        <v>665</v>
      </c>
      <c r="I3" s="205" t="s">
        <v>666</v>
      </c>
      <c r="J3" s="202" t="s">
        <v>667</v>
      </c>
      <c r="K3" s="212" t="s">
        <v>668</v>
      </c>
      <c r="L3" s="205" t="s">
        <v>666</v>
      </c>
      <c r="M3" s="202" t="s">
        <v>667</v>
      </c>
      <c r="N3" s="212" t="s">
        <v>668</v>
      </c>
      <c r="O3" s="205" t="s">
        <v>666</v>
      </c>
      <c r="P3" s="212" t="s">
        <v>668</v>
      </c>
      <c r="Q3" s="203" t="s">
        <v>669</v>
      </c>
      <c r="R3" s="181" t="s">
        <v>670</v>
      </c>
      <c r="S3" s="168" t="s">
        <v>1</v>
      </c>
      <c r="T3" s="168"/>
      <c r="U3" s="207" t="s">
        <v>2</v>
      </c>
      <c r="V3" s="207" t="s">
        <v>671</v>
      </c>
      <c r="W3" s="168" t="s">
        <v>672</v>
      </c>
      <c r="X3" s="168"/>
      <c r="Y3" s="208" t="s">
        <v>673</v>
      </c>
      <c r="Z3" s="167"/>
      <c r="AA3" s="209" t="s">
        <v>674</v>
      </c>
      <c r="AB3" s="210"/>
      <c r="AC3" s="208" t="s">
        <v>675</v>
      </c>
      <c r="AD3" s="167"/>
      <c r="AE3" s="202" t="s">
        <v>676</v>
      </c>
      <c r="AF3" s="203" t="s">
        <v>677</v>
      </c>
      <c r="AG3" s="181" t="s">
        <v>678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679</v>
      </c>
      <c r="X4" s="88" t="s">
        <v>680</v>
      </c>
      <c r="Y4" s="90" t="s">
        <v>681</v>
      </c>
      <c r="Z4" s="90" t="s">
        <v>682</v>
      </c>
      <c r="AA4" s="211"/>
      <c r="AB4" s="210"/>
      <c r="AC4" s="90" t="s">
        <v>683</v>
      </c>
      <c r="AD4" s="90" t="s">
        <v>684</v>
      </c>
      <c r="AE4" s="202"/>
      <c r="AF4" s="203"/>
      <c r="AG4" s="181"/>
    </row>
    <row r="5" spans="1:33">
      <c r="A5" s="204" t="s">
        <v>685</v>
      </c>
      <c r="B5" s="28" t="s">
        <v>5</v>
      </c>
      <c r="C5" s="206" t="s">
        <v>6</v>
      </c>
      <c r="D5" s="206"/>
      <c r="E5" s="28">
        <v>50.67</v>
      </c>
      <c r="F5" s="88">
        <v>1651</v>
      </c>
      <c r="G5" s="88">
        <f t="shared" ref="G5:G8" si="0">E5*F5</f>
        <v>83656.17</v>
      </c>
      <c r="H5" s="30" t="s">
        <v>53</v>
      </c>
      <c r="I5" s="95">
        <v>17</v>
      </c>
      <c r="J5" s="13">
        <v>2000</v>
      </c>
      <c r="K5" s="12">
        <f t="shared" ref="K5:K68" si="1">J5/I5</f>
        <v>117.64705882352941</v>
      </c>
      <c r="L5" s="95">
        <v>17</v>
      </c>
      <c r="M5" s="13">
        <f t="shared" ref="M5:M8" si="2">F5/V5*60</f>
        <v>1905.0000000000011</v>
      </c>
      <c r="N5" s="12">
        <f t="shared" ref="N5:N68" si="3">M5/L5</f>
        <v>112.05882352941182</v>
      </c>
      <c r="O5" s="14">
        <f t="shared" ref="O5:O68" si="4">L5-I5</f>
        <v>0</v>
      </c>
      <c r="P5" s="15">
        <f t="shared" ref="P5:P68" si="5">N5-K5</f>
        <v>-5.588235294117581</v>
      </c>
      <c r="Q5" s="91">
        <f t="shared" ref="Q5:Q68" si="6">N5/K5</f>
        <v>0.95250000000000057</v>
      </c>
      <c r="R5" s="177">
        <f>Q9</f>
        <v>0.96064073849879028</v>
      </c>
      <c r="S5" s="21">
        <v>0.70833333333333337</v>
      </c>
      <c r="T5" s="21">
        <v>0.74444444444444446</v>
      </c>
      <c r="U5" s="88"/>
      <c r="V5" s="30">
        <f t="shared" ref="V5:V8" si="7">(T5-S5)*24*60</f>
        <v>51.999999999999972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53" si="8">M5-J5</f>
        <v>-94.999999999998863</v>
      </c>
      <c r="AF5" s="91">
        <f t="shared" ref="AF5:AF68" si="9">M5/J5</f>
        <v>0.95250000000000057</v>
      </c>
      <c r="AG5" s="177">
        <f>AF9</f>
        <v>0.96064073849879039</v>
      </c>
    </row>
    <row r="6" spans="1:33">
      <c r="A6" s="205" t="s">
        <v>162</v>
      </c>
      <c r="B6" s="28" t="s">
        <v>5</v>
      </c>
      <c r="C6" s="206" t="s">
        <v>7</v>
      </c>
      <c r="D6" s="206"/>
      <c r="E6" s="28">
        <v>54.09</v>
      </c>
      <c r="F6" s="88">
        <v>1342</v>
      </c>
      <c r="G6" s="88">
        <f t="shared" si="0"/>
        <v>72588.78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1917.1428571428564</v>
      </c>
      <c r="N6" s="12">
        <f t="shared" si="3"/>
        <v>100.9022556390977</v>
      </c>
      <c r="O6" s="14">
        <f t="shared" si="4"/>
        <v>0</v>
      </c>
      <c r="P6" s="15">
        <f t="shared" si="5"/>
        <v>-4.3609022556391324</v>
      </c>
      <c r="Q6" s="91">
        <f t="shared" si="6"/>
        <v>0.95857142857142819</v>
      </c>
      <c r="R6" s="177"/>
      <c r="S6" s="21">
        <v>0.74930555555555556</v>
      </c>
      <c r="T6" s="21">
        <v>0.77847222222222223</v>
      </c>
      <c r="U6" s="88">
        <f t="shared" ref="U6:U8" si="10">IF(S6=TIME(17,0,0),"",(S6-T5)*24*60)</f>
        <v>6.9999999999999751</v>
      </c>
      <c r="V6" s="30">
        <f t="shared" si="7"/>
        <v>42.000000000000014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-82.857142857143572</v>
      </c>
      <c r="AF6" s="91">
        <f t="shared" si="9"/>
        <v>0.95857142857142819</v>
      </c>
      <c r="AG6" s="177"/>
    </row>
    <row r="7" spans="1:33">
      <c r="A7" s="205" t="s">
        <v>162</v>
      </c>
      <c r="B7" s="28" t="s">
        <v>5</v>
      </c>
      <c r="C7" s="200" t="s">
        <v>8</v>
      </c>
      <c r="D7" s="201"/>
      <c r="E7" s="28">
        <v>50.67</v>
      </c>
      <c r="F7" s="88">
        <v>324</v>
      </c>
      <c r="G7" s="88">
        <f t="shared" si="0"/>
        <v>16417.080000000002</v>
      </c>
      <c r="H7" s="30" t="s">
        <v>53</v>
      </c>
      <c r="I7" s="95">
        <v>21</v>
      </c>
      <c r="J7" s="13">
        <v>2000</v>
      </c>
      <c r="K7" s="12">
        <f t="shared" si="1"/>
        <v>95.238095238095241</v>
      </c>
      <c r="L7" s="95">
        <v>21</v>
      </c>
      <c r="M7" s="13">
        <f t="shared" si="2"/>
        <v>1944.0000000000068</v>
      </c>
      <c r="N7" s="12">
        <f t="shared" si="3"/>
        <v>92.571428571428896</v>
      </c>
      <c r="O7" s="14">
        <f t="shared" si="4"/>
        <v>0</v>
      </c>
      <c r="P7" s="15">
        <f t="shared" si="5"/>
        <v>-2.6666666666663446</v>
      </c>
      <c r="Q7" s="91">
        <f t="shared" si="6"/>
        <v>0.97200000000000342</v>
      </c>
      <c r="R7" s="177"/>
      <c r="S7" s="21">
        <v>0.78263888888888888</v>
      </c>
      <c r="T7" s="21">
        <v>0.7895833333333333</v>
      </c>
      <c r="U7" s="88">
        <f t="shared" si="10"/>
        <v>5.9999999999999787</v>
      </c>
      <c r="V7" s="30">
        <f t="shared" si="7"/>
        <v>9.9999999999999645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-55.999999999993179</v>
      </c>
      <c r="AF7" s="91">
        <f t="shared" si="9"/>
        <v>0.97200000000000342</v>
      </c>
      <c r="AG7" s="177"/>
    </row>
    <row r="8" spans="1:33">
      <c r="A8" s="205" t="s">
        <v>162</v>
      </c>
      <c r="B8" s="28" t="s">
        <v>5</v>
      </c>
      <c r="C8" s="200" t="s">
        <v>16</v>
      </c>
      <c r="D8" s="201"/>
      <c r="E8" s="28">
        <v>50.67</v>
      </c>
      <c r="F8" s="88">
        <v>1887</v>
      </c>
      <c r="G8" s="88">
        <f t="shared" si="0"/>
        <v>95614.290000000008</v>
      </c>
      <c r="H8" s="30" t="s">
        <v>53</v>
      </c>
      <c r="I8" s="95">
        <v>15</v>
      </c>
      <c r="J8" s="13">
        <v>2000</v>
      </c>
      <c r="K8" s="12">
        <f t="shared" si="1"/>
        <v>133.33333333333334</v>
      </c>
      <c r="L8" s="95">
        <v>15</v>
      </c>
      <c r="M8" s="13">
        <f t="shared" si="2"/>
        <v>1918.9830508474593</v>
      </c>
      <c r="N8" s="12">
        <f t="shared" si="3"/>
        <v>127.93220338983062</v>
      </c>
      <c r="O8" s="14">
        <f t="shared" si="4"/>
        <v>0</v>
      </c>
      <c r="P8" s="15">
        <f t="shared" si="5"/>
        <v>-5.401129943502724</v>
      </c>
      <c r="Q8" s="91">
        <f t="shared" si="6"/>
        <v>0.95949152542372962</v>
      </c>
      <c r="R8" s="177"/>
      <c r="S8" s="21">
        <v>0.79513888888888884</v>
      </c>
      <c r="T8" s="21">
        <v>0.83611111111111103</v>
      </c>
      <c r="U8" s="88">
        <f t="shared" si="10"/>
        <v>7.9999999999999716</v>
      </c>
      <c r="V8" s="30">
        <f t="shared" si="7"/>
        <v>58.99999999999995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-81.016949152540747</v>
      </c>
      <c r="AF8" s="91">
        <f t="shared" si="9"/>
        <v>0.95949152542372962</v>
      </c>
      <c r="AG8" s="177"/>
    </row>
    <row r="9" spans="1:33">
      <c r="A9" s="205" t="s">
        <v>686</v>
      </c>
      <c r="B9" s="28" t="s">
        <v>165</v>
      </c>
      <c r="C9" s="178"/>
      <c r="D9" s="178"/>
      <c r="E9" s="92"/>
      <c r="F9" s="12"/>
      <c r="G9" s="12"/>
      <c r="H9" s="88"/>
      <c r="I9" s="23">
        <v>18</v>
      </c>
      <c r="J9" s="13">
        <v>2000</v>
      </c>
      <c r="K9" s="12">
        <f t="shared" si="1"/>
        <v>111.11111111111111</v>
      </c>
      <c r="L9" s="23">
        <v>18</v>
      </c>
      <c r="M9" s="13">
        <f>AVERAGE(M5:M8)</f>
        <v>1921.2814769975807</v>
      </c>
      <c r="N9" s="12">
        <f t="shared" si="3"/>
        <v>106.73785983319893</v>
      </c>
      <c r="O9" s="14">
        <f t="shared" si="4"/>
        <v>0</v>
      </c>
      <c r="P9" s="15">
        <f t="shared" si="5"/>
        <v>-4.373251277912189</v>
      </c>
      <c r="Q9" s="91">
        <f t="shared" si="6"/>
        <v>0.96064073849879028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v>4</v>
      </c>
      <c r="AD9" s="24">
        <f>SUM(AD5:AD8)</f>
        <v>0</v>
      </c>
      <c r="AE9" s="14">
        <f t="shared" si="8"/>
        <v>-78.718523002419261</v>
      </c>
      <c r="AF9" s="91">
        <f t="shared" si="9"/>
        <v>0.96064073849879039</v>
      </c>
      <c r="AG9" s="177"/>
    </row>
    <row r="10" spans="1:33" ht="15.75" customHeight="1">
      <c r="A10" s="199" t="s">
        <v>167</v>
      </c>
      <c r="B10" s="28" t="s">
        <v>9</v>
      </c>
      <c r="C10" s="200" t="s">
        <v>10</v>
      </c>
      <c r="D10" s="201"/>
      <c r="E10" s="28">
        <v>39.619999999999997</v>
      </c>
      <c r="F10" s="88">
        <v>6037</v>
      </c>
      <c r="G10" s="88">
        <f t="shared" ref="G10:G12" si="11">E10*F10</f>
        <v>239185.93999999997</v>
      </c>
      <c r="H10" s="30" t="s">
        <v>53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2" si="12">F10/V10*60</f>
        <v>1431.699604743083</v>
      </c>
      <c r="N10" s="12">
        <f t="shared" si="3"/>
        <v>75.352610775951732</v>
      </c>
      <c r="O10" s="14">
        <f t="shared" si="4"/>
        <v>0</v>
      </c>
      <c r="P10" s="15">
        <f t="shared" si="5"/>
        <v>-3.5947576451008985</v>
      </c>
      <c r="Q10" s="91">
        <f t="shared" si="6"/>
        <v>0.95446640316205533</v>
      </c>
      <c r="R10" s="177">
        <f>Q13</f>
        <v>0.95468488675871543</v>
      </c>
      <c r="S10" s="21">
        <v>0.20833333333333334</v>
      </c>
      <c r="T10" s="21">
        <v>0.3840277777777778</v>
      </c>
      <c r="U10" s="88"/>
      <c r="V10" s="30">
        <f t="shared" ref="V10:V12" si="13">(T10-S10)*24*60</f>
        <v>253</v>
      </c>
      <c r="W10" s="16"/>
      <c r="X10" s="16"/>
      <c r="Y10" s="16"/>
      <c r="Z10" s="16"/>
      <c r="AA10" s="168"/>
      <c r="AB10" s="168"/>
      <c r="AC10" s="18">
        <v>3</v>
      </c>
      <c r="AD10" s="18"/>
      <c r="AE10" s="14">
        <f t="shared" si="8"/>
        <v>-68.300395256917</v>
      </c>
      <c r="AF10" s="91">
        <f t="shared" si="9"/>
        <v>0.95446640316205533</v>
      </c>
      <c r="AG10" s="177">
        <f>AF13</f>
        <v>0.95468488675871532</v>
      </c>
    </row>
    <row r="11" spans="1:33" ht="15.75" customHeight="1">
      <c r="A11" s="199" t="s">
        <v>687</v>
      </c>
      <c r="B11" s="28" t="s">
        <v>9</v>
      </c>
      <c r="C11" s="200" t="s">
        <v>11</v>
      </c>
      <c r="D11" s="201"/>
      <c r="E11" s="28">
        <v>39.799999999999997</v>
      </c>
      <c r="F11" s="88">
        <v>4000</v>
      </c>
      <c r="G11" s="88">
        <f t="shared" si="11"/>
        <v>159200</v>
      </c>
      <c r="H11" s="30">
        <v>2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1437.1257485029942</v>
      </c>
      <c r="N11" s="12">
        <f t="shared" si="3"/>
        <v>84.536808735470245</v>
      </c>
      <c r="O11" s="14">
        <f t="shared" si="4"/>
        <v>0</v>
      </c>
      <c r="P11" s="15">
        <f t="shared" si="5"/>
        <v>-3.6984853821768127</v>
      </c>
      <c r="Q11" s="91">
        <f t="shared" si="6"/>
        <v>0.95808383233532945</v>
      </c>
      <c r="R11" s="177"/>
      <c r="S11" s="21">
        <v>0.38750000000000001</v>
      </c>
      <c r="T11" s="21">
        <v>0.50347222222222221</v>
      </c>
      <c r="U11" s="88">
        <f t="shared" ref="U11:U12" si="14">IF(S11=TIME(17,0,0),"",(S11-T10)*24*60)</f>
        <v>4.9999999999999822</v>
      </c>
      <c r="V11" s="30">
        <f t="shared" si="13"/>
        <v>166.99999999999997</v>
      </c>
      <c r="W11" s="16">
        <f>T11</f>
        <v>0.50347222222222221</v>
      </c>
      <c r="X11" s="16">
        <f>S12</f>
        <v>0.54374999999999996</v>
      </c>
      <c r="Y11" s="16"/>
      <c r="Z11" s="16"/>
      <c r="AA11" s="168"/>
      <c r="AB11" s="168"/>
      <c r="AC11" s="18"/>
      <c r="AD11" s="18"/>
      <c r="AE11" s="14">
        <f t="shared" si="8"/>
        <v>-62.874251497005844</v>
      </c>
      <c r="AF11" s="91">
        <f t="shared" si="9"/>
        <v>0.95808383233532945</v>
      </c>
      <c r="AG11" s="177"/>
    </row>
    <row r="12" spans="1:33" ht="15.75" customHeight="1">
      <c r="A12" s="199" t="s">
        <v>687</v>
      </c>
      <c r="B12" s="28" t="s">
        <v>9</v>
      </c>
      <c r="C12" s="200" t="s">
        <v>11</v>
      </c>
      <c r="D12" s="201"/>
      <c r="E12" s="28">
        <v>39.799999999999997</v>
      </c>
      <c r="F12" s="88">
        <v>5376</v>
      </c>
      <c r="G12" s="88">
        <f t="shared" si="11"/>
        <v>213964.79999999999</v>
      </c>
      <c r="H12" s="30" t="s">
        <v>53</v>
      </c>
      <c r="I12" s="95">
        <v>17</v>
      </c>
      <c r="J12" s="13">
        <v>1500</v>
      </c>
      <c r="K12" s="12">
        <f t="shared" si="1"/>
        <v>88.235294117647058</v>
      </c>
      <c r="L12" s="95">
        <v>17</v>
      </c>
      <c r="M12" s="13">
        <f t="shared" si="12"/>
        <v>1427.2566371681417</v>
      </c>
      <c r="N12" s="12">
        <f t="shared" si="3"/>
        <v>83.95627277459657</v>
      </c>
      <c r="O12" s="14">
        <f t="shared" si="4"/>
        <v>0</v>
      </c>
      <c r="P12" s="15">
        <f t="shared" si="5"/>
        <v>-4.2790213430504878</v>
      </c>
      <c r="Q12" s="91">
        <f t="shared" si="6"/>
        <v>0.95150442477876118</v>
      </c>
      <c r="R12" s="177"/>
      <c r="S12" s="21">
        <v>0.54374999999999996</v>
      </c>
      <c r="T12" s="21">
        <v>0.7006944444444444</v>
      </c>
      <c r="U12" s="88">
        <f t="shared" si="14"/>
        <v>57.999999999999957</v>
      </c>
      <c r="V12" s="30">
        <f t="shared" si="13"/>
        <v>226</v>
      </c>
      <c r="W12" s="16"/>
      <c r="X12" s="16"/>
      <c r="Y12" s="16"/>
      <c r="Z12" s="16"/>
      <c r="AA12" s="168"/>
      <c r="AB12" s="168"/>
      <c r="AC12" s="18"/>
      <c r="AD12" s="18"/>
      <c r="AE12" s="14">
        <f t="shared" si="8"/>
        <v>-72.743362831858349</v>
      </c>
      <c r="AF12" s="91">
        <f t="shared" si="9"/>
        <v>0.95150442477876107</v>
      </c>
      <c r="AG12" s="177"/>
    </row>
    <row r="13" spans="1:33" ht="16.5" customHeight="1">
      <c r="A13" s="199" t="s">
        <v>687</v>
      </c>
      <c r="B13" s="28" t="s">
        <v>688</v>
      </c>
      <c r="C13" s="178"/>
      <c r="D13" s="178"/>
      <c r="E13" s="92"/>
      <c r="F13" s="13"/>
      <c r="G13" s="13"/>
      <c r="H13" s="88"/>
      <c r="I13" s="23">
        <v>17.666666666666668</v>
      </c>
      <c r="J13" s="13">
        <v>1500</v>
      </c>
      <c r="K13" s="12">
        <f t="shared" si="1"/>
        <v>84.905660377358487</v>
      </c>
      <c r="L13" s="23">
        <v>17.666666666666668</v>
      </c>
      <c r="M13" s="13">
        <f>AVERAGE(M10:M12)</f>
        <v>1432.027330138073</v>
      </c>
      <c r="N13" s="12">
        <f t="shared" si="3"/>
        <v>81.058150762532435</v>
      </c>
      <c r="O13" s="14">
        <f t="shared" si="4"/>
        <v>0</v>
      </c>
      <c r="P13" s="15">
        <f t="shared" si="5"/>
        <v>-3.8475096148260519</v>
      </c>
      <c r="Q13" s="91">
        <f t="shared" si="6"/>
        <v>0.95468488675871543</v>
      </c>
      <c r="R13" s="177"/>
      <c r="S13" s="21"/>
      <c r="T13" s="21"/>
      <c r="U13" s="12"/>
      <c r="V13" s="30"/>
      <c r="W13" s="12"/>
      <c r="X13" s="12"/>
      <c r="Y13" s="24">
        <f>SUM(Y10:Y12)</f>
        <v>0</v>
      </c>
      <c r="Z13" s="24">
        <f>SUM(Z10:Z12)</f>
        <v>0</v>
      </c>
      <c r="AA13" s="167"/>
      <c r="AB13" s="167"/>
      <c r="AC13" s="24">
        <v>3</v>
      </c>
      <c r="AD13" s="24">
        <f>SUM(AD10:AD12)</f>
        <v>0</v>
      </c>
      <c r="AE13" s="14">
        <f t="shared" si="8"/>
        <v>-67.972669861926988</v>
      </c>
      <c r="AF13" s="91">
        <f t="shared" si="9"/>
        <v>0.95468488675871532</v>
      </c>
      <c r="AG13" s="177"/>
    </row>
    <row r="14" spans="1:33" ht="16.5" customHeight="1">
      <c r="A14" s="197" t="s">
        <v>169</v>
      </c>
      <c r="B14" s="88" t="s">
        <v>12</v>
      </c>
      <c r="C14" s="193" t="s">
        <v>13</v>
      </c>
      <c r="D14" s="193"/>
      <c r="E14" s="28">
        <v>41</v>
      </c>
      <c r="F14" s="88">
        <v>2507</v>
      </c>
      <c r="G14" s="88">
        <f t="shared" ref="G14:G18" si="15">E14*F14</f>
        <v>102787</v>
      </c>
      <c r="H14" s="30" t="s">
        <v>53</v>
      </c>
      <c r="I14" s="95">
        <v>26</v>
      </c>
      <c r="J14" s="13">
        <v>1500</v>
      </c>
      <c r="K14" s="12">
        <f t="shared" si="1"/>
        <v>57.692307692307693</v>
      </c>
      <c r="L14" s="95">
        <v>26</v>
      </c>
      <c r="M14" s="13">
        <f t="shared" ref="M14:M18" si="16">F14/V14*60</f>
        <v>1432.5714285714289</v>
      </c>
      <c r="N14" s="12">
        <f t="shared" si="3"/>
        <v>55.098901098901109</v>
      </c>
      <c r="O14" s="14">
        <f t="shared" si="4"/>
        <v>0</v>
      </c>
      <c r="P14" s="15">
        <f t="shared" si="5"/>
        <v>-2.5934065934065842</v>
      </c>
      <c r="Q14" s="91">
        <f t="shared" si="6"/>
        <v>0.95504761904761926</v>
      </c>
      <c r="R14" s="177">
        <f>Q19</f>
        <v>0.96264844543791883</v>
      </c>
      <c r="S14" s="21">
        <v>0.20833333333333334</v>
      </c>
      <c r="T14" s="21">
        <v>0.28125</v>
      </c>
      <c r="U14" s="88"/>
      <c r="V14" s="30">
        <f t="shared" ref="V14:V18" si="17">(T14-S14)*24*60</f>
        <v>104.99999999999999</v>
      </c>
      <c r="W14" s="21"/>
      <c r="X14" s="21"/>
      <c r="Y14" s="21"/>
      <c r="Z14" s="21"/>
      <c r="AA14" s="168"/>
      <c r="AB14" s="168"/>
      <c r="AC14" s="18">
        <v>5</v>
      </c>
      <c r="AD14" s="18"/>
      <c r="AE14" s="14">
        <f t="shared" si="8"/>
        <v>-67.428571428571104</v>
      </c>
      <c r="AF14" s="91">
        <f t="shared" si="9"/>
        <v>0.95504761904761926</v>
      </c>
      <c r="AG14" s="177">
        <f>AF19</f>
        <v>0.96264844543791883</v>
      </c>
    </row>
    <row r="15" spans="1:33" ht="16.5" customHeight="1">
      <c r="A15" s="198" t="s">
        <v>169</v>
      </c>
      <c r="B15" s="88" t="s">
        <v>5</v>
      </c>
      <c r="C15" s="193" t="s">
        <v>14</v>
      </c>
      <c r="D15" s="193"/>
      <c r="E15" s="28">
        <v>50.98</v>
      </c>
      <c r="F15" s="88">
        <v>1200</v>
      </c>
      <c r="G15" s="88">
        <f t="shared" si="15"/>
        <v>61175.999999999993</v>
      </c>
      <c r="H15" s="30">
        <v>2</v>
      </c>
      <c r="I15" s="95">
        <v>16</v>
      </c>
      <c r="J15" s="13">
        <v>2000</v>
      </c>
      <c r="K15" s="12">
        <f t="shared" si="1"/>
        <v>125</v>
      </c>
      <c r="L15" s="95">
        <v>16</v>
      </c>
      <c r="M15" s="13">
        <f t="shared" si="16"/>
        <v>1945.9459459459445</v>
      </c>
      <c r="N15" s="12">
        <f t="shared" si="3"/>
        <v>121.62162162162153</v>
      </c>
      <c r="O15" s="14">
        <f t="shared" si="4"/>
        <v>0</v>
      </c>
      <c r="P15" s="15">
        <f t="shared" si="5"/>
        <v>-3.3783783783784713</v>
      </c>
      <c r="Q15" s="91">
        <f t="shared" si="6"/>
        <v>0.97297297297297225</v>
      </c>
      <c r="R15" s="177"/>
      <c r="S15" s="21">
        <v>0.70833333333333337</v>
      </c>
      <c r="T15" s="21">
        <v>0.73402777777777783</v>
      </c>
      <c r="U15" s="88" t="str">
        <f t="shared" ref="U15:U18" si="18">IF(S15=TIME(17,0,0),"",(S15-T14)*24*60)</f>
        <v/>
      </c>
      <c r="V15" s="30">
        <f t="shared" si="17"/>
        <v>37.000000000000028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-54.054054054055541</v>
      </c>
      <c r="AF15" s="91">
        <f t="shared" si="9"/>
        <v>0.97297297297297225</v>
      </c>
      <c r="AG15" s="177"/>
    </row>
    <row r="16" spans="1:33" ht="16.5" customHeight="1">
      <c r="A16" s="198" t="s">
        <v>169</v>
      </c>
      <c r="B16" s="88" t="s">
        <v>5</v>
      </c>
      <c r="C16" s="193" t="s">
        <v>15</v>
      </c>
      <c r="D16" s="193"/>
      <c r="E16" s="28">
        <v>50.92</v>
      </c>
      <c r="F16" s="88">
        <v>2667</v>
      </c>
      <c r="G16" s="88">
        <f t="shared" si="15"/>
        <v>135803.64000000001</v>
      </c>
      <c r="H16" s="30" t="s">
        <v>53</v>
      </c>
      <c r="I16" s="95">
        <v>15</v>
      </c>
      <c r="J16" s="13">
        <v>2000</v>
      </c>
      <c r="K16" s="12">
        <f t="shared" si="1"/>
        <v>133.33333333333334</v>
      </c>
      <c r="L16" s="95">
        <v>15</v>
      </c>
      <c r="M16" s="13">
        <f t="shared" si="16"/>
        <v>1904.9999999999993</v>
      </c>
      <c r="N16" s="12">
        <f t="shared" si="3"/>
        <v>126.99999999999996</v>
      </c>
      <c r="O16" s="14">
        <f t="shared" si="4"/>
        <v>0</v>
      </c>
      <c r="P16" s="15">
        <f t="shared" si="5"/>
        <v>-6.3333333333333854</v>
      </c>
      <c r="Q16" s="91">
        <f t="shared" si="6"/>
        <v>0.95249999999999957</v>
      </c>
      <c r="R16" s="177"/>
      <c r="S16" s="21">
        <v>0.73958333333333337</v>
      </c>
      <c r="T16" s="21">
        <v>0.79791666666666672</v>
      </c>
      <c r="U16" s="88">
        <f t="shared" si="18"/>
        <v>7.9999999999999716</v>
      </c>
      <c r="V16" s="30">
        <f t="shared" si="17"/>
        <v>84.000000000000028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-95.000000000000682</v>
      </c>
      <c r="AF16" s="91">
        <f t="shared" si="9"/>
        <v>0.95249999999999968</v>
      </c>
      <c r="AG16" s="177"/>
    </row>
    <row r="17" spans="1:33" ht="16.5" customHeight="1">
      <c r="A17" s="198" t="s">
        <v>169</v>
      </c>
      <c r="B17" s="88" t="s">
        <v>5</v>
      </c>
      <c r="C17" s="193" t="s">
        <v>43</v>
      </c>
      <c r="D17" s="193"/>
      <c r="E17" s="28">
        <v>54.29</v>
      </c>
      <c r="F17" s="88">
        <v>1283</v>
      </c>
      <c r="G17" s="88">
        <f t="shared" si="15"/>
        <v>69654.069999999992</v>
      </c>
      <c r="H17" s="30" t="s">
        <v>53</v>
      </c>
      <c r="I17" s="95">
        <v>20</v>
      </c>
      <c r="J17" s="13">
        <v>2000</v>
      </c>
      <c r="K17" s="12">
        <f t="shared" si="1"/>
        <v>100</v>
      </c>
      <c r="L17" s="95">
        <v>20</v>
      </c>
      <c r="M17" s="13">
        <f t="shared" si="16"/>
        <v>1924.4999999999993</v>
      </c>
      <c r="N17" s="12">
        <f t="shared" si="3"/>
        <v>96.224999999999966</v>
      </c>
      <c r="O17" s="14">
        <f t="shared" si="4"/>
        <v>0</v>
      </c>
      <c r="P17" s="15">
        <f t="shared" si="5"/>
        <v>-3.7750000000000341</v>
      </c>
      <c r="Q17" s="91">
        <f t="shared" si="6"/>
        <v>0.96224999999999961</v>
      </c>
      <c r="R17" s="177"/>
      <c r="S17" s="21">
        <v>0.80208333333333337</v>
      </c>
      <c r="T17" s="21">
        <v>0.82986111111111116</v>
      </c>
      <c r="U17" s="88">
        <f t="shared" si="18"/>
        <v>5.9999999999999787</v>
      </c>
      <c r="V17" s="30">
        <f t="shared" si="17"/>
        <v>40.000000000000014</v>
      </c>
      <c r="W17" s="16">
        <f>T17</f>
        <v>0.82986111111111116</v>
      </c>
      <c r="X17" s="16">
        <f>S18</f>
        <v>0.87152777777777779</v>
      </c>
      <c r="Y17" s="16"/>
      <c r="Z17" s="16"/>
      <c r="AA17" s="168"/>
      <c r="AB17" s="168"/>
      <c r="AC17" s="18"/>
      <c r="AD17" s="18"/>
      <c r="AE17" s="14">
        <f t="shared" si="8"/>
        <v>-75.500000000000682</v>
      </c>
      <c r="AF17" s="91">
        <f t="shared" si="9"/>
        <v>0.96224999999999961</v>
      </c>
      <c r="AG17" s="177"/>
    </row>
    <row r="18" spans="1:33" ht="16.5" customHeight="1">
      <c r="A18" s="198" t="s">
        <v>169</v>
      </c>
      <c r="B18" s="88" t="s">
        <v>5</v>
      </c>
      <c r="C18" s="193" t="s">
        <v>14</v>
      </c>
      <c r="D18" s="193"/>
      <c r="E18" s="28">
        <v>50.98</v>
      </c>
      <c r="F18" s="88">
        <v>1582</v>
      </c>
      <c r="G18" s="88">
        <f t="shared" si="15"/>
        <v>80650.36</v>
      </c>
      <c r="H18" s="30" t="s">
        <v>53</v>
      </c>
      <c r="I18" s="95">
        <v>16</v>
      </c>
      <c r="J18" s="13">
        <v>2000</v>
      </c>
      <c r="K18" s="12">
        <f t="shared" si="1"/>
        <v>125</v>
      </c>
      <c r="L18" s="95">
        <v>16</v>
      </c>
      <c r="M18" s="13">
        <f t="shared" si="16"/>
        <v>1937.1428571428576</v>
      </c>
      <c r="N18" s="12">
        <f t="shared" si="3"/>
        <v>121.0714285714286</v>
      </c>
      <c r="O18" s="14">
        <f t="shared" si="4"/>
        <v>0</v>
      </c>
      <c r="P18" s="15">
        <f t="shared" si="5"/>
        <v>-3.9285714285714022</v>
      </c>
      <c r="Q18" s="91">
        <f t="shared" si="6"/>
        <v>0.96857142857142875</v>
      </c>
      <c r="R18" s="177"/>
      <c r="S18" s="21">
        <v>0.87152777777777779</v>
      </c>
      <c r="T18" s="21">
        <v>0.90555555555555556</v>
      </c>
      <c r="U18" s="88">
        <f t="shared" si="18"/>
        <v>59.999999999999943</v>
      </c>
      <c r="V18" s="30">
        <f t="shared" si="17"/>
        <v>48.999999999999986</v>
      </c>
      <c r="W18" s="16"/>
      <c r="X18" s="16"/>
      <c r="Y18" s="16"/>
      <c r="Z18" s="16"/>
      <c r="AA18" s="168"/>
      <c r="AB18" s="168"/>
      <c r="AC18" s="18"/>
      <c r="AD18" s="18"/>
      <c r="AE18" s="14">
        <f t="shared" si="8"/>
        <v>-62.857142857142435</v>
      </c>
      <c r="AF18" s="91">
        <f t="shared" si="9"/>
        <v>0.96857142857142875</v>
      </c>
      <c r="AG18" s="177"/>
    </row>
    <row r="19" spans="1:33" ht="16.5" customHeight="1">
      <c r="A19" s="198" t="s">
        <v>169</v>
      </c>
      <c r="B19" s="28" t="s">
        <v>165</v>
      </c>
      <c r="C19" s="178"/>
      <c r="D19" s="178"/>
      <c r="E19" s="92"/>
      <c r="F19" s="12"/>
      <c r="G19" s="12"/>
      <c r="H19" s="88"/>
      <c r="I19" s="23">
        <v>18.600000000000001</v>
      </c>
      <c r="J19" s="13">
        <v>1900</v>
      </c>
      <c r="K19" s="12">
        <f t="shared" si="1"/>
        <v>102.15053763440859</v>
      </c>
      <c r="L19" s="23">
        <v>18.600000000000001</v>
      </c>
      <c r="M19" s="13">
        <f>AVERAGE(M14:M18)</f>
        <v>1829.0320463320459</v>
      </c>
      <c r="N19" s="12">
        <f t="shared" si="3"/>
        <v>98.335056254411057</v>
      </c>
      <c r="O19" s="14">
        <f t="shared" si="4"/>
        <v>0</v>
      </c>
      <c r="P19" s="15">
        <f t="shared" si="5"/>
        <v>-3.8154813799975358</v>
      </c>
      <c r="Q19" s="91">
        <f t="shared" si="6"/>
        <v>0.96264844543791883</v>
      </c>
      <c r="R19" s="177"/>
      <c r="S19" s="21"/>
      <c r="T19" s="21"/>
      <c r="U19" s="88"/>
      <c r="V19" s="30"/>
      <c r="W19" s="12"/>
      <c r="X19" s="12"/>
      <c r="Y19" s="24">
        <f>SUM(Y14:Y18)</f>
        <v>0</v>
      </c>
      <c r="Z19" s="24">
        <f>SUM(Z14:Z18)</f>
        <v>0</v>
      </c>
      <c r="AA19" s="167"/>
      <c r="AB19" s="167"/>
      <c r="AC19" s="24">
        <v>5</v>
      </c>
      <c r="AD19" s="24">
        <f>SUM(AD14:AD18)</f>
        <v>0</v>
      </c>
      <c r="AE19" s="14">
        <f t="shared" si="8"/>
        <v>-70.967953667954134</v>
      </c>
      <c r="AF19" s="91">
        <f t="shared" si="9"/>
        <v>0.96264844543791883</v>
      </c>
      <c r="AG19" s="177"/>
    </row>
    <row r="20" spans="1:33" ht="15.75" customHeight="1">
      <c r="A20" s="195" t="s">
        <v>170</v>
      </c>
      <c r="B20" s="28" t="s">
        <v>5</v>
      </c>
      <c r="C20" s="193" t="s">
        <v>17</v>
      </c>
      <c r="D20" s="193"/>
      <c r="E20" s="28">
        <v>57.73</v>
      </c>
      <c r="F20" s="88">
        <v>2792</v>
      </c>
      <c r="G20" s="88">
        <f t="shared" ref="G20:G26" si="19">E20*F20</f>
        <v>161182.16</v>
      </c>
      <c r="H20" s="30" t="s">
        <v>53</v>
      </c>
      <c r="I20" s="95">
        <v>14</v>
      </c>
      <c r="J20" s="13">
        <v>2000</v>
      </c>
      <c r="K20" s="12">
        <f t="shared" si="1"/>
        <v>142.85714285714286</v>
      </c>
      <c r="L20" s="95">
        <v>14</v>
      </c>
      <c r="M20" s="13">
        <f t="shared" ref="M20:M26" si="20">F20/V20*60</f>
        <v>1903.6363636363642</v>
      </c>
      <c r="N20" s="12">
        <f t="shared" si="3"/>
        <v>135.97402597402601</v>
      </c>
      <c r="O20" s="14">
        <f t="shared" si="4"/>
        <v>0</v>
      </c>
      <c r="P20" s="15">
        <f t="shared" si="5"/>
        <v>-6.8831168831168554</v>
      </c>
      <c r="Q20" s="91">
        <f t="shared" si="6"/>
        <v>0.95181818181818201</v>
      </c>
      <c r="R20" s="177">
        <f>Q27</f>
        <v>0.96185468814025377</v>
      </c>
      <c r="S20" s="21">
        <v>0.20833333333333334</v>
      </c>
      <c r="T20" s="21">
        <v>0.26944444444444443</v>
      </c>
      <c r="U20" s="88"/>
      <c r="V20" s="30">
        <f t="shared" ref="V20:V26" si="21">(T20-S20)*24*60</f>
        <v>87.999999999999972</v>
      </c>
      <c r="W20" s="21"/>
      <c r="X20" s="21"/>
      <c r="Y20" s="21"/>
      <c r="Z20" s="21"/>
      <c r="AA20" s="168"/>
      <c r="AB20" s="168"/>
      <c r="AC20" s="18">
        <v>7</v>
      </c>
      <c r="AD20" s="18"/>
      <c r="AE20" s="14">
        <f t="shared" si="8"/>
        <v>-96.363636363635806</v>
      </c>
      <c r="AF20" s="91">
        <f t="shared" si="9"/>
        <v>0.95181818181818212</v>
      </c>
      <c r="AG20" s="177">
        <f>AF27</f>
        <v>0.96185468814025388</v>
      </c>
    </row>
    <row r="21" spans="1:33" ht="15.75" customHeight="1">
      <c r="A21" s="196" t="s">
        <v>170</v>
      </c>
      <c r="B21" s="28" t="s">
        <v>5</v>
      </c>
      <c r="C21" s="193" t="s">
        <v>18</v>
      </c>
      <c r="D21" s="193"/>
      <c r="E21" s="28">
        <v>53.68</v>
      </c>
      <c r="F21" s="88">
        <v>1617</v>
      </c>
      <c r="G21" s="88">
        <f t="shared" si="19"/>
        <v>86800.56</v>
      </c>
      <c r="H21" s="30" t="s">
        <v>53</v>
      </c>
      <c r="I21" s="95">
        <v>16</v>
      </c>
      <c r="J21" s="13">
        <v>2000</v>
      </c>
      <c r="K21" s="12">
        <f t="shared" si="1"/>
        <v>125</v>
      </c>
      <c r="L21" s="95">
        <v>16</v>
      </c>
      <c r="M21" s="13">
        <f t="shared" si="20"/>
        <v>1940.4000000000005</v>
      </c>
      <c r="N21" s="12">
        <f t="shared" si="3"/>
        <v>121.27500000000003</v>
      </c>
      <c r="O21" s="14">
        <f t="shared" si="4"/>
        <v>0</v>
      </c>
      <c r="P21" s="15">
        <f t="shared" si="5"/>
        <v>-3.7249999999999659</v>
      </c>
      <c r="Q21" s="91">
        <f t="shared" si="6"/>
        <v>0.97020000000000028</v>
      </c>
      <c r="R21" s="177"/>
      <c r="S21" s="21">
        <v>0.27430555555555552</v>
      </c>
      <c r="T21" s="21">
        <v>0.30902777777777773</v>
      </c>
      <c r="U21" s="88">
        <f t="shared" ref="U21:U26" si="22">IF(S21=TIME(17,0,0),"",(S21-T20)*24*60)</f>
        <v>6.9999999999999751</v>
      </c>
      <c r="V21" s="30">
        <f t="shared" si="21"/>
        <v>49.999999999999986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8"/>
        <v>-59.599999999999454</v>
      </c>
      <c r="AF21" s="91">
        <f t="shared" si="9"/>
        <v>0.97020000000000028</v>
      </c>
      <c r="AG21" s="177"/>
    </row>
    <row r="22" spans="1:33" ht="15.75" customHeight="1">
      <c r="A22" s="196" t="s">
        <v>170</v>
      </c>
      <c r="B22" s="28" t="s">
        <v>5</v>
      </c>
      <c r="C22" s="193" t="s">
        <v>73</v>
      </c>
      <c r="D22" s="193"/>
      <c r="E22" s="28">
        <v>50.67</v>
      </c>
      <c r="F22" s="88">
        <v>2657</v>
      </c>
      <c r="G22" s="88">
        <f t="shared" si="19"/>
        <v>134630.19</v>
      </c>
      <c r="H22" s="30" t="s">
        <v>53</v>
      </c>
      <c r="I22" s="95">
        <v>16</v>
      </c>
      <c r="J22" s="13">
        <v>2000</v>
      </c>
      <c r="K22" s="12">
        <f t="shared" si="1"/>
        <v>125</v>
      </c>
      <c r="L22" s="95">
        <v>16</v>
      </c>
      <c r="M22" s="13">
        <f t="shared" si="20"/>
        <v>1920.7228915662645</v>
      </c>
      <c r="N22" s="12">
        <f t="shared" si="3"/>
        <v>120.04518072289153</v>
      </c>
      <c r="O22" s="14">
        <f t="shared" si="4"/>
        <v>0</v>
      </c>
      <c r="P22" s="15">
        <f t="shared" si="5"/>
        <v>-4.95481927710847</v>
      </c>
      <c r="Q22" s="91">
        <f t="shared" si="6"/>
        <v>0.96036144578313221</v>
      </c>
      <c r="R22" s="177"/>
      <c r="S22" s="21">
        <v>0.31319444444444439</v>
      </c>
      <c r="T22" s="21">
        <v>0.37083333333333329</v>
      </c>
      <c r="U22" s="88">
        <f t="shared" si="22"/>
        <v>5.9999999999999787</v>
      </c>
      <c r="V22" s="30">
        <f t="shared" si="21"/>
        <v>83.000000000000028</v>
      </c>
      <c r="W22" s="16"/>
      <c r="X22" s="88"/>
      <c r="Y22" s="88"/>
      <c r="Z22" s="88"/>
      <c r="AA22" s="168"/>
      <c r="AB22" s="168"/>
      <c r="AC22" s="18"/>
      <c r="AD22" s="18"/>
      <c r="AE22" s="14">
        <f t="shared" si="8"/>
        <v>-79.277108433735521</v>
      </c>
      <c r="AF22" s="91">
        <f t="shared" si="9"/>
        <v>0.96036144578313221</v>
      </c>
      <c r="AG22" s="177"/>
    </row>
    <row r="23" spans="1:33" ht="15.75" customHeight="1">
      <c r="A23" s="196" t="s">
        <v>170</v>
      </c>
      <c r="B23" s="28" t="s">
        <v>5</v>
      </c>
      <c r="C23" s="193" t="s">
        <v>21</v>
      </c>
      <c r="D23" s="193"/>
      <c r="E23" s="28">
        <v>57.3</v>
      </c>
      <c r="F23" s="88">
        <v>1888</v>
      </c>
      <c r="G23" s="88">
        <f t="shared" si="19"/>
        <v>108182.39999999999</v>
      </c>
      <c r="H23" s="30" t="s">
        <v>53</v>
      </c>
      <c r="I23" s="95">
        <v>13</v>
      </c>
      <c r="J23" s="13">
        <v>2000</v>
      </c>
      <c r="K23" s="12">
        <f t="shared" si="1"/>
        <v>153.84615384615384</v>
      </c>
      <c r="L23" s="95">
        <v>13</v>
      </c>
      <c r="M23" s="13">
        <f t="shared" si="20"/>
        <v>1920.0000000000018</v>
      </c>
      <c r="N23" s="12">
        <f t="shared" si="3"/>
        <v>147.69230769230782</v>
      </c>
      <c r="O23" s="14">
        <f t="shared" si="4"/>
        <v>0</v>
      </c>
      <c r="P23" s="15">
        <f t="shared" si="5"/>
        <v>-6.1538461538460183</v>
      </c>
      <c r="Q23" s="91">
        <f t="shared" si="6"/>
        <v>0.96000000000000085</v>
      </c>
      <c r="R23" s="177"/>
      <c r="S23" s="21">
        <v>0.70833333333333337</v>
      </c>
      <c r="T23" s="21">
        <v>0.74930555555555556</v>
      </c>
      <c r="U23" s="88" t="str">
        <f t="shared" si="22"/>
        <v/>
      </c>
      <c r="V23" s="30">
        <f t="shared" si="21"/>
        <v>58.99999999999995</v>
      </c>
      <c r="W23" s="16"/>
      <c r="X23" s="88"/>
      <c r="Y23" s="88"/>
      <c r="Z23" s="88"/>
      <c r="AA23" s="168"/>
      <c r="AB23" s="168"/>
      <c r="AC23" s="18"/>
      <c r="AD23" s="18"/>
      <c r="AE23" s="14">
        <f t="shared" si="8"/>
        <v>-79.999999999998181</v>
      </c>
      <c r="AF23" s="91">
        <f t="shared" si="9"/>
        <v>0.96000000000000096</v>
      </c>
      <c r="AG23" s="177"/>
    </row>
    <row r="24" spans="1:33" ht="15.75" customHeight="1">
      <c r="A24" s="196" t="s">
        <v>170</v>
      </c>
      <c r="B24" s="28" t="s">
        <v>5</v>
      </c>
      <c r="C24" s="193" t="s">
        <v>20</v>
      </c>
      <c r="D24" s="193"/>
      <c r="E24" s="28">
        <v>53.68</v>
      </c>
      <c r="F24" s="88">
        <v>1550</v>
      </c>
      <c r="G24" s="88">
        <f t="shared" si="19"/>
        <v>83204</v>
      </c>
      <c r="H24" s="30" t="s">
        <v>53</v>
      </c>
      <c r="I24" s="95">
        <v>16</v>
      </c>
      <c r="J24" s="13">
        <v>1500</v>
      </c>
      <c r="K24" s="12">
        <f t="shared" si="1"/>
        <v>93.75</v>
      </c>
      <c r="L24" s="95">
        <v>16</v>
      </c>
      <c r="M24" s="13">
        <f t="shared" si="20"/>
        <v>1430.7692307692323</v>
      </c>
      <c r="N24" s="12">
        <f t="shared" si="3"/>
        <v>89.423076923077019</v>
      </c>
      <c r="O24" s="14">
        <f t="shared" si="4"/>
        <v>0</v>
      </c>
      <c r="P24" s="15">
        <f t="shared" si="5"/>
        <v>-4.3269230769229807</v>
      </c>
      <c r="Q24" s="91">
        <f t="shared" si="6"/>
        <v>0.9538461538461549</v>
      </c>
      <c r="R24" s="177"/>
      <c r="S24" s="21">
        <v>0.75486111111111109</v>
      </c>
      <c r="T24" s="21">
        <v>0.79999999999999993</v>
      </c>
      <c r="U24" s="88">
        <f t="shared" si="22"/>
        <v>7.9999999999999716</v>
      </c>
      <c r="V24" s="30">
        <f t="shared" si="21"/>
        <v>64.999999999999929</v>
      </c>
      <c r="W24" s="16"/>
      <c r="X24" s="16"/>
      <c r="Y24" s="88"/>
      <c r="Z24" s="88"/>
      <c r="AA24" s="168"/>
      <c r="AB24" s="168"/>
      <c r="AC24" s="18"/>
      <c r="AD24" s="18"/>
      <c r="AE24" s="14">
        <f t="shared" si="8"/>
        <v>-69.230769230767692</v>
      </c>
      <c r="AF24" s="91">
        <f t="shared" si="9"/>
        <v>0.9538461538461549</v>
      </c>
      <c r="AG24" s="177"/>
    </row>
    <row r="25" spans="1:33" ht="15.75" customHeight="1">
      <c r="A25" s="196" t="s">
        <v>170</v>
      </c>
      <c r="B25" s="28" t="s">
        <v>5</v>
      </c>
      <c r="C25" s="193" t="s">
        <v>19</v>
      </c>
      <c r="D25" s="193"/>
      <c r="E25" s="28">
        <v>50.49</v>
      </c>
      <c r="F25" s="88">
        <v>1100</v>
      </c>
      <c r="G25" s="88">
        <f t="shared" si="19"/>
        <v>55539</v>
      </c>
      <c r="H25" s="30">
        <v>2</v>
      </c>
      <c r="I25" s="95">
        <v>15</v>
      </c>
      <c r="J25" s="13">
        <v>2000</v>
      </c>
      <c r="K25" s="12">
        <f t="shared" si="1"/>
        <v>133.33333333333334</v>
      </c>
      <c r="L25" s="95">
        <v>15</v>
      </c>
      <c r="M25" s="13">
        <f t="shared" si="20"/>
        <v>1941.1764705882326</v>
      </c>
      <c r="N25" s="12">
        <f t="shared" si="3"/>
        <v>129.41176470588218</v>
      </c>
      <c r="O25" s="14">
        <f t="shared" si="4"/>
        <v>0</v>
      </c>
      <c r="P25" s="15">
        <f t="shared" si="5"/>
        <v>-3.9215686274511654</v>
      </c>
      <c r="Q25" s="91">
        <f t="shared" si="6"/>
        <v>0.97058823529411631</v>
      </c>
      <c r="R25" s="177"/>
      <c r="S25" s="21">
        <v>0.80555555555555547</v>
      </c>
      <c r="T25" s="21">
        <v>0.82916666666666661</v>
      </c>
      <c r="U25" s="88">
        <f t="shared" si="22"/>
        <v>7.9999999999999716</v>
      </c>
      <c r="V25" s="30">
        <f t="shared" si="21"/>
        <v>34.000000000000043</v>
      </c>
      <c r="W25" s="16">
        <f>T25</f>
        <v>0.82916666666666661</v>
      </c>
      <c r="X25" s="16">
        <f>S26</f>
        <v>0.86944444444444435</v>
      </c>
      <c r="Y25" s="21"/>
      <c r="Z25" s="21"/>
      <c r="AA25" s="168"/>
      <c r="AB25" s="168"/>
      <c r="AC25" s="18"/>
      <c r="AD25" s="18"/>
      <c r="AE25" s="14">
        <f t="shared" si="8"/>
        <v>-58.823529411767367</v>
      </c>
      <c r="AF25" s="91">
        <f t="shared" si="9"/>
        <v>0.97058823529411631</v>
      </c>
      <c r="AG25" s="177"/>
    </row>
    <row r="26" spans="1:33" ht="15.75" customHeight="1">
      <c r="A26" s="196" t="s">
        <v>170</v>
      </c>
      <c r="B26" s="28" t="s">
        <v>5</v>
      </c>
      <c r="C26" s="218" t="s">
        <v>19</v>
      </c>
      <c r="D26" s="219"/>
      <c r="E26" s="28">
        <v>50.49</v>
      </c>
      <c r="F26" s="88">
        <v>1157</v>
      </c>
      <c r="G26" s="88">
        <f t="shared" si="19"/>
        <v>58416.93</v>
      </c>
      <c r="H26" s="30" t="s">
        <v>53</v>
      </c>
      <c r="I26" s="95">
        <v>15</v>
      </c>
      <c r="J26" s="13">
        <v>2000</v>
      </c>
      <c r="K26" s="12">
        <f t="shared" si="1"/>
        <v>133.33333333333334</v>
      </c>
      <c r="L26" s="95">
        <v>15</v>
      </c>
      <c r="M26" s="13">
        <f t="shared" si="20"/>
        <v>1928.3333333333319</v>
      </c>
      <c r="N26" s="12">
        <f t="shared" si="3"/>
        <v>128.55555555555546</v>
      </c>
      <c r="O26" s="14">
        <f t="shared" si="4"/>
        <v>0</v>
      </c>
      <c r="P26" s="15">
        <f t="shared" si="5"/>
        <v>-4.7777777777778851</v>
      </c>
      <c r="Q26" s="91">
        <f t="shared" si="6"/>
        <v>0.96416666666666584</v>
      </c>
      <c r="R26" s="177"/>
      <c r="S26" s="21">
        <v>0.86944444444444435</v>
      </c>
      <c r="T26" s="21">
        <v>0.89444444444444438</v>
      </c>
      <c r="U26" s="88">
        <f t="shared" si="22"/>
        <v>57.999999999999957</v>
      </c>
      <c r="V26" s="30">
        <f t="shared" si="21"/>
        <v>36.000000000000028</v>
      </c>
      <c r="W26" s="16"/>
      <c r="X26" s="21"/>
      <c r="Y26" s="22"/>
      <c r="Z26" s="22"/>
      <c r="AA26" s="172"/>
      <c r="AB26" s="173"/>
      <c r="AC26" s="18"/>
      <c r="AD26" s="18"/>
      <c r="AE26" s="14">
        <f t="shared" si="8"/>
        <v>-71.666666666668107</v>
      </c>
      <c r="AF26" s="91">
        <f t="shared" si="9"/>
        <v>0.96416666666666595</v>
      </c>
      <c r="AG26" s="177"/>
    </row>
    <row r="27" spans="1:33" ht="15.75" customHeight="1">
      <c r="A27" s="196" t="s">
        <v>170</v>
      </c>
      <c r="B27" s="28" t="s">
        <v>165</v>
      </c>
      <c r="C27" s="178"/>
      <c r="D27" s="178"/>
      <c r="E27" s="92"/>
      <c r="F27" s="88"/>
      <c r="G27" s="88"/>
      <c r="H27" s="88"/>
      <c r="I27" s="23">
        <v>15</v>
      </c>
      <c r="J27" s="13">
        <v>1928.5714285714287</v>
      </c>
      <c r="K27" s="12">
        <f t="shared" si="1"/>
        <v>128.57142857142858</v>
      </c>
      <c r="L27" s="23">
        <v>15</v>
      </c>
      <c r="M27" s="13">
        <f>AVERAGE(M20:M26)</f>
        <v>1855.0054699847753</v>
      </c>
      <c r="N27" s="12">
        <f t="shared" si="3"/>
        <v>123.66703133231836</v>
      </c>
      <c r="O27" s="14">
        <f t="shared" si="4"/>
        <v>0</v>
      </c>
      <c r="P27" s="15">
        <f t="shared" si="5"/>
        <v>-4.9043972391102244</v>
      </c>
      <c r="Q27" s="91">
        <f t="shared" si="6"/>
        <v>0.96185468814025377</v>
      </c>
      <c r="R27" s="177"/>
      <c r="S27" s="21"/>
      <c r="T27" s="21"/>
      <c r="U27" s="12"/>
      <c r="V27" s="30"/>
      <c r="W27" s="12"/>
      <c r="X27" s="12"/>
      <c r="Y27" s="24">
        <f>SUM(Y20:Y26)</f>
        <v>0</v>
      </c>
      <c r="Z27" s="24">
        <f>SUM(Z20:Z26)</f>
        <v>0</v>
      </c>
      <c r="AA27" s="167"/>
      <c r="AB27" s="167"/>
      <c r="AC27" s="24">
        <v>7</v>
      </c>
      <c r="AD27" s="24">
        <f>SUM(AD20:AD26)</f>
        <v>0</v>
      </c>
      <c r="AE27" s="14">
        <f t="shared" si="8"/>
        <v>-73.565958586653323</v>
      </c>
      <c r="AF27" s="91">
        <f t="shared" si="9"/>
        <v>0.96185468814025388</v>
      </c>
      <c r="AG27" s="177"/>
    </row>
    <row r="28" spans="1:33" ht="15.75" customHeight="1">
      <c r="A28" s="194" t="s">
        <v>267</v>
      </c>
      <c r="B28" s="28" t="s">
        <v>22</v>
      </c>
      <c r="C28" s="193" t="s">
        <v>23</v>
      </c>
      <c r="D28" s="193"/>
      <c r="E28" s="28">
        <v>31.29</v>
      </c>
      <c r="F28" s="88">
        <v>4500</v>
      </c>
      <c r="G28" s="88">
        <f t="shared" ref="G28:G33" si="23">E28*F28</f>
        <v>140805</v>
      </c>
      <c r="H28" s="30">
        <v>2</v>
      </c>
      <c r="I28" s="95">
        <v>18</v>
      </c>
      <c r="J28" s="13">
        <v>2400</v>
      </c>
      <c r="K28" s="12">
        <f t="shared" si="1"/>
        <v>133.33333333333334</v>
      </c>
      <c r="L28" s="95">
        <v>18</v>
      </c>
      <c r="M28" s="13">
        <f t="shared" ref="M28:M33" si="24">F28/V28*60</f>
        <v>2288.1355932203392</v>
      </c>
      <c r="N28" s="12">
        <f t="shared" si="3"/>
        <v>127.11864406779662</v>
      </c>
      <c r="O28" s="14">
        <f t="shared" si="4"/>
        <v>0</v>
      </c>
      <c r="P28" s="15">
        <f t="shared" si="5"/>
        <v>-6.2146892655367196</v>
      </c>
      <c r="Q28" s="91">
        <f t="shared" si="6"/>
        <v>0.95338983050847459</v>
      </c>
      <c r="R28" s="177">
        <f>Q34</f>
        <v>0.95696541004094426</v>
      </c>
      <c r="S28" s="21">
        <v>8.3333333333333329E-2</v>
      </c>
      <c r="T28" s="21">
        <v>0.16527777777777777</v>
      </c>
      <c r="U28" s="88"/>
      <c r="V28" s="30">
        <f t="shared" ref="V28:V33" si="25">(T28-S28)*24*60</f>
        <v>118</v>
      </c>
      <c r="W28" s="16">
        <f>T28</f>
        <v>0.16527777777777777</v>
      </c>
      <c r="X28" s="16">
        <f>S29</f>
        <v>0.18680555555555556</v>
      </c>
      <c r="Y28" s="16"/>
      <c r="Z28" s="16"/>
      <c r="AA28" s="168"/>
      <c r="AB28" s="168"/>
      <c r="AC28" s="18">
        <v>6</v>
      </c>
      <c r="AD28" s="18"/>
      <c r="AE28" s="14">
        <f t="shared" si="8"/>
        <v>-111.86440677966084</v>
      </c>
      <c r="AF28" s="91">
        <f t="shared" si="9"/>
        <v>0.9533898305084747</v>
      </c>
      <c r="AG28" s="177">
        <f>AF34</f>
        <v>0.95696541004094415</v>
      </c>
    </row>
    <row r="29" spans="1:33" ht="15.75" customHeight="1">
      <c r="A29" s="194" t="s">
        <v>689</v>
      </c>
      <c r="B29" s="28" t="s">
        <v>22</v>
      </c>
      <c r="C29" s="193" t="s">
        <v>24</v>
      </c>
      <c r="D29" s="193"/>
      <c r="E29" s="28">
        <v>25.98</v>
      </c>
      <c r="F29" s="88">
        <v>3494</v>
      </c>
      <c r="G29" s="88">
        <f t="shared" si="23"/>
        <v>90774.12</v>
      </c>
      <c r="H29" s="30" t="s">
        <v>53</v>
      </c>
      <c r="I29" s="95">
        <v>21</v>
      </c>
      <c r="J29" s="13">
        <v>2400</v>
      </c>
      <c r="K29" s="12">
        <f t="shared" si="1"/>
        <v>114.28571428571429</v>
      </c>
      <c r="L29" s="95">
        <v>21</v>
      </c>
      <c r="M29" s="13">
        <f t="shared" si="24"/>
        <v>2303.7362637362635</v>
      </c>
      <c r="N29" s="12">
        <f t="shared" si="3"/>
        <v>109.70172684458397</v>
      </c>
      <c r="O29" s="14">
        <f t="shared" si="4"/>
        <v>0</v>
      </c>
      <c r="P29" s="15">
        <f t="shared" si="5"/>
        <v>-4.5839874411303185</v>
      </c>
      <c r="Q29" s="91">
        <f t="shared" si="6"/>
        <v>0.9598901098901097</v>
      </c>
      <c r="R29" s="177"/>
      <c r="S29" s="21">
        <v>0.18680555555555556</v>
      </c>
      <c r="T29" s="21">
        <v>0.25</v>
      </c>
      <c r="U29" s="88">
        <f t="shared" ref="U29:U33" si="26">(S29-T28)*24*60</f>
        <v>31.000000000000011</v>
      </c>
      <c r="V29" s="30">
        <f t="shared" si="25"/>
        <v>91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8"/>
        <v>-96.263736263736519</v>
      </c>
      <c r="AF29" s="91">
        <f t="shared" si="9"/>
        <v>0.95989010989010981</v>
      </c>
      <c r="AG29" s="177"/>
    </row>
    <row r="30" spans="1:33" ht="15.75" customHeight="1">
      <c r="A30" s="194" t="s">
        <v>267</v>
      </c>
      <c r="B30" s="28" t="s">
        <v>22</v>
      </c>
      <c r="C30" s="193" t="s">
        <v>25</v>
      </c>
      <c r="D30" s="193"/>
      <c r="E30" s="28">
        <v>26.2</v>
      </c>
      <c r="F30" s="88">
        <v>6069</v>
      </c>
      <c r="G30" s="88">
        <f t="shared" si="23"/>
        <v>159007.79999999999</v>
      </c>
      <c r="H30" s="30" t="s">
        <v>53</v>
      </c>
      <c r="I30" s="95">
        <v>20</v>
      </c>
      <c r="J30" s="13">
        <v>2400</v>
      </c>
      <c r="K30" s="12">
        <f t="shared" si="1"/>
        <v>120</v>
      </c>
      <c r="L30" s="95">
        <v>20</v>
      </c>
      <c r="M30" s="13">
        <f t="shared" si="24"/>
        <v>2290.1886792452833</v>
      </c>
      <c r="N30" s="12">
        <f t="shared" si="3"/>
        <v>114.50943396226417</v>
      </c>
      <c r="O30" s="14">
        <f t="shared" si="4"/>
        <v>0</v>
      </c>
      <c r="P30" s="15">
        <f t="shared" si="5"/>
        <v>-5.4905660377358316</v>
      </c>
      <c r="Q30" s="91">
        <f t="shared" si="6"/>
        <v>0.95424528301886802</v>
      </c>
      <c r="R30" s="177"/>
      <c r="S30" s="21">
        <v>0.25486111111111109</v>
      </c>
      <c r="T30" s="21">
        <v>0.36527777777777776</v>
      </c>
      <c r="U30" s="88">
        <f t="shared" si="26"/>
        <v>6.9999999999999751</v>
      </c>
      <c r="V30" s="30">
        <f t="shared" si="25"/>
        <v>159</v>
      </c>
      <c r="W30" s="16"/>
      <c r="X30" s="16"/>
      <c r="Y30" s="16"/>
      <c r="Z30" s="16"/>
      <c r="AA30" s="168"/>
      <c r="AB30" s="168"/>
      <c r="AC30" s="18"/>
      <c r="AD30" s="18"/>
      <c r="AE30" s="14">
        <f t="shared" si="8"/>
        <v>-109.81132075471669</v>
      </c>
      <c r="AF30" s="91">
        <f t="shared" si="9"/>
        <v>0.95424528301886802</v>
      </c>
      <c r="AG30" s="177"/>
    </row>
    <row r="31" spans="1:33" ht="15.75" customHeight="1">
      <c r="A31" s="194" t="s">
        <v>267</v>
      </c>
      <c r="B31" s="28" t="s">
        <v>22</v>
      </c>
      <c r="C31" s="193" t="s">
        <v>26</v>
      </c>
      <c r="D31" s="193"/>
      <c r="E31" s="28">
        <v>25.99</v>
      </c>
      <c r="F31" s="88">
        <v>4700</v>
      </c>
      <c r="G31" s="88">
        <f t="shared" si="23"/>
        <v>122152.99999999999</v>
      </c>
      <c r="H31" s="30" t="s">
        <v>53</v>
      </c>
      <c r="I31" s="95">
        <v>14</v>
      </c>
      <c r="J31" s="13">
        <v>2400</v>
      </c>
      <c r="K31" s="12">
        <f t="shared" si="1"/>
        <v>171.42857142857142</v>
      </c>
      <c r="L31" s="95">
        <v>14</v>
      </c>
      <c r="M31" s="13">
        <f t="shared" si="24"/>
        <v>2292.682926829269</v>
      </c>
      <c r="N31" s="12">
        <f t="shared" si="3"/>
        <v>163.76306620209064</v>
      </c>
      <c r="O31" s="14">
        <f t="shared" si="4"/>
        <v>0</v>
      </c>
      <c r="P31" s="15">
        <f t="shared" si="5"/>
        <v>-7.665505226480775</v>
      </c>
      <c r="Q31" s="91">
        <f t="shared" si="6"/>
        <v>0.95528455284552882</v>
      </c>
      <c r="R31" s="177"/>
      <c r="S31" s="21">
        <v>0.37083333333333329</v>
      </c>
      <c r="T31" s="21">
        <v>0.45624999999999993</v>
      </c>
      <c r="U31" s="88">
        <f t="shared" si="26"/>
        <v>7.9999999999999716</v>
      </c>
      <c r="V31" s="30">
        <f t="shared" si="25"/>
        <v>122.99999999999996</v>
      </c>
      <c r="W31" s="16"/>
      <c r="X31" s="16"/>
      <c r="Y31" s="16"/>
      <c r="Z31" s="16"/>
      <c r="AA31" s="168"/>
      <c r="AB31" s="168"/>
      <c r="AC31" s="18"/>
      <c r="AD31" s="18"/>
      <c r="AE31" s="14">
        <f t="shared" si="8"/>
        <v>-107.31707317073096</v>
      </c>
      <c r="AF31" s="91">
        <f t="shared" si="9"/>
        <v>0.95528455284552871</v>
      </c>
      <c r="AG31" s="177"/>
    </row>
    <row r="32" spans="1:33" ht="15.75" customHeight="1">
      <c r="A32" s="194" t="s">
        <v>267</v>
      </c>
      <c r="B32" s="28" t="s">
        <v>22</v>
      </c>
      <c r="C32" s="193" t="s">
        <v>27</v>
      </c>
      <c r="D32" s="193"/>
      <c r="E32" s="28">
        <v>26.18</v>
      </c>
      <c r="F32" s="88">
        <v>1890</v>
      </c>
      <c r="G32" s="88">
        <f t="shared" si="23"/>
        <v>49480.2</v>
      </c>
      <c r="H32" s="30" t="s">
        <v>53</v>
      </c>
      <c r="I32" s="95">
        <v>19</v>
      </c>
      <c r="J32" s="13">
        <v>2400</v>
      </c>
      <c r="K32" s="12">
        <f t="shared" si="1"/>
        <v>126.31578947368421</v>
      </c>
      <c r="L32" s="95">
        <v>19</v>
      </c>
      <c r="M32" s="13">
        <f t="shared" si="24"/>
        <v>2314.2857142857151</v>
      </c>
      <c r="N32" s="12">
        <f t="shared" si="3"/>
        <v>121.80451127819553</v>
      </c>
      <c r="O32" s="14">
        <f t="shared" si="4"/>
        <v>0</v>
      </c>
      <c r="P32" s="15">
        <f t="shared" si="5"/>
        <v>-4.5112781954886714</v>
      </c>
      <c r="Q32" s="91">
        <f t="shared" si="6"/>
        <v>0.96428571428571463</v>
      </c>
      <c r="R32" s="177"/>
      <c r="S32" s="21">
        <v>0.45972222222222214</v>
      </c>
      <c r="T32" s="21">
        <v>0.49374999999999991</v>
      </c>
      <c r="U32" s="88">
        <f t="shared" si="26"/>
        <v>4.9999999999999822</v>
      </c>
      <c r="V32" s="30">
        <f t="shared" si="25"/>
        <v>48.999999999999986</v>
      </c>
      <c r="W32" s="16">
        <f>T32</f>
        <v>0.49374999999999991</v>
      </c>
      <c r="X32" s="16">
        <f>S33</f>
        <v>0.53611111111111098</v>
      </c>
      <c r="Y32" s="16"/>
      <c r="Z32" s="16"/>
      <c r="AA32" s="168"/>
      <c r="AB32" s="168"/>
      <c r="AC32" s="18"/>
      <c r="AD32" s="18"/>
      <c r="AE32" s="14">
        <f t="shared" si="8"/>
        <v>-85.71428571428487</v>
      </c>
      <c r="AF32" s="91">
        <f t="shared" si="9"/>
        <v>0.96428571428571463</v>
      </c>
      <c r="AG32" s="177"/>
    </row>
    <row r="33" spans="1:33" ht="15.75" customHeight="1">
      <c r="A33" s="194" t="s">
        <v>267</v>
      </c>
      <c r="B33" s="28" t="s">
        <v>22</v>
      </c>
      <c r="C33" s="193" t="s">
        <v>23</v>
      </c>
      <c r="D33" s="193"/>
      <c r="E33" s="28">
        <v>31.29</v>
      </c>
      <c r="F33" s="88">
        <v>6301</v>
      </c>
      <c r="G33" s="88">
        <f t="shared" si="23"/>
        <v>197158.29</v>
      </c>
      <c r="H33" s="30" t="s">
        <v>53</v>
      </c>
      <c r="I33" s="95">
        <v>18</v>
      </c>
      <c r="J33" s="13">
        <v>2400</v>
      </c>
      <c r="K33" s="12">
        <f t="shared" si="1"/>
        <v>133.33333333333334</v>
      </c>
      <c r="L33" s="95">
        <v>18</v>
      </c>
      <c r="M33" s="13">
        <f t="shared" si="24"/>
        <v>2291.2727272727266</v>
      </c>
      <c r="N33" s="12">
        <f t="shared" si="3"/>
        <v>127.29292929292926</v>
      </c>
      <c r="O33" s="14">
        <f t="shared" si="4"/>
        <v>0</v>
      </c>
      <c r="P33" s="15">
        <f t="shared" si="5"/>
        <v>-6.0404040404040842</v>
      </c>
      <c r="Q33" s="91">
        <f t="shared" si="6"/>
        <v>0.95469696969696938</v>
      </c>
      <c r="R33" s="177"/>
      <c r="S33" s="21">
        <v>0.53611111111111098</v>
      </c>
      <c r="T33" s="21">
        <v>0.65069444444444435</v>
      </c>
      <c r="U33" s="88">
        <f t="shared" si="26"/>
        <v>60.999999999999943</v>
      </c>
      <c r="V33" s="30">
        <f t="shared" si="25"/>
        <v>165.00000000000006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-108.72727272727343</v>
      </c>
      <c r="AF33" s="91">
        <f t="shared" si="9"/>
        <v>0.95469696969696938</v>
      </c>
      <c r="AG33" s="177"/>
    </row>
    <row r="34" spans="1:33" ht="15.75" customHeight="1">
      <c r="A34" s="194" t="s">
        <v>267</v>
      </c>
      <c r="B34" s="28" t="s">
        <v>165</v>
      </c>
      <c r="C34" s="178"/>
      <c r="D34" s="178"/>
      <c r="E34" s="92"/>
      <c r="F34" s="88"/>
      <c r="G34" s="88"/>
      <c r="H34" s="88"/>
      <c r="I34" s="23">
        <v>18.333333333333332</v>
      </c>
      <c r="J34" s="13">
        <v>2400</v>
      </c>
      <c r="K34" s="12">
        <f t="shared" si="1"/>
        <v>130.90909090909091</v>
      </c>
      <c r="L34" s="23">
        <v>18.333333333333332</v>
      </c>
      <c r="M34" s="13">
        <f>AVERAGE(M28:M33)</f>
        <v>2296.716984098266</v>
      </c>
      <c r="N34" s="12">
        <f t="shared" si="3"/>
        <v>125.27547185990542</v>
      </c>
      <c r="O34" s="14">
        <f t="shared" si="4"/>
        <v>0</v>
      </c>
      <c r="P34" s="15">
        <f t="shared" si="5"/>
        <v>-5.6336190491854836</v>
      </c>
      <c r="Q34" s="91">
        <f t="shared" si="6"/>
        <v>0.95696541004094426</v>
      </c>
      <c r="R34" s="177"/>
      <c r="S34" s="21"/>
      <c r="T34" s="21"/>
      <c r="U34" s="88"/>
      <c r="V34" s="30"/>
      <c r="W34" s="88"/>
      <c r="X34" s="88"/>
      <c r="Y34" s="24">
        <f>SUM(Y28:Y33)</f>
        <v>0</v>
      </c>
      <c r="Z34" s="24">
        <f>SUM(Z28:Z33)</f>
        <v>0</v>
      </c>
      <c r="AA34" s="167"/>
      <c r="AB34" s="167"/>
      <c r="AC34" s="24">
        <v>6</v>
      </c>
      <c r="AD34" s="24">
        <f>SUM(AD28:AD33)</f>
        <v>0</v>
      </c>
      <c r="AE34" s="14">
        <f t="shared" si="8"/>
        <v>-103.28301590173396</v>
      </c>
      <c r="AF34" s="91">
        <f t="shared" si="9"/>
        <v>0.95696541004094415</v>
      </c>
      <c r="AG34" s="177"/>
    </row>
    <row r="35" spans="1:33" ht="15.75" customHeight="1">
      <c r="A35" s="191" t="s">
        <v>268</v>
      </c>
      <c r="B35" s="28" t="s">
        <v>22</v>
      </c>
      <c r="C35" s="169" t="s">
        <v>28</v>
      </c>
      <c r="D35" s="169"/>
      <c r="E35" s="28">
        <v>26.2</v>
      </c>
      <c r="F35" s="88">
        <v>4500</v>
      </c>
      <c r="G35" s="88">
        <f t="shared" ref="G35:G41" si="27">E35*F35</f>
        <v>117900</v>
      </c>
      <c r="H35" s="30">
        <v>2</v>
      </c>
      <c r="I35" s="95">
        <v>18</v>
      </c>
      <c r="J35" s="13">
        <v>2400</v>
      </c>
      <c r="K35" s="12">
        <f t="shared" si="1"/>
        <v>133.33333333333334</v>
      </c>
      <c r="L35" s="95">
        <v>18</v>
      </c>
      <c r="M35" s="13">
        <f t="shared" ref="M35:M41" si="28">F35/V35*60</f>
        <v>2288.1355932203392</v>
      </c>
      <c r="N35" s="12">
        <f t="shared" si="3"/>
        <v>127.11864406779662</v>
      </c>
      <c r="O35" s="14">
        <f t="shared" si="4"/>
        <v>0</v>
      </c>
      <c r="P35" s="15">
        <f t="shared" si="5"/>
        <v>-6.2146892655367196</v>
      </c>
      <c r="Q35" s="91">
        <f t="shared" si="6"/>
        <v>0.95338983050847459</v>
      </c>
      <c r="R35" s="177">
        <f>Q42</f>
        <v>0.95587853426914582</v>
      </c>
      <c r="S35" s="21">
        <v>8.3333333333333329E-2</v>
      </c>
      <c r="T35" s="21">
        <v>0.16527777777777777</v>
      </c>
      <c r="U35" s="88"/>
      <c r="V35" s="30">
        <f t="shared" ref="V35:V41" si="29">(T35-S35)*24*60</f>
        <v>118</v>
      </c>
      <c r="W35" s="21">
        <f>T35</f>
        <v>0.16527777777777777</v>
      </c>
      <c r="X35" s="21">
        <f>S36</f>
        <v>0.18333333333333332</v>
      </c>
      <c r="Y35" s="21"/>
      <c r="Z35" s="21"/>
      <c r="AA35" s="168"/>
      <c r="AB35" s="168"/>
      <c r="AC35" s="18">
        <v>7</v>
      </c>
      <c r="AD35" s="18"/>
      <c r="AE35" s="14">
        <f t="shared" si="8"/>
        <v>-111.86440677966084</v>
      </c>
      <c r="AF35" s="91">
        <f t="shared" si="9"/>
        <v>0.9533898305084747</v>
      </c>
      <c r="AG35" s="177">
        <f>AF42</f>
        <v>0.95587853426914593</v>
      </c>
    </row>
    <row r="36" spans="1:33" ht="15.75" customHeight="1">
      <c r="A36" s="191" t="s">
        <v>268</v>
      </c>
      <c r="B36" s="28" t="s">
        <v>22</v>
      </c>
      <c r="C36" s="169" t="s">
        <v>29</v>
      </c>
      <c r="D36" s="169"/>
      <c r="E36" s="28">
        <v>20.52</v>
      </c>
      <c r="F36" s="88">
        <v>4744</v>
      </c>
      <c r="G36" s="88">
        <f t="shared" si="27"/>
        <v>97346.880000000005</v>
      </c>
      <c r="H36" s="30" t="s">
        <v>53</v>
      </c>
      <c r="I36" s="95">
        <v>18</v>
      </c>
      <c r="J36" s="13">
        <v>2400</v>
      </c>
      <c r="K36" s="12">
        <f t="shared" si="1"/>
        <v>133.33333333333334</v>
      </c>
      <c r="L36" s="95">
        <v>18</v>
      </c>
      <c r="M36" s="13">
        <f t="shared" si="28"/>
        <v>2295.4838709677424</v>
      </c>
      <c r="N36" s="12">
        <f t="shared" si="3"/>
        <v>127.52688172043014</v>
      </c>
      <c r="O36" s="14">
        <f t="shared" si="4"/>
        <v>0</v>
      </c>
      <c r="P36" s="15">
        <f t="shared" si="5"/>
        <v>-5.8064516129032029</v>
      </c>
      <c r="Q36" s="91">
        <f t="shared" si="6"/>
        <v>0.956451612903226</v>
      </c>
      <c r="R36" s="177"/>
      <c r="S36" s="21">
        <v>0.18333333333333332</v>
      </c>
      <c r="T36" s="21">
        <v>0.26944444444444443</v>
      </c>
      <c r="U36" s="88">
        <f t="shared" ref="U36:U41" si="30">(S36-T35)*24*60</f>
        <v>25.999999999999986</v>
      </c>
      <c r="V36" s="30">
        <f t="shared" si="29"/>
        <v>123.99999999999999</v>
      </c>
      <c r="W36" s="88"/>
      <c r="X36" s="88"/>
      <c r="Y36" s="88"/>
      <c r="Z36" s="88"/>
      <c r="AA36" s="168"/>
      <c r="AB36" s="168"/>
      <c r="AC36" s="18"/>
      <c r="AD36" s="18"/>
      <c r="AE36" s="14">
        <f t="shared" si="8"/>
        <v>-104.5161290322576</v>
      </c>
      <c r="AF36" s="91">
        <f t="shared" si="9"/>
        <v>0.956451612903226</v>
      </c>
      <c r="AG36" s="177"/>
    </row>
    <row r="37" spans="1:33">
      <c r="A37" s="192" t="s">
        <v>268</v>
      </c>
      <c r="B37" s="28" t="s">
        <v>22</v>
      </c>
      <c r="C37" s="169" t="s">
        <v>32</v>
      </c>
      <c r="D37" s="169"/>
      <c r="E37" s="28">
        <v>20.52</v>
      </c>
      <c r="F37" s="88">
        <v>3174</v>
      </c>
      <c r="G37" s="88">
        <f t="shared" si="27"/>
        <v>65130.479999999996</v>
      </c>
      <c r="H37" s="30" t="s">
        <v>53</v>
      </c>
      <c r="I37" s="95">
        <v>18</v>
      </c>
      <c r="J37" s="13">
        <v>2400</v>
      </c>
      <c r="K37" s="12">
        <f t="shared" si="1"/>
        <v>133.33333333333334</v>
      </c>
      <c r="L37" s="95">
        <v>18</v>
      </c>
      <c r="M37" s="13">
        <f t="shared" si="28"/>
        <v>2294.4578313253005</v>
      </c>
      <c r="N37" s="12">
        <f t="shared" si="3"/>
        <v>127.46987951807225</v>
      </c>
      <c r="O37" s="14">
        <f t="shared" si="4"/>
        <v>0</v>
      </c>
      <c r="P37" s="15">
        <f t="shared" si="5"/>
        <v>-5.8634538152610958</v>
      </c>
      <c r="Q37" s="91">
        <f t="shared" si="6"/>
        <v>0.95602409638554176</v>
      </c>
      <c r="R37" s="177"/>
      <c r="S37" s="21">
        <v>0.27499999999999997</v>
      </c>
      <c r="T37" s="21">
        <v>0.33263888888888887</v>
      </c>
      <c r="U37" s="88">
        <f t="shared" si="30"/>
        <v>7.9999999999999716</v>
      </c>
      <c r="V37" s="30">
        <f t="shared" si="29"/>
        <v>83.000000000000028</v>
      </c>
      <c r="W37" s="88"/>
      <c r="X37" s="88"/>
      <c r="Y37" s="88"/>
      <c r="Z37" s="88"/>
      <c r="AA37" s="168"/>
      <c r="AB37" s="168"/>
      <c r="AC37" s="18"/>
      <c r="AD37" s="18"/>
      <c r="AE37" s="14">
        <f t="shared" si="8"/>
        <v>-105.5421686746995</v>
      </c>
      <c r="AF37" s="91">
        <f t="shared" si="9"/>
        <v>0.95602409638554187</v>
      </c>
      <c r="AG37" s="177"/>
    </row>
    <row r="38" spans="1:33">
      <c r="A38" s="192" t="s">
        <v>268</v>
      </c>
      <c r="B38" s="28" t="s">
        <v>22</v>
      </c>
      <c r="C38" s="169" t="s">
        <v>70</v>
      </c>
      <c r="D38" s="169"/>
      <c r="E38" s="28">
        <v>22.69</v>
      </c>
      <c r="F38" s="88">
        <v>5949</v>
      </c>
      <c r="G38" s="88">
        <f t="shared" si="27"/>
        <v>134982.81</v>
      </c>
      <c r="H38" s="30" t="s">
        <v>53</v>
      </c>
      <c r="I38" s="95">
        <v>15</v>
      </c>
      <c r="J38" s="13">
        <v>2400</v>
      </c>
      <c r="K38" s="12">
        <f t="shared" si="1"/>
        <v>160</v>
      </c>
      <c r="L38" s="95">
        <v>15</v>
      </c>
      <c r="M38" s="13">
        <f t="shared" si="28"/>
        <v>2288.0769230769233</v>
      </c>
      <c r="N38" s="12">
        <f t="shared" si="3"/>
        <v>152.53846153846155</v>
      </c>
      <c r="O38" s="14">
        <f t="shared" si="4"/>
        <v>0</v>
      </c>
      <c r="P38" s="15">
        <f t="shared" si="5"/>
        <v>-7.4615384615384528</v>
      </c>
      <c r="Q38" s="91">
        <f t="shared" si="6"/>
        <v>0.95336538461538467</v>
      </c>
      <c r="R38" s="177"/>
      <c r="S38" s="21">
        <v>0.33611111111111108</v>
      </c>
      <c r="T38" s="21">
        <v>0.44444444444444442</v>
      </c>
      <c r="U38" s="88">
        <f t="shared" si="30"/>
        <v>4.9999999999999822</v>
      </c>
      <c r="V38" s="30">
        <f t="shared" si="29"/>
        <v>156</v>
      </c>
      <c r="W38" s="16"/>
      <c r="X38" s="16"/>
      <c r="Y38" s="16"/>
      <c r="Z38" s="16"/>
      <c r="AA38" s="168"/>
      <c r="AB38" s="168"/>
      <c r="AC38" s="18"/>
      <c r="AD38" s="18"/>
      <c r="AE38" s="14">
        <f t="shared" si="8"/>
        <v>-111.92307692307668</v>
      </c>
      <c r="AF38" s="91">
        <f t="shared" si="9"/>
        <v>0.95336538461538467</v>
      </c>
      <c r="AG38" s="177"/>
    </row>
    <row r="39" spans="1:33">
      <c r="A39" s="192" t="s">
        <v>268</v>
      </c>
      <c r="B39" s="28" t="s">
        <v>22</v>
      </c>
      <c r="C39" s="169" t="s">
        <v>30</v>
      </c>
      <c r="D39" s="169"/>
      <c r="E39" s="28">
        <v>26.39</v>
      </c>
      <c r="F39" s="88">
        <v>2800</v>
      </c>
      <c r="G39" s="88">
        <f t="shared" si="27"/>
        <v>73892</v>
      </c>
      <c r="H39" s="30">
        <v>2</v>
      </c>
      <c r="I39" s="95">
        <v>19</v>
      </c>
      <c r="J39" s="13">
        <v>2400</v>
      </c>
      <c r="K39" s="12">
        <f t="shared" si="1"/>
        <v>126.31578947368421</v>
      </c>
      <c r="L39" s="95">
        <v>19</v>
      </c>
      <c r="M39" s="13">
        <f t="shared" si="28"/>
        <v>2301.3698630136987</v>
      </c>
      <c r="N39" s="12">
        <f t="shared" si="3"/>
        <v>121.12472963229993</v>
      </c>
      <c r="O39" s="14">
        <f t="shared" si="4"/>
        <v>0</v>
      </c>
      <c r="P39" s="15">
        <f t="shared" si="5"/>
        <v>-5.1910598413842735</v>
      </c>
      <c r="Q39" s="91">
        <f t="shared" si="6"/>
        <v>0.95890410958904115</v>
      </c>
      <c r="R39" s="177"/>
      <c r="S39" s="21">
        <v>0.44930555555555551</v>
      </c>
      <c r="T39" s="21">
        <v>0.49999999999999994</v>
      </c>
      <c r="U39" s="88">
        <f t="shared" si="30"/>
        <v>6.9999999999999751</v>
      </c>
      <c r="V39" s="30">
        <f t="shared" si="29"/>
        <v>72.999999999999986</v>
      </c>
      <c r="W39" s="16">
        <f>T39</f>
        <v>0.49999999999999994</v>
      </c>
      <c r="X39" s="16">
        <f>S40</f>
        <v>0.5395833333333333</v>
      </c>
      <c r="Y39" s="16"/>
      <c r="Z39" s="16"/>
      <c r="AA39" s="168"/>
      <c r="AB39" s="168"/>
      <c r="AC39" s="18"/>
      <c r="AD39" s="18"/>
      <c r="AE39" s="14">
        <f t="shared" si="8"/>
        <v>-98.630136986301295</v>
      </c>
      <c r="AF39" s="91">
        <f t="shared" si="9"/>
        <v>0.95890410958904115</v>
      </c>
      <c r="AG39" s="177"/>
    </row>
    <row r="40" spans="1:33">
      <c r="A40" s="192" t="s">
        <v>268</v>
      </c>
      <c r="B40" s="28" t="s">
        <v>22</v>
      </c>
      <c r="C40" s="169" t="s">
        <v>30</v>
      </c>
      <c r="D40" s="169"/>
      <c r="E40" s="28">
        <v>26.39</v>
      </c>
      <c r="F40" s="88">
        <v>3978</v>
      </c>
      <c r="G40" s="88">
        <f t="shared" si="27"/>
        <v>104979.42</v>
      </c>
      <c r="H40" s="30" t="s">
        <v>53</v>
      </c>
      <c r="I40" s="95">
        <v>19</v>
      </c>
      <c r="J40" s="13">
        <v>2400</v>
      </c>
      <c r="K40" s="12">
        <f t="shared" si="1"/>
        <v>126.31578947368421</v>
      </c>
      <c r="L40" s="95">
        <v>19</v>
      </c>
      <c r="M40" s="13">
        <f t="shared" si="28"/>
        <v>2295.0000000000014</v>
      </c>
      <c r="N40" s="12">
        <f t="shared" si="3"/>
        <v>120.78947368421059</v>
      </c>
      <c r="O40" s="14">
        <f t="shared" si="4"/>
        <v>0</v>
      </c>
      <c r="P40" s="15">
        <f t="shared" si="5"/>
        <v>-5.5263157894736139</v>
      </c>
      <c r="Q40" s="91">
        <f t="shared" si="6"/>
        <v>0.9562500000000006</v>
      </c>
      <c r="R40" s="177"/>
      <c r="S40" s="21">
        <v>0.5395833333333333</v>
      </c>
      <c r="T40" s="21">
        <v>0.61180555555555549</v>
      </c>
      <c r="U40" s="88">
        <f t="shared" si="30"/>
        <v>57.000000000000036</v>
      </c>
      <c r="V40" s="30">
        <f t="shared" si="29"/>
        <v>103.99999999999994</v>
      </c>
      <c r="W40" s="16"/>
      <c r="X40" s="16"/>
      <c r="Y40" s="16"/>
      <c r="Z40" s="16"/>
      <c r="AA40" s="168"/>
      <c r="AB40" s="168"/>
      <c r="AC40" s="18"/>
      <c r="AD40" s="18"/>
      <c r="AE40" s="14">
        <f t="shared" si="8"/>
        <v>-104.99999999999864</v>
      </c>
      <c r="AF40" s="91">
        <f t="shared" si="9"/>
        <v>0.9562500000000006</v>
      </c>
      <c r="AG40" s="177"/>
    </row>
    <row r="41" spans="1:33">
      <c r="A41" s="192" t="s">
        <v>268</v>
      </c>
      <c r="B41" s="28" t="s">
        <v>22</v>
      </c>
      <c r="C41" s="169" t="s">
        <v>28</v>
      </c>
      <c r="D41" s="169"/>
      <c r="E41" s="28">
        <v>26.2</v>
      </c>
      <c r="F41" s="88">
        <v>3253</v>
      </c>
      <c r="G41" s="88">
        <f t="shared" si="27"/>
        <v>85228.599999999991</v>
      </c>
      <c r="H41" s="30" t="s">
        <v>53</v>
      </c>
      <c r="I41" s="95">
        <v>18</v>
      </c>
      <c r="J41" s="13">
        <v>2400</v>
      </c>
      <c r="K41" s="12">
        <f t="shared" si="1"/>
        <v>133.33333333333334</v>
      </c>
      <c r="L41" s="95">
        <v>18</v>
      </c>
      <c r="M41" s="13">
        <f t="shared" si="28"/>
        <v>2296.2352941176468</v>
      </c>
      <c r="N41" s="12">
        <f t="shared" si="3"/>
        <v>127.56862745098039</v>
      </c>
      <c r="O41" s="14">
        <f t="shared" si="4"/>
        <v>0</v>
      </c>
      <c r="P41" s="15">
        <f t="shared" si="5"/>
        <v>-5.7647058823529562</v>
      </c>
      <c r="Q41" s="91">
        <f t="shared" si="6"/>
        <v>0.95676470588235285</v>
      </c>
      <c r="R41" s="177"/>
      <c r="S41" s="21">
        <v>0.6152777777777777</v>
      </c>
      <c r="T41" s="21">
        <v>0.67430555555555549</v>
      </c>
      <c r="U41" s="88">
        <f t="shared" si="30"/>
        <v>4.9999999999999822</v>
      </c>
      <c r="V41" s="30">
        <f t="shared" si="29"/>
        <v>85.000000000000014</v>
      </c>
      <c r="W41" s="16"/>
      <c r="X41" s="16"/>
      <c r="Y41" s="19"/>
      <c r="Z41" s="19"/>
      <c r="AA41" s="172"/>
      <c r="AB41" s="173"/>
      <c r="AC41" s="18"/>
      <c r="AD41" s="18"/>
      <c r="AE41" s="14">
        <f t="shared" si="8"/>
        <v>-103.76470588235316</v>
      </c>
      <c r="AF41" s="91">
        <f t="shared" si="9"/>
        <v>0.95676470588235285</v>
      </c>
      <c r="AG41" s="177"/>
    </row>
    <row r="42" spans="1:33">
      <c r="A42" s="192" t="s">
        <v>268</v>
      </c>
      <c r="B42" s="12" t="s">
        <v>165</v>
      </c>
      <c r="C42" s="178"/>
      <c r="D42" s="178"/>
      <c r="E42" s="92"/>
      <c r="F42" s="12"/>
      <c r="G42" s="12"/>
      <c r="H42" s="88"/>
      <c r="I42" s="23">
        <v>17.857142857142858</v>
      </c>
      <c r="J42" s="13">
        <v>2400</v>
      </c>
      <c r="K42" s="12">
        <f t="shared" si="1"/>
        <v>134.4</v>
      </c>
      <c r="L42" s="23">
        <v>17.857142857142858</v>
      </c>
      <c r="M42" s="13">
        <f>AVERAGE(M35:M41)</f>
        <v>2294.1084822459502</v>
      </c>
      <c r="N42" s="12">
        <f t="shared" si="3"/>
        <v>128.4700750057732</v>
      </c>
      <c r="O42" s="14">
        <f t="shared" si="4"/>
        <v>0</v>
      </c>
      <c r="P42" s="15">
        <f t="shared" si="5"/>
        <v>-5.9299249942268091</v>
      </c>
      <c r="Q42" s="91">
        <f t="shared" si="6"/>
        <v>0.95587853426914582</v>
      </c>
      <c r="R42" s="177"/>
      <c r="S42" s="21"/>
      <c r="T42" s="21"/>
      <c r="U42" s="12"/>
      <c r="V42" s="30"/>
      <c r="W42" s="12"/>
      <c r="X42" s="12"/>
      <c r="Y42" s="24">
        <f>SUM(Y35:Y41)</f>
        <v>0</v>
      </c>
      <c r="Z42" s="24">
        <f>SUM(Z35:Z41)</f>
        <v>0</v>
      </c>
      <c r="AA42" s="167"/>
      <c r="AB42" s="167"/>
      <c r="AC42" s="24">
        <v>7</v>
      </c>
      <c r="AD42" s="24">
        <f>SUM(AD35:AD41)</f>
        <v>0</v>
      </c>
      <c r="AE42" s="14">
        <f t="shared" si="8"/>
        <v>-105.8915177540498</v>
      </c>
      <c r="AF42" s="91">
        <f t="shared" si="9"/>
        <v>0.95587853426914593</v>
      </c>
      <c r="AG42" s="177"/>
    </row>
    <row r="43" spans="1:33" ht="15.75" customHeight="1">
      <c r="A43" s="188" t="s">
        <v>173</v>
      </c>
      <c r="B43" s="28" t="s">
        <v>33</v>
      </c>
      <c r="C43" s="170" t="s">
        <v>72</v>
      </c>
      <c r="D43" s="171"/>
      <c r="E43" s="28">
        <v>34.35</v>
      </c>
      <c r="F43" s="88">
        <v>3523</v>
      </c>
      <c r="G43" s="88">
        <f t="shared" ref="G43:G46" si="31">E43*F43</f>
        <v>121015.05</v>
      </c>
      <c r="H43" s="30" t="s">
        <v>53</v>
      </c>
      <c r="I43" s="95">
        <v>8</v>
      </c>
      <c r="J43" s="13">
        <v>3000</v>
      </c>
      <c r="K43" s="12">
        <f t="shared" si="1"/>
        <v>375</v>
      </c>
      <c r="L43" s="95">
        <v>8</v>
      </c>
      <c r="M43" s="13">
        <f t="shared" ref="M43:M46" si="32">F43/V43*60</f>
        <v>2856.4864864864862</v>
      </c>
      <c r="N43" s="13">
        <f t="shared" si="3"/>
        <v>357.06081081081078</v>
      </c>
      <c r="O43" s="14">
        <f t="shared" si="4"/>
        <v>0</v>
      </c>
      <c r="P43" s="15">
        <f t="shared" si="5"/>
        <v>-17.939189189189221</v>
      </c>
      <c r="Q43" s="91">
        <f t="shared" si="6"/>
        <v>0.9521621621621621</v>
      </c>
      <c r="R43" s="183">
        <f>Q47</f>
        <v>0.95357620785195252</v>
      </c>
      <c r="S43" s="21">
        <v>8.3333333333333329E-2</v>
      </c>
      <c r="T43" s="21">
        <v>0.13472222222222222</v>
      </c>
      <c r="U43" s="21"/>
      <c r="V43" s="30">
        <f t="shared" ref="V43:V46" si="33">(T43-S43)*24*60</f>
        <v>74</v>
      </c>
      <c r="W43" s="16">
        <f>T43</f>
        <v>0.13472222222222222</v>
      </c>
      <c r="X43" s="16">
        <f>S44</f>
        <v>0.15486111111111112</v>
      </c>
      <c r="Y43" s="19"/>
      <c r="Z43" s="19"/>
      <c r="AA43" s="172"/>
      <c r="AB43" s="173"/>
      <c r="AC43" s="18">
        <v>4</v>
      </c>
      <c r="AD43" s="18"/>
      <c r="AE43" s="14">
        <f t="shared" si="8"/>
        <v>-143.51351351351377</v>
      </c>
      <c r="AF43" s="91">
        <f t="shared" si="9"/>
        <v>0.9521621621621621</v>
      </c>
      <c r="AG43" s="183">
        <f>AF47</f>
        <v>0.95357620785195241</v>
      </c>
    </row>
    <row r="44" spans="1:33" ht="15.75" customHeight="1">
      <c r="A44" s="189" t="s">
        <v>173</v>
      </c>
      <c r="B44" s="28" t="s">
        <v>33</v>
      </c>
      <c r="C44" s="170" t="s">
        <v>36</v>
      </c>
      <c r="D44" s="171"/>
      <c r="E44" s="28">
        <v>21.13</v>
      </c>
      <c r="F44" s="88">
        <v>5958</v>
      </c>
      <c r="G44" s="88">
        <f t="shared" si="31"/>
        <v>125892.54</v>
      </c>
      <c r="H44" s="30" t="s">
        <v>53</v>
      </c>
      <c r="I44" s="95">
        <v>10</v>
      </c>
      <c r="J44" s="13">
        <v>3000</v>
      </c>
      <c r="K44" s="12">
        <f t="shared" si="1"/>
        <v>300</v>
      </c>
      <c r="L44" s="95">
        <v>10</v>
      </c>
      <c r="M44" s="13">
        <f t="shared" si="32"/>
        <v>2859.8399999999992</v>
      </c>
      <c r="N44" s="13">
        <f t="shared" si="3"/>
        <v>285.98399999999992</v>
      </c>
      <c r="O44" s="14">
        <f t="shared" si="4"/>
        <v>0</v>
      </c>
      <c r="P44" s="15">
        <f t="shared" si="5"/>
        <v>-14.016000000000076</v>
      </c>
      <c r="Q44" s="91">
        <f t="shared" si="6"/>
        <v>0.95327999999999979</v>
      </c>
      <c r="R44" s="184"/>
      <c r="S44" s="21">
        <v>0.15486111111111112</v>
      </c>
      <c r="T44" s="21">
        <v>0.2416666666666667</v>
      </c>
      <c r="U44" s="88">
        <f t="shared" ref="U44:U46" si="34">(S44-T43)*24*60</f>
        <v>29.000000000000018</v>
      </c>
      <c r="V44" s="30">
        <f t="shared" si="33"/>
        <v>125.00000000000003</v>
      </c>
      <c r="W44" s="16"/>
      <c r="X44" s="16"/>
      <c r="Y44" s="19"/>
      <c r="Z44" s="19"/>
      <c r="AA44" s="172"/>
      <c r="AB44" s="173"/>
      <c r="AC44" s="18"/>
      <c r="AD44" s="18"/>
      <c r="AE44" s="14">
        <f t="shared" si="8"/>
        <v>-140.16000000000076</v>
      </c>
      <c r="AF44" s="91">
        <f t="shared" si="9"/>
        <v>0.95327999999999979</v>
      </c>
      <c r="AG44" s="184"/>
    </row>
    <row r="45" spans="1:33" ht="15.75" customHeight="1">
      <c r="A45" s="189" t="s">
        <v>173</v>
      </c>
      <c r="B45" s="28" t="s">
        <v>33</v>
      </c>
      <c r="C45" s="170" t="s">
        <v>37</v>
      </c>
      <c r="D45" s="171"/>
      <c r="E45" s="28">
        <v>27.17</v>
      </c>
      <c r="F45" s="88">
        <v>7872</v>
      </c>
      <c r="G45" s="88">
        <f t="shared" si="31"/>
        <v>213882.24000000002</v>
      </c>
      <c r="H45" s="30" t="s">
        <v>53</v>
      </c>
      <c r="I45" s="95">
        <v>10</v>
      </c>
      <c r="J45" s="13">
        <v>3000</v>
      </c>
      <c r="K45" s="12">
        <f t="shared" si="1"/>
        <v>300</v>
      </c>
      <c r="L45" s="95">
        <v>10</v>
      </c>
      <c r="M45" s="13">
        <f t="shared" si="32"/>
        <v>2862.545454545455</v>
      </c>
      <c r="N45" s="13">
        <f t="shared" si="3"/>
        <v>286.25454545454551</v>
      </c>
      <c r="O45" s="14">
        <f t="shared" si="4"/>
        <v>0</v>
      </c>
      <c r="P45" s="15">
        <f t="shared" si="5"/>
        <v>-13.745454545454493</v>
      </c>
      <c r="Q45" s="91">
        <f t="shared" si="6"/>
        <v>0.95418181818181835</v>
      </c>
      <c r="R45" s="184"/>
      <c r="S45" s="21">
        <v>0.24513888888888891</v>
      </c>
      <c r="T45" s="21">
        <v>0.35972222222222222</v>
      </c>
      <c r="U45" s="88">
        <f t="shared" si="34"/>
        <v>4.9999999999999822</v>
      </c>
      <c r="V45" s="30">
        <f t="shared" si="33"/>
        <v>164.99999999999997</v>
      </c>
      <c r="W45" s="16"/>
      <c r="X45" s="16"/>
      <c r="Y45" s="19"/>
      <c r="Z45" s="19"/>
      <c r="AA45" s="172"/>
      <c r="AB45" s="173"/>
      <c r="AC45" s="18"/>
      <c r="AD45" s="18"/>
      <c r="AE45" s="14">
        <f t="shared" si="8"/>
        <v>-137.45454545454504</v>
      </c>
      <c r="AF45" s="91">
        <f t="shared" si="9"/>
        <v>0.95418181818181835</v>
      </c>
      <c r="AG45" s="184"/>
    </row>
    <row r="46" spans="1:33" ht="15.75" customHeight="1">
      <c r="A46" s="189" t="s">
        <v>173</v>
      </c>
      <c r="B46" s="28" t="s">
        <v>33</v>
      </c>
      <c r="C46" s="170" t="s">
        <v>38</v>
      </c>
      <c r="D46" s="171"/>
      <c r="E46" s="28">
        <v>35.869999999999997</v>
      </c>
      <c r="F46" s="88">
        <v>4487</v>
      </c>
      <c r="G46" s="88">
        <f t="shared" si="31"/>
        <v>160948.69</v>
      </c>
      <c r="H46" s="30" t="s">
        <v>53</v>
      </c>
      <c r="I46" s="95">
        <v>9</v>
      </c>
      <c r="J46" s="13">
        <v>3000</v>
      </c>
      <c r="K46" s="12">
        <f t="shared" si="1"/>
        <v>333.33333333333331</v>
      </c>
      <c r="L46" s="95">
        <v>9</v>
      </c>
      <c r="M46" s="13">
        <f t="shared" si="32"/>
        <v>2864.0425531914898</v>
      </c>
      <c r="N46" s="13">
        <f t="shared" si="3"/>
        <v>318.22695035460998</v>
      </c>
      <c r="O46" s="14">
        <f t="shared" si="4"/>
        <v>0</v>
      </c>
      <c r="P46" s="15">
        <f t="shared" si="5"/>
        <v>-15.106382978723332</v>
      </c>
      <c r="Q46" s="91">
        <f t="shared" si="6"/>
        <v>0.95468085106383005</v>
      </c>
      <c r="R46" s="184"/>
      <c r="S46" s="21">
        <v>0.36388888888888887</v>
      </c>
      <c r="T46" s="21">
        <v>0.42916666666666664</v>
      </c>
      <c r="U46" s="88">
        <f t="shared" si="34"/>
        <v>5.9999999999999787</v>
      </c>
      <c r="V46" s="30">
        <f t="shared" si="33"/>
        <v>93.999999999999986</v>
      </c>
      <c r="W46" s="16"/>
      <c r="X46" s="16"/>
      <c r="Y46" s="19"/>
      <c r="Z46" s="19"/>
      <c r="AA46" s="172"/>
      <c r="AB46" s="173"/>
      <c r="AC46" s="18"/>
      <c r="AD46" s="18"/>
      <c r="AE46" s="14">
        <f t="shared" si="8"/>
        <v>-135.95744680851021</v>
      </c>
      <c r="AF46" s="91">
        <f t="shared" si="9"/>
        <v>0.95468085106382994</v>
      </c>
      <c r="AG46" s="184"/>
    </row>
    <row r="47" spans="1:33" ht="15.75" customHeight="1">
      <c r="A47" s="190" t="s">
        <v>173</v>
      </c>
      <c r="B47" s="28" t="s">
        <v>165</v>
      </c>
      <c r="C47" s="165"/>
      <c r="D47" s="166"/>
      <c r="E47" s="89"/>
      <c r="F47" s="88"/>
      <c r="G47" s="88"/>
      <c r="H47" s="88"/>
      <c r="I47" s="23">
        <v>9.25</v>
      </c>
      <c r="J47" s="13">
        <v>3000</v>
      </c>
      <c r="K47" s="12">
        <f t="shared" si="1"/>
        <v>324.32432432432432</v>
      </c>
      <c r="L47" s="23">
        <v>9.25</v>
      </c>
      <c r="M47" s="13">
        <f>AVERAGE(M43:M46)</f>
        <v>2860.7286235558572</v>
      </c>
      <c r="N47" s="12">
        <f t="shared" si="3"/>
        <v>309.26795930333594</v>
      </c>
      <c r="O47" s="14">
        <f t="shared" si="4"/>
        <v>0</v>
      </c>
      <c r="P47" s="15">
        <f t="shared" si="5"/>
        <v>-15.05636502098838</v>
      </c>
      <c r="Q47" s="91">
        <f t="shared" si="6"/>
        <v>0.95357620785195252</v>
      </c>
      <c r="R47" s="185"/>
      <c r="S47" s="21"/>
      <c r="T47" s="21"/>
      <c r="U47" s="88"/>
      <c r="V47" s="30"/>
      <c r="W47" s="16"/>
      <c r="X47" s="16"/>
      <c r="Y47" s="24">
        <f>SUM(Y43:Y46)</f>
        <v>0</v>
      </c>
      <c r="Z47" s="24">
        <f>SUM(Z43:Z46)</f>
        <v>0</v>
      </c>
      <c r="AA47" s="186"/>
      <c r="AB47" s="187"/>
      <c r="AC47" s="24">
        <v>4</v>
      </c>
      <c r="AD47" s="24">
        <f>SUM(AD43:AD46)</f>
        <v>0</v>
      </c>
      <c r="AE47" s="14">
        <f t="shared" si="8"/>
        <v>-139.27137644414279</v>
      </c>
      <c r="AF47" s="91">
        <f t="shared" si="9"/>
        <v>0.95357620785195241</v>
      </c>
      <c r="AG47" s="185"/>
    </row>
    <row r="48" spans="1:33" ht="15.75" customHeight="1">
      <c r="A48" s="181" t="s">
        <v>174</v>
      </c>
      <c r="B48" s="28" t="s">
        <v>9</v>
      </c>
      <c r="C48" s="169" t="s">
        <v>39</v>
      </c>
      <c r="D48" s="169"/>
      <c r="E48" s="28">
        <v>46</v>
      </c>
      <c r="F48" s="29">
        <v>2818</v>
      </c>
      <c r="G48" s="88">
        <f t="shared" ref="G48:G53" si="35">E48*F48</f>
        <v>129628</v>
      </c>
      <c r="H48" s="30" t="s">
        <v>53</v>
      </c>
      <c r="I48" s="95">
        <v>17</v>
      </c>
      <c r="J48" s="13">
        <v>2000</v>
      </c>
      <c r="K48" s="12">
        <f t="shared" si="1"/>
        <v>117.64705882352941</v>
      </c>
      <c r="L48" s="95">
        <v>17</v>
      </c>
      <c r="M48" s="13">
        <f t="shared" ref="M48" si="36">F48/V48*60</f>
        <v>1921.3636363636369</v>
      </c>
      <c r="N48" s="13">
        <f t="shared" si="3"/>
        <v>113.02139037433159</v>
      </c>
      <c r="O48" s="14">
        <f t="shared" si="4"/>
        <v>0</v>
      </c>
      <c r="P48" s="15">
        <f t="shared" si="5"/>
        <v>-4.6256684491978177</v>
      </c>
      <c r="Q48" s="91">
        <f t="shared" si="6"/>
        <v>0.96068181818181853</v>
      </c>
      <c r="R48" s="177">
        <f>Q54</f>
        <v>0.96082991479540147</v>
      </c>
      <c r="S48" s="21">
        <v>0.20833333333333334</v>
      </c>
      <c r="T48" s="21">
        <v>0.26944444444444443</v>
      </c>
      <c r="U48" s="21"/>
      <c r="V48" s="30">
        <f t="shared" ref="V48:V53" si="37">(T48-S48)*24*60</f>
        <v>87.999999999999972</v>
      </c>
      <c r="W48" s="21"/>
      <c r="X48" s="21"/>
      <c r="Y48" s="21"/>
      <c r="Z48" s="21"/>
      <c r="AA48" s="168"/>
      <c r="AB48" s="168"/>
      <c r="AC48" s="18">
        <v>6</v>
      </c>
      <c r="AD48" s="18"/>
      <c r="AE48" s="14">
        <f t="shared" si="8"/>
        <v>-78.636363636363058</v>
      </c>
      <c r="AF48" s="91">
        <f t="shared" si="9"/>
        <v>0.96068181818181853</v>
      </c>
      <c r="AG48" s="177">
        <f>AF54</f>
        <v>0.96082991479540159</v>
      </c>
    </row>
    <row r="49" spans="1:33" ht="15.75" customHeight="1">
      <c r="A49" s="181" t="s">
        <v>174</v>
      </c>
      <c r="B49" s="28" t="s">
        <v>5</v>
      </c>
      <c r="C49" s="169" t="s">
        <v>40</v>
      </c>
      <c r="D49" s="169"/>
      <c r="E49" s="28">
        <v>56.43</v>
      </c>
      <c r="F49" s="29">
        <v>1913</v>
      </c>
      <c r="G49" s="88">
        <f t="shared" si="35"/>
        <v>107950.59</v>
      </c>
      <c r="H49" s="30" t="s">
        <v>53</v>
      </c>
      <c r="I49" s="95">
        <v>22</v>
      </c>
      <c r="J49" s="13">
        <v>2000</v>
      </c>
      <c r="K49" s="12">
        <f t="shared" si="1"/>
        <v>90.909090909090907</v>
      </c>
      <c r="L49" s="95">
        <v>22</v>
      </c>
      <c r="M49" s="13">
        <f>F49/V49*60</f>
        <v>1912.9999999999991</v>
      </c>
      <c r="N49" s="13">
        <f t="shared" si="3"/>
        <v>86.954545454545411</v>
      </c>
      <c r="O49" s="14">
        <f t="shared" si="4"/>
        <v>0</v>
      </c>
      <c r="P49" s="15">
        <f t="shared" si="5"/>
        <v>-3.9545454545454959</v>
      </c>
      <c r="Q49" s="91">
        <f t="shared" si="6"/>
        <v>0.95649999999999957</v>
      </c>
      <c r="R49" s="177"/>
      <c r="S49" s="21">
        <v>0.27499999999999997</v>
      </c>
      <c r="T49" s="21">
        <v>0.31666666666666665</v>
      </c>
      <c r="U49" s="88">
        <f t="shared" ref="U49:U53" si="38">IF(S49=TIME(17,0,0),"",(S49-T48)*24*60)</f>
        <v>7.9999999999999716</v>
      </c>
      <c r="V49" s="30">
        <f t="shared" si="37"/>
        <v>60.000000000000028</v>
      </c>
      <c r="W49" s="16"/>
      <c r="X49" s="16"/>
      <c r="Y49" s="16"/>
      <c r="Z49" s="16"/>
      <c r="AA49" s="168"/>
      <c r="AB49" s="168"/>
      <c r="AC49" s="18"/>
      <c r="AD49" s="18"/>
      <c r="AE49" s="14">
        <f t="shared" si="8"/>
        <v>-87.000000000000909</v>
      </c>
      <c r="AF49" s="91">
        <f t="shared" si="9"/>
        <v>0.95649999999999957</v>
      </c>
      <c r="AG49" s="177"/>
    </row>
    <row r="50" spans="1:33" ht="15.75" customHeight="1">
      <c r="A50" s="181" t="s">
        <v>174</v>
      </c>
      <c r="B50" s="28" t="s">
        <v>5</v>
      </c>
      <c r="C50" s="170" t="s">
        <v>41</v>
      </c>
      <c r="D50" s="171"/>
      <c r="E50" s="28">
        <v>51.75</v>
      </c>
      <c r="F50" s="29">
        <v>1220</v>
      </c>
      <c r="G50" s="88">
        <f t="shared" si="35"/>
        <v>63135</v>
      </c>
      <c r="H50" s="30" t="s">
        <v>53</v>
      </c>
      <c r="I50" s="95">
        <v>25</v>
      </c>
      <c r="J50" s="13">
        <v>2000</v>
      </c>
      <c r="K50" s="12">
        <f t="shared" si="1"/>
        <v>80</v>
      </c>
      <c r="L50" s="95">
        <v>25</v>
      </c>
      <c r="M50" s="13">
        <f t="shared" ref="M50:M53" si="39">F50/V50*60</f>
        <v>1926.3157894736828</v>
      </c>
      <c r="N50" s="13">
        <f t="shared" si="3"/>
        <v>77.052631578947313</v>
      </c>
      <c r="O50" s="14">
        <f t="shared" si="4"/>
        <v>0</v>
      </c>
      <c r="P50" s="15">
        <f t="shared" si="5"/>
        <v>-2.9473684210526869</v>
      </c>
      <c r="Q50" s="91">
        <f t="shared" si="6"/>
        <v>0.96315789473684144</v>
      </c>
      <c r="R50" s="177"/>
      <c r="S50" s="21">
        <v>0.32013888888888886</v>
      </c>
      <c r="T50" s="21">
        <v>0.34652777777777777</v>
      </c>
      <c r="U50" s="88">
        <f t="shared" si="38"/>
        <v>4.9999999999999822</v>
      </c>
      <c r="V50" s="30">
        <f t="shared" si="37"/>
        <v>38.000000000000028</v>
      </c>
      <c r="W50" s="16"/>
      <c r="X50" s="16"/>
      <c r="Y50" s="19"/>
      <c r="Z50" s="19"/>
      <c r="AA50" s="168"/>
      <c r="AB50" s="168"/>
      <c r="AC50" s="18"/>
      <c r="AD50" s="18"/>
      <c r="AE50" s="14">
        <f t="shared" si="8"/>
        <v>-73.684210526317202</v>
      </c>
      <c r="AF50" s="91">
        <f t="shared" si="9"/>
        <v>0.96315789473684144</v>
      </c>
      <c r="AG50" s="177"/>
    </row>
    <row r="51" spans="1:33" ht="15.75" customHeight="1">
      <c r="A51" s="181" t="s">
        <v>174</v>
      </c>
      <c r="B51" s="28" t="s">
        <v>5</v>
      </c>
      <c r="C51" s="93" t="s">
        <v>42</v>
      </c>
      <c r="D51" s="94"/>
      <c r="E51" s="28">
        <v>57.73</v>
      </c>
      <c r="F51" s="29">
        <v>1162</v>
      </c>
      <c r="G51" s="88">
        <f t="shared" si="35"/>
        <v>67082.259999999995</v>
      </c>
      <c r="H51" s="30" t="s">
        <v>53</v>
      </c>
      <c r="I51" s="95">
        <v>16</v>
      </c>
      <c r="J51" s="13">
        <v>1500</v>
      </c>
      <c r="K51" s="12">
        <f t="shared" si="1"/>
        <v>93.75</v>
      </c>
      <c r="L51" s="95">
        <v>16</v>
      </c>
      <c r="M51" s="13">
        <f t="shared" si="39"/>
        <v>1452.5000000000005</v>
      </c>
      <c r="N51" s="13">
        <f t="shared" si="3"/>
        <v>90.781250000000028</v>
      </c>
      <c r="O51" s="14">
        <f t="shared" si="4"/>
        <v>0</v>
      </c>
      <c r="P51" s="15">
        <f t="shared" si="5"/>
        <v>-2.9687499999999716</v>
      </c>
      <c r="Q51" s="91">
        <f t="shared" si="6"/>
        <v>0.9683333333333336</v>
      </c>
      <c r="R51" s="177"/>
      <c r="S51" s="21">
        <v>0.70833333333333337</v>
      </c>
      <c r="T51" s="21">
        <v>0.7416666666666667</v>
      </c>
      <c r="U51" s="88" t="str">
        <f t="shared" si="38"/>
        <v/>
      </c>
      <c r="V51" s="30">
        <f t="shared" si="37"/>
        <v>47.999999999999986</v>
      </c>
      <c r="W51" s="16"/>
      <c r="X51" s="16"/>
      <c r="Y51" s="19"/>
      <c r="Z51" s="19"/>
      <c r="AA51" s="168"/>
      <c r="AB51" s="168"/>
      <c r="AC51" s="18"/>
      <c r="AD51" s="18"/>
      <c r="AE51" s="14">
        <f t="shared" si="8"/>
        <v>-47.499999999999545</v>
      </c>
      <c r="AF51" s="91">
        <f t="shared" si="9"/>
        <v>0.9683333333333336</v>
      </c>
      <c r="AG51" s="177"/>
    </row>
    <row r="52" spans="1:33" ht="15.75" customHeight="1">
      <c r="A52" s="181" t="s">
        <v>174</v>
      </c>
      <c r="B52" s="28" t="s">
        <v>5</v>
      </c>
      <c r="C52" s="93" t="s">
        <v>44</v>
      </c>
      <c r="D52" s="94"/>
      <c r="E52" s="28">
        <v>55.56</v>
      </c>
      <c r="F52" s="29">
        <v>2340</v>
      </c>
      <c r="G52" s="88">
        <f t="shared" si="35"/>
        <v>130010.40000000001</v>
      </c>
      <c r="H52" s="30" t="s">
        <v>53</v>
      </c>
      <c r="I52" s="95">
        <v>17</v>
      </c>
      <c r="J52" s="13">
        <v>2000</v>
      </c>
      <c r="K52" s="12">
        <f t="shared" si="1"/>
        <v>117.64705882352941</v>
      </c>
      <c r="L52" s="95">
        <v>17</v>
      </c>
      <c r="M52" s="13">
        <f t="shared" si="39"/>
        <v>1923.2876712328753</v>
      </c>
      <c r="N52" s="13">
        <f t="shared" si="3"/>
        <v>113.13456889605149</v>
      </c>
      <c r="O52" s="14">
        <f t="shared" si="4"/>
        <v>0</v>
      </c>
      <c r="P52" s="15">
        <f t="shared" si="5"/>
        <v>-4.5124899274779153</v>
      </c>
      <c r="Q52" s="91">
        <f t="shared" si="6"/>
        <v>0.96164383561643774</v>
      </c>
      <c r="R52" s="177"/>
      <c r="S52" s="21">
        <v>0.74722222222222223</v>
      </c>
      <c r="T52" s="21">
        <v>0.79791666666666672</v>
      </c>
      <c r="U52" s="88">
        <f t="shared" si="38"/>
        <v>7.9999999999999716</v>
      </c>
      <c r="V52" s="30">
        <f t="shared" si="37"/>
        <v>73.000000000000057</v>
      </c>
      <c r="W52" s="16"/>
      <c r="X52" s="16"/>
      <c r="Y52" s="19"/>
      <c r="Z52" s="19"/>
      <c r="AA52" s="168"/>
      <c r="AB52" s="168"/>
      <c r="AC52" s="18"/>
      <c r="AD52" s="18"/>
      <c r="AE52" s="14">
        <f t="shared" si="8"/>
        <v>-76.712328767124745</v>
      </c>
      <c r="AF52" s="91">
        <f t="shared" si="9"/>
        <v>0.96164383561643763</v>
      </c>
      <c r="AG52" s="177"/>
    </row>
    <row r="53" spans="1:33" ht="15.75" customHeight="1">
      <c r="A53" s="181" t="s">
        <v>174</v>
      </c>
      <c r="B53" s="28" t="s">
        <v>5</v>
      </c>
      <c r="C53" s="170" t="s">
        <v>45</v>
      </c>
      <c r="D53" s="171"/>
      <c r="E53" s="28">
        <v>55.32</v>
      </c>
      <c r="F53" s="29">
        <v>1658</v>
      </c>
      <c r="G53" s="88">
        <f t="shared" si="35"/>
        <v>91720.56</v>
      </c>
      <c r="H53" s="30" t="s">
        <v>53</v>
      </c>
      <c r="I53" s="95">
        <v>15</v>
      </c>
      <c r="J53" s="13">
        <v>2000</v>
      </c>
      <c r="K53" s="12">
        <f t="shared" si="1"/>
        <v>133.33333333333334</v>
      </c>
      <c r="L53" s="95">
        <v>15</v>
      </c>
      <c r="M53" s="13">
        <f t="shared" si="39"/>
        <v>1913.076923076924</v>
      </c>
      <c r="N53" s="13">
        <f t="shared" si="3"/>
        <v>127.5384615384616</v>
      </c>
      <c r="O53" s="14">
        <f t="shared" si="4"/>
        <v>0</v>
      </c>
      <c r="P53" s="15">
        <f t="shared" si="5"/>
        <v>-5.7948717948717388</v>
      </c>
      <c r="Q53" s="91">
        <f t="shared" si="6"/>
        <v>0.956538461538462</v>
      </c>
      <c r="R53" s="177"/>
      <c r="S53" s="21">
        <v>0.80347222222222225</v>
      </c>
      <c r="T53" s="21">
        <v>0.83958333333333335</v>
      </c>
      <c r="U53" s="88">
        <f t="shared" si="38"/>
        <v>7.9999999999999716</v>
      </c>
      <c r="V53" s="30">
        <f t="shared" si="37"/>
        <v>51.999999999999972</v>
      </c>
      <c r="W53" s="16"/>
      <c r="X53" s="16"/>
      <c r="Y53" s="19"/>
      <c r="Z53" s="19"/>
      <c r="AA53" s="172"/>
      <c r="AB53" s="173"/>
      <c r="AC53" s="18"/>
      <c r="AD53" s="18"/>
      <c r="AE53" s="14">
        <f t="shared" si="8"/>
        <v>-86.923076923075996</v>
      </c>
      <c r="AF53" s="91">
        <f t="shared" si="9"/>
        <v>0.956538461538462</v>
      </c>
      <c r="AG53" s="177"/>
    </row>
    <row r="54" spans="1:33">
      <c r="A54" s="182" t="s">
        <v>174</v>
      </c>
      <c r="B54" s="28" t="s">
        <v>165</v>
      </c>
      <c r="C54" s="178"/>
      <c r="D54" s="178"/>
      <c r="E54" s="92"/>
      <c r="F54" s="12"/>
      <c r="G54" s="12"/>
      <c r="H54" s="88"/>
      <c r="I54" s="23">
        <v>18.666666666666668</v>
      </c>
      <c r="J54" s="13">
        <v>1916.6666666666667</v>
      </c>
      <c r="K54" s="12">
        <f t="shared" si="1"/>
        <v>102.67857142857143</v>
      </c>
      <c r="L54" s="23">
        <v>18.666666666666668</v>
      </c>
      <c r="M54" s="13">
        <f>AVERAGE(M48:M53)</f>
        <v>1841.5906700245198</v>
      </c>
      <c r="N54" s="12">
        <f t="shared" si="3"/>
        <v>98.656643037027834</v>
      </c>
      <c r="O54" s="14">
        <f t="shared" si="4"/>
        <v>0</v>
      </c>
      <c r="P54" s="15">
        <f t="shared" si="5"/>
        <v>-4.0219283915435966</v>
      </c>
      <c r="Q54" s="91">
        <f t="shared" si="6"/>
        <v>0.96082991479540147</v>
      </c>
      <c r="R54" s="177"/>
      <c r="S54" s="21"/>
      <c r="T54" s="21"/>
      <c r="U54" s="88"/>
      <c r="V54" s="30"/>
      <c r="W54" s="12"/>
      <c r="X54" s="12"/>
      <c r="Y54" s="24">
        <f>SUM(Y48:Y53)</f>
        <v>0</v>
      </c>
      <c r="Z54" s="24">
        <f>SUM(Z48:Z53)</f>
        <v>0</v>
      </c>
      <c r="AA54" s="167"/>
      <c r="AB54" s="167"/>
      <c r="AC54" s="24">
        <v>6</v>
      </c>
      <c r="AD54" s="24">
        <f>SUM(AD48:AD53)</f>
        <v>0</v>
      </c>
      <c r="AE54" s="14">
        <f>M54-J54</f>
        <v>-75.075996642146947</v>
      </c>
      <c r="AF54" s="91">
        <f t="shared" si="9"/>
        <v>0.96082991479540159</v>
      </c>
      <c r="AG54" s="177"/>
    </row>
    <row r="55" spans="1:33" ht="15.75" customHeight="1">
      <c r="A55" s="179" t="s">
        <v>175</v>
      </c>
      <c r="B55" s="88" t="s">
        <v>33</v>
      </c>
      <c r="C55" s="169" t="s">
        <v>46</v>
      </c>
      <c r="D55" s="169"/>
      <c r="E55" s="28">
        <v>37.85</v>
      </c>
      <c r="F55" s="29">
        <v>1559</v>
      </c>
      <c r="G55" s="88">
        <f t="shared" ref="G55:G60" si="40">E55*F55</f>
        <v>59008.15</v>
      </c>
      <c r="H55" s="30" t="s">
        <v>53</v>
      </c>
      <c r="I55" s="95">
        <v>12</v>
      </c>
      <c r="J55" s="13">
        <v>2000</v>
      </c>
      <c r="K55" s="12">
        <f t="shared" si="1"/>
        <v>166.66666666666666</v>
      </c>
      <c r="L55" s="95">
        <v>12</v>
      </c>
      <c r="M55" s="13">
        <f t="shared" ref="M55:M60" si="41">F55/V55*60</f>
        <v>1908.9795918367354</v>
      </c>
      <c r="N55" s="12">
        <f t="shared" si="3"/>
        <v>159.08163265306129</v>
      </c>
      <c r="O55" s="14">
        <f t="shared" si="4"/>
        <v>0</v>
      </c>
      <c r="P55" s="15">
        <f t="shared" si="5"/>
        <v>-7.585034013605366</v>
      </c>
      <c r="Q55" s="91">
        <f t="shared" si="6"/>
        <v>0.9544897959183678</v>
      </c>
      <c r="R55" s="177">
        <f>Q61</f>
        <v>0.95775701851442674</v>
      </c>
      <c r="S55" s="21">
        <v>0.20833333333333334</v>
      </c>
      <c r="T55" s="21">
        <v>0.24236111111111111</v>
      </c>
      <c r="U55" s="88"/>
      <c r="V55" s="30">
        <f t="shared" ref="V55:V60" si="42">(T55-S55)*24*60</f>
        <v>48.999999999999986</v>
      </c>
      <c r="W55" s="21"/>
      <c r="X55" s="21"/>
      <c r="Y55" s="21"/>
      <c r="Z55" s="21"/>
      <c r="AA55" s="168"/>
      <c r="AB55" s="168"/>
      <c r="AC55" s="18">
        <v>6</v>
      </c>
      <c r="AD55" s="18"/>
      <c r="AE55" s="14">
        <f t="shared" ref="AE55:AE68" si="43">M55-J55</f>
        <v>-91.020408163264619</v>
      </c>
      <c r="AF55" s="91">
        <f t="shared" si="9"/>
        <v>0.95448979591836769</v>
      </c>
      <c r="AG55" s="177">
        <f>AF61</f>
        <v>0.95775701851442674</v>
      </c>
    </row>
    <row r="56" spans="1:33" ht="15.75" customHeight="1">
      <c r="A56" s="179" t="s">
        <v>175</v>
      </c>
      <c r="B56" s="88" t="s">
        <v>33</v>
      </c>
      <c r="C56" s="169" t="s">
        <v>47</v>
      </c>
      <c r="D56" s="169"/>
      <c r="E56" s="28">
        <v>34.36</v>
      </c>
      <c r="F56" s="29">
        <v>2548</v>
      </c>
      <c r="G56" s="88">
        <f t="shared" si="40"/>
        <v>87549.28</v>
      </c>
      <c r="H56" s="30" t="s">
        <v>53</v>
      </c>
      <c r="I56" s="95">
        <v>10</v>
      </c>
      <c r="J56" s="13">
        <v>3000</v>
      </c>
      <c r="K56" s="12">
        <f t="shared" si="1"/>
        <v>300</v>
      </c>
      <c r="L56" s="95">
        <v>10</v>
      </c>
      <c r="M56" s="13">
        <f t="shared" si="41"/>
        <v>2884.528301886794</v>
      </c>
      <c r="N56" s="12">
        <f t="shared" si="3"/>
        <v>288.4528301886794</v>
      </c>
      <c r="O56" s="14">
        <f t="shared" si="4"/>
        <v>0</v>
      </c>
      <c r="P56" s="15">
        <f t="shared" si="5"/>
        <v>-11.5471698113206</v>
      </c>
      <c r="Q56" s="91">
        <f t="shared" si="6"/>
        <v>0.96150943396226463</v>
      </c>
      <c r="R56" s="177"/>
      <c r="S56" s="21">
        <v>0.24791666666666667</v>
      </c>
      <c r="T56" s="21">
        <v>0.28472222222222221</v>
      </c>
      <c r="U56" s="88">
        <f t="shared" ref="U56:U60" si="44">(S56-T55)*24*60</f>
        <v>8.0000000000000107</v>
      </c>
      <c r="V56" s="30">
        <f t="shared" si="42"/>
        <v>52.999999999999972</v>
      </c>
      <c r="W56" s="88"/>
      <c r="X56" s="88"/>
      <c r="Y56" s="88"/>
      <c r="Z56" s="88"/>
      <c r="AA56" s="168"/>
      <c r="AB56" s="168"/>
      <c r="AC56" s="18"/>
      <c r="AD56" s="18"/>
      <c r="AE56" s="14">
        <f t="shared" si="43"/>
        <v>-115.471698113206</v>
      </c>
      <c r="AF56" s="91">
        <f t="shared" si="9"/>
        <v>0.96150943396226463</v>
      </c>
      <c r="AG56" s="177"/>
    </row>
    <row r="57" spans="1:33" ht="15.75" customHeight="1">
      <c r="A57" s="179" t="s">
        <v>175</v>
      </c>
      <c r="B57" s="88" t="s">
        <v>33</v>
      </c>
      <c r="C57" s="169" t="s">
        <v>48</v>
      </c>
      <c r="D57" s="169"/>
      <c r="E57" s="28">
        <v>35.119999999999997</v>
      </c>
      <c r="F57" s="29">
        <v>6240</v>
      </c>
      <c r="G57" s="88">
        <f t="shared" si="40"/>
        <v>219148.79999999999</v>
      </c>
      <c r="H57" s="30" t="s">
        <v>53</v>
      </c>
      <c r="I57" s="95">
        <v>10</v>
      </c>
      <c r="J57" s="13">
        <v>3000</v>
      </c>
      <c r="K57" s="12">
        <f t="shared" si="1"/>
        <v>300</v>
      </c>
      <c r="L57" s="95">
        <v>10</v>
      </c>
      <c r="M57" s="13">
        <f t="shared" si="41"/>
        <v>2858.0152671755723</v>
      </c>
      <c r="N57" s="12">
        <f t="shared" si="3"/>
        <v>285.80152671755724</v>
      </c>
      <c r="O57" s="14">
        <f t="shared" si="4"/>
        <v>0</v>
      </c>
      <c r="P57" s="15">
        <f t="shared" si="5"/>
        <v>-14.198473282442762</v>
      </c>
      <c r="Q57" s="91">
        <f t="shared" si="6"/>
        <v>0.95267175572519081</v>
      </c>
      <c r="R57" s="177"/>
      <c r="S57" s="21">
        <v>0.28819444444444442</v>
      </c>
      <c r="T57" s="21">
        <v>0.37916666666666665</v>
      </c>
      <c r="U57" s="88">
        <f t="shared" si="44"/>
        <v>4.9999999999999822</v>
      </c>
      <c r="V57" s="30">
        <f t="shared" si="42"/>
        <v>131</v>
      </c>
      <c r="W57" s="88"/>
      <c r="X57" s="88"/>
      <c r="Y57" s="88"/>
      <c r="Z57" s="88"/>
      <c r="AA57" s="168"/>
      <c r="AB57" s="168"/>
      <c r="AC57" s="18"/>
      <c r="AD57" s="18"/>
      <c r="AE57" s="14">
        <f t="shared" si="43"/>
        <v>-141.98473282442774</v>
      </c>
      <c r="AF57" s="91">
        <f t="shared" si="9"/>
        <v>0.95267175572519081</v>
      </c>
      <c r="AG57" s="177"/>
    </row>
    <row r="58" spans="1:33" ht="15.75" customHeight="1">
      <c r="A58" s="179" t="s">
        <v>175</v>
      </c>
      <c r="B58" s="88" t="s">
        <v>33</v>
      </c>
      <c r="C58" s="169" t="s">
        <v>34</v>
      </c>
      <c r="D58" s="169"/>
      <c r="E58" s="28">
        <v>34.36</v>
      </c>
      <c r="F58" s="29">
        <v>1868</v>
      </c>
      <c r="G58" s="88">
        <f t="shared" si="40"/>
        <v>64184.479999999996</v>
      </c>
      <c r="H58" s="30" t="s">
        <v>53</v>
      </c>
      <c r="I58" s="95">
        <v>10</v>
      </c>
      <c r="J58" s="13">
        <v>3000</v>
      </c>
      <c r="K58" s="12">
        <f t="shared" si="1"/>
        <v>300</v>
      </c>
      <c r="L58" s="95">
        <v>10</v>
      </c>
      <c r="M58" s="13">
        <f t="shared" si="41"/>
        <v>2873.846153846152</v>
      </c>
      <c r="N58" s="12">
        <f t="shared" si="3"/>
        <v>287.38461538461519</v>
      </c>
      <c r="O58" s="14">
        <f t="shared" si="4"/>
        <v>0</v>
      </c>
      <c r="P58" s="15">
        <f t="shared" si="5"/>
        <v>-12.615384615384812</v>
      </c>
      <c r="Q58" s="91">
        <f t="shared" si="6"/>
        <v>0.95794871794871728</v>
      </c>
      <c r="R58" s="177"/>
      <c r="S58" s="21">
        <v>0.38472222222222219</v>
      </c>
      <c r="T58" s="21">
        <v>0.41180555555555554</v>
      </c>
      <c r="U58" s="88">
        <f t="shared" si="44"/>
        <v>7.9999999999999716</v>
      </c>
      <c r="V58" s="30">
        <f t="shared" si="42"/>
        <v>39.000000000000021</v>
      </c>
      <c r="W58" s="88"/>
      <c r="X58" s="88"/>
      <c r="Y58" s="88"/>
      <c r="Z58" s="88"/>
      <c r="AA58" s="168"/>
      <c r="AB58" s="168"/>
      <c r="AC58" s="18"/>
      <c r="AD58" s="18"/>
      <c r="AE58" s="14">
        <f t="shared" si="43"/>
        <v>-126.15384615384801</v>
      </c>
      <c r="AF58" s="91">
        <f t="shared" si="9"/>
        <v>0.95794871794871728</v>
      </c>
      <c r="AG58" s="177"/>
    </row>
    <row r="59" spans="1:33">
      <c r="A59" s="180" t="s">
        <v>175</v>
      </c>
      <c r="B59" s="88" t="s">
        <v>33</v>
      </c>
      <c r="C59" s="169" t="s">
        <v>35</v>
      </c>
      <c r="D59" s="169"/>
      <c r="E59" s="28">
        <v>26.78</v>
      </c>
      <c r="F59" s="29">
        <v>2879</v>
      </c>
      <c r="G59" s="88">
        <f t="shared" si="40"/>
        <v>77099.62000000001</v>
      </c>
      <c r="H59" s="30" t="s">
        <v>53</v>
      </c>
      <c r="I59" s="95">
        <v>10</v>
      </c>
      <c r="J59" s="13">
        <v>3000</v>
      </c>
      <c r="K59" s="12">
        <f t="shared" si="1"/>
        <v>300</v>
      </c>
      <c r="L59" s="95">
        <v>10</v>
      </c>
      <c r="M59" s="13">
        <f t="shared" si="41"/>
        <v>2878.9999999999986</v>
      </c>
      <c r="N59" s="12">
        <f t="shared" si="3"/>
        <v>287.89999999999986</v>
      </c>
      <c r="O59" s="14">
        <f t="shared" si="4"/>
        <v>0</v>
      </c>
      <c r="P59" s="15">
        <f t="shared" si="5"/>
        <v>-12.100000000000136</v>
      </c>
      <c r="Q59" s="91">
        <f t="shared" si="6"/>
        <v>0.95966666666666622</v>
      </c>
      <c r="R59" s="177"/>
      <c r="S59" s="21">
        <v>0.41597222222222219</v>
      </c>
      <c r="T59" s="21">
        <v>0.45763888888888887</v>
      </c>
      <c r="U59" s="88">
        <f t="shared" si="44"/>
        <v>5.9999999999999787</v>
      </c>
      <c r="V59" s="30">
        <f t="shared" si="42"/>
        <v>60.000000000000028</v>
      </c>
      <c r="W59" s="16"/>
      <c r="X59" s="16"/>
      <c r="Y59" s="16"/>
      <c r="Z59" s="16"/>
      <c r="AA59" s="168"/>
      <c r="AB59" s="168"/>
      <c r="AC59" s="18"/>
      <c r="AD59" s="18"/>
      <c r="AE59" s="14">
        <f t="shared" si="43"/>
        <v>-121.00000000000136</v>
      </c>
      <c r="AF59" s="91">
        <f t="shared" si="9"/>
        <v>0.95966666666666622</v>
      </c>
      <c r="AG59" s="177"/>
    </row>
    <row r="60" spans="1:33" ht="15" customHeight="1">
      <c r="A60" s="180" t="s">
        <v>175</v>
      </c>
      <c r="B60" s="88" t="s">
        <v>33</v>
      </c>
      <c r="C60" s="170" t="s">
        <v>71</v>
      </c>
      <c r="D60" s="171"/>
      <c r="E60" s="28">
        <v>28.3</v>
      </c>
      <c r="F60" s="29">
        <v>2302</v>
      </c>
      <c r="G60" s="88">
        <f t="shared" si="40"/>
        <v>65146.6</v>
      </c>
      <c r="H60" s="30" t="s">
        <v>53</v>
      </c>
      <c r="I60" s="95">
        <v>8</v>
      </c>
      <c r="J60" s="13">
        <v>3000</v>
      </c>
      <c r="K60" s="12">
        <f t="shared" si="1"/>
        <v>375</v>
      </c>
      <c r="L60" s="95">
        <v>8</v>
      </c>
      <c r="M60" s="13">
        <f t="shared" si="41"/>
        <v>2877.5000000000009</v>
      </c>
      <c r="N60" s="12">
        <f t="shared" si="3"/>
        <v>359.68750000000011</v>
      </c>
      <c r="O60" s="14">
        <f t="shared" si="4"/>
        <v>0</v>
      </c>
      <c r="P60" s="15">
        <f t="shared" si="5"/>
        <v>-15.312499999999886</v>
      </c>
      <c r="Q60" s="91">
        <f t="shared" si="6"/>
        <v>0.95916666666666694</v>
      </c>
      <c r="R60" s="177"/>
      <c r="S60" s="21">
        <v>0.46111111111111108</v>
      </c>
      <c r="T60" s="21">
        <v>0.49444444444444441</v>
      </c>
      <c r="U60" s="88">
        <f t="shared" si="44"/>
        <v>4.9999999999999822</v>
      </c>
      <c r="V60" s="30">
        <f t="shared" si="42"/>
        <v>47.999999999999986</v>
      </c>
      <c r="W60" s="88"/>
      <c r="X60" s="88"/>
      <c r="Y60" s="98"/>
      <c r="Z60" s="98"/>
      <c r="AA60" s="172"/>
      <c r="AB60" s="173"/>
      <c r="AC60" s="18"/>
      <c r="AD60" s="18"/>
      <c r="AE60" s="14">
        <f t="shared" si="43"/>
        <v>-122.49999999999909</v>
      </c>
      <c r="AF60" s="91">
        <f t="shared" si="9"/>
        <v>0.95916666666666694</v>
      </c>
      <c r="AG60" s="177"/>
    </row>
    <row r="61" spans="1:33">
      <c r="A61" s="180" t="s">
        <v>175</v>
      </c>
      <c r="B61" s="28" t="s">
        <v>165</v>
      </c>
      <c r="C61" s="178"/>
      <c r="D61" s="178"/>
      <c r="E61" s="92"/>
      <c r="F61" s="12"/>
      <c r="G61" s="12"/>
      <c r="H61" s="88"/>
      <c r="I61" s="23">
        <v>10</v>
      </c>
      <c r="J61" s="13">
        <v>2833.3333333333335</v>
      </c>
      <c r="K61" s="12">
        <f t="shared" si="1"/>
        <v>283.33333333333337</v>
      </c>
      <c r="L61" s="23">
        <v>10</v>
      </c>
      <c r="M61" s="13">
        <f>AVERAGE(M55:M60)</f>
        <v>2713.6448857908758</v>
      </c>
      <c r="N61" s="12">
        <f t="shared" si="3"/>
        <v>271.36448857908761</v>
      </c>
      <c r="O61" s="14">
        <f t="shared" si="4"/>
        <v>0</v>
      </c>
      <c r="P61" s="15">
        <f t="shared" si="5"/>
        <v>-11.968844754245765</v>
      </c>
      <c r="Q61" s="91">
        <f t="shared" si="6"/>
        <v>0.95775701851442674</v>
      </c>
      <c r="R61" s="177"/>
      <c r="S61" s="21"/>
      <c r="T61" s="21"/>
      <c r="U61" s="12"/>
      <c r="V61" s="30"/>
      <c r="W61" s="12"/>
      <c r="X61" s="12"/>
      <c r="Y61" s="24">
        <f>SUM(Y55:Y60)</f>
        <v>0</v>
      </c>
      <c r="Z61" s="24">
        <f>SUM(Z55:Z60)</f>
        <v>0</v>
      </c>
      <c r="AA61" s="167"/>
      <c r="AB61" s="167"/>
      <c r="AC61" s="24">
        <v>6</v>
      </c>
      <c r="AD61" s="24">
        <f>SUM(AD55:AD60)</f>
        <v>0</v>
      </c>
      <c r="AE61" s="14">
        <f t="shared" si="43"/>
        <v>-119.68844754245765</v>
      </c>
      <c r="AF61" s="91">
        <f t="shared" si="9"/>
        <v>0.95775701851442674</v>
      </c>
      <c r="AG61" s="177"/>
    </row>
    <row r="62" spans="1:33" ht="15.75" customHeight="1">
      <c r="A62" s="174" t="s">
        <v>176</v>
      </c>
      <c r="B62" s="88" t="s">
        <v>22</v>
      </c>
      <c r="C62" s="169" t="s">
        <v>49</v>
      </c>
      <c r="D62" s="169"/>
      <c r="E62" s="28">
        <v>20.2</v>
      </c>
      <c r="F62" s="88">
        <v>2647</v>
      </c>
      <c r="G62" s="88">
        <f t="shared" ref="G62:G67" si="45">E62*F62</f>
        <v>53469.4</v>
      </c>
      <c r="H62" s="30" t="s">
        <v>53</v>
      </c>
      <c r="I62" s="95">
        <v>15</v>
      </c>
      <c r="J62" s="13">
        <v>2400</v>
      </c>
      <c r="K62" s="12">
        <f t="shared" si="1"/>
        <v>160</v>
      </c>
      <c r="L62" s="95">
        <v>15</v>
      </c>
      <c r="M62" s="13">
        <f t="shared" ref="M62:M67" si="46">F62/V62*60</f>
        <v>2301.7391304347834</v>
      </c>
      <c r="N62" s="12">
        <f t="shared" si="3"/>
        <v>153.4492753623189</v>
      </c>
      <c r="O62" s="14">
        <f t="shared" si="4"/>
        <v>0</v>
      </c>
      <c r="P62" s="15">
        <f t="shared" si="5"/>
        <v>-6.5507246376810997</v>
      </c>
      <c r="Q62" s="91">
        <f t="shared" si="6"/>
        <v>0.95905797101449308</v>
      </c>
      <c r="R62" s="177">
        <f>Q68</f>
        <v>0.95408963300816729</v>
      </c>
      <c r="S62" s="21">
        <v>8.3333333333333329E-2</v>
      </c>
      <c r="T62" s="21">
        <v>0.13124999999999998</v>
      </c>
      <c r="U62" s="21"/>
      <c r="V62" s="30">
        <f t="shared" ref="V62:V67" si="47">(T62-S62)*24*60</f>
        <v>68.999999999999972</v>
      </c>
      <c r="W62" s="16">
        <f>T62</f>
        <v>0.13124999999999998</v>
      </c>
      <c r="X62" s="16">
        <f>S63</f>
        <v>0.14861111111111105</v>
      </c>
      <c r="Y62" s="16"/>
      <c r="Z62" s="16"/>
      <c r="AA62" s="168"/>
      <c r="AB62" s="168"/>
      <c r="AC62" s="18">
        <v>6</v>
      </c>
      <c r="AD62" s="18"/>
      <c r="AE62" s="14">
        <f t="shared" si="43"/>
        <v>-98.260869565216581</v>
      </c>
      <c r="AF62" s="91">
        <f t="shared" si="9"/>
        <v>0.95905797101449308</v>
      </c>
      <c r="AG62" s="177">
        <f>AF68</f>
        <v>0.95408963300816729</v>
      </c>
    </row>
    <row r="63" spans="1:33" ht="15.75" customHeight="1">
      <c r="A63" s="175" t="s">
        <v>176</v>
      </c>
      <c r="B63" s="88" t="s">
        <v>22</v>
      </c>
      <c r="C63" s="169" t="s">
        <v>50</v>
      </c>
      <c r="D63" s="169"/>
      <c r="E63" s="28">
        <v>24.45</v>
      </c>
      <c r="F63" s="88">
        <v>2976</v>
      </c>
      <c r="G63" s="88">
        <f t="shared" si="45"/>
        <v>72763.199999999997</v>
      </c>
      <c r="H63" s="30" t="s">
        <v>53</v>
      </c>
      <c r="I63" s="95">
        <v>19</v>
      </c>
      <c r="J63" s="13">
        <v>2400</v>
      </c>
      <c r="K63" s="12">
        <f t="shared" si="1"/>
        <v>126.31578947368421</v>
      </c>
      <c r="L63" s="95">
        <v>19</v>
      </c>
      <c r="M63" s="13">
        <f t="shared" si="46"/>
        <v>2289.2307692307691</v>
      </c>
      <c r="N63" s="12">
        <f t="shared" si="3"/>
        <v>120.48582995951416</v>
      </c>
      <c r="O63" s="14">
        <f t="shared" si="4"/>
        <v>0</v>
      </c>
      <c r="P63" s="15">
        <f t="shared" si="5"/>
        <v>-5.8299595141700422</v>
      </c>
      <c r="Q63" s="91">
        <f t="shared" si="6"/>
        <v>0.95384615384615379</v>
      </c>
      <c r="R63" s="177"/>
      <c r="S63" s="21">
        <v>0.14861111111111105</v>
      </c>
      <c r="T63" s="21">
        <v>0.20277777777777772</v>
      </c>
      <c r="U63" s="88">
        <f t="shared" ref="U63:U67" si="48">(S63-T62)*24*60</f>
        <v>24.99999999999995</v>
      </c>
      <c r="V63" s="30">
        <f t="shared" si="47"/>
        <v>78</v>
      </c>
      <c r="W63" s="16"/>
      <c r="X63" s="16"/>
      <c r="Y63" s="16"/>
      <c r="Z63" s="16"/>
      <c r="AA63" s="168"/>
      <c r="AB63" s="168"/>
      <c r="AC63" s="18"/>
      <c r="AD63" s="18"/>
      <c r="AE63" s="14">
        <f t="shared" si="43"/>
        <v>-110.76923076923094</v>
      </c>
      <c r="AF63" s="91">
        <f t="shared" si="9"/>
        <v>0.95384615384615379</v>
      </c>
      <c r="AG63" s="177"/>
    </row>
    <row r="64" spans="1:33" ht="15.75" customHeight="1">
      <c r="A64" s="175" t="s">
        <v>176</v>
      </c>
      <c r="B64" s="88" t="s">
        <v>22</v>
      </c>
      <c r="C64" s="169" t="s">
        <v>31</v>
      </c>
      <c r="D64" s="169"/>
      <c r="E64" s="28">
        <v>20.21</v>
      </c>
      <c r="F64" s="88">
        <v>3008</v>
      </c>
      <c r="G64" s="88">
        <f t="shared" si="45"/>
        <v>60791.68</v>
      </c>
      <c r="H64" s="30" t="s">
        <v>53</v>
      </c>
      <c r="I64" s="95">
        <v>15</v>
      </c>
      <c r="J64" s="13">
        <v>2400</v>
      </c>
      <c r="K64" s="12">
        <f t="shared" si="1"/>
        <v>160</v>
      </c>
      <c r="L64" s="95">
        <v>15</v>
      </c>
      <c r="M64" s="13">
        <f t="shared" si="46"/>
        <v>2284.5569620253154</v>
      </c>
      <c r="N64" s="12">
        <f t="shared" si="3"/>
        <v>152.30379746835436</v>
      </c>
      <c r="O64" s="14">
        <f t="shared" si="4"/>
        <v>0</v>
      </c>
      <c r="P64" s="15">
        <f t="shared" si="5"/>
        <v>-7.6962025316456391</v>
      </c>
      <c r="Q64" s="91">
        <f t="shared" si="6"/>
        <v>0.95189873417721471</v>
      </c>
      <c r="R64" s="177"/>
      <c r="S64" s="21">
        <v>0.20624999999999993</v>
      </c>
      <c r="T64" s="21">
        <v>0.26111111111111107</v>
      </c>
      <c r="U64" s="88">
        <f t="shared" si="48"/>
        <v>4.9999999999999822</v>
      </c>
      <c r="V64" s="30">
        <f t="shared" si="47"/>
        <v>79.000000000000043</v>
      </c>
      <c r="W64" s="16"/>
      <c r="X64" s="16"/>
      <c r="Y64" s="16"/>
      <c r="Z64" s="16"/>
      <c r="AA64" s="168"/>
      <c r="AB64" s="168"/>
      <c r="AC64" s="18"/>
      <c r="AD64" s="18"/>
      <c r="AE64" s="14">
        <f t="shared" si="43"/>
        <v>-115.44303797468456</v>
      </c>
      <c r="AF64" s="91">
        <f t="shared" si="9"/>
        <v>0.95189873417721482</v>
      </c>
      <c r="AG64" s="177"/>
    </row>
    <row r="65" spans="1:33" ht="15.75" customHeight="1">
      <c r="A65" s="175" t="s">
        <v>176</v>
      </c>
      <c r="B65" s="88" t="s">
        <v>22</v>
      </c>
      <c r="C65" s="169" t="s">
        <v>51</v>
      </c>
      <c r="D65" s="169"/>
      <c r="E65" s="28">
        <v>24.43</v>
      </c>
      <c r="F65" s="88">
        <v>7704</v>
      </c>
      <c r="G65" s="88">
        <f t="shared" si="45"/>
        <v>188208.72</v>
      </c>
      <c r="H65" s="30" t="s">
        <v>53</v>
      </c>
      <c r="I65" s="95">
        <v>14</v>
      </c>
      <c r="J65" s="13">
        <v>2400</v>
      </c>
      <c r="K65" s="12">
        <f t="shared" si="1"/>
        <v>171.42857142857142</v>
      </c>
      <c r="L65" s="95">
        <v>14</v>
      </c>
      <c r="M65" s="13">
        <f t="shared" si="46"/>
        <v>2288.3168316831684</v>
      </c>
      <c r="N65" s="12">
        <f t="shared" si="3"/>
        <v>163.45120226308345</v>
      </c>
      <c r="O65" s="14">
        <f t="shared" si="4"/>
        <v>0</v>
      </c>
      <c r="P65" s="15">
        <f t="shared" si="5"/>
        <v>-7.9773691654879713</v>
      </c>
      <c r="Q65" s="91">
        <f t="shared" si="6"/>
        <v>0.95346534653465354</v>
      </c>
      <c r="R65" s="177"/>
      <c r="S65" s="21">
        <v>0.26666666666666661</v>
      </c>
      <c r="T65" s="21">
        <v>0.40694444444444439</v>
      </c>
      <c r="U65" s="88">
        <f t="shared" si="48"/>
        <v>7.9999999999999716</v>
      </c>
      <c r="V65" s="30">
        <f t="shared" si="47"/>
        <v>202</v>
      </c>
      <c r="W65" s="16"/>
      <c r="X65" s="16"/>
      <c r="Y65" s="16"/>
      <c r="Z65" s="16"/>
      <c r="AA65" s="168"/>
      <c r="AB65" s="168"/>
      <c r="AC65" s="18"/>
      <c r="AD65" s="18"/>
      <c r="AE65" s="14">
        <f t="shared" si="43"/>
        <v>-111.6831683168316</v>
      </c>
      <c r="AF65" s="91">
        <f t="shared" si="9"/>
        <v>0.95346534653465354</v>
      </c>
      <c r="AG65" s="177"/>
    </row>
    <row r="66" spans="1:33" ht="15.75" customHeight="1">
      <c r="A66" s="175" t="s">
        <v>176</v>
      </c>
      <c r="B66" s="88" t="s">
        <v>22</v>
      </c>
      <c r="C66" s="169" t="s">
        <v>52</v>
      </c>
      <c r="D66" s="169"/>
      <c r="E66" s="28">
        <v>19.02</v>
      </c>
      <c r="F66" s="88">
        <v>4200</v>
      </c>
      <c r="G66" s="88">
        <f t="shared" si="45"/>
        <v>79884</v>
      </c>
      <c r="H66" s="30">
        <v>2</v>
      </c>
      <c r="I66" s="95">
        <v>14</v>
      </c>
      <c r="J66" s="13">
        <v>2400</v>
      </c>
      <c r="K66" s="12">
        <f t="shared" si="1"/>
        <v>171.42857142857142</v>
      </c>
      <c r="L66" s="95">
        <v>14</v>
      </c>
      <c r="M66" s="13">
        <f t="shared" si="46"/>
        <v>2290.909090909091</v>
      </c>
      <c r="N66" s="12">
        <f t="shared" si="3"/>
        <v>163.63636363636365</v>
      </c>
      <c r="O66" s="14">
        <f t="shared" si="4"/>
        <v>0</v>
      </c>
      <c r="P66" s="15">
        <f t="shared" si="5"/>
        <v>-7.7922077922077619</v>
      </c>
      <c r="Q66" s="91">
        <f t="shared" si="6"/>
        <v>0.9545454545454547</v>
      </c>
      <c r="R66" s="177"/>
      <c r="S66" s="21">
        <v>0.4104166666666666</v>
      </c>
      <c r="T66" s="21">
        <v>0.48680555555555549</v>
      </c>
      <c r="U66" s="88">
        <f t="shared" si="48"/>
        <v>4.9999999999999822</v>
      </c>
      <c r="V66" s="30">
        <f t="shared" si="47"/>
        <v>110.00000000000001</v>
      </c>
      <c r="W66" s="16">
        <f>T66</f>
        <v>0.48680555555555549</v>
      </c>
      <c r="X66" s="16">
        <f>S67</f>
        <v>0.52777777777777768</v>
      </c>
      <c r="Y66" s="16"/>
      <c r="Z66" s="16"/>
      <c r="AA66" s="168"/>
      <c r="AB66" s="168"/>
      <c r="AC66" s="18"/>
      <c r="AD66" s="18"/>
      <c r="AE66" s="14">
        <f t="shared" si="43"/>
        <v>-109.09090909090901</v>
      </c>
      <c r="AF66" s="91">
        <f t="shared" si="9"/>
        <v>0.95454545454545459</v>
      </c>
      <c r="AG66" s="177"/>
    </row>
    <row r="67" spans="1:33" ht="15.75" customHeight="1">
      <c r="A67" s="175" t="s">
        <v>176</v>
      </c>
      <c r="B67" s="88" t="s">
        <v>22</v>
      </c>
      <c r="C67" s="169" t="s">
        <v>52</v>
      </c>
      <c r="D67" s="169"/>
      <c r="E67" s="28">
        <v>19.02</v>
      </c>
      <c r="F67" s="88">
        <v>6624</v>
      </c>
      <c r="G67" s="88">
        <f t="shared" si="45"/>
        <v>125988.48</v>
      </c>
      <c r="H67" s="30" t="s">
        <v>53</v>
      </c>
      <c r="I67" s="95">
        <v>14</v>
      </c>
      <c r="J67" s="13">
        <v>2400</v>
      </c>
      <c r="K67" s="12">
        <f t="shared" si="1"/>
        <v>171.42857142857142</v>
      </c>
      <c r="L67" s="95">
        <v>14</v>
      </c>
      <c r="M67" s="13">
        <f t="shared" si="46"/>
        <v>2284.1379310344823</v>
      </c>
      <c r="N67" s="12">
        <f t="shared" si="3"/>
        <v>163.15270935960589</v>
      </c>
      <c r="O67" s="14">
        <f t="shared" si="4"/>
        <v>0</v>
      </c>
      <c r="P67" s="15">
        <f t="shared" si="5"/>
        <v>-8.2758620689655231</v>
      </c>
      <c r="Q67" s="91">
        <f t="shared" si="6"/>
        <v>0.9517241379310345</v>
      </c>
      <c r="R67" s="177"/>
      <c r="S67" s="21">
        <v>0.52777777777777768</v>
      </c>
      <c r="T67" s="21">
        <v>0.64861111111111103</v>
      </c>
      <c r="U67" s="88">
        <f t="shared" si="48"/>
        <v>58.99999999999995</v>
      </c>
      <c r="V67" s="30">
        <f t="shared" si="47"/>
        <v>174.00000000000003</v>
      </c>
      <c r="W67" s="16"/>
      <c r="X67" s="16"/>
      <c r="Y67" s="16"/>
      <c r="Z67" s="16"/>
      <c r="AA67" s="168"/>
      <c r="AB67" s="168"/>
      <c r="AC67" s="18"/>
      <c r="AD67" s="18"/>
      <c r="AE67" s="14">
        <f t="shared" si="43"/>
        <v>-115.86206896551766</v>
      </c>
      <c r="AF67" s="91">
        <f t="shared" si="9"/>
        <v>0.95172413793103428</v>
      </c>
      <c r="AG67" s="177"/>
    </row>
    <row r="68" spans="1:33" ht="16.5" customHeight="1">
      <c r="A68" s="176" t="s">
        <v>176</v>
      </c>
      <c r="B68" s="28" t="s">
        <v>165</v>
      </c>
      <c r="C68" s="165"/>
      <c r="D68" s="166"/>
      <c r="E68" s="92"/>
      <c r="F68" s="12"/>
      <c r="G68" s="12"/>
      <c r="H68" s="88"/>
      <c r="I68" s="23">
        <v>15.166666666666666</v>
      </c>
      <c r="J68" s="13">
        <v>2400</v>
      </c>
      <c r="K68" s="12">
        <f t="shared" si="1"/>
        <v>158.24175824175825</v>
      </c>
      <c r="L68" s="23">
        <v>15.166666666666666</v>
      </c>
      <c r="M68" s="13">
        <f>AVERAGE(M62:M67)</f>
        <v>2289.8151192196015</v>
      </c>
      <c r="N68" s="12">
        <f t="shared" si="3"/>
        <v>150.97682104744626</v>
      </c>
      <c r="O68" s="14">
        <f t="shared" si="4"/>
        <v>0</v>
      </c>
      <c r="P68" s="15">
        <f t="shared" si="5"/>
        <v>-7.2649371943119831</v>
      </c>
      <c r="Q68" s="91">
        <f t="shared" si="6"/>
        <v>0.95408963300816729</v>
      </c>
      <c r="R68" s="177"/>
      <c r="S68" s="21"/>
      <c r="T68" s="21"/>
      <c r="U68" s="12"/>
      <c r="V68" s="30"/>
      <c r="W68" s="12"/>
      <c r="X68" s="12"/>
      <c r="Y68" s="24">
        <f>SUM(Y62:Y67)</f>
        <v>0</v>
      </c>
      <c r="Z68" s="24">
        <f>SUM(Z62:Z67)</f>
        <v>0</v>
      </c>
      <c r="AA68" s="167"/>
      <c r="AB68" s="167"/>
      <c r="AC68" s="24">
        <v>6</v>
      </c>
      <c r="AD68" s="24">
        <f>SUM(AD62:AD67)</f>
        <v>0</v>
      </c>
      <c r="AE68" s="14">
        <f t="shared" si="43"/>
        <v>-110.18488078039854</v>
      </c>
      <c r="AF68" s="91">
        <f t="shared" si="9"/>
        <v>0.95408963300816729</v>
      </c>
      <c r="AG68" s="177"/>
    </row>
    <row r="69" spans="1:33">
      <c r="D69" s="87"/>
      <c r="E69" s="87"/>
    </row>
  </sheetData>
  <mergeCells count="189">
    <mergeCell ref="A62:A68"/>
    <mergeCell ref="C62:D62"/>
    <mergeCell ref="R62:R68"/>
    <mergeCell ref="AA62:AB62"/>
    <mergeCell ref="AA67:AB67"/>
    <mergeCell ref="C68:D68"/>
    <mergeCell ref="AA68:AB68"/>
    <mergeCell ref="AG62:AG68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G55:AG61"/>
    <mergeCell ref="C56:D56"/>
    <mergeCell ref="AA56:AB56"/>
    <mergeCell ref="C57:D57"/>
    <mergeCell ref="AA57:AB57"/>
    <mergeCell ref="C58:D58"/>
    <mergeCell ref="AA58:AB58"/>
    <mergeCell ref="C59:D59"/>
    <mergeCell ref="AA59:AB59"/>
    <mergeCell ref="C60:D60"/>
    <mergeCell ref="C61:D61"/>
    <mergeCell ref="AA61:AB61"/>
    <mergeCell ref="A55:A61"/>
    <mergeCell ref="C55:D55"/>
    <mergeCell ref="R55:R61"/>
    <mergeCell ref="AA55:AB55"/>
    <mergeCell ref="AA60:AB60"/>
    <mergeCell ref="A48:A54"/>
    <mergeCell ref="C48:D48"/>
    <mergeCell ref="R48:R54"/>
    <mergeCell ref="AA48:AB48"/>
    <mergeCell ref="AG48:AG54"/>
    <mergeCell ref="C49:D49"/>
    <mergeCell ref="AA49:AB49"/>
    <mergeCell ref="C50:D50"/>
    <mergeCell ref="AA50:AB50"/>
    <mergeCell ref="AA51:AB51"/>
    <mergeCell ref="AG43:AG47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AA52:AB52"/>
    <mergeCell ref="C53:D53"/>
    <mergeCell ref="AA53:AB53"/>
    <mergeCell ref="C54:D54"/>
    <mergeCell ref="AA54:AB54"/>
    <mergeCell ref="A43:A47"/>
    <mergeCell ref="C43:D43"/>
    <mergeCell ref="R43:R47"/>
    <mergeCell ref="AA43:AB43"/>
    <mergeCell ref="AA38:AB38"/>
    <mergeCell ref="C39:D39"/>
    <mergeCell ref="AA39:AB39"/>
    <mergeCell ref="C40:D40"/>
    <mergeCell ref="AA40:AB40"/>
    <mergeCell ref="C41:D41"/>
    <mergeCell ref="AA41:AB41"/>
    <mergeCell ref="A35:A42"/>
    <mergeCell ref="C35:D35"/>
    <mergeCell ref="R35:R42"/>
    <mergeCell ref="AA35:AB35"/>
    <mergeCell ref="AG35:AG42"/>
    <mergeCell ref="C36:D36"/>
    <mergeCell ref="AA36:AB36"/>
    <mergeCell ref="C37:D37"/>
    <mergeCell ref="AA37:AB37"/>
    <mergeCell ref="C38:D38"/>
    <mergeCell ref="AG28:AG34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42:D42"/>
    <mergeCell ref="AA42:AB42"/>
    <mergeCell ref="A20:A27"/>
    <mergeCell ref="C20:D20"/>
    <mergeCell ref="R20:R27"/>
    <mergeCell ref="AA20:AB20"/>
    <mergeCell ref="C27:D27"/>
    <mergeCell ref="AA27:AB27"/>
    <mergeCell ref="A28:A34"/>
    <mergeCell ref="C28:D28"/>
    <mergeCell ref="R28:R34"/>
    <mergeCell ref="AA28:AB28"/>
    <mergeCell ref="AA33:AB33"/>
    <mergeCell ref="C34:D34"/>
    <mergeCell ref="AA34:AB34"/>
    <mergeCell ref="AG20:AG27"/>
    <mergeCell ref="C21:D21"/>
    <mergeCell ref="AA21:AB21"/>
    <mergeCell ref="C22:D22"/>
    <mergeCell ref="AA22:AB22"/>
    <mergeCell ref="C23:D23"/>
    <mergeCell ref="C17:D17"/>
    <mergeCell ref="AA17:AB17"/>
    <mergeCell ref="C18:D18"/>
    <mergeCell ref="AA18:AB18"/>
    <mergeCell ref="C19:D19"/>
    <mergeCell ref="AA19:AB19"/>
    <mergeCell ref="AA23:AB23"/>
    <mergeCell ref="C24:D24"/>
    <mergeCell ref="AA24:AB24"/>
    <mergeCell ref="C25:D25"/>
    <mergeCell ref="AA25:AB25"/>
    <mergeCell ref="C26:D26"/>
    <mergeCell ref="AA26:AB26"/>
    <mergeCell ref="AA13:AB13"/>
    <mergeCell ref="A14:A19"/>
    <mergeCell ref="C14:D14"/>
    <mergeCell ref="R14:R19"/>
    <mergeCell ref="AA14:AB14"/>
    <mergeCell ref="AG14:AG19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:O68">
    <cfRule type="cellIs" dxfId="46" priority="9" operator="greaterThan">
      <formula>0</formula>
    </cfRule>
  </conditionalFormatting>
  <conditionalFormatting sqref="P5:P68">
    <cfRule type="cellIs" dxfId="45" priority="1" operator="lessThan">
      <formula>0</formula>
    </cfRule>
  </conditionalFormatting>
  <conditionalFormatting sqref="Q5:Q68 AF5:AF68">
    <cfRule type="cellIs" dxfId="44" priority="10" operator="greaterThan">
      <formula>1</formula>
    </cfRule>
    <cfRule type="cellIs" dxfId="43" priority="11" operator="lessThan">
      <formula>0.8</formula>
    </cfRule>
  </conditionalFormatting>
  <conditionalFormatting sqref="R5:R10 AG5:AG10">
    <cfRule type="cellIs" dxfId="42" priority="44" operator="lessThan">
      <formula>0.8</formula>
    </cfRule>
  </conditionalFormatting>
  <conditionalFormatting sqref="AE5:AE68">
    <cfRule type="cellIs" dxfId="41" priority="12" operator="lessThan">
      <formula>0</formula>
    </cfRule>
  </conditionalFormatting>
  <conditionalFormatting sqref="AG14:AG58 R14:R68">
    <cfRule type="cellIs" dxfId="40" priority="13" operator="lessThan">
      <formula>0.8</formula>
    </cfRule>
  </conditionalFormatting>
  <dataValidations count="1">
    <dataValidation type="list" allowBlank="1" showInputMessage="1" showErrorMessage="1" sqref="AB9 AA5:AB8 AB59:AB60 AA61:AB68 AB11:AB55 AA9:AA60" xr:uid="{00000000-0002-0000-31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1:Q32"/>
  <sheetViews>
    <sheetView topLeftCell="B1" zoomScale="85" zoomScaleNormal="85" workbookViewId="0">
      <selection activeCell="C9" sqref="C9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494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495</v>
      </c>
      <c r="C3" s="154" t="str">
        <f>TEXT('0405 4度C'!A2,"yyyy.mm.ddaaaa")</f>
        <v>2026.04.05星期日</v>
      </c>
      <c r="D3" s="155"/>
      <c r="E3" s="33" t="s">
        <v>77</v>
      </c>
      <c r="F3" s="156">
        <f>'0405 4度C'!D1</f>
        <v>125214</v>
      </c>
      <c r="G3" s="157"/>
      <c r="H3" s="33" t="s">
        <v>286</v>
      </c>
      <c r="I3" s="158">
        <f>'0405 4度C'!F1</f>
        <v>4248314.0999999996</v>
      </c>
      <c r="J3" s="159"/>
      <c r="K3" s="34"/>
      <c r="L3" s="35"/>
      <c r="M3" s="35"/>
      <c r="N3" s="35"/>
    </row>
    <row r="4" spans="2:17" ht="28.5" customHeight="1">
      <c r="B4" s="160" t="s">
        <v>287</v>
      </c>
      <c r="C4" s="146" t="s">
        <v>288</v>
      </c>
      <c r="D4" s="147"/>
      <c r="E4" s="163" t="s">
        <v>81</v>
      </c>
      <c r="F4" s="164"/>
      <c r="G4" s="163" t="s">
        <v>290</v>
      </c>
      <c r="H4" s="164"/>
      <c r="I4" s="163" t="s">
        <v>386</v>
      </c>
      <c r="J4" s="164"/>
      <c r="K4" s="144" t="s">
        <v>496</v>
      </c>
      <c r="L4" s="145"/>
      <c r="M4" s="145" t="s">
        <v>497</v>
      </c>
      <c r="N4" s="145"/>
    </row>
    <row r="5" spans="2:17" ht="28.5" customHeight="1">
      <c r="B5" s="161"/>
      <c r="C5" s="146" t="s">
        <v>498</v>
      </c>
      <c r="D5" s="147"/>
      <c r="E5" s="146" t="s">
        <v>499</v>
      </c>
      <c r="F5" s="147"/>
      <c r="G5" s="148" t="s">
        <v>88</v>
      </c>
      <c r="H5" s="149"/>
      <c r="I5" s="150" t="s">
        <v>500</v>
      </c>
      <c r="J5" s="151"/>
      <c r="K5" s="36" t="s">
        <v>501</v>
      </c>
      <c r="L5" s="37" t="s">
        <v>502</v>
      </c>
      <c r="M5" s="36" t="s">
        <v>501</v>
      </c>
      <c r="N5" s="37" t="s">
        <v>503</v>
      </c>
    </row>
    <row r="6" spans="2:17" ht="28.5" customHeight="1">
      <c r="B6" s="161"/>
      <c r="C6" s="146" t="s">
        <v>54</v>
      </c>
      <c r="D6" s="147"/>
      <c r="E6" s="138">
        <f>AVERAGE(D13:M13)</f>
        <v>154.75100684339816</v>
      </c>
      <c r="F6" s="139">
        <f>AVERAGE(D31:O31,D13:J13)</f>
        <v>160.69535623107052</v>
      </c>
      <c r="G6" s="140">
        <f>AVERAGE(D13:J13)</f>
        <v>160.69535623107052</v>
      </c>
      <c r="H6" s="141"/>
      <c r="I6" s="140">
        <f>AVERAGE(K13:M13)</f>
        <v>140.88085827216261</v>
      </c>
      <c r="J6" s="141"/>
      <c r="K6" s="142">
        <f>'0405 4度C'!Y2</f>
        <v>0</v>
      </c>
      <c r="L6" s="127">
        <f>'0405 4度C'!Z2</f>
        <v>0</v>
      </c>
      <c r="M6" s="143">
        <f>'0405 4度C'!AC2</f>
        <v>47</v>
      </c>
      <c r="N6" s="127">
        <f>'0405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148.28641442023766</v>
      </c>
      <c r="F7" s="131">
        <f>AVERAGE(D32:O32,D14:J14)</f>
        <v>154.02942669484429</v>
      </c>
      <c r="G7" s="132">
        <f>AVERAGE(D14:J14)</f>
        <v>154.02942669484429</v>
      </c>
      <c r="H7" s="133"/>
      <c r="I7" s="132">
        <f>AVERAGE(K14:M14)</f>
        <v>134.88605244615545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0.9589520442049112</v>
      </c>
      <c r="F8" s="135">
        <f>AVERAGE(D15:J15,D33:O33)</f>
        <v>0.95953670763382848</v>
      </c>
      <c r="G8" s="136">
        <f>AVERAGE(D15:J15)</f>
        <v>0.95953670763382848</v>
      </c>
      <c r="H8" s="137"/>
      <c r="I8" s="136">
        <f>AVERAGE(K15:M15)</f>
        <v>0.95758782953743748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504</v>
      </c>
      <c r="N9" s="35"/>
      <c r="O9" s="35"/>
      <c r="P9" s="35"/>
      <c r="Q9" s="35"/>
    </row>
    <row r="10" spans="2:17" ht="30" customHeight="1">
      <c r="B10" s="110" t="s">
        <v>505</v>
      </c>
      <c r="C10" s="111"/>
      <c r="D10" s="112" t="s">
        <v>506</v>
      </c>
      <c r="E10" s="113"/>
      <c r="F10" s="113"/>
      <c r="G10" s="113"/>
      <c r="H10" s="113"/>
      <c r="I10" s="113"/>
      <c r="J10" s="114"/>
      <c r="K10" s="115" t="s">
        <v>507</v>
      </c>
      <c r="L10" s="116"/>
      <c r="M10" s="117"/>
      <c r="P10" s="41"/>
      <c r="Q10" s="41"/>
    </row>
    <row r="11" spans="2:17" ht="17.25" customHeight="1">
      <c r="B11" s="118" t="s">
        <v>508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509</v>
      </c>
      <c r="C13" s="48" t="s">
        <v>510</v>
      </c>
      <c r="D13" s="49">
        <f>SUMIFS('0405 4度C'!$K:$K,'0405 4度C'!$A:$A,"新豐6線",'0405 4度C'!$B:$B,"平均")</f>
        <v>111.11111111111111</v>
      </c>
      <c r="E13" s="50">
        <f>SUMIFS('0405 4度C'!$K:$K,'0405 4度C'!$A:$A,"新豐2線",'0405 4度C'!$B:$B,"平均")</f>
        <v>83.333333333333329</v>
      </c>
      <c r="F13" s="51">
        <f>SUMIFS('0405 4度C'!$K:$K,'0405 4度C'!$A:$A,"新豐5線",'0405 4度C'!$B:$B,"平均")</f>
        <v>97.402597402597408</v>
      </c>
      <c r="G13" s="51">
        <f>SUMIFS('0405 4度C'!$K:$K,'0405 4度C'!$A:$A,"新豐7線",'0405 4度C'!$B:$B,"平均")</f>
        <v>127.77777777777779</v>
      </c>
      <c r="H13" s="51">
        <f>SUMIFS('0405 4度C'!$K:$K,'0405 4度C'!$A:$A,"新豐3線",'0405 4度C'!$B:$B,"平均")</f>
        <v>333.33333333333331</v>
      </c>
      <c r="I13" s="51">
        <f>SUMIFS('0405 4度C'!$K:$K,'0405 4度C'!$A:$A,"新豐1線",'0405 4度C'!$B:$B,"平均")</f>
        <v>102.67857142857143</v>
      </c>
      <c r="J13" s="52">
        <f>SUMIFS('0405 4度C'!$K:$K,'0405 4度C'!$A:$A,"新豐10線",'0405 4度C'!$B:$B,"平均")</f>
        <v>269.23076923076923</v>
      </c>
      <c r="K13" s="53">
        <f>SUMIFS('0405 4度C'!$K:$K,'0405 4度C'!$A:$A,"新豐8線",'0405 4度C'!$B:$B,"平均")</f>
        <v>130.43478260869566</v>
      </c>
      <c r="L13" s="54">
        <f>SUMIFS('0405 4度C'!$K:$K,'0405 4度C'!$A:$A,"新豐9線",'0405 4度C'!$B:$B,"平均")</f>
        <v>136.36363636363635</v>
      </c>
      <c r="M13" s="52">
        <f>SUMIFS('0405 4度C'!$K:$K,'0405 4度C'!$A:$A,"新豐4線",'0405 4度C'!$B:$B,"平均")</f>
        <v>155.84415584415584</v>
      </c>
    </row>
    <row r="14" spans="2:17" ht="39.6" customHeight="1">
      <c r="B14" s="123"/>
      <c r="C14" s="55" t="s">
        <v>511</v>
      </c>
      <c r="D14" s="56">
        <f>SUMIFS('0405 4度C'!$N:$N,'0405 4度C'!$A:$A,"新豐6線",'0405 4度C'!$B:$B,"平均")</f>
        <v>107.25910559072996</v>
      </c>
      <c r="E14" s="57">
        <f>SUMIFS('0405 4度C'!$N:$N,'0405 4度C'!$A:$A,"新豐2線",'0405 4度C'!$B:$B,"平均")</f>
        <v>79.660087719298247</v>
      </c>
      <c r="F14" s="57">
        <f>SUMIFS('0405 4度C'!$N:$N,'0405 4度C'!$A:$A,"新豐5線",'0405 4度C'!$B:$B,"平均")</f>
        <v>93.431289660282246</v>
      </c>
      <c r="G14" s="57">
        <f>SUMIFS('0405 4度C'!$N:$N,'0405 4度C'!$A:$A,"新豐7線",'0405 4度C'!$B:$B,"平均")</f>
        <v>122.99886685150091</v>
      </c>
      <c r="H14" s="57">
        <f>SUMIFS('0405 4度C'!$N:$N,'0405 4度C'!$A:$A,"新豐3線",'0405 4度C'!$B:$B,"平均")</f>
        <v>318.09191334335043</v>
      </c>
      <c r="I14" s="57">
        <f>SUMIFS('0405 4度C'!$N:$N,'0405 4度C'!$A:$A,"新豐1線",'0405 4度C'!$B:$B,"平均")</f>
        <v>98.637290539473526</v>
      </c>
      <c r="J14" s="58">
        <f>SUMIFS('0405 4度C'!$N:$N,'0405 4度C'!$A:$A,"新豐10線",'0405 4度C'!$B:$B,"平均")</f>
        <v>258.1274331592748</v>
      </c>
      <c r="K14" s="59">
        <f>SUMIFS('0405 4度C'!$N:$N,'0405 4度C'!$A:$A,"新豐8線",'0405 4度C'!$B:$B,"平均")</f>
        <v>125.34661792691303</v>
      </c>
      <c r="L14" s="60">
        <f>SUMIFS('0405 4度C'!$N:$N,'0405 4度C'!$A:$A,"新豐9線",'0405 4度C'!$B:$B,"平均")</f>
        <v>130.38949812564908</v>
      </c>
      <c r="M14" s="58">
        <f>SUMIFS('0405 4度C'!$N:$N,'0405 4度C'!$A:$A,"新豐4線",'0405 4度C'!$B:$B,"平均")</f>
        <v>148.92204128590424</v>
      </c>
    </row>
    <row r="15" spans="2:17" ht="40.15" customHeight="1">
      <c r="B15" s="124"/>
      <c r="C15" s="61" t="s">
        <v>512</v>
      </c>
      <c r="D15" s="62">
        <f t="shared" ref="D15:M15" si="0">D14/D13</f>
        <v>0.9653319503165696</v>
      </c>
      <c r="E15" s="63">
        <f t="shared" si="0"/>
        <v>0.955921052631579</v>
      </c>
      <c r="F15" s="63">
        <f t="shared" si="0"/>
        <v>0.95922790717889772</v>
      </c>
      <c r="G15" s="63">
        <f t="shared" si="0"/>
        <v>0.96259982753348527</v>
      </c>
      <c r="H15" s="63">
        <f t="shared" si="0"/>
        <v>0.95427574003005133</v>
      </c>
      <c r="I15" s="63">
        <f t="shared" si="0"/>
        <v>0.96064143829748128</v>
      </c>
      <c r="J15" s="64">
        <f t="shared" si="0"/>
        <v>0.95875903744873503</v>
      </c>
      <c r="K15" s="62">
        <f t="shared" si="0"/>
        <v>0.96099073743966656</v>
      </c>
      <c r="L15" s="63">
        <f t="shared" si="0"/>
        <v>0.95618965292142677</v>
      </c>
      <c r="M15" s="64">
        <f t="shared" si="0"/>
        <v>0.9555830982512189</v>
      </c>
    </row>
    <row r="16" spans="2:17" ht="17.25" customHeight="1">
      <c r="B16" s="125" t="s">
        <v>513</v>
      </c>
      <c r="C16" s="65" t="s">
        <v>514</v>
      </c>
      <c r="D16" s="66">
        <f>VLOOKUP("新豐6線",'0405 4度C'!$A:$T,19,0)</f>
        <v>0.70833333333333337</v>
      </c>
      <c r="E16" s="67">
        <f>VLOOKUP("新豐2線",'0405 4度C'!$A:$T,19,0)</f>
        <v>0.20833333333333334</v>
      </c>
      <c r="F16" s="67">
        <f>VLOOKUP("新豐5線",'0405 4度C'!$A:$T,19,0)</f>
        <v>0.20833333333333334</v>
      </c>
      <c r="G16" s="67">
        <f>VLOOKUP("新豐7線",'0405 4度C'!$A:$T,19,0)</f>
        <v>0.20833333333333334</v>
      </c>
      <c r="H16" s="67">
        <f>VLOOKUP("新豐3線",'0405 4度C'!$A:$T,19,0)</f>
        <v>8.3333333333333329E-2</v>
      </c>
      <c r="I16" s="67">
        <f>VLOOKUP("新豐1線",'0405 4度C'!$A:$T,19,0)</f>
        <v>0.20833333333333334</v>
      </c>
      <c r="J16" s="68">
        <f>VLOOKUP("新豐10線",'0405 4度C'!$A:$T,19,0)</f>
        <v>0.20833333333333334</v>
      </c>
      <c r="K16" s="69">
        <f>VLOOKUP("新豐8線",'0405 4度C'!$A:$T,19,0)</f>
        <v>8.3333333333333329E-2</v>
      </c>
      <c r="L16" s="70">
        <f>VLOOKUP("新豐9線",'0405 4度C'!$A:$T,19,0)</f>
        <v>8.3333333333333329E-2</v>
      </c>
      <c r="M16" s="71">
        <f>VLOOKUP("新豐4線",'0405 4度C'!$A:$T,19,0)</f>
        <v>8.3333333333333329E-2</v>
      </c>
    </row>
    <row r="17" spans="2:13" ht="17.25" customHeight="1">
      <c r="B17" s="126"/>
      <c r="C17" s="65" t="s">
        <v>515</v>
      </c>
      <c r="D17" s="69">
        <f>LOOKUP(2,1/(('0405 4度C'!$A:$A="新豐6線")*('0405 4度C'!$T:$T&lt;&gt;"")),'0405 4度C'!$T:$T)</f>
        <v>0.82499999999999996</v>
      </c>
      <c r="E17" s="67">
        <f>LOOKUP(2,1/(('0405 4度C'!$A:$A="新豐2線")*('0405 4度C'!$T:$T&lt;&gt;"")),'0405 4度C'!$T:$T)</f>
        <v>0.47569444444444442</v>
      </c>
      <c r="F17" s="67">
        <f>LOOKUP(2,1/(('0405 4度C'!$A:$A="新豐5線")*('0405 4度C'!$T:$T&lt;&gt;"")),'0405 4度C'!$T:$T)</f>
        <v>0.83958333333333346</v>
      </c>
      <c r="G17" s="67">
        <f>LOOKUP(2,1/(('0405 4度C'!$A:$A="新豐7線")*('0405 4度C'!$T:$T&lt;&gt;"")),'0405 4度C'!$T:$T)</f>
        <v>0.83819444444444435</v>
      </c>
      <c r="H17" s="67">
        <f>LOOKUP(2,1/(('0405 4度C'!$A:$A="新豐3線")*('0405 4度C'!$T:$T&lt;&gt;"")),'0405 4度C'!$T:$T)</f>
        <v>0.37152777777777768</v>
      </c>
      <c r="I17" s="67">
        <f>LOOKUP(2,1/(('0405 4度C'!$A:$A="新豐1線")*('0405 4度C'!$T:$T&lt;&gt;"")),'0405 4度C'!$T:$T)</f>
        <v>0.82222222222222219</v>
      </c>
      <c r="J17" s="68">
        <f>LOOKUP(2,1/(('0405 4度C'!$A:$A="新豐10線")*('0405 4度C'!$T:$T&lt;&gt;"")),'0405 4度C'!$T:$T)</f>
        <v>0.39166666666666666</v>
      </c>
      <c r="K17" s="66">
        <f>LOOKUP(2,1/(('0405 4度C'!$A:$A="新豐8線")*('0405 4度C'!$T:$T&lt;&gt;"")),'0405 4度C'!$T:$T)</f>
        <v>0.44930555555555551</v>
      </c>
      <c r="L17" s="67">
        <f>LOOKUP(2,1/(('0405 4度C'!$A:$A="新豐9線")*('0405 4度C'!$T:$T&lt;&gt;"")),'0405 4度C'!$T:$T)</f>
        <v>0.46180555555555552</v>
      </c>
      <c r="M17" s="68">
        <f>LOOKUP(2,1/(('0405 4度C'!$A:$A="新豐4線")*('0405 4度C'!$T:$T&lt;&gt;"")),'0405 4度C'!$T:$T)</f>
        <v>0.45347222222222217</v>
      </c>
    </row>
    <row r="18" spans="2:13" ht="17.25" customHeight="1">
      <c r="B18" s="104" t="s">
        <v>516</v>
      </c>
      <c r="C18" s="72" t="s">
        <v>517</v>
      </c>
      <c r="D18" s="73">
        <f>SUMIFS('0405 4度C'!$Y:$Y,'0405 4度C'!$A:$A,"新豐6線",'0405 4度C'!$B:$B,"平均")</f>
        <v>0</v>
      </c>
      <c r="E18" s="74">
        <f>SUMIFS('0405 4度C'!$Y:$Y,'0405 4度C'!$A:$A,"新豐2線",'0405 4度C'!$B:$B,"平均")</f>
        <v>0</v>
      </c>
      <c r="F18" s="74">
        <f>SUMIFS('0405 4度C'!$Y:$Y,'0405 4度C'!$A:$A,"新豐5線",'0405 4度C'!$B:$B,"平均")</f>
        <v>0</v>
      </c>
      <c r="G18" s="74">
        <f>SUMIFS('0405 4度C'!$Y:$Y,'0405 4度C'!$A:$A,"新豐7線",'0405 4度C'!$B:$B,"平均")</f>
        <v>0</v>
      </c>
      <c r="H18" s="74">
        <f>SUMIFS('0405 4度C'!$Y:$Y,'0405 4度C'!$A:$A,"新豐3線",'0405 4度C'!$B:$B,"平均")</f>
        <v>0</v>
      </c>
      <c r="I18" s="74">
        <f>SUMIFS('0405 4度C'!$Y:$Y,'0405 4度C'!$A:$A,"新豐1線",'0405 4度C'!$B:$B,"平均")</f>
        <v>0</v>
      </c>
      <c r="J18" s="75">
        <f>SUMIFS('0405 4度C'!$Y:$Y,'0405 4度C'!$A:$A,"新豐10線",'0405 4度C'!$B:$B,"平均")</f>
        <v>0</v>
      </c>
      <c r="K18" s="76">
        <f>SUMIFS('0405 4度C'!$Y:$Y,'0405 4度C'!$A:$A,"新豐8線",'0405 4度C'!$B:$B,"平均")</f>
        <v>0</v>
      </c>
      <c r="L18" s="74">
        <f>SUMIFS('0405 4度C'!$Y:$Y,'0405 4度C'!$A:$A,"新豐9線",'0405 4度C'!$B:$B,"平均")</f>
        <v>0</v>
      </c>
      <c r="M18" s="75">
        <f>SUMIFS('0405 4度C'!$Y:$Y,'0405 4度C'!$A:$A,"新豐4線",'0405 4度C'!$B:$B,"平均")</f>
        <v>0</v>
      </c>
    </row>
    <row r="19" spans="2:13" ht="17.25" customHeight="1">
      <c r="B19" s="105"/>
      <c r="C19" s="72" t="s">
        <v>518</v>
      </c>
      <c r="D19" s="73">
        <f>SUMIFS('0405 4度C'!$Z:$Z,'0405 4度C'!$A:$A,"新豐6線",'0405 4度C'!$B:$B,"平均")</f>
        <v>0</v>
      </c>
      <c r="E19" s="74">
        <f>SUMIFS('0405 4度C'!$Z:$Z,'0405 4度C'!$A:$A,"新豐2線",'0405 4度C'!$B:$B,"平均")</f>
        <v>0</v>
      </c>
      <c r="F19" s="74">
        <f>SUMIFS('0405 4度C'!$Z:$Z,'0405 4度C'!$A:$A,"新豐5線",'0405 4度C'!$B:$B,"平均")</f>
        <v>0</v>
      </c>
      <c r="G19" s="74">
        <f>SUMIFS('0405 4度C'!$Z:$Z,'0405 4度C'!$A:$A,"新豐7線",'0405 4度C'!$B:$B,"平均")</f>
        <v>0</v>
      </c>
      <c r="H19" s="74">
        <f>SUMIFS('0405 4度C'!$Z:$Z,'0405 4度C'!$A:$A,"新豐3線",'0405 4度C'!$B:$B,"平均")</f>
        <v>0</v>
      </c>
      <c r="I19" s="74">
        <f>SUMIFS('0405 4度C'!$Z:$Z,'0405 4度C'!$A:$A,"新豐1線",'0405 4度C'!$B:$B,"平均")</f>
        <v>0</v>
      </c>
      <c r="J19" s="75">
        <f>SUMIFS('0405 4度C'!$Z:$Z,'0405 4度C'!$A:$A,"新豐10線",'0405 4度C'!$B:$B,"平均")</f>
        <v>0</v>
      </c>
      <c r="K19" s="76">
        <f>SUMIFS('0405 4度C'!$Z:$Z,'0405 4度C'!$A:$A,"新豐8線",'0405 4度C'!$B:$B,"平均")</f>
        <v>0</v>
      </c>
      <c r="L19" s="74">
        <f>SUMIFS('0405 4度C'!$Z:$Z,'0405 4度C'!$A:$A,"新豐9線",'0405 4度C'!$B:$B,"平均")</f>
        <v>0</v>
      </c>
      <c r="M19" s="75">
        <f>SUMIFS('0405 4度C'!$Z:$Z,'0405 4度C'!$A:$A,"新豐4線",'0405 4度C'!$B:$B,"平均")</f>
        <v>0</v>
      </c>
    </row>
    <row r="20" spans="2:13" ht="17.25" customHeight="1">
      <c r="B20" s="104" t="s">
        <v>519</v>
      </c>
      <c r="C20" s="72" t="s">
        <v>520</v>
      </c>
      <c r="D20" s="73">
        <f>SUMIFS('0405 4度C'!$AC:$AC,'0405 4度C'!$A:$A,"新豐6線",'0405 4度C'!$B:$B,"平均")</f>
        <v>4</v>
      </c>
      <c r="E20" s="74">
        <f>SUMIFS('0405 4度C'!$AC:$AC,'0405 4度C'!$A:$A,"新豐2線",'0405 4度C'!$B:$B,"平均")</f>
        <v>2</v>
      </c>
      <c r="F20" s="74">
        <f>SUMIFS('0405 4度C'!$AC:$AC,'0405 4度C'!$A:$A,"新豐5線",'0405 4度C'!$B:$B,"平均")</f>
        <v>4</v>
      </c>
      <c r="G20" s="74">
        <f>SUMIFS('0405 4度C'!$AC:$AC,'0405 4度C'!$A:$A,"新豐7線",'0405 4度C'!$B:$B,"平均")</f>
        <v>6</v>
      </c>
      <c r="H20" s="74">
        <f>SUMIFS('0405 4度C'!$AC:$AC,'0405 4度C'!$A:$A,"新豐3線",'0405 4度C'!$B:$B,"平均")</f>
        <v>5</v>
      </c>
      <c r="I20" s="74">
        <f>SUMIFS('0405 4度C'!$AC:$AC,'0405 4度C'!$A:$A,"新豐1線",'0405 4度C'!$B:$B,"平均")</f>
        <v>6</v>
      </c>
      <c r="J20" s="75">
        <f>SUMIFS('0405 4度C'!$AC:$AC,'0405 4度C'!$A:$A,"新豐10線",'0405 4度C'!$B:$B,"平均")</f>
        <v>5</v>
      </c>
      <c r="K20" s="76">
        <f>SUMIFS('0405 4度C'!$AC:$AC,'0405 4度C'!$A:$A,"新豐8線",'0405 4度C'!$B:$B,"平均")</f>
        <v>5</v>
      </c>
      <c r="L20" s="74">
        <f>SUMIFS('0405 4度C'!$AC:$AC,'0405 4度C'!$A:$A,"新豐9線",'0405 4度C'!$B:$B,"平均")</f>
        <v>5</v>
      </c>
      <c r="M20" s="75">
        <f>SUMIFS('0405 4度C'!$AC:$AC,'0405 4度C'!$A:$A,"新豐4線",'0405 4度C'!$B:$B,"平均")</f>
        <v>5</v>
      </c>
    </row>
    <row r="21" spans="2:13" ht="17.25" customHeight="1">
      <c r="B21" s="105"/>
      <c r="C21" s="72" t="s">
        <v>521</v>
      </c>
      <c r="D21" s="73">
        <f>SUMIFS('0405 4度C'!$AD:$AD,'0405 4度C'!$A:$A,"新豐6線",'0405 4度C'!$B:$B,"平均")</f>
        <v>0</v>
      </c>
      <c r="E21" s="74">
        <f>SUMIFS('0405 4度C'!$AD:$AD,'0405 4度C'!$A:$A,"新豐2線",'0405 4度C'!$B:$B,"平均")</f>
        <v>0</v>
      </c>
      <c r="F21" s="74">
        <f>SUMIFS('0405 4度C'!$AD:$AD,'0405 4度C'!$A:$A,"新豐5線",'0405 4度C'!$B:$B,"平均")</f>
        <v>0</v>
      </c>
      <c r="G21" s="74">
        <f>SUMIFS('0405 4度C'!$AD:$AD,'0405 4度C'!$A:$A,"新豐7線",'0405 4度C'!$B:$B,"平均")</f>
        <v>0</v>
      </c>
      <c r="H21" s="74">
        <f>SUMIFS('0405 4度C'!$AD:$AD,'0405 4度C'!$A:$A,"新豐3線",'0405 4度C'!$B:$B,"平均")</f>
        <v>0</v>
      </c>
      <c r="I21" s="74">
        <f>SUMIFS('0405 4度C'!$AD:$AD,'0405 4度C'!$A:$A,"新豐1線",'0405 4度C'!$B:$B,"平均")</f>
        <v>0</v>
      </c>
      <c r="J21" s="75">
        <f>SUMIFS('0405 4度C'!$AD:$AD,'0405 4度C'!$A:$A,"新豐10線",'0405 4度C'!$B:$B,"平均")</f>
        <v>0</v>
      </c>
      <c r="K21" s="76">
        <f>SUMIFS('0405 4度C'!$AD:$AD,'0405 4度C'!$A:$A,"新豐8線",'0405 4度C'!$B:$B,"平均")</f>
        <v>0</v>
      </c>
      <c r="L21" s="74">
        <f>SUMIFS('0405 4度C'!$AD:$AD,'0405 4度C'!$A:$A,"新豐9線",'0405 4度C'!$B:$B,"平均")</f>
        <v>0</v>
      </c>
      <c r="M21" s="75">
        <f>SUMIFS('0405 4度C'!$AD:$AD,'0405 4度C'!$A:$A,"新豐4線",'0405 4度C'!$B:$B,"平均")</f>
        <v>0</v>
      </c>
    </row>
    <row r="22" spans="2:13" ht="17.25" customHeight="1">
      <c r="B22" s="106" t="s">
        <v>522</v>
      </c>
      <c r="C22" s="107"/>
      <c r="D22" s="77">
        <f>SUMIFS('0405 4度C'!$I:$I,'0405 4度C'!$A:$A,"新豐6線",'0405 4度C'!$B:$B,"平均")</f>
        <v>18</v>
      </c>
      <c r="E22" s="78">
        <f>SUMIFS('0405 4度C'!$I:$I,'0405 4度C'!$A:$A,"新豐2線",'0405 4度C'!$B:$B,"平均")</f>
        <v>18</v>
      </c>
      <c r="F22" s="78">
        <f>SUMIFS('0405 4度C'!$I:$I,'0405 4度C'!$A:$A,"新豐5線",'0405 4度C'!$B:$B,"平均")</f>
        <v>19.25</v>
      </c>
      <c r="G22" s="78">
        <f>SUMIFS('0405 4度C'!$I:$I,'0405 4度C'!$A:$A,"新豐7線",'0405 4度C'!$B:$B,"平均")</f>
        <v>15</v>
      </c>
      <c r="H22" s="78">
        <f>SUMIFS('0405 4度C'!$I:$I,'0405 4度C'!$A:$A,"新豐3線",'0405 4度C'!$B:$B,"平均")</f>
        <v>9</v>
      </c>
      <c r="I22" s="78">
        <f>SUMIFS('0405 4度C'!$I:$I,'0405 4度C'!$A:$A,"新豐1線",'0405 4度C'!$B:$B,"平均")</f>
        <v>18.666666666666668</v>
      </c>
      <c r="J22" s="79">
        <f>SUMIFS('0405 4度C'!$I:$I,'0405 4度C'!$A:$A,"新豐10線",'0405 4度C'!$B:$B,"平均")</f>
        <v>10.4</v>
      </c>
      <c r="K22" s="77">
        <f>SUMIFS('0405 4度C'!$I:$I,'0405 4度C'!$A:$A,"新豐8線",'0405 4度C'!$B:$B,"平均")</f>
        <v>18.399999999999999</v>
      </c>
      <c r="L22" s="78">
        <f>SUMIFS('0405 4度C'!$I:$I,'0405 4度C'!$A:$A,"新豐9線",'0405 4度C'!$B:$B,"平均")</f>
        <v>17.600000000000001</v>
      </c>
      <c r="M22" s="79">
        <f>SUMIFS('0405 4度C'!$I:$I,'0405 4度C'!$A:$A,"新豐4線",'0405 4度C'!$B:$B,"平均")</f>
        <v>15.4</v>
      </c>
    </row>
    <row r="23" spans="2:13" ht="17.25" customHeight="1">
      <c r="B23" s="106" t="s">
        <v>523</v>
      </c>
      <c r="C23" s="107"/>
      <c r="D23" s="80" t="s">
        <v>67</v>
      </c>
      <c r="E23" s="81" t="s">
        <v>68</v>
      </c>
      <c r="F23" s="81" t="s">
        <v>524</v>
      </c>
      <c r="G23" s="81" t="s">
        <v>525</v>
      </c>
      <c r="H23" s="81" t="s">
        <v>69</v>
      </c>
      <c r="I23" s="81" t="s">
        <v>67</v>
      </c>
      <c r="J23" s="82" t="s">
        <v>69</v>
      </c>
      <c r="K23" s="80" t="s">
        <v>526</v>
      </c>
      <c r="L23" s="81" t="s">
        <v>526</v>
      </c>
      <c r="M23" s="82" t="s">
        <v>526</v>
      </c>
    </row>
    <row r="24" spans="2:13" ht="17.25" customHeight="1">
      <c r="B24" s="106" t="s">
        <v>527</v>
      </c>
      <c r="C24" s="107"/>
      <c r="D24" s="80"/>
      <c r="E24" s="81"/>
      <c r="F24" s="81" t="s">
        <v>528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529</v>
      </c>
      <c r="C25" s="109"/>
      <c r="D25" s="83"/>
      <c r="E25" s="84" t="s">
        <v>530</v>
      </c>
      <c r="F25" s="102" t="s">
        <v>531</v>
      </c>
      <c r="G25" s="103"/>
      <c r="H25" s="84" t="s">
        <v>532</v>
      </c>
      <c r="I25" s="84" t="s">
        <v>533</v>
      </c>
      <c r="J25" s="85" t="s">
        <v>532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3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工作表13">
    <pageSetUpPr fitToPage="1"/>
  </sheetPr>
  <dimension ref="A1:AG62"/>
  <sheetViews>
    <sheetView zoomScale="80" zoomScaleNormal="80" workbookViewId="0">
      <pane ySplit="4" topLeftCell="A5" activePane="bottomLeft" state="frozen"/>
      <selection sqref="A1:XFD1048576"/>
      <selection pane="bottomLeft" activeCell="B1" sqref="B1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534</v>
      </c>
      <c r="B1" s="1"/>
      <c r="C1" s="2" t="s">
        <v>535</v>
      </c>
      <c r="D1" s="3">
        <f>SUM(F5:F61)</f>
        <v>125214</v>
      </c>
      <c r="E1" s="88" t="s">
        <v>536</v>
      </c>
      <c r="F1" s="1">
        <f>SUM(G5:G61)</f>
        <v>4248314.0999999996</v>
      </c>
      <c r="G1" s="1" t="s">
        <v>537</v>
      </c>
      <c r="H1" s="4">
        <f>L9+L12+L42+L49+L17+L55+L30+L36+L24+L61</f>
        <v>159.71666666666667</v>
      </c>
      <c r="I1" s="215" t="s">
        <v>538</v>
      </c>
      <c r="J1" s="215"/>
      <c r="K1" s="215"/>
      <c r="L1" s="215" t="s">
        <v>539</v>
      </c>
      <c r="M1" s="215"/>
      <c r="N1" s="215"/>
      <c r="O1" s="215" t="s">
        <v>540</v>
      </c>
      <c r="P1" s="215"/>
      <c r="Q1" s="215"/>
      <c r="R1" s="215"/>
      <c r="S1" s="215" t="s">
        <v>541</v>
      </c>
      <c r="T1" s="215"/>
      <c r="U1" s="215"/>
      <c r="V1" s="215"/>
      <c r="W1" s="215"/>
      <c r="X1" s="215"/>
      <c r="Y1" s="5" t="s">
        <v>542</v>
      </c>
      <c r="Z1" s="6" t="s">
        <v>543</v>
      </c>
      <c r="AA1" s="216" t="s">
        <v>544</v>
      </c>
      <c r="AB1" s="216"/>
      <c r="AC1" s="97" t="s">
        <v>542</v>
      </c>
      <c r="AD1" s="6" t="s">
        <v>545</v>
      </c>
      <c r="AE1" s="215" t="s">
        <v>546</v>
      </c>
      <c r="AF1" s="217"/>
      <c r="AG1" s="217"/>
    </row>
    <row r="2" spans="1:33" ht="26.25" customHeight="1">
      <c r="A2" s="26">
        <v>46117</v>
      </c>
      <c r="B2" s="27" t="s">
        <v>547</v>
      </c>
      <c r="C2" s="2" t="s">
        <v>548</v>
      </c>
      <c r="D2" s="8">
        <f>AVERAGE(N9,N12,N42,N49,N17,N55,N24,N30,N36,N61)</f>
        <v>148.28641442023766</v>
      </c>
      <c r="E2" s="9" t="s">
        <v>0</v>
      </c>
      <c r="F2" s="10">
        <f>F1/D1</f>
        <v>33.928427332406919</v>
      </c>
      <c r="G2" s="1" t="s">
        <v>549</v>
      </c>
      <c r="H2" s="96">
        <f>COUNT(H5:H61)</f>
        <v>0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SUM(Y9+Y12+Y17+Y24+Y30+Y36+Y42+Y49+Y55+Y61)</f>
        <v>0</v>
      </c>
      <c r="Z2" s="11">
        <f>SUM(Z9+Z12+Z17+Z24+Z30+Z36+Z42+Z49+Z55+Z61)</f>
        <v>0</v>
      </c>
      <c r="AA2" s="216"/>
      <c r="AB2" s="216"/>
      <c r="AC2" s="11">
        <v>47</v>
      </c>
      <c r="AD2" s="11">
        <f>SUM(AD9+AD12+AD17+AD24+AD30+AD36+AD42+AD49+AD55+AD61)</f>
        <v>0</v>
      </c>
      <c r="AE2" s="217"/>
      <c r="AF2" s="217"/>
      <c r="AG2" s="217"/>
    </row>
    <row r="3" spans="1:33" ht="40.5" customHeight="1">
      <c r="A3" s="168" t="s">
        <v>550</v>
      </c>
      <c r="B3" s="168" t="s">
        <v>551</v>
      </c>
      <c r="C3" s="168" t="s">
        <v>552</v>
      </c>
      <c r="D3" s="168"/>
      <c r="E3" s="213" t="s">
        <v>553</v>
      </c>
      <c r="F3" s="168" t="s">
        <v>554</v>
      </c>
      <c r="G3" s="213" t="s">
        <v>555</v>
      </c>
      <c r="H3" s="207" t="s">
        <v>556</v>
      </c>
      <c r="I3" s="205" t="s">
        <v>557</v>
      </c>
      <c r="J3" s="202" t="s">
        <v>558</v>
      </c>
      <c r="K3" s="212" t="s">
        <v>548</v>
      </c>
      <c r="L3" s="205" t="s">
        <v>557</v>
      </c>
      <c r="M3" s="202" t="s">
        <v>558</v>
      </c>
      <c r="N3" s="212" t="s">
        <v>548</v>
      </c>
      <c r="O3" s="205" t="s">
        <v>557</v>
      </c>
      <c r="P3" s="212" t="s">
        <v>548</v>
      </c>
      <c r="Q3" s="203" t="s">
        <v>559</v>
      </c>
      <c r="R3" s="181" t="s">
        <v>560</v>
      </c>
      <c r="S3" s="168" t="s">
        <v>1</v>
      </c>
      <c r="T3" s="168"/>
      <c r="U3" s="207" t="s">
        <v>2</v>
      </c>
      <c r="V3" s="207" t="s">
        <v>561</v>
      </c>
      <c r="W3" s="168" t="s">
        <v>562</v>
      </c>
      <c r="X3" s="168"/>
      <c r="Y3" s="208" t="s">
        <v>563</v>
      </c>
      <c r="Z3" s="167"/>
      <c r="AA3" s="209" t="s">
        <v>564</v>
      </c>
      <c r="AB3" s="210"/>
      <c r="AC3" s="208" t="s">
        <v>565</v>
      </c>
      <c r="AD3" s="167"/>
      <c r="AE3" s="202" t="s">
        <v>566</v>
      </c>
      <c r="AF3" s="203" t="s">
        <v>559</v>
      </c>
      <c r="AG3" s="181" t="s">
        <v>567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568</v>
      </c>
      <c r="X4" s="88" t="s">
        <v>569</v>
      </c>
      <c r="Y4" s="90" t="s">
        <v>570</v>
      </c>
      <c r="Z4" s="90" t="s">
        <v>571</v>
      </c>
      <c r="AA4" s="211"/>
      <c r="AB4" s="210"/>
      <c r="AC4" s="90" t="s">
        <v>572</v>
      </c>
      <c r="AD4" s="90" t="s">
        <v>573</v>
      </c>
      <c r="AE4" s="202"/>
      <c r="AF4" s="203"/>
      <c r="AG4" s="181"/>
    </row>
    <row r="5" spans="1:33">
      <c r="A5" s="204" t="s">
        <v>574</v>
      </c>
      <c r="B5" s="28" t="s">
        <v>5</v>
      </c>
      <c r="C5" s="206" t="s">
        <v>6</v>
      </c>
      <c r="D5" s="206"/>
      <c r="E5" s="28">
        <v>50.67</v>
      </c>
      <c r="F5" s="88">
        <v>1485</v>
      </c>
      <c r="G5" s="88">
        <f t="shared" ref="G5:G8" si="0">E5*F5</f>
        <v>75244.95</v>
      </c>
      <c r="H5" s="30" t="s">
        <v>53</v>
      </c>
      <c r="I5" s="95">
        <v>17</v>
      </c>
      <c r="J5" s="13">
        <v>2000</v>
      </c>
      <c r="K5" s="12">
        <f t="shared" ref="K5:K61" si="1">J5/I5</f>
        <v>117.64705882352941</v>
      </c>
      <c r="L5" s="95">
        <v>17</v>
      </c>
      <c r="M5" s="13">
        <f t="shared" ref="M5:M8" si="2">F5/V5*60</f>
        <v>1936.9565217391303</v>
      </c>
      <c r="N5" s="12">
        <f t="shared" ref="N5:N61" si="3">M5/L5</f>
        <v>113.93861892583119</v>
      </c>
      <c r="O5" s="14">
        <f t="shared" ref="O5:O61" si="4">L5-I5</f>
        <v>0</v>
      </c>
      <c r="P5" s="15">
        <f t="shared" ref="P5:P61" si="5">N5-K5</f>
        <v>-3.7084398976982129</v>
      </c>
      <c r="Q5" s="91">
        <f t="shared" ref="Q5:Q61" si="6">N5/K5</f>
        <v>0.96847826086956523</v>
      </c>
      <c r="R5" s="177">
        <f>Q9</f>
        <v>0.9653319503165696</v>
      </c>
      <c r="S5" s="21">
        <v>0.70833333333333337</v>
      </c>
      <c r="T5" s="21">
        <v>0.74027777777777781</v>
      </c>
      <c r="U5" s="88"/>
      <c r="V5" s="30">
        <f t="shared" ref="V5:V8" si="7">(T5-S5)*24*60</f>
        <v>46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48" si="8">M5-J5</f>
        <v>-63.043478260869733</v>
      </c>
      <c r="AF5" s="91">
        <f t="shared" ref="AF5:AF61" si="9">M5/J5</f>
        <v>0.96847826086956512</v>
      </c>
      <c r="AG5" s="177">
        <f>AF9</f>
        <v>0.9653319503165696</v>
      </c>
    </row>
    <row r="6" spans="1:33">
      <c r="A6" s="205" t="s">
        <v>575</v>
      </c>
      <c r="B6" s="28" t="s">
        <v>5</v>
      </c>
      <c r="C6" s="206" t="s">
        <v>7</v>
      </c>
      <c r="D6" s="206"/>
      <c r="E6" s="28">
        <v>54.09</v>
      </c>
      <c r="F6" s="88">
        <v>1245</v>
      </c>
      <c r="G6" s="88">
        <f t="shared" si="0"/>
        <v>67342.05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1915.3846153846143</v>
      </c>
      <c r="N6" s="12">
        <f t="shared" si="3"/>
        <v>100.80971659919022</v>
      </c>
      <c r="O6" s="14">
        <f t="shared" si="4"/>
        <v>0</v>
      </c>
      <c r="P6" s="15">
        <f t="shared" si="5"/>
        <v>-4.4534412955466109</v>
      </c>
      <c r="Q6" s="91">
        <f t="shared" si="6"/>
        <v>0.95769230769230718</v>
      </c>
      <c r="R6" s="177"/>
      <c r="S6" s="21">
        <v>0.74583333333333335</v>
      </c>
      <c r="T6" s="21">
        <v>0.7729166666666667</v>
      </c>
      <c r="U6" s="88">
        <f t="shared" ref="U6:U8" si="10">IF(S6=TIME(17,0,0),"",(S6-T5)*24*60)</f>
        <v>7.9999999999999716</v>
      </c>
      <c r="V6" s="30">
        <f t="shared" si="7"/>
        <v>39.000000000000021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-84.615384615385665</v>
      </c>
      <c r="AF6" s="91">
        <f t="shared" si="9"/>
        <v>0.95769230769230718</v>
      </c>
      <c r="AG6" s="177"/>
    </row>
    <row r="7" spans="1:33">
      <c r="A7" s="205" t="s">
        <v>575</v>
      </c>
      <c r="B7" s="28" t="s">
        <v>5</v>
      </c>
      <c r="C7" s="200" t="s">
        <v>8</v>
      </c>
      <c r="D7" s="201"/>
      <c r="E7" s="28">
        <v>50.67</v>
      </c>
      <c r="F7" s="88">
        <v>290</v>
      </c>
      <c r="G7" s="88">
        <f t="shared" si="0"/>
        <v>14694.300000000001</v>
      </c>
      <c r="H7" s="30" t="s">
        <v>53</v>
      </c>
      <c r="I7" s="95">
        <v>21</v>
      </c>
      <c r="J7" s="13">
        <v>2000</v>
      </c>
      <c r="K7" s="12">
        <f t="shared" si="1"/>
        <v>95.238095238095241</v>
      </c>
      <c r="L7" s="95">
        <v>21</v>
      </c>
      <c r="M7" s="13">
        <f t="shared" si="2"/>
        <v>1933.3333333333401</v>
      </c>
      <c r="N7" s="12">
        <f t="shared" si="3"/>
        <v>92.06349206349239</v>
      </c>
      <c r="O7" s="14">
        <f t="shared" si="4"/>
        <v>0</v>
      </c>
      <c r="P7" s="15">
        <f t="shared" si="5"/>
        <v>-3.1746031746028507</v>
      </c>
      <c r="Q7" s="91">
        <f t="shared" si="6"/>
        <v>0.96666666666667012</v>
      </c>
      <c r="R7" s="177"/>
      <c r="S7" s="21">
        <v>0.77708333333333335</v>
      </c>
      <c r="T7" s="21">
        <v>0.78333333333333333</v>
      </c>
      <c r="U7" s="88">
        <f t="shared" si="10"/>
        <v>5.9999999999999787</v>
      </c>
      <c r="V7" s="30">
        <f t="shared" si="7"/>
        <v>8.999999999999968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-66.666666666659921</v>
      </c>
      <c r="AF7" s="91">
        <f t="shared" si="9"/>
        <v>0.96666666666667</v>
      </c>
      <c r="AG7" s="177"/>
    </row>
    <row r="8" spans="1:33">
      <c r="A8" s="205" t="s">
        <v>575</v>
      </c>
      <c r="B8" s="28" t="s">
        <v>5</v>
      </c>
      <c r="C8" s="200" t="s">
        <v>16</v>
      </c>
      <c r="D8" s="201"/>
      <c r="E8" s="28">
        <v>50.67</v>
      </c>
      <c r="F8" s="88">
        <v>1711</v>
      </c>
      <c r="G8" s="88">
        <f t="shared" si="0"/>
        <v>86696.37000000001</v>
      </c>
      <c r="H8" s="30" t="s">
        <v>53</v>
      </c>
      <c r="I8" s="95">
        <v>15</v>
      </c>
      <c r="J8" s="13">
        <v>2000</v>
      </c>
      <c r="K8" s="12">
        <f t="shared" si="1"/>
        <v>133.33333333333334</v>
      </c>
      <c r="L8" s="95">
        <v>15</v>
      </c>
      <c r="M8" s="13">
        <f t="shared" si="2"/>
        <v>1936.9811320754727</v>
      </c>
      <c r="N8" s="12">
        <f t="shared" si="3"/>
        <v>129.13207547169819</v>
      </c>
      <c r="O8" s="14">
        <f t="shared" si="4"/>
        <v>0</v>
      </c>
      <c r="P8" s="15">
        <f t="shared" si="5"/>
        <v>-4.2012578616351561</v>
      </c>
      <c r="Q8" s="91">
        <f t="shared" si="6"/>
        <v>0.96849056603773631</v>
      </c>
      <c r="R8" s="177"/>
      <c r="S8" s="21">
        <v>0.78819444444444442</v>
      </c>
      <c r="T8" s="21">
        <v>0.82499999999999996</v>
      </c>
      <c r="U8" s="88">
        <f t="shared" si="10"/>
        <v>6.9999999999999751</v>
      </c>
      <c r="V8" s="30">
        <f t="shared" si="7"/>
        <v>52.999999999999972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-63.018867924527285</v>
      </c>
      <c r="AF8" s="91">
        <f t="shared" si="9"/>
        <v>0.96849056603773631</v>
      </c>
      <c r="AG8" s="177"/>
    </row>
    <row r="9" spans="1:33">
      <c r="A9" s="205" t="s">
        <v>575</v>
      </c>
      <c r="B9" s="28" t="s">
        <v>576</v>
      </c>
      <c r="C9" s="178"/>
      <c r="D9" s="178"/>
      <c r="E9" s="92"/>
      <c r="F9" s="12"/>
      <c r="G9" s="12"/>
      <c r="H9" s="88"/>
      <c r="I9" s="23">
        <v>18</v>
      </c>
      <c r="J9" s="13">
        <v>2000</v>
      </c>
      <c r="K9" s="12">
        <f t="shared" si="1"/>
        <v>111.11111111111111</v>
      </c>
      <c r="L9" s="23">
        <v>18</v>
      </c>
      <c r="M9" s="13">
        <f>AVERAGE(M5:M8)</f>
        <v>1930.6639006331393</v>
      </c>
      <c r="N9" s="12">
        <f t="shared" si="3"/>
        <v>107.25910559072996</v>
      </c>
      <c r="O9" s="14">
        <f t="shared" si="4"/>
        <v>0</v>
      </c>
      <c r="P9" s="15">
        <f t="shared" si="5"/>
        <v>-3.8520055203811552</v>
      </c>
      <c r="Q9" s="91">
        <f t="shared" si="6"/>
        <v>0.9653319503165696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v>4</v>
      </c>
      <c r="AD9" s="24">
        <f>SUM(AD5:AD8)</f>
        <v>0</v>
      </c>
      <c r="AE9" s="14">
        <f t="shared" si="8"/>
        <v>-69.336099366860708</v>
      </c>
      <c r="AF9" s="91">
        <f t="shared" si="9"/>
        <v>0.9653319503165696</v>
      </c>
      <c r="AG9" s="177"/>
    </row>
    <row r="10" spans="1:33" ht="15.75" customHeight="1">
      <c r="A10" s="199" t="s">
        <v>577</v>
      </c>
      <c r="B10" s="28" t="s">
        <v>9</v>
      </c>
      <c r="C10" s="200" t="s">
        <v>10</v>
      </c>
      <c r="D10" s="201"/>
      <c r="E10" s="28">
        <v>39.619999999999997</v>
      </c>
      <c r="F10" s="88">
        <v>3637</v>
      </c>
      <c r="G10" s="88">
        <f t="shared" ref="G10:G11" si="11">E10*F10</f>
        <v>144097.94</v>
      </c>
      <c r="H10" s="30" t="s">
        <v>53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1" si="12">F10/V10*60</f>
        <v>1435.6578947368421</v>
      </c>
      <c r="N10" s="12">
        <f t="shared" si="3"/>
        <v>75.56094182825484</v>
      </c>
      <c r="O10" s="14">
        <f t="shared" si="4"/>
        <v>0</v>
      </c>
      <c r="P10" s="15">
        <f t="shared" si="5"/>
        <v>-3.3864265927977897</v>
      </c>
      <c r="Q10" s="91">
        <f t="shared" si="6"/>
        <v>0.95710526315789468</v>
      </c>
      <c r="R10" s="177">
        <f>Q12</f>
        <v>0.955921052631579</v>
      </c>
      <c r="S10" s="21">
        <v>0.20833333333333334</v>
      </c>
      <c r="T10" s="21">
        <v>0.31388888888888888</v>
      </c>
      <c r="U10" s="88"/>
      <c r="V10" s="30">
        <f t="shared" ref="V10:V11" si="13">(T10-S10)*24*60</f>
        <v>152</v>
      </c>
      <c r="W10" s="16"/>
      <c r="X10" s="16"/>
      <c r="Y10" s="16"/>
      <c r="Z10" s="16"/>
      <c r="AA10" s="168"/>
      <c r="AB10" s="168"/>
      <c r="AC10" s="18">
        <v>2</v>
      </c>
      <c r="AD10" s="18"/>
      <c r="AE10" s="14">
        <f t="shared" si="8"/>
        <v>-64.342105263157919</v>
      </c>
      <c r="AF10" s="91">
        <f t="shared" si="9"/>
        <v>0.95710526315789468</v>
      </c>
      <c r="AG10" s="177">
        <f>AF12</f>
        <v>0.95592105263157889</v>
      </c>
    </row>
    <row r="11" spans="1:33" ht="15.75" customHeight="1">
      <c r="A11" s="199" t="s">
        <v>578</v>
      </c>
      <c r="B11" s="28" t="s">
        <v>9</v>
      </c>
      <c r="C11" s="200" t="s">
        <v>11</v>
      </c>
      <c r="D11" s="201"/>
      <c r="E11" s="28">
        <v>39.799999999999997</v>
      </c>
      <c r="F11" s="88">
        <v>5442</v>
      </c>
      <c r="G11" s="88">
        <f t="shared" si="11"/>
        <v>216591.59999999998</v>
      </c>
      <c r="H11" s="30" t="s">
        <v>53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1432.1052631578948</v>
      </c>
      <c r="N11" s="12">
        <f t="shared" si="3"/>
        <v>84.241486068111456</v>
      </c>
      <c r="O11" s="14">
        <f t="shared" si="4"/>
        <v>0</v>
      </c>
      <c r="P11" s="15">
        <f t="shared" si="5"/>
        <v>-3.9938080495356019</v>
      </c>
      <c r="Q11" s="91">
        <f t="shared" si="6"/>
        <v>0.95473684210526322</v>
      </c>
      <c r="R11" s="177"/>
      <c r="S11" s="21">
        <v>0.31736111111111109</v>
      </c>
      <c r="T11" s="21">
        <v>0.47569444444444442</v>
      </c>
      <c r="U11" s="88">
        <f t="shared" ref="U11" si="14">IF(S11=TIME(17,0,0),"",(S11-T10)*24*60)</f>
        <v>4.9999999999999822</v>
      </c>
      <c r="V11" s="30">
        <f t="shared" si="13"/>
        <v>228</v>
      </c>
      <c r="W11" s="16"/>
      <c r="X11" s="16"/>
      <c r="Y11" s="16"/>
      <c r="Z11" s="16"/>
      <c r="AA11" s="168"/>
      <c r="AB11" s="168"/>
      <c r="AC11" s="18"/>
      <c r="AD11" s="18"/>
      <c r="AE11" s="14">
        <f t="shared" si="8"/>
        <v>-67.894736842105203</v>
      </c>
      <c r="AF11" s="91">
        <f t="shared" si="9"/>
        <v>0.95473684210526322</v>
      </c>
      <c r="AG11" s="177"/>
    </row>
    <row r="12" spans="1:33" ht="16.5" customHeight="1">
      <c r="A12" s="199" t="s">
        <v>579</v>
      </c>
      <c r="B12" s="28" t="s">
        <v>580</v>
      </c>
      <c r="C12" s="178"/>
      <c r="D12" s="178"/>
      <c r="E12" s="92"/>
      <c r="F12" s="13"/>
      <c r="G12" s="13"/>
      <c r="H12" s="88"/>
      <c r="I12" s="23">
        <v>18</v>
      </c>
      <c r="J12" s="13">
        <v>1500</v>
      </c>
      <c r="K12" s="12">
        <f t="shared" si="1"/>
        <v>83.333333333333329</v>
      </c>
      <c r="L12" s="23">
        <v>18</v>
      </c>
      <c r="M12" s="13">
        <f>AVERAGE(M10:M11)</f>
        <v>1433.8815789473683</v>
      </c>
      <c r="N12" s="12">
        <f t="shared" si="3"/>
        <v>79.660087719298247</v>
      </c>
      <c r="O12" s="14">
        <f t="shared" si="4"/>
        <v>0</v>
      </c>
      <c r="P12" s="15">
        <f t="shared" si="5"/>
        <v>-3.673245614035082</v>
      </c>
      <c r="Q12" s="91">
        <f t="shared" si="6"/>
        <v>0.955921052631579</v>
      </c>
      <c r="R12" s="177"/>
      <c r="S12" s="21"/>
      <c r="T12" s="21"/>
      <c r="U12" s="12"/>
      <c r="V12" s="30"/>
      <c r="W12" s="12"/>
      <c r="X12" s="12"/>
      <c r="Y12" s="24">
        <f>SUM(Y10:Y11)</f>
        <v>0</v>
      </c>
      <c r="Z12" s="24">
        <f>SUM(Z10:Z11)</f>
        <v>0</v>
      </c>
      <c r="AA12" s="167"/>
      <c r="AB12" s="167"/>
      <c r="AC12" s="24">
        <v>2</v>
      </c>
      <c r="AD12" s="24">
        <f>SUM(AD10:AD11)</f>
        <v>0</v>
      </c>
      <c r="AE12" s="14">
        <f t="shared" si="8"/>
        <v>-66.118421052631675</v>
      </c>
      <c r="AF12" s="91">
        <f t="shared" si="9"/>
        <v>0.95592105263157889</v>
      </c>
      <c r="AG12" s="177"/>
    </row>
    <row r="13" spans="1:33" ht="16.5" customHeight="1">
      <c r="A13" s="197" t="s">
        <v>265</v>
      </c>
      <c r="B13" s="88" t="s">
        <v>12</v>
      </c>
      <c r="C13" s="193" t="s">
        <v>13</v>
      </c>
      <c r="D13" s="193"/>
      <c r="E13" s="28">
        <v>41</v>
      </c>
      <c r="F13" s="88">
        <v>2335</v>
      </c>
      <c r="G13" s="88">
        <f t="shared" ref="G13:G16" si="15">E13*F13</f>
        <v>95735</v>
      </c>
      <c r="H13" s="30" t="s">
        <v>53</v>
      </c>
      <c r="I13" s="95">
        <v>26</v>
      </c>
      <c r="J13" s="13">
        <v>1500</v>
      </c>
      <c r="K13" s="12">
        <f t="shared" si="1"/>
        <v>57.692307692307693</v>
      </c>
      <c r="L13" s="95">
        <v>26</v>
      </c>
      <c r="M13" s="13">
        <f t="shared" ref="M13:M16" si="16">F13/V13*60</f>
        <v>1429.5918367346937</v>
      </c>
      <c r="N13" s="12">
        <f t="shared" si="3"/>
        <v>54.984301412872838</v>
      </c>
      <c r="O13" s="14">
        <f t="shared" si="4"/>
        <v>0</v>
      </c>
      <c r="P13" s="15">
        <f t="shared" si="5"/>
        <v>-2.7080062794348549</v>
      </c>
      <c r="Q13" s="91">
        <f t="shared" si="6"/>
        <v>0.9530612244897958</v>
      </c>
      <c r="R13" s="177">
        <f>Q17</f>
        <v>0.95922790717889772</v>
      </c>
      <c r="S13" s="21">
        <v>0.20833333333333334</v>
      </c>
      <c r="T13" s="21">
        <v>0.27638888888888891</v>
      </c>
      <c r="U13" s="88"/>
      <c r="V13" s="30">
        <f t="shared" ref="V13:V16" si="17">(T13-S13)*24*60</f>
        <v>98.000000000000014</v>
      </c>
      <c r="W13" s="21"/>
      <c r="X13" s="21"/>
      <c r="Y13" s="21"/>
      <c r="Z13" s="21"/>
      <c r="AA13" s="168"/>
      <c r="AB13" s="168"/>
      <c r="AC13" s="18">
        <v>4</v>
      </c>
      <c r="AD13" s="18"/>
      <c r="AE13" s="14">
        <f t="shared" si="8"/>
        <v>-70.408163265306257</v>
      </c>
      <c r="AF13" s="91">
        <f t="shared" si="9"/>
        <v>0.9530612244897958</v>
      </c>
      <c r="AG13" s="177">
        <f>AF17</f>
        <v>0.95922790717889761</v>
      </c>
    </row>
    <row r="14" spans="1:33" ht="16.5" customHeight="1">
      <c r="A14" s="198" t="s">
        <v>265</v>
      </c>
      <c r="B14" s="88" t="s">
        <v>5</v>
      </c>
      <c r="C14" s="193" t="s">
        <v>14</v>
      </c>
      <c r="D14" s="193"/>
      <c r="E14" s="28">
        <v>50.98</v>
      </c>
      <c r="F14" s="88">
        <v>2332</v>
      </c>
      <c r="G14" s="88">
        <f t="shared" si="15"/>
        <v>118885.35999999999</v>
      </c>
      <c r="H14" s="30" t="s">
        <v>53</v>
      </c>
      <c r="I14" s="95">
        <v>16</v>
      </c>
      <c r="J14" s="13">
        <v>2000</v>
      </c>
      <c r="K14" s="12">
        <f t="shared" si="1"/>
        <v>125</v>
      </c>
      <c r="L14" s="95">
        <v>16</v>
      </c>
      <c r="M14" s="13">
        <f t="shared" si="16"/>
        <v>1916.7123287671218</v>
      </c>
      <c r="N14" s="12">
        <f t="shared" si="3"/>
        <v>119.79452054794511</v>
      </c>
      <c r="O14" s="14">
        <f t="shared" si="4"/>
        <v>0</v>
      </c>
      <c r="P14" s="15">
        <f t="shared" si="5"/>
        <v>-5.2054794520548882</v>
      </c>
      <c r="Q14" s="91">
        <f t="shared" si="6"/>
        <v>0.95835616438356086</v>
      </c>
      <c r="R14" s="177"/>
      <c r="S14" s="21">
        <v>0.70833333333333337</v>
      </c>
      <c r="T14" s="21">
        <v>0.75902777777777786</v>
      </c>
      <c r="U14" s="88" t="str">
        <f t="shared" ref="U14:U16" si="18">IF(S14=TIME(17,0,0),"",(S14-T13)*24*60)</f>
        <v/>
      </c>
      <c r="V14" s="30">
        <f t="shared" si="17"/>
        <v>73.000000000000057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8"/>
        <v>-83.287671232878211</v>
      </c>
      <c r="AF14" s="91">
        <f t="shared" si="9"/>
        <v>0.95835616438356086</v>
      </c>
      <c r="AG14" s="177"/>
    </row>
    <row r="15" spans="1:33" ht="16.5" customHeight="1">
      <c r="A15" s="198" t="s">
        <v>265</v>
      </c>
      <c r="B15" s="88" t="s">
        <v>5</v>
      </c>
      <c r="C15" s="193" t="s">
        <v>15</v>
      </c>
      <c r="D15" s="193"/>
      <c r="E15" s="28">
        <v>50.92</v>
      </c>
      <c r="F15" s="88">
        <v>2215</v>
      </c>
      <c r="G15" s="88">
        <f t="shared" si="15"/>
        <v>112787.8</v>
      </c>
      <c r="H15" s="30" t="s">
        <v>53</v>
      </c>
      <c r="I15" s="95">
        <v>15</v>
      </c>
      <c r="J15" s="13">
        <v>2000</v>
      </c>
      <c r="K15" s="12">
        <f t="shared" si="1"/>
        <v>133.33333333333334</v>
      </c>
      <c r="L15" s="95">
        <v>15</v>
      </c>
      <c r="M15" s="13">
        <f t="shared" si="16"/>
        <v>1926.0869565217372</v>
      </c>
      <c r="N15" s="12">
        <f t="shared" si="3"/>
        <v>128.40579710144914</v>
      </c>
      <c r="O15" s="14">
        <f t="shared" si="4"/>
        <v>0</v>
      </c>
      <c r="P15" s="15">
        <f t="shared" si="5"/>
        <v>-4.9275362318842042</v>
      </c>
      <c r="Q15" s="91">
        <f t="shared" si="6"/>
        <v>0.96304347826086845</v>
      </c>
      <c r="R15" s="177"/>
      <c r="S15" s="21">
        <v>0.76388888888888895</v>
      </c>
      <c r="T15" s="21">
        <v>0.81180555555555567</v>
      </c>
      <c r="U15" s="88">
        <f t="shared" si="18"/>
        <v>6.9999999999999751</v>
      </c>
      <c r="V15" s="30">
        <f t="shared" si="17"/>
        <v>69.000000000000071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-73.913043478262807</v>
      </c>
      <c r="AF15" s="91">
        <f t="shared" si="9"/>
        <v>0.96304347826086856</v>
      </c>
      <c r="AG15" s="177"/>
    </row>
    <row r="16" spans="1:33" ht="16.5" customHeight="1">
      <c r="A16" s="198" t="s">
        <v>265</v>
      </c>
      <c r="B16" s="88" t="s">
        <v>5</v>
      </c>
      <c r="C16" s="193" t="s">
        <v>43</v>
      </c>
      <c r="D16" s="193"/>
      <c r="E16" s="28">
        <v>54.29</v>
      </c>
      <c r="F16" s="88">
        <v>1057</v>
      </c>
      <c r="G16" s="88">
        <f t="shared" si="15"/>
        <v>57384.53</v>
      </c>
      <c r="H16" s="30" t="s">
        <v>53</v>
      </c>
      <c r="I16" s="95">
        <v>20</v>
      </c>
      <c r="J16" s="13">
        <v>2000</v>
      </c>
      <c r="K16" s="12">
        <f t="shared" si="1"/>
        <v>100</v>
      </c>
      <c r="L16" s="95">
        <v>20</v>
      </c>
      <c r="M16" s="13">
        <f t="shared" si="16"/>
        <v>1921.8181818181793</v>
      </c>
      <c r="N16" s="12">
        <f t="shared" si="3"/>
        <v>96.090909090908966</v>
      </c>
      <c r="O16" s="14">
        <f t="shared" si="4"/>
        <v>0</v>
      </c>
      <c r="P16" s="15">
        <f t="shared" si="5"/>
        <v>-3.9090909090910344</v>
      </c>
      <c r="Q16" s="91">
        <f t="shared" si="6"/>
        <v>0.9609090909090896</v>
      </c>
      <c r="R16" s="177"/>
      <c r="S16" s="21">
        <v>0.81666666666666676</v>
      </c>
      <c r="T16" s="21">
        <v>0.83958333333333346</v>
      </c>
      <c r="U16" s="88">
        <f t="shared" si="18"/>
        <v>6.9999999999999751</v>
      </c>
      <c r="V16" s="30">
        <f t="shared" si="17"/>
        <v>33.000000000000043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-78.181818181820745</v>
      </c>
      <c r="AF16" s="91">
        <f t="shared" si="9"/>
        <v>0.9609090909090896</v>
      </c>
      <c r="AG16" s="177"/>
    </row>
    <row r="17" spans="1:33" ht="16.5" customHeight="1">
      <c r="A17" s="198" t="s">
        <v>265</v>
      </c>
      <c r="B17" s="28" t="s">
        <v>165</v>
      </c>
      <c r="C17" s="178"/>
      <c r="D17" s="178"/>
      <c r="E17" s="92"/>
      <c r="F17" s="12"/>
      <c r="G17" s="12"/>
      <c r="H17" s="88"/>
      <c r="I17" s="23">
        <v>19.25</v>
      </c>
      <c r="J17" s="13">
        <v>1875</v>
      </c>
      <c r="K17" s="12">
        <f t="shared" si="1"/>
        <v>97.402597402597408</v>
      </c>
      <c r="L17" s="23">
        <v>19.25</v>
      </c>
      <c r="M17" s="13">
        <f>AVERAGE(M13:M16)</f>
        <v>1798.5523259604331</v>
      </c>
      <c r="N17" s="12">
        <f t="shared" si="3"/>
        <v>93.431289660282246</v>
      </c>
      <c r="O17" s="14">
        <f t="shared" si="4"/>
        <v>0</v>
      </c>
      <c r="P17" s="15">
        <f t="shared" si="5"/>
        <v>-3.9713077423151617</v>
      </c>
      <c r="Q17" s="91">
        <f t="shared" si="6"/>
        <v>0.95922790717889772</v>
      </c>
      <c r="R17" s="177"/>
      <c r="S17" s="21"/>
      <c r="T17" s="21"/>
      <c r="U17" s="88"/>
      <c r="V17" s="30"/>
      <c r="W17" s="12"/>
      <c r="X17" s="12"/>
      <c r="Y17" s="24">
        <f>SUM(Y13:Y16)</f>
        <v>0</v>
      </c>
      <c r="Z17" s="24">
        <f>SUM(Z13:Z16)</f>
        <v>0</v>
      </c>
      <c r="AA17" s="167"/>
      <c r="AB17" s="167"/>
      <c r="AC17" s="24">
        <v>4</v>
      </c>
      <c r="AD17" s="24">
        <f>SUM(AD13:AD16)</f>
        <v>0</v>
      </c>
      <c r="AE17" s="14">
        <f t="shared" si="8"/>
        <v>-76.447674039566891</v>
      </c>
      <c r="AF17" s="91">
        <f t="shared" si="9"/>
        <v>0.95922790717889761</v>
      </c>
      <c r="AG17" s="177"/>
    </row>
    <row r="18" spans="1:33" ht="15.75" customHeight="1">
      <c r="A18" s="195" t="s">
        <v>266</v>
      </c>
      <c r="B18" s="28" t="s">
        <v>5</v>
      </c>
      <c r="C18" s="193" t="s">
        <v>17</v>
      </c>
      <c r="D18" s="193"/>
      <c r="E18" s="28">
        <v>57.73</v>
      </c>
      <c r="F18" s="88">
        <v>2094</v>
      </c>
      <c r="G18" s="88">
        <f t="shared" ref="G18:G23" si="19">E18*F18</f>
        <v>120886.62</v>
      </c>
      <c r="H18" s="30" t="s">
        <v>53</v>
      </c>
      <c r="I18" s="95">
        <v>14</v>
      </c>
      <c r="J18" s="13">
        <v>2000</v>
      </c>
      <c r="K18" s="12">
        <f t="shared" si="1"/>
        <v>142.85714285714286</v>
      </c>
      <c r="L18" s="95">
        <v>14</v>
      </c>
      <c r="M18" s="13">
        <f t="shared" ref="M18:M23" si="20">F18/V18*60</f>
        <v>1932.9230769230778</v>
      </c>
      <c r="N18" s="12">
        <f t="shared" si="3"/>
        <v>138.06593406593413</v>
      </c>
      <c r="O18" s="14">
        <f t="shared" si="4"/>
        <v>0</v>
      </c>
      <c r="P18" s="15">
        <f t="shared" si="5"/>
        <v>-4.7912087912087316</v>
      </c>
      <c r="Q18" s="91">
        <f t="shared" si="6"/>
        <v>0.96646153846153893</v>
      </c>
      <c r="R18" s="177">
        <f>Q24</f>
        <v>0.96259982753348527</v>
      </c>
      <c r="S18" s="21">
        <v>0.20833333333333334</v>
      </c>
      <c r="T18" s="21">
        <v>0.25347222222222221</v>
      </c>
      <c r="U18" s="88"/>
      <c r="V18" s="30">
        <f t="shared" ref="V18:V23" si="21">(T18-S18)*24*60</f>
        <v>64.999999999999972</v>
      </c>
      <c r="W18" s="21"/>
      <c r="X18" s="21"/>
      <c r="Y18" s="21"/>
      <c r="Z18" s="21"/>
      <c r="AA18" s="168"/>
      <c r="AB18" s="168"/>
      <c r="AC18" s="18">
        <v>6</v>
      </c>
      <c r="AD18" s="18"/>
      <c r="AE18" s="14">
        <f t="shared" si="8"/>
        <v>-67.076923076922185</v>
      </c>
      <c r="AF18" s="91">
        <f t="shared" si="9"/>
        <v>0.96646153846153893</v>
      </c>
      <c r="AG18" s="177">
        <f>AF24</f>
        <v>0.96259982753348527</v>
      </c>
    </row>
    <row r="19" spans="1:33" ht="15.75" customHeight="1">
      <c r="A19" s="196" t="s">
        <v>581</v>
      </c>
      <c r="B19" s="28" t="s">
        <v>5</v>
      </c>
      <c r="C19" s="193" t="s">
        <v>18</v>
      </c>
      <c r="D19" s="193"/>
      <c r="E19" s="28">
        <v>53.68</v>
      </c>
      <c r="F19" s="88">
        <v>1093</v>
      </c>
      <c r="G19" s="88">
        <f t="shared" si="19"/>
        <v>58672.24</v>
      </c>
      <c r="H19" s="30" t="s">
        <v>53</v>
      </c>
      <c r="I19" s="95">
        <v>16</v>
      </c>
      <c r="J19" s="13">
        <v>2000</v>
      </c>
      <c r="K19" s="12">
        <f t="shared" si="1"/>
        <v>125</v>
      </c>
      <c r="L19" s="95">
        <v>16</v>
      </c>
      <c r="M19" s="13">
        <f t="shared" si="20"/>
        <v>1928.8235294117621</v>
      </c>
      <c r="N19" s="12">
        <f t="shared" si="3"/>
        <v>120.55147058823513</v>
      </c>
      <c r="O19" s="14">
        <f t="shared" si="4"/>
        <v>0</v>
      </c>
      <c r="P19" s="15">
        <f t="shared" si="5"/>
        <v>-4.4485294117648664</v>
      </c>
      <c r="Q19" s="91">
        <f t="shared" si="6"/>
        <v>0.96441176470588108</v>
      </c>
      <c r="R19" s="177"/>
      <c r="S19" s="21">
        <v>0.2583333333333333</v>
      </c>
      <c r="T19" s="21">
        <v>0.28194444444444444</v>
      </c>
      <c r="U19" s="88">
        <f t="shared" ref="U19:U23" si="22">IF(S19=TIME(17,0,0),"",(S19-T18)*24*60)</f>
        <v>6.9999999999999751</v>
      </c>
      <c r="V19" s="30">
        <f t="shared" si="21"/>
        <v>34.000000000000043</v>
      </c>
      <c r="W19" s="16"/>
      <c r="X19" s="88"/>
      <c r="Y19" s="88"/>
      <c r="Z19" s="88"/>
      <c r="AA19" s="168"/>
      <c r="AB19" s="168"/>
      <c r="AC19" s="18"/>
      <c r="AD19" s="18"/>
      <c r="AE19" s="14">
        <f t="shared" si="8"/>
        <v>-71.176470588237862</v>
      </c>
      <c r="AF19" s="91">
        <f t="shared" si="9"/>
        <v>0.96441176470588108</v>
      </c>
      <c r="AG19" s="177"/>
    </row>
    <row r="20" spans="1:33" ht="15.75" customHeight="1">
      <c r="A20" s="196" t="s">
        <v>266</v>
      </c>
      <c r="B20" s="28" t="s">
        <v>5</v>
      </c>
      <c r="C20" s="193" t="s">
        <v>73</v>
      </c>
      <c r="D20" s="193"/>
      <c r="E20" s="28">
        <v>50.67</v>
      </c>
      <c r="F20" s="88">
        <v>2333</v>
      </c>
      <c r="G20" s="88">
        <f t="shared" si="19"/>
        <v>118213.11</v>
      </c>
      <c r="H20" s="30" t="s">
        <v>53</v>
      </c>
      <c r="I20" s="95">
        <v>16</v>
      </c>
      <c r="J20" s="13">
        <v>2000</v>
      </c>
      <c r="K20" s="12">
        <f t="shared" si="1"/>
        <v>125</v>
      </c>
      <c r="L20" s="95">
        <v>16</v>
      </c>
      <c r="M20" s="13">
        <f t="shared" si="20"/>
        <v>1917.5342465753426</v>
      </c>
      <c r="N20" s="12">
        <f t="shared" si="3"/>
        <v>119.84589041095892</v>
      </c>
      <c r="O20" s="14">
        <f t="shared" si="4"/>
        <v>0</v>
      </c>
      <c r="P20" s="15">
        <f t="shared" si="5"/>
        <v>-5.1541095890410844</v>
      </c>
      <c r="Q20" s="91">
        <f t="shared" si="6"/>
        <v>0.95876712328767133</v>
      </c>
      <c r="R20" s="177"/>
      <c r="S20" s="21">
        <v>0.28749999999999998</v>
      </c>
      <c r="T20" s="21">
        <v>0.33819444444444441</v>
      </c>
      <c r="U20" s="88">
        <f t="shared" si="22"/>
        <v>7.9999999999999716</v>
      </c>
      <c r="V20" s="30">
        <f t="shared" si="21"/>
        <v>72.999999999999986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-82.46575342465735</v>
      </c>
      <c r="AF20" s="91">
        <f t="shared" si="9"/>
        <v>0.95876712328767133</v>
      </c>
      <c r="AG20" s="177"/>
    </row>
    <row r="21" spans="1:33" ht="15.75" customHeight="1">
      <c r="A21" s="196" t="s">
        <v>582</v>
      </c>
      <c r="B21" s="28" t="s">
        <v>5</v>
      </c>
      <c r="C21" s="193" t="s">
        <v>21</v>
      </c>
      <c r="D21" s="193"/>
      <c r="E21" s="28">
        <v>57.3</v>
      </c>
      <c r="F21" s="88">
        <v>1708</v>
      </c>
      <c r="G21" s="88">
        <f t="shared" si="19"/>
        <v>97868.4</v>
      </c>
      <c r="H21" s="30" t="s">
        <v>53</v>
      </c>
      <c r="I21" s="95">
        <v>13</v>
      </c>
      <c r="J21" s="13">
        <v>2000</v>
      </c>
      <c r="K21" s="12">
        <f t="shared" si="1"/>
        <v>153.84615384615384</v>
      </c>
      <c r="L21" s="95">
        <v>13</v>
      </c>
      <c r="M21" s="13">
        <f t="shared" si="20"/>
        <v>1933.5849056603786</v>
      </c>
      <c r="N21" s="12">
        <f t="shared" si="3"/>
        <v>148.73730043541374</v>
      </c>
      <c r="O21" s="14">
        <f t="shared" si="4"/>
        <v>0</v>
      </c>
      <c r="P21" s="15">
        <f t="shared" si="5"/>
        <v>-5.108853410740096</v>
      </c>
      <c r="Q21" s="91">
        <f t="shared" si="6"/>
        <v>0.96679245283018933</v>
      </c>
      <c r="R21" s="177"/>
      <c r="S21" s="21">
        <v>0.70833333333333337</v>
      </c>
      <c r="T21" s="21">
        <v>0.74513888888888891</v>
      </c>
      <c r="U21" s="88" t="str">
        <f t="shared" si="22"/>
        <v/>
      </c>
      <c r="V21" s="30">
        <f t="shared" si="21"/>
        <v>52.999999999999972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8"/>
        <v>-66.415094339621419</v>
      </c>
      <c r="AF21" s="91">
        <f t="shared" si="9"/>
        <v>0.96679245283018933</v>
      </c>
      <c r="AG21" s="177"/>
    </row>
    <row r="22" spans="1:33" ht="15.75" customHeight="1">
      <c r="A22" s="196" t="s">
        <v>266</v>
      </c>
      <c r="B22" s="28" t="s">
        <v>5</v>
      </c>
      <c r="C22" s="193" t="s">
        <v>20</v>
      </c>
      <c r="D22" s="193"/>
      <c r="E22" s="28">
        <v>53.68</v>
      </c>
      <c r="F22" s="88">
        <v>1438</v>
      </c>
      <c r="G22" s="88">
        <f t="shared" si="19"/>
        <v>77191.839999999997</v>
      </c>
      <c r="H22" s="30" t="s">
        <v>53</v>
      </c>
      <c r="I22" s="95">
        <v>16</v>
      </c>
      <c r="J22" s="13">
        <v>1500</v>
      </c>
      <c r="K22" s="12">
        <f t="shared" si="1"/>
        <v>93.75</v>
      </c>
      <c r="L22" s="95">
        <v>16</v>
      </c>
      <c r="M22" s="13">
        <f t="shared" si="20"/>
        <v>1438.0000000000014</v>
      </c>
      <c r="N22" s="12">
        <f t="shared" si="3"/>
        <v>89.875000000000085</v>
      </c>
      <c r="O22" s="14">
        <f t="shared" si="4"/>
        <v>0</v>
      </c>
      <c r="P22" s="15">
        <f t="shared" si="5"/>
        <v>-3.8749999999999147</v>
      </c>
      <c r="Q22" s="91">
        <f t="shared" si="6"/>
        <v>0.95866666666666756</v>
      </c>
      <c r="R22" s="177"/>
      <c r="S22" s="21">
        <v>0.74861111111111112</v>
      </c>
      <c r="T22" s="21">
        <v>0.79027777777777775</v>
      </c>
      <c r="U22" s="88">
        <f t="shared" si="22"/>
        <v>4.9999999999999822</v>
      </c>
      <c r="V22" s="30">
        <f t="shared" si="21"/>
        <v>59.999999999999943</v>
      </c>
      <c r="W22" s="16"/>
      <c r="X22" s="16"/>
      <c r="Y22" s="88"/>
      <c r="Z22" s="88"/>
      <c r="AA22" s="168"/>
      <c r="AB22" s="168"/>
      <c r="AC22" s="18"/>
      <c r="AD22" s="18"/>
      <c r="AE22" s="14">
        <f t="shared" si="8"/>
        <v>-61.999999999998636</v>
      </c>
      <c r="AF22" s="91">
        <f t="shared" si="9"/>
        <v>0.95866666666666756</v>
      </c>
      <c r="AG22" s="177"/>
    </row>
    <row r="23" spans="1:33" ht="15.75" customHeight="1">
      <c r="A23" s="196" t="s">
        <v>583</v>
      </c>
      <c r="B23" s="28" t="s">
        <v>5</v>
      </c>
      <c r="C23" s="193" t="s">
        <v>19</v>
      </c>
      <c r="D23" s="193"/>
      <c r="E23" s="28">
        <v>50.49</v>
      </c>
      <c r="F23" s="88">
        <v>1983</v>
      </c>
      <c r="G23" s="88">
        <f t="shared" si="19"/>
        <v>100121.67</v>
      </c>
      <c r="H23" s="30" t="s">
        <v>53</v>
      </c>
      <c r="I23" s="95">
        <v>15</v>
      </c>
      <c r="J23" s="13">
        <v>2000</v>
      </c>
      <c r="K23" s="12">
        <f t="shared" si="1"/>
        <v>133.33333333333334</v>
      </c>
      <c r="L23" s="95">
        <v>15</v>
      </c>
      <c r="M23" s="13">
        <f t="shared" si="20"/>
        <v>1919.0322580645179</v>
      </c>
      <c r="N23" s="12">
        <f t="shared" si="3"/>
        <v>127.93548387096786</v>
      </c>
      <c r="O23" s="14">
        <f t="shared" si="4"/>
        <v>0</v>
      </c>
      <c r="P23" s="15">
        <f t="shared" si="5"/>
        <v>-5.3978494623654854</v>
      </c>
      <c r="Q23" s="91">
        <f t="shared" si="6"/>
        <v>0.95951612903225891</v>
      </c>
      <c r="R23" s="177"/>
      <c r="S23" s="21">
        <v>0.79513888888888884</v>
      </c>
      <c r="T23" s="21">
        <v>0.83819444444444435</v>
      </c>
      <c r="U23" s="88">
        <f t="shared" si="22"/>
        <v>6.9999999999999751</v>
      </c>
      <c r="V23" s="30">
        <f t="shared" si="21"/>
        <v>61.999999999999943</v>
      </c>
      <c r="W23" s="16"/>
      <c r="X23" s="21"/>
      <c r="Y23" s="21"/>
      <c r="Z23" s="21"/>
      <c r="AA23" s="168"/>
      <c r="AB23" s="168"/>
      <c r="AC23" s="18"/>
      <c r="AD23" s="18"/>
      <c r="AE23" s="14">
        <f t="shared" si="8"/>
        <v>-80.967741935482081</v>
      </c>
      <c r="AF23" s="91">
        <f t="shared" si="9"/>
        <v>0.95951612903225891</v>
      </c>
      <c r="AG23" s="177"/>
    </row>
    <row r="24" spans="1:33" ht="15.75" customHeight="1">
      <c r="A24" s="196" t="s">
        <v>581</v>
      </c>
      <c r="B24" s="28" t="s">
        <v>165</v>
      </c>
      <c r="C24" s="178"/>
      <c r="D24" s="178"/>
      <c r="E24" s="92"/>
      <c r="F24" s="88"/>
      <c r="G24" s="88"/>
      <c r="H24" s="88"/>
      <c r="I24" s="23">
        <v>15</v>
      </c>
      <c r="J24" s="13">
        <v>1916.6666666666667</v>
      </c>
      <c r="K24" s="12">
        <f t="shared" si="1"/>
        <v>127.77777777777779</v>
      </c>
      <c r="L24" s="23">
        <v>15</v>
      </c>
      <c r="M24" s="13">
        <f>AVERAGE(M18:M23)</f>
        <v>1844.9830027725136</v>
      </c>
      <c r="N24" s="12">
        <f t="shared" si="3"/>
        <v>122.99886685150091</v>
      </c>
      <c r="O24" s="14">
        <f t="shared" si="4"/>
        <v>0</v>
      </c>
      <c r="P24" s="15">
        <f t="shared" si="5"/>
        <v>-4.778910926276879</v>
      </c>
      <c r="Q24" s="91">
        <f t="shared" si="6"/>
        <v>0.96259982753348527</v>
      </c>
      <c r="R24" s="177"/>
      <c r="S24" s="21"/>
      <c r="T24" s="21"/>
      <c r="U24" s="12"/>
      <c r="V24" s="30"/>
      <c r="W24" s="12"/>
      <c r="X24" s="12"/>
      <c r="Y24" s="24">
        <f>SUM(Y18:Y23)</f>
        <v>0</v>
      </c>
      <c r="Z24" s="24">
        <f>SUM(Z18:Z23)</f>
        <v>0</v>
      </c>
      <c r="AA24" s="167"/>
      <c r="AB24" s="167"/>
      <c r="AC24" s="24">
        <v>6</v>
      </c>
      <c r="AD24" s="24">
        <f>SUM(AD18:AD23)</f>
        <v>0</v>
      </c>
      <c r="AE24" s="14">
        <f t="shared" si="8"/>
        <v>-71.683663894153142</v>
      </c>
      <c r="AF24" s="91">
        <f t="shared" si="9"/>
        <v>0.96259982753348527</v>
      </c>
      <c r="AG24" s="177"/>
    </row>
    <row r="25" spans="1:33" ht="15.75" customHeight="1">
      <c r="A25" s="194" t="s">
        <v>584</v>
      </c>
      <c r="B25" s="28" t="s">
        <v>22</v>
      </c>
      <c r="C25" s="193" t="s">
        <v>23</v>
      </c>
      <c r="D25" s="193"/>
      <c r="E25" s="28">
        <v>31.29</v>
      </c>
      <c r="F25" s="88">
        <v>7335</v>
      </c>
      <c r="G25" s="88">
        <f t="shared" ref="G25:G29" si="23">E25*F25</f>
        <v>229512.15</v>
      </c>
      <c r="H25" s="30" t="s">
        <v>53</v>
      </c>
      <c r="I25" s="95">
        <v>18</v>
      </c>
      <c r="J25" s="13">
        <v>2400</v>
      </c>
      <c r="K25" s="12">
        <f t="shared" si="1"/>
        <v>133.33333333333334</v>
      </c>
      <c r="L25" s="95">
        <v>18</v>
      </c>
      <c r="M25" s="13">
        <f t="shared" ref="M25:M29" si="24">F25/V25*60</f>
        <v>2292.1874999999995</v>
      </c>
      <c r="N25" s="12">
        <f t="shared" si="3"/>
        <v>127.34374999999997</v>
      </c>
      <c r="O25" s="14">
        <f t="shared" si="4"/>
        <v>0</v>
      </c>
      <c r="P25" s="15">
        <f t="shared" si="5"/>
        <v>-5.9895833333333712</v>
      </c>
      <c r="Q25" s="91">
        <f t="shared" si="6"/>
        <v>0.95507812499999967</v>
      </c>
      <c r="R25" s="177">
        <f>Q30</f>
        <v>0.96099073743966656</v>
      </c>
      <c r="S25" s="21">
        <v>8.3333333333333329E-2</v>
      </c>
      <c r="T25" s="21">
        <v>0.21666666666666667</v>
      </c>
      <c r="U25" s="88"/>
      <c r="V25" s="30">
        <f t="shared" ref="V25:V29" si="25">(T25-S25)*24*60</f>
        <v>192.00000000000003</v>
      </c>
      <c r="W25" s="16">
        <f>T25</f>
        <v>0.21666666666666667</v>
      </c>
      <c r="X25" s="16">
        <f>S26</f>
        <v>0.2361111111111111</v>
      </c>
      <c r="Y25" s="16"/>
      <c r="Z25" s="16"/>
      <c r="AA25" s="168"/>
      <c r="AB25" s="168"/>
      <c r="AC25" s="18">
        <v>5</v>
      </c>
      <c r="AD25" s="18"/>
      <c r="AE25" s="14">
        <f t="shared" si="8"/>
        <v>-107.81250000000045</v>
      </c>
      <c r="AF25" s="91">
        <f t="shared" si="9"/>
        <v>0.95507812499999978</v>
      </c>
      <c r="AG25" s="177">
        <f>AF30</f>
        <v>0.96099073743966645</v>
      </c>
    </row>
    <row r="26" spans="1:33" ht="15.75" customHeight="1">
      <c r="A26" s="194" t="s">
        <v>267</v>
      </c>
      <c r="B26" s="28" t="s">
        <v>22</v>
      </c>
      <c r="C26" s="193" t="s">
        <v>24</v>
      </c>
      <c r="D26" s="193"/>
      <c r="E26" s="28">
        <v>25.98</v>
      </c>
      <c r="F26" s="88">
        <v>2460</v>
      </c>
      <c r="G26" s="88">
        <f t="shared" si="23"/>
        <v>63910.8</v>
      </c>
      <c r="H26" s="30" t="s">
        <v>53</v>
      </c>
      <c r="I26" s="95">
        <v>21</v>
      </c>
      <c r="J26" s="13">
        <v>2400</v>
      </c>
      <c r="K26" s="12">
        <f t="shared" si="1"/>
        <v>114.28571428571429</v>
      </c>
      <c r="L26" s="95">
        <v>21</v>
      </c>
      <c r="M26" s="13">
        <f t="shared" si="24"/>
        <v>2306.2499999999995</v>
      </c>
      <c r="N26" s="12">
        <f t="shared" si="3"/>
        <v>109.82142857142856</v>
      </c>
      <c r="O26" s="14">
        <f t="shared" si="4"/>
        <v>0</v>
      </c>
      <c r="P26" s="15">
        <f t="shared" si="5"/>
        <v>-4.4642857142857366</v>
      </c>
      <c r="Q26" s="91">
        <f t="shared" si="6"/>
        <v>0.96093749999999978</v>
      </c>
      <c r="R26" s="177"/>
      <c r="S26" s="21">
        <v>0.2361111111111111</v>
      </c>
      <c r="T26" s="21">
        <v>0.28055555555555556</v>
      </c>
      <c r="U26" s="88">
        <f t="shared" ref="U26:U29" si="26">(S26-T25)*24*60</f>
        <v>27.999999999999979</v>
      </c>
      <c r="V26" s="30">
        <f t="shared" si="25"/>
        <v>64.000000000000014</v>
      </c>
      <c r="W26" s="16"/>
      <c r="X26" s="16"/>
      <c r="Y26" s="16"/>
      <c r="Z26" s="16"/>
      <c r="AA26" s="168"/>
      <c r="AB26" s="168"/>
      <c r="AC26" s="18"/>
      <c r="AD26" s="18"/>
      <c r="AE26" s="14">
        <f t="shared" si="8"/>
        <v>-93.750000000000455</v>
      </c>
      <c r="AF26" s="91">
        <f t="shared" si="9"/>
        <v>0.96093749999999978</v>
      </c>
      <c r="AG26" s="177"/>
    </row>
    <row r="27" spans="1:33" ht="15.75" customHeight="1">
      <c r="A27" s="194" t="s">
        <v>267</v>
      </c>
      <c r="B27" s="28" t="s">
        <v>22</v>
      </c>
      <c r="C27" s="193" t="s">
        <v>25</v>
      </c>
      <c r="D27" s="193"/>
      <c r="E27" s="28">
        <v>26.2</v>
      </c>
      <c r="F27" s="88">
        <v>4073</v>
      </c>
      <c r="G27" s="88">
        <f t="shared" si="23"/>
        <v>106712.59999999999</v>
      </c>
      <c r="H27" s="30" t="s">
        <v>53</v>
      </c>
      <c r="I27" s="95">
        <v>20</v>
      </c>
      <c r="J27" s="13">
        <v>2400</v>
      </c>
      <c r="K27" s="12">
        <f t="shared" si="1"/>
        <v>120</v>
      </c>
      <c r="L27" s="95">
        <v>20</v>
      </c>
      <c r="M27" s="13">
        <f t="shared" si="24"/>
        <v>2305.4716981132069</v>
      </c>
      <c r="N27" s="12">
        <f t="shared" si="3"/>
        <v>115.27358490566034</v>
      </c>
      <c r="O27" s="14">
        <f t="shared" si="4"/>
        <v>0</v>
      </c>
      <c r="P27" s="15">
        <f t="shared" si="5"/>
        <v>-4.7264150943396572</v>
      </c>
      <c r="Q27" s="91">
        <f t="shared" si="6"/>
        <v>0.9606132075471695</v>
      </c>
      <c r="R27" s="177"/>
      <c r="S27" s="21">
        <v>0.28472222222222221</v>
      </c>
      <c r="T27" s="21">
        <v>0.35833333333333334</v>
      </c>
      <c r="U27" s="88">
        <f t="shared" si="26"/>
        <v>5.9999999999999787</v>
      </c>
      <c r="V27" s="30">
        <f t="shared" si="25"/>
        <v>106.00000000000003</v>
      </c>
      <c r="W27" s="16"/>
      <c r="X27" s="16"/>
      <c r="Y27" s="16"/>
      <c r="Z27" s="16"/>
      <c r="AA27" s="168"/>
      <c r="AB27" s="168"/>
      <c r="AC27" s="18"/>
      <c r="AD27" s="18"/>
      <c r="AE27" s="14">
        <f t="shared" si="8"/>
        <v>-94.528301886793088</v>
      </c>
      <c r="AF27" s="91">
        <f t="shared" si="9"/>
        <v>0.9606132075471695</v>
      </c>
      <c r="AG27" s="177"/>
    </row>
    <row r="28" spans="1:33" ht="15.75" customHeight="1">
      <c r="A28" s="194" t="s">
        <v>267</v>
      </c>
      <c r="B28" s="28" t="s">
        <v>22</v>
      </c>
      <c r="C28" s="193" t="s">
        <v>26</v>
      </c>
      <c r="D28" s="193"/>
      <c r="E28" s="28">
        <v>25.99</v>
      </c>
      <c r="F28" s="88">
        <v>3309</v>
      </c>
      <c r="G28" s="88">
        <f t="shared" si="23"/>
        <v>86000.909999999989</v>
      </c>
      <c r="H28" s="30" t="s">
        <v>53</v>
      </c>
      <c r="I28" s="95">
        <v>14</v>
      </c>
      <c r="J28" s="13">
        <v>2400</v>
      </c>
      <c r="K28" s="12">
        <f t="shared" si="1"/>
        <v>171.42857142857142</v>
      </c>
      <c r="L28" s="95">
        <v>14</v>
      </c>
      <c r="M28" s="13">
        <f t="shared" si="24"/>
        <v>2308.6046511627901</v>
      </c>
      <c r="N28" s="12">
        <f t="shared" si="3"/>
        <v>164.90033222591359</v>
      </c>
      <c r="O28" s="14">
        <f t="shared" si="4"/>
        <v>0</v>
      </c>
      <c r="P28" s="15">
        <f t="shared" si="5"/>
        <v>-6.5282392026578293</v>
      </c>
      <c r="Q28" s="91">
        <f t="shared" si="6"/>
        <v>0.96191860465116263</v>
      </c>
      <c r="R28" s="177"/>
      <c r="S28" s="21">
        <v>0.36388888888888887</v>
      </c>
      <c r="T28" s="21">
        <v>0.4236111111111111</v>
      </c>
      <c r="U28" s="88">
        <f t="shared" si="26"/>
        <v>7.9999999999999716</v>
      </c>
      <c r="V28" s="30">
        <f t="shared" si="25"/>
        <v>86.000000000000014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-91.395348837209895</v>
      </c>
      <c r="AF28" s="91">
        <f t="shared" si="9"/>
        <v>0.96191860465116252</v>
      </c>
      <c r="AG28" s="177"/>
    </row>
    <row r="29" spans="1:33" ht="15.75" customHeight="1">
      <c r="A29" s="194" t="s">
        <v>267</v>
      </c>
      <c r="B29" s="28" t="s">
        <v>22</v>
      </c>
      <c r="C29" s="193" t="s">
        <v>27</v>
      </c>
      <c r="D29" s="193"/>
      <c r="E29" s="28">
        <v>26.18</v>
      </c>
      <c r="F29" s="88">
        <v>1237</v>
      </c>
      <c r="G29" s="88">
        <f t="shared" si="23"/>
        <v>32384.66</v>
      </c>
      <c r="H29" s="30" t="s">
        <v>53</v>
      </c>
      <c r="I29" s="95">
        <v>19</v>
      </c>
      <c r="J29" s="13">
        <v>2400</v>
      </c>
      <c r="K29" s="12">
        <f t="shared" si="1"/>
        <v>126.31578947368421</v>
      </c>
      <c r="L29" s="95">
        <v>19</v>
      </c>
      <c r="M29" s="13">
        <f t="shared" si="24"/>
        <v>2319.3750000000027</v>
      </c>
      <c r="N29" s="12">
        <f t="shared" si="3"/>
        <v>122.07236842105277</v>
      </c>
      <c r="O29" s="14">
        <f t="shared" si="4"/>
        <v>0</v>
      </c>
      <c r="P29" s="15">
        <f t="shared" si="5"/>
        <v>-4.2434210526314331</v>
      </c>
      <c r="Q29" s="91">
        <f t="shared" si="6"/>
        <v>0.96640625000000113</v>
      </c>
      <c r="R29" s="177"/>
      <c r="S29" s="21">
        <v>0.42708333333333331</v>
      </c>
      <c r="T29" s="21">
        <v>0.44930555555555551</v>
      </c>
      <c r="U29" s="88">
        <f t="shared" si="26"/>
        <v>4.9999999999999822</v>
      </c>
      <c r="V29" s="30">
        <f t="shared" si="25"/>
        <v>31.999999999999964</v>
      </c>
      <c r="W29" s="16"/>
      <c r="X29" s="16"/>
      <c r="Y29" s="16"/>
      <c r="Z29" s="16"/>
      <c r="AA29" s="168"/>
      <c r="AB29" s="168"/>
      <c r="AC29" s="18"/>
      <c r="AD29" s="18"/>
      <c r="AE29" s="14">
        <f t="shared" si="8"/>
        <v>-80.624999999997272</v>
      </c>
      <c r="AF29" s="91">
        <f t="shared" si="9"/>
        <v>0.96640625000000113</v>
      </c>
      <c r="AG29" s="177"/>
    </row>
    <row r="30" spans="1:33" ht="15.75" customHeight="1">
      <c r="A30" s="194" t="s">
        <v>267</v>
      </c>
      <c r="B30" s="28" t="s">
        <v>165</v>
      </c>
      <c r="C30" s="178"/>
      <c r="D30" s="178"/>
      <c r="E30" s="92"/>
      <c r="F30" s="88"/>
      <c r="G30" s="88"/>
      <c r="H30" s="88"/>
      <c r="I30" s="23">
        <v>18.399999999999999</v>
      </c>
      <c r="J30" s="13">
        <v>2400</v>
      </c>
      <c r="K30" s="12">
        <f t="shared" si="1"/>
        <v>130.43478260869566</v>
      </c>
      <c r="L30" s="23">
        <v>18.399999999999999</v>
      </c>
      <c r="M30" s="13">
        <f>AVERAGE(M25:M29)</f>
        <v>2306.3777698551994</v>
      </c>
      <c r="N30" s="12">
        <f t="shared" si="3"/>
        <v>125.34661792691303</v>
      </c>
      <c r="O30" s="14">
        <f t="shared" si="4"/>
        <v>0</v>
      </c>
      <c r="P30" s="15">
        <f t="shared" si="5"/>
        <v>-5.0881646817826294</v>
      </c>
      <c r="Q30" s="91">
        <f t="shared" si="6"/>
        <v>0.96099073743966656</v>
      </c>
      <c r="R30" s="177"/>
      <c r="S30" s="21"/>
      <c r="T30" s="21"/>
      <c r="U30" s="88"/>
      <c r="V30" s="30"/>
      <c r="W30" s="88"/>
      <c r="X30" s="88"/>
      <c r="Y30" s="24">
        <f>SUM(Y25:Y29)</f>
        <v>0</v>
      </c>
      <c r="Z30" s="24">
        <f>SUM(Z25:Z29)</f>
        <v>0</v>
      </c>
      <c r="AA30" s="167"/>
      <c r="AB30" s="167"/>
      <c r="AC30" s="24">
        <v>5</v>
      </c>
      <c r="AD30" s="24">
        <f>SUM(AD25:AD29)</f>
        <v>0</v>
      </c>
      <c r="AE30" s="14">
        <f t="shared" si="8"/>
        <v>-93.622230144800596</v>
      </c>
      <c r="AF30" s="91">
        <f t="shared" si="9"/>
        <v>0.96099073743966645</v>
      </c>
      <c r="AG30" s="177"/>
    </row>
    <row r="31" spans="1:33" ht="15.75" customHeight="1">
      <c r="A31" s="191" t="s">
        <v>172</v>
      </c>
      <c r="B31" s="28" t="s">
        <v>22</v>
      </c>
      <c r="C31" s="169" t="s">
        <v>28</v>
      </c>
      <c r="D31" s="169"/>
      <c r="E31" s="28">
        <v>26.2</v>
      </c>
      <c r="F31" s="88">
        <v>5220</v>
      </c>
      <c r="G31" s="88">
        <f t="shared" ref="G31:G35" si="27">E31*F31</f>
        <v>136764</v>
      </c>
      <c r="H31" s="30" t="s">
        <v>53</v>
      </c>
      <c r="I31" s="95">
        <v>18</v>
      </c>
      <c r="J31" s="13">
        <v>2400</v>
      </c>
      <c r="K31" s="12">
        <f t="shared" si="1"/>
        <v>133.33333333333334</v>
      </c>
      <c r="L31" s="95">
        <v>18</v>
      </c>
      <c r="M31" s="13">
        <f t="shared" ref="M31:M35" si="28">F31/V31*60</f>
        <v>2286.1313868613142</v>
      </c>
      <c r="N31" s="12">
        <f t="shared" si="3"/>
        <v>127.00729927007302</v>
      </c>
      <c r="O31" s="14">
        <f t="shared" si="4"/>
        <v>0</v>
      </c>
      <c r="P31" s="15">
        <f t="shared" si="5"/>
        <v>-6.3260340632603231</v>
      </c>
      <c r="Q31" s="91">
        <f t="shared" si="6"/>
        <v>0.95255474452554756</v>
      </c>
      <c r="R31" s="177">
        <f>Q36</f>
        <v>0.95618965292142677</v>
      </c>
      <c r="S31" s="21">
        <v>8.3333333333333329E-2</v>
      </c>
      <c r="T31" s="21">
        <v>0.1784722222222222</v>
      </c>
      <c r="U31" s="88"/>
      <c r="V31" s="30">
        <f t="shared" ref="V31:V35" si="29">(T31-S31)*24*60</f>
        <v>136.99999999999997</v>
      </c>
      <c r="W31" s="21">
        <f>T31</f>
        <v>0.1784722222222222</v>
      </c>
      <c r="X31" s="21">
        <f>S32</f>
        <v>0.1986111111111111</v>
      </c>
      <c r="Y31" s="21"/>
      <c r="Z31" s="21"/>
      <c r="AA31" s="168"/>
      <c r="AB31" s="168"/>
      <c r="AC31" s="18">
        <v>5</v>
      </c>
      <c r="AD31" s="18"/>
      <c r="AE31" s="14">
        <f t="shared" si="8"/>
        <v>-113.86861313868576</v>
      </c>
      <c r="AF31" s="91">
        <f t="shared" si="9"/>
        <v>0.95255474452554756</v>
      </c>
      <c r="AG31" s="177">
        <f>AF36</f>
        <v>0.95618965292142666</v>
      </c>
    </row>
    <row r="32" spans="1:33" ht="15.75" customHeight="1">
      <c r="A32" s="191" t="s">
        <v>585</v>
      </c>
      <c r="B32" s="28" t="s">
        <v>22</v>
      </c>
      <c r="C32" s="169" t="s">
        <v>29</v>
      </c>
      <c r="D32" s="169"/>
      <c r="E32" s="28">
        <v>20.52</v>
      </c>
      <c r="F32" s="88">
        <v>2904</v>
      </c>
      <c r="G32" s="88">
        <f t="shared" si="27"/>
        <v>59590.080000000002</v>
      </c>
      <c r="H32" s="30" t="s">
        <v>53</v>
      </c>
      <c r="I32" s="95">
        <v>18</v>
      </c>
      <c r="J32" s="13">
        <v>2400</v>
      </c>
      <c r="K32" s="12">
        <f t="shared" si="1"/>
        <v>133.33333333333334</v>
      </c>
      <c r="L32" s="95">
        <v>18</v>
      </c>
      <c r="M32" s="13">
        <f t="shared" si="28"/>
        <v>2292.6315789473679</v>
      </c>
      <c r="N32" s="12">
        <f t="shared" si="3"/>
        <v>127.36842105263155</v>
      </c>
      <c r="O32" s="14">
        <f t="shared" si="4"/>
        <v>0</v>
      </c>
      <c r="P32" s="15">
        <f t="shared" si="5"/>
        <v>-5.964912280701796</v>
      </c>
      <c r="Q32" s="91">
        <f t="shared" si="6"/>
        <v>0.95526315789473648</v>
      </c>
      <c r="R32" s="177"/>
      <c r="S32" s="21">
        <v>0.1986111111111111</v>
      </c>
      <c r="T32" s="21">
        <v>0.25138888888888888</v>
      </c>
      <c r="U32" s="88">
        <f t="shared" ref="U32:U35" si="30">(S32-T31)*24*60</f>
        <v>29.000000000000018</v>
      </c>
      <c r="V32" s="30">
        <f t="shared" si="29"/>
        <v>76.000000000000014</v>
      </c>
      <c r="W32" s="88"/>
      <c r="X32" s="88"/>
      <c r="Y32" s="88"/>
      <c r="Z32" s="88"/>
      <c r="AA32" s="168"/>
      <c r="AB32" s="168"/>
      <c r="AC32" s="18"/>
      <c r="AD32" s="18"/>
      <c r="AE32" s="14">
        <f t="shared" si="8"/>
        <v>-107.36842105263213</v>
      </c>
      <c r="AF32" s="91">
        <f t="shared" si="9"/>
        <v>0.95526315789473659</v>
      </c>
      <c r="AG32" s="177"/>
    </row>
    <row r="33" spans="1:33">
      <c r="A33" s="192" t="s">
        <v>586</v>
      </c>
      <c r="B33" s="28" t="s">
        <v>22</v>
      </c>
      <c r="C33" s="169" t="s">
        <v>30</v>
      </c>
      <c r="D33" s="169"/>
      <c r="E33" s="28">
        <v>26.39</v>
      </c>
      <c r="F33" s="88">
        <v>4392</v>
      </c>
      <c r="G33" s="88">
        <f t="shared" si="27"/>
        <v>115904.88</v>
      </c>
      <c r="H33" s="30" t="s">
        <v>53</v>
      </c>
      <c r="I33" s="95">
        <v>19</v>
      </c>
      <c r="J33" s="13">
        <v>2400</v>
      </c>
      <c r="K33" s="12">
        <f t="shared" si="1"/>
        <v>126.31578947368421</v>
      </c>
      <c r="L33" s="95">
        <v>19</v>
      </c>
      <c r="M33" s="13">
        <f t="shared" si="28"/>
        <v>2291.4782608695655</v>
      </c>
      <c r="N33" s="12">
        <f t="shared" si="3"/>
        <v>120.60411899313503</v>
      </c>
      <c r="O33" s="14">
        <f t="shared" si="4"/>
        <v>0</v>
      </c>
      <c r="P33" s="15">
        <f t="shared" si="5"/>
        <v>-5.7116704805491736</v>
      </c>
      <c r="Q33" s="91">
        <f t="shared" si="6"/>
        <v>0.95478260869565235</v>
      </c>
      <c r="R33" s="177"/>
      <c r="S33" s="21">
        <v>0.25624999999999998</v>
      </c>
      <c r="T33" s="21">
        <v>0.33611111111111108</v>
      </c>
      <c r="U33" s="88">
        <f t="shared" si="30"/>
        <v>6.9999999999999751</v>
      </c>
      <c r="V33" s="30">
        <f t="shared" si="29"/>
        <v>114.99999999999999</v>
      </c>
      <c r="W33" s="88"/>
      <c r="X33" s="88"/>
      <c r="Y33" s="88"/>
      <c r="Z33" s="88"/>
      <c r="AA33" s="168"/>
      <c r="AB33" s="168"/>
      <c r="AC33" s="18"/>
      <c r="AD33" s="18"/>
      <c r="AE33" s="14">
        <f t="shared" si="8"/>
        <v>-108.52173913043453</v>
      </c>
      <c r="AF33" s="91">
        <f t="shared" si="9"/>
        <v>0.95478260869565224</v>
      </c>
      <c r="AG33" s="177"/>
    </row>
    <row r="34" spans="1:33">
      <c r="A34" s="192" t="s">
        <v>172</v>
      </c>
      <c r="B34" s="28" t="s">
        <v>22</v>
      </c>
      <c r="C34" s="169" t="s">
        <v>32</v>
      </c>
      <c r="D34" s="169"/>
      <c r="E34" s="28">
        <v>20.52</v>
      </c>
      <c r="F34" s="88">
        <v>2343</v>
      </c>
      <c r="G34" s="88">
        <f t="shared" si="27"/>
        <v>48078.36</v>
      </c>
      <c r="H34" s="30" t="s">
        <v>53</v>
      </c>
      <c r="I34" s="95">
        <v>18</v>
      </c>
      <c r="J34" s="13">
        <v>2400</v>
      </c>
      <c r="K34" s="12">
        <f t="shared" si="1"/>
        <v>133.33333333333334</v>
      </c>
      <c r="L34" s="95">
        <v>18</v>
      </c>
      <c r="M34" s="13">
        <f t="shared" si="28"/>
        <v>2304.5901639344256</v>
      </c>
      <c r="N34" s="12">
        <f t="shared" si="3"/>
        <v>128.03278688524586</v>
      </c>
      <c r="O34" s="14">
        <f t="shared" si="4"/>
        <v>0</v>
      </c>
      <c r="P34" s="15">
        <f t="shared" si="5"/>
        <v>-5.3005464480874878</v>
      </c>
      <c r="Q34" s="91">
        <f t="shared" si="6"/>
        <v>0.96024590163934387</v>
      </c>
      <c r="R34" s="177"/>
      <c r="S34" s="21">
        <v>0.33958333333333329</v>
      </c>
      <c r="T34" s="21">
        <v>0.38194444444444442</v>
      </c>
      <c r="U34" s="88">
        <f t="shared" si="30"/>
        <v>4.9999999999999822</v>
      </c>
      <c r="V34" s="30">
        <f t="shared" si="29"/>
        <v>61.000000000000021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8"/>
        <v>-95.409836065574382</v>
      </c>
      <c r="AF34" s="91">
        <f t="shared" si="9"/>
        <v>0.96024590163934398</v>
      </c>
      <c r="AG34" s="177"/>
    </row>
    <row r="35" spans="1:33">
      <c r="A35" s="192" t="s">
        <v>172</v>
      </c>
      <c r="B35" s="28" t="s">
        <v>22</v>
      </c>
      <c r="C35" s="169" t="s">
        <v>70</v>
      </c>
      <c r="D35" s="169"/>
      <c r="E35" s="28">
        <v>22.69</v>
      </c>
      <c r="F35" s="88">
        <v>4139</v>
      </c>
      <c r="G35" s="88">
        <f t="shared" si="27"/>
        <v>93913.91</v>
      </c>
      <c r="H35" s="30" t="s">
        <v>53</v>
      </c>
      <c r="I35" s="95">
        <v>15</v>
      </c>
      <c r="J35" s="13">
        <v>2400</v>
      </c>
      <c r="K35" s="12">
        <f t="shared" si="1"/>
        <v>160</v>
      </c>
      <c r="L35" s="95">
        <v>15</v>
      </c>
      <c r="M35" s="13">
        <f t="shared" si="28"/>
        <v>2299.4444444444443</v>
      </c>
      <c r="N35" s="12">
        <f t="shared" si="3"/>
        <v>153.29629629629628</v>
      </c>
      <c r="O35" s="14">
        <f t="shared" si="4"/>
        <v>0</v>
      </c>
      <c r="P35" s="15">
        <f t="shared" si="5"/>
        <v>-6.7037037037037237</v>
      </c>
      <c r="Q35" s="91">
        <f t="shared" si="6"/>
        <v>0.9581018518518517</v>
      </c>
      <c r="R35" s="177"/>
      <c r="S35" s="21">
        <v>0.38680555555555551</v>
      </c>
      <c r="T35" s="21">
        <v>0.46180555555555552</v>
      </c>
      <c r="U35" s="88">
        <f t="shared" si="30"/>
        <v>6.9999999999999751</v>
      </c>
      <c r="V35" s="30">
        <f t="shared" si="29"/>
        <v>108.00000000000001</v>
      </c>
      <c r="W35" s="16"/>
      <c r="X35" s="16"/>
      <c r="Y35" s="16"/>
      <c r="Z35" s="16"/>
      <c r="AA35" s="168"/>
      <c r="AB35" s="168"/>
      <c r="AC35" s="18"/>
      <c r="AD35" s="18"/>
      <c r="AE35" s="14">
        <f t="shared" si="8"/>
        <v>-100.55555555555566</v>
      </c>
      <c r="AF35" s="91">
        <f t="shared" si="9"/>
        <v>0.95810185185185182</v>
      </c>
      <c r="AG35" s="177"/>
    </row>
    <row r="36" spans="1:33">
      <c r="A36" s="192" t="s">
        <v>172</v>
      </c>
      <c r="B36" s="12" t="s">
        <v>165</v>
      </c>
      <c r="C36" s="178"/>
      <c r="D36" s="178"/>
      <c r="E36" s="92"/>
      <c r="F36" s="12"/>
      <c r="G36" s="12"/>
      <c r="H36" s="88"/>
      <c r="I36" s="23">
        <v>17.600000000000001</v>
      </c>
      <c r="J36" s="13">
        <v>2400</v>
      </c>
      <c r="K36" s="12">
        <f t="shared" si="1"/>
        <v>136.36363636363635</v>
      </c>
      <c r="L36" s="23">
        <v>17.600000000000001</v>
      </c>
      <c r="M36" s="13">
        <f>AVERAGE(M31:M35)</f>
        <v>2294.8551670114239</v>
      </c>
      <c r="N36" s="12">
        <f t="shared" si="3"/>
        <v>130.38949812564908</v>
      </c>
      <c r="O36" s="14">
        <f t="shared" si="4"/>
        <v>0</v>
      </c>
      <c r="P36" s="15">
        <f t="shared" si="5"/>
        <v>-5.9741382379872618</v>
      </c>
      <c r="Q36" s="91">
        <f t="shared" si="6"/>
        <v>0.95618965292142677</v>
      </c>
      <c r="R36" s="177"/>
      <c r="S36" s="21"/>
      <c r="T36" s="21"/>
      <c r="U36" s="12"/>
      <c r="V36" s="30"/>
      <c r="W36" s="12"/>
      <c r="X36" s="12"/>
      <c r="Y36" s="24">
        <f>SUM(Y31:Y35)</f>
        <v>0</v>
      </c>
      <c r="Z36" s="24">
        <f>SUM(Z31:Z35)</f>
        <v>0</v>
      </c>
      <c r="AA36" s="167"/>
      <c r="AB36" s="167"/>
      <c r="AC36" s="24">
        <v>5</v>
      </c>
      <c r="AD36" s="24">
        <f>SUM(AD31:AD35)</f>
        <v>0</v>
      </c>
      <c r="AE36" s="14">
        <f t="shared" si="8"/>
        <v>-105.14483298857613</v>
      </c>
      <c r="AF36" s="91">
        <f t="shared" si="9"/>
        <v>0.95618965292142666</v>
      </c>
      <c r="AG36" s="177"/>
    </row>
    <row r="37" spans="1:33" ht="15.75" customHeight="1">
      <c r="A37" s="188" t="s">
        <v>271</v>
      </c>
      <c r="B37" s="28" t="s">
        <v>33</v>
      </c>
      <c r="C37" s="170" t="s">
        <v>72</v>
      </c>
      <c r="D37" s="171"/>
      <c r="E37" s="28">
        <v>34.35</v>
      </c>
      <c r="F37" s="88">
        <v>2614</v>
      </c>
      <c r="G37" s="88">
        <f t="shared" ref="G37:G41" si="31">E37*F37</f>
        <v>89790.900000000009</v>
      </c>
      <c r="H37" s="30" t="s">
        <v>53</v>
      </c>
      <c r="I37" s="95">
        <v>8</v>
      </c>
      <c r="J37" s="13">
        <v>3000</v>
      </c>
      <c r="K37" s="12">
        <f t="shared" si="1"/>
        <v>375</v>
      </c>
      <c r="L37" s="95">
        <v>8</v>
      </c>
      <c r="M37" s="13">
        <f t="shared" ref="M37:M41" si="32">F37/V37*60</f>
        <v>2851.6363636363644</v>
      </c>
      <c r="N37" s="13">
        <f t="shared" si="3"/>
        <v>356.45454545454555</v>
      </c>
      <c r="O37" s="14">
        <f t="shared" si="4"/>
        <v>0</v>
      </c>
      <c r="P37" s="15">
        <f t="shared" si="5"/>
        <v>-18.545454545454447</v>
      </c>
      <c r="Q37" s="91">
        <f t="shared" si="6"/>
        <v>0.9505454545454548</v>
      </c>
      <c r="R37" s="183">
        <f>Q42</f>
        <v>0.95427574003005133</v>
      </c>
      <c r="S37" s="21">
        <v>8.3333333333333329E-2</v>
      </c>
      <c r="T37" s="21">
        <v>0.12152777777777776</v>
      </c>
      <c r="U37" s="21"/>
      <c r="V37" s="30">
        <f t="shared" ref="V37:V41" si="33">(T37-S37)*24*60</f>
        <v>54.999999999999986</v>
      </c>
      <c r="W37" s="16">
        <f>T37</f>
        <v>0.12152777777777776</v>
      </c>
      <c r="X37" s="16">
        <f>S38</f>
        <v>0.14166666666666666</v>
      </c>
      <c r="Y37" s="19"/>
      <c r="Z37" s="19"/>
      <c r="AA37" s="172"/>
      <c r="AB37" s="173"/>
      <c r="AC37" s="18">
        <v>5</v>
      </c>
      <c r="AD37" s="18"/>
      <c r="AE37" s="14">
        <f t="shared" si="8"/>
        <v>-148.36363636363558</v>
      </c>
      <c r="AF37" s="91">
        <f t="shared" si="9"/>
        <v>0.9505454545454548</v>
      </c>
      <c r="AG37" s="183">
        <f>AF42</f>
        <v>0.95427574003005122</v>
      </c>
    </row>
    <row r="38" spans="1:33" ht="15.75" customHeight="1">
      <c r="A38" s="189" t="s">
        <v>271</v>
      </c>
      <c r="B38" s="28" t="s">
        <v>33</v>
      </c>
      <c r="C38" s="170" t="s">
        <v>36</v>
      </c>
      <c r="D38" s="171"/>
      <c r="E38" s="28">
        <v>21.13</v>
      </c>
      <c r="F38" s="88">
        <v>4374</v>
      </c>
      <c r="G38" s="88">
        <f t="shared" si="31"/>
        <v>92422.62</v>
      </c>
      <c r="H38" s="30" t="s">
        <v>53</v>
      </c>
      <c r="I38" s="95">
        <v>10</v>
      </c>
      <c r="J38" s="13">
        <v>3000</v>
      </c>
      <c r="K38" s="12">
        <f t="shared" si="1"/>
        <v>300</v>
      </c>
      <c r="L38" s="95">
        <v>10</v>
      </c>
      <c r="M38" s="13">
        <f t="shared" si="32"/>
        <v>2852.608695652174</v>
      </c>
      <c r="N38" s="13">
        <f t="shared" si="3"/>
        <v>285.26086956521738</v>
      </c>
      <c r="O38" s="14">
        <f t="shared" si="4"/>
        <v>0</v>
      </c>
      <c r="P38" s="15">
        <f t="shared" si="5"/>
        <v>-14.739130434782624</v>
      </c>
      <c r="Q38" s="91">
        <f t="shared" si="6"/>
        <v>0.9508695652173913</v>
      </c>
      <c r="R38" s="184"/>
      <c r="S38" s="21">
        <v>0.14166666666666666</v>
      </c>
      <c r="T38" s="21">
        <v>0.20555555555555555</v>
      </c>
      <c r="U38" s="88">
        <f t="shared" ref="U38:U41" si="34">(S38-T37)*24*60</f>
        <v>29.000000000000018</v>
      </c>
      <c r="V38" s="30">
        <f t="shared" si="33"/>
        <v>92</v>
      </c>
      <c r="W38" s="16"/>
      <c r="X38" s="16"/>
      <c r="Y38" s="19"/>
      <c r="Z38" s="19"/>
      <c r="AA38" s="172"/>
      <c r="AB38" s="173"/>
      <c r="AC38" s="18"/>
      <c r="AD38" s="18"/>
      <c r="AE38" s="14">
        <f t="shared" si="8"/>
        <v>-147.39130434782601</v>
      </c>
      <c r="AF38" s="91">
        <f t="shared" si="9"/>
        <v>0.9508695652173913</v>
      </c>
      <c r="AG38" s="184"/>
    </row>
    <row r="39" spans="1:33" ht="15.75" customHeight="1">
      <c r="A39" s="189" t="s">
        <v>271</v>
      </c>
      <c r="B39" s="28" t="s">
        <v>33</v>
      </c>
      <c r="C39" s="170" t="s">
        <v>37</v>
      </c>
      <c r="D39" s="171"/>
      <c r="E39" s="28">
        <v>27.17</v>
      </c>
      <c r="F39" s="88">
        <v>5609</v>
      </c>
      <c r="G39" s="88">
        <f t="shared" si="31"/>
        <v>152396.53</v>
      </c>
      <c r="H39" s="30" t="s">
        <v>53</v>
      </c>
      <c r="I39" s="95">
        <v>10</v>
      </c>
      <c r="J39" s="13">
        <v>3000</v>
      </c>
      <c r="K39" s="12">
        <f t="shared" si="1"/>
        <v>300</v>
      </c>
      <c r="L39" s="95">
        <v>10</v>
      </c>
      <c r="M39" s="13">
        <f t="shared" si="32"/>
        <v>2852.0338983050851</v>
      </c>
      <c r="N39" s="13">
        <f t="shared" si="3"/>
        <v>285.20338983050851</v>
      </c>
      <c r="O39" s="14">
        <f t="shared" si="4"/>
        <v>0</v>
      </c>
      <c r="P39" s="15">
        <f t="shared" si="5"/>
        <v>-14.796610169491487</v>
      </c>
      <c r="Q39" s="91">
        <f t="shared" si="6"/>
        <v>0.95067796610169508</v>
      </c>
      <c r="R39" s="184"/>
      <c r="S39" s="21">
        <v>0.20902777777777776</v>
      </c>
      <c r="T39" s="21">
        <v>0.29097222222222219</v>
      </c>
      <c r="U39" s="88">
        <f t="shared" si="34"/>
        <v>4.9999999999999822</v>
      </c>
      <c r="V39" s="30">
        <f t="shared" si="33"/>
        <v>117.99999999999999</v>
      </c>
      <c r="W39" s="16"/>
      <c r="X39" s="16"/>
      <c r="Y39" s="19"/>
      <c r="Z39" s="19"/>
      <c r="AA39" s="172"/>
      <c r="AB39" s="173"/>
      <c r="AC39" s="18"/>
      <c r="AD39" s="18"/>
      <c r="AE39" s="14">
        <f t="shared" si="8"/>
        <v>-147.96610169491487</v>
      </c>
      <c r="AF39" s="91">
        <f t="shared" si="9"/>
        <v>0.95067796610169508</v>
      </c>
      <c r="AG39" s="184"/>
    </row>
    <row r="40" spans="1:33" ht="15.75" customHeight="1">
      <c r="A40" s="189" t="s">
        <v>271</v>
      </c>
      <c r="B40" s="28" t="s">
        <v>33</v>
      </c>
      <c r="C40" s="170" t="s">
        <v>71</v>
      </c>
      <c r="D40" s="171"/>
      <c r="E40" s="28">
        <v>28.3</v>
      </c>
      <c r="F40" s="88">
        <v>1528</v>
      </c>
      <c r="G40" s="88">
        <f t="shared" si="31"/>
        <v>43242.400000000001</v>
      </c>
      <c r="H40" s="30" t="s">
        <v>53</v>
      </c>
      <c r="I40" s="95">
        <v>8</v>
      </c>
      <c r="J40" s="13">
        <v>3000</v>
      </c>
      <c r="K40" s="12">
        <f t="shared" si="1"/>
        <v>375</v>
      </c>
      <c r="L40" s="95">
        <v>8</v>
      </c>
      <c r="M40" s="13">
        <f t="shared" si="32"/>
        <v>2865.0000000000032</v>
      </c>
      <c r="N40" s="13">
        <f t="shared" si="3"/>
        <v>358.1250000000004</v>
      </c>
      <c r="O40" s="14">
        <f t="shared" si="4"/>
        <v>0</v>
      </c>
      <c r="P40" s="15">
        <f t="shared" si="5"/>
        <v>-16.874999999999602</v>
      </c>
      <c r="Q40" s="91">
        <f t="shared" si="6"/>
        <v>0.95500000000000107</v>
      </c>
      <c r="R40" s="184"/>
      <c r="S40" s="21">
        <v>0.29513888888888884</v>
      </c>
      <c r="T40" s="21">
        <v>0.31736111111111104</v>
      </c>
      <c r="U40" s="88">
        <f t="shared" si="34"/>
        <v>5.9999999999999787</v>
      </c>
      <c r="V40" s="30">
        <f t="shared" si="33"/>
        <v>31.999999999999964</v>
      </c>
      <c r="W40" s="16"/>
      <c r="X40" s="16"/>
      <c r="Y40" s="19"/>
      <c r="Z40" s="19"/>
      <c r="AA40" s="172"/>
      <c r="AB40" s="173"/>
      <c r="AC40" s="18"/>
      <c r="AD40" s="18"/>
      <c r="AE40" s="14">
        <f t="shared" si="8"/>
        <v>-134.99999999999682</v>
      </c>
      <c r="AF40" s="91">
        <f t="shared" si="9"/>
        <v>0.95500000000000107</v>
      </c>
      <c r="AG40" s="184"/>
    </row>
    <row r="41" spans="1:33" ht="15.75" customHeight="1">
      <c r="A41" s="189" t="s">
        <v>587</v>
      </c>
      <c r="B41" s="28" t="s">
        <v>33</v>
      </c>
      <c r="C41" s="170" t="s">
        <v>38</v>
      </c>
      <c r="D41" s="171"/>
      <c r="E41" s="28">
        <v>35.869999999999997</v>
      </c>
      <c r="F41" s="88">
        <v>3375</v>
      </c>
      <c r="G41" s="88">
        <f t="shared" si="31"/>
        <v>121061.24999999999</v>
      </c>
      <c r="H41" s="30" t="s">
        <v>53</v>
      </c>
      <c r="I41" s="95">
        <v>9</v>
      </c>
      <c r="J41" s="13">
        <v>3000</v>
      </c>
      <c r="K41" s="12">
        <f t="shared" si="1"/>
        <v>333.33333333333331</v>
      </c>
      <c r="L41" s="95">
        <v>9</v>
      </c>
      <c r="M41" s="13">
        <f t="shared" si="32"/>
        <v>2892.8571428571431</v>
      </c>
      <c r="N41" s="13">
        <f t="shared" si="3"/>
        <v>321.42857142857144</v>
      </c>
      <c r="O41" s="14">
        <f t="shared" si="4"/>
        <v>0</v>
      </c>
      <c r="P41" s="15">
        <f t="shared" si="5"/>
        <v>-11.90476190476187</v>
      </c>
      <c r="Q41" s="91">
        <f t="shared" si="6"/>
        <v>0.96428571428571441</v>
      </c>
      <c r="R41" s="184"/>
      <c r="S41" s="21">
        <v>0.32291666666666657</v>
      </c>
      <c r="T41" s="21">
        <v>0.37152777777777768</v>
      </c>
      <c r="U41" s="88">
        <f t="shared" si="34"/>
        <v>7.9999999999999716</v>
      </c>
      <c r="V41" s="30">
        <f t="shared" si="33"/>
        <v>69.999999999999986</v>
      </c>
      <c r="W41" s="16"/>
      <c r="X41" s="16"/>
      <c r="Y41" s="19"/>
      <c r="Z41" s="19"/>
      <c r="AA41" s="172"/>
      <c r="AB41" s="173"/>
      <c r="AC41" s="18"/>
      <c r="AD41" s="18"/>
      <c r="AE41" s="14">
        <f t="shared" si="8"/>
        <v>-107.14285714285688</v>
      </c>
      <c r="AF41" s="91">
        <f t="shared" si="9"/>
        <v>0.96428571428571441</v>
      </c>
      <c r="AG41" s="184"/>
    </row>
    <row r="42" spans="1:33" ht="15.75" customHeight="1">
      <c r="A42" s="190" t="s">
        <v>588</v>
      </c>
      <c r="B42" s="28" t="s">
        <v>165</v>
      </c>
      <c r="C42" s="165"/>
      <c r="D42" s="166"/>
      <c r="E42" s="89"/>
      <c r="F42" s="88"/>
      <c r="G42" s="88"/>
      <c r="H42" s="88"/>
      <c r="I42" s="23">
        <v>9</v>
      </c>
      <c r="J42" s="13">
        <v>3000</v>
      </c>
      <c r="K42" s="12">
        <f t="shared" si="1"/>
        <v>333.33333333333331</v>
      </c>
      <c r="L42" s="23">
        <v>9</v>
      </c>
      <c r="M42" s="13">
        <f>AVERAGE(M37:M41)</f>
        <v>2862.8272200901538</v>
      </c>
      <c r="N42" s="12">
        <f t="shared" si="3"/>
        <v>318.09191334335043</v>
      </c>
      <c r="O42" s="14">
        <f t="shared" si="4"/>
        <v>0</v>
      </c>
      <c r="P42" s="15">
        <f t="shared" si="5"/>
        <v>-15.241419989982887</v>
      </c>
      <c r="Q42" s="91">
        <f t="shared" si="6"/>
        <v>0.95427574003005133</v>
      </c>
      <c r="R42" s="185"/>
      <c r="S42" s="21"/>
      <c r="T42" s="21"/>
      <c r="U42" s="88"/>
      <c r="V42" s="30"/>
      <c r="W42" s="16"/>
      <c r="X42" s="16"/>
      <c r="Y42" s="24">
        <f>SUM(Y37:Y41)</f>
        <v>0</v>
      </c>
      <c r="Z42" s="24">
        <f>SUM(Z37:Z41)</f>
        <v>0</v>
      </c>
      <c r="AA42" s="186"/>
      <c r="AB42" s="187"/>
      <c r="AC42" s="24">
        <v>5</v>
      </c>
      <c r="AD42" s="24">
        <f>SUM(AD37:AD41)</f>
        <v>0</v>
      </c>
      <c r="AE42" s="14">
        <f t="shared" si="8"/>
        <v>-137.17277990984621</v>
      </c>
      <c r="AF42" s="91">
        <f t="shared" si="9"/>
        <v>0.95427574003005122</v>
      </c>
      <c r="AG42" s="185"/>
    </row>
    <row r="43" spans="1:33" ht="15.75" customHeight="1">
      <c r="A43" s="181" t="s">
        <v>275</v>
      </c>
      <c r="B43" s="28" t="s">
        <v>9</v>
      </c>
      <c r="C43" s="169" t="s">
        <v>39</v>
      </c>
      <c r="D43" s="169"/>
      <c r="E43" s="28">
        <v>46</v>
      </c>
      <c r="F43" s="29">
        <v>1785</v>
      </c>
      <c r="G43" s="88">
        <f t="shared" ref="G43:G48" si="35">E43*F43</f>
        <v>82110</v>
      </c>
      <c r="H43" s="30" t="s">
        <v>53</v>
      </c>
      <c r="I43" s="95">
        <v>17</v>
      </c>
      <c r="J43" s="13">
        <v>2000</v>
      </c>
      <c r="K43" s="12">
        <f t="shared" si="1"/>
        <v>117.64705882352941</v>
      </c>
      <c r="L43" s="95">
        <v>17</v>
      </c>
      <c r="M43" s="13">
        <f t="shared" ref="M43" si="36">F43/V43*60</f>
        <v>1912.5</v>
      </c>
      <c r="N43" s="13">
        <f t="shared" si="3"/>
        <v>112.5</v>
      </c>
      <c r="O43" s="14">
        <f t="shared" si="4"/>
        <v>0</v>
      </c>
      <c r="P43" s="15">
        <f t="shared" si="5"/>
        <v>-5.1470588235294059</v>
      </c>
      <c r="Q43" s="91">
        <f t="shared" si="6"/>
        <v>0.95625000000000004</v>
      </c>
      <c r="R43" s="177">
        <f>Q49</f>
        <v>0.96064143829748128</v>
      </c>
      <c r="S43" s="21">
        <v>0.20833333333333334</v>
      </c>
      <c r="T43" s="21">
        <v>0.24722222222222223</v>
      </c>
      <c r="U43" s="21"/>
      <c r="V43" s="30">
        <f t="shared" ref="V43:V48" si="37">(T43-S43)*24*60</f>
        <v>56</v>
      </c>
      <c r="W43" s="21"/>
      <c r="X43" s="21"/>
      <c r="Y43" s="21"/>
      <c r="Z43" s="21"/>
      <c r="AA43" s="168"/>
      <c r="AB43" s="168"/>
      <c r="AC43" s="18">
        <v>6</v>
      </c>
      <c r="AD43" s="18"/>
      <c r="AE43" s="14">
        <f t="shared" si="8"/>
        <v>-87.5</v>
      </c>
      <c r="AF43" s="91">
        <f t="shared" si="9"/>
        <v>0.95625000000000004</v>
      </c>
      <c r="AG43" s="177">
        <f>AF49</f>
        <v>0.96064143829748139</v>
      </c>
    </row>
    <row r="44" spans="1:33" ht="15.75" customHeight="1">
      <c r="A44" s="181" t="s">
        <v>275</v>
      </c>
      <c r="B44" s="28" t="s">
        <v>5</v>
      </c>
      <c r="C44" s="169" t="s">
        <v>40</v>
      </c>
      <c r="D44" s="169"/>
      <c r="E44" s="28">
        <v>56.43</v>
      </c>
      <c r="F44" s="29">
        <v>1320</v>
      </c>
      <c r="G44" s="88">
        <f t="shared" si="35"/>
        <v>74487.600000000006</v>
      </c>
      <c r="H44" s="30" t="s">
        <v>53</v>
      </c>
      <c r="I44" s="95">
        <v>22</v>
      </c>
      <c r="J44" s="13">
        <v>2000</v>
      </c>
      <c r="K44" s="12">
        <f t="shared" si="1"/>
        <v>90.909090909090907</v>
      </c>
      <c r="L44" s="95">
        <v>22</v>
      </c>
      <c r="M44" s="13">
        <f>F44/V44*60</f>
        <v>1931.7073170731699</v>
      </c>
      <c r="N44" s="13">
        <f t="shared" si="3"/>
        <v>87.804878048780452</v>
      </c>
      <c r="O44" s="14">
        <f t="shared" si="4"/>
        <v>0</v>
      </c>
      <c r="P44" s="15">
        <f t="shared" si="5"/>
        <v>-3.1042128603104544</v>
      </c>
      <c r="Q44" s="91">
        <f t="shared" si="6"/>
        <v>0.965853658536585</v>
      </c>
      <c r="R44" s="177"/>
      <c r="S44" s="21">
        <v>0.25069444444444444</v>
      </c>
      <c r="T44" s="21">
        <v>0.27916666666666667</v>
      </c>
      <c r="U44" s="88">
        <f t="shared" ref="U44:U48" si="38">IF(S44=TIME(17,0,0),"",(S44-T43)*24*60)</f>
        <v>4.9999999999999822</v>
      </c>
      <c r="V44" s="30">
        <f t="shared" si="37"/>
        <v>41.000000000000014</v>
      </c>
      <c r="W44" s="16"/>
      <c r="X44" s="16"/>
      <c r="Y44" s="16"/>
      <c r="Z44" s="16"/>
      <c r="AA44" s="168"/>
      <c r="AB44" s="168"/>
      <c r="AC44" s="18"/>
      <c r="AD44" s="18"/>
      <c r="AE44" s="14">
        <f t="shared" si="8"/>
        <v>-68.292682926830139</v>
      </c>
      <c r="AF44" s="91">
        <f t="shared" si="9"/>
        <v>0.96585365853658489</v>
      </c>
      <c r="AG44" s="177"/>
    </row>
    <row r="45" spans="1:33" ht="15.75" customHeight="1">
      <c r="A45" s="181" t="s">
        <v>275</v>
      </c>
      <c r="B45" s="28" t="s">
        <v>5</v>
      </c>
      <c r="C45" s="170" t="s">
        <v>41</v>
      </c>
      <c r="D45" s="171"/>
      <c r="E45" s="28">
        <v>51.75</v>
      </c>
      <c r="F45" s="29">
        <v>846</v>
      </c>
      <c r="G45" s="88">
        <f t="shared" si="35"/>
        <v>43780.5</v>
      </c>
      <c r="H45" s="30" t="s">
        <v>53</v>
      </c>
      <c r="I45" s="95">
        <v>25</v>
      </c>
      <c r="J45" s="13">
        <v>2000</v>
      </c>
      <c r="K45" s="12">
        <f t="shared" si="1"/>
        <v>80</v>
      </c>
      <c r="L45" s="95">
        <v>25</v>
      </c>
      <c r="M45" s="13">
        <f t="shared" ref="M45:M48" si="39">F45/V45*60</f>
        <v>1952.3076923076933</v>
      </c>
      <c r="N45" s="13">
        <f t="shared" si="3"/>
        <v>78.092307692307728</v>
      </c>
      <c r="O45" s="14">
        <f t="shared" si="4"/>
        <v>0</v>
      </c>
      <c r="P45" s="15">
        <f t="shared" si="5"/>
        <v>-1.9076923076922725</v>
      </c>
      <c r="Q45" s="91">
        <f t="shared" si="6"/>
        <v>0.97615384615384659</v>
      </c>
      <c r="R45" s="177"/>
      <c r="S45" s="21">
        <v>0.28472222222222221</v>
      </c>
      <c r="T45" s="21">
        <v>0.30277777777777776</v>
      </c>
      <c r="U45" s="88">
        <f t="shared" si="38"/>
        <v>7.9999999999999716</v>
      </c>
      <c r="V45" s="30">
        <f t="shared" si="37"/>
        <v>25.999999999999986</v>
      </c>
      <c r="W45" s="16"/>
      <c r="X45" s="16"/>
      <c r="Y45" s="19"/>
      <c r="Z45" s="19"/>
      <c r="AA45" s="168"/>
      <c r="AB45" s="168"/>
      <c r="AC45" s="18"/>
      <c r="AD45" s="18"/>
      <c r="AE45" s="14">
        <f t="shared" si="8"/>
        <v>-47.692307692306713</v>
      </c>
      <c r="AF45" s="91">
        <f t="shared" si="9"/>
        <v>0.97615384615384659</v>
      </c>
      <c r="AG45" s="177"/>
    </row>
    <row r="46" spans="1:33" ht="15.75" customHeight="1">
      <c r="A46" s="181" t="s">
        <v>275</v>
      </c>
      <c r="B46" s="28" t="s">
        <v>5</v>
      </c>
      <c r="C46" s="93" t="s">
        <v>42</v>
      </c>
      <c r="D46" s="94"/>
      <c r="E46" s="28">
        <v>57.73</v>
      </c>
      <c r="F46" s="29">
        <v>1165</v>
      </c>
      <c r="G46" s="88">
        <f t="shared" si="35"/>
        <v>67255.45</v>
      </c>
      <c r="H46" s="30" t="s">
        <v>53</v>
      </c>
      <c r="I46" s="95">
        <v>16</v>
      </c>
      <c r="J46" s="13">
        <v>1500</v>
      </c>
      <c r="K46" s="12">
        <f t="shared" si="1"/>
        <v>93.75</v>
      </c>
      <c r="L46" s="95">
        <v>16</v>
      </c>
      <c r="M46" s="13">
        <f t="shared" si="39"/>
        <v>1426.5306122448985</v>
      </c>
      <c r="N46" s="13">
        <f t="shared" si="3"/>
        <v>89.158163265306158</v>
      </c>
      <c r="O46" s="14">
        <f t="shared" si="4"/>
        <v>0</v>
      </c>
      <c r="P46" s="15">
        <f t="shared" si="5"/>
        <v>-4.5918367346938425</v>
      </c>
      <c r="Q46" s="91">
        <f t="shared" si="6"/>
        <v>0.95102040816326572</v>
      </c>
      <c r="R46" s="177"/>
      <c r="S46" s="21">
        <v>0.70833333333333337</v>
      </c>
      <c r="T46" s="21">
        <v>0.74236111111111114</v>
      </c>
      <c r="U46" s="88" t="str">
        <f t="shared" si="38"/>
        <v/>
      </c>
      <c r="V46" s="30">
        <f t="shared" si="37"/>
        <v>48.999999999999986</v>
      </c>
      <c r="W46" s="16"/>
      <c r="X46" s="16"/>
      <c r="Y46" s="19"/>
      <c r="Z46" s="19"/>
      <c r="AA46" s="168"/>
      <c r="AB46" s="168"/>
      <c r="AC46" s="18"/>
      <c r="AD46" s="18"/>
      <c r="AE46" s="14">
        <f t="shared" si="8"/>
        <v>-73.469387755101479</v>
      </c>
      <c r="AF46" s="91">
        <f t="shared" si="9"/>
        <v>0.95102040816326572</v>
      </c>
      <c r="AG46" s="177"/>
    </row>
    <row r="47" spans="1:33" ht="15.75" customHeight="1">
      <c r="A47" s="181" t="s">
        <v>589</v>
      </c>
      <c r="B47" s="28" t="s">
        <v>5</v>
      </c>
      <c r="C47" s="93" t="s">
        <v>44</v>
      </c>
      <c r="D47" s="94"/>
      <c r="E47" s="28">
        <v>55.56</v>
      </c>
      <c r="F47" s="29">
        <v>1946</v>
      </c>
      <c r="G47" s="88">
        <f t="shared" si="35"/>
        <v>108119.76000000001</v>
      </c>
      <c r="H47" s="30" t="s">
        <v>53</v>
      </c>
      <c r="I47" s="95">
        <v>17</v>
      </c>
      <c r="J47" s="13">
        <v>2000</v>
      </c>
      <c r="K47" s="12">
        <f t="shared" si="1"/>
        <v>117.64705882352941</v>
      </c>
      <c r="L47" s="95">
        <v>17</v>
      </c>
      <c r="M47" s="13">
        <f t="shared" si="39"/>
        <v>1914.0983606557395</v>
      </c>
      <c r="N47" s="13">
        <f t="shared" si="3"/>
        <v>112.5940212150435</v>
      </c>
      <c r="O47" s="14">
        <f t="shared" si="4"/>
        <v>0</v>
      </c>
      <c r="P47" s="15">
        <f t="shared" si="5"/>
        <v>-5.0530376084859085</v>
      </c>
      <c r="Q47" s="91">
        <f t="shared" si="6"/>
        <v>0.95704918032786979</v>
      </c>
      <c r="R47" s="177"/>
      <c r="S47" s="21">
        <v>0.74583333333333335</v>
      </c>
      <c r="T47" s="21">
        <v>0.78819444444444442</v>
      </c>
      <c r="U47" s="88">
        <f t="shared" si="38"/>
        <v>4.9999999999999822</v>
      </c>
      <c r="V47" s="30">
        <f t="shared" si="37"/>
        <v>60.999999999999943</v>
      </c>
      <c r="W47" s="16"/>
      <c r="X47" s="16"/>
      <c r="Y47" s="19"/>
      <c r="Z47" s="19"/>
      <c r="AA47" s="168"/>
      <c r="AB47" s="168"/>
      <c r="AC47" s="18"/>
      <c r="AD47" s="18"/>
      <c r="AE47" s="14">
        <f t="shared" si="8"/>
        <v>-85.901639344260502</v>
      </c>
      <c r="AF47" s="91">
        <f t="shared" si="9"/>
        <v>0.95704918032786979</v>
      </c>
      <c r="AG47" s="177"/>
    </row>
    <row r="48" spans="1:33" ht="15.75" customHeight="1">
      <c r="A48" s="181" t="s">
        <v>275</v>
      </c>
      <c r="B48" s="28" t="s">
        <v>5</v>
      </c>
      <c r="C48" s="170" t="s">
        <v>45</v>
      </c>
      <c r="D48" s="171"/>
      <c r="E48" s="28">
        <v>55.32</v>
      </c>
      <c r="F48" s="29">
        <v>1369</v>
      </c>
      <c r="G48" s="88">
        <f t="shared" si="35"/>
        <v>75733.08</v>
      </c>
      <c r="H48" s="30" t="s">
        <v>53</v>
      </c>
      <c r="I48" s="95">
        <v>15</v>
      </c>
      <c r="J48" s="13">
        <v>2000</v>
      </c>
      <c r="K48" s="12">
        <f t="shared" si="1"/>
        <v>133.33333333333334</v>
      </c>
      <c r="L48" s="95">
        <v>15</v>
      </c>
      <c r="M48" s="13">
        <f t="shared" si="39"/>
        <v>1910.2325581395346</v>
      </c>
      <c r="N48" s="13">
        <f t="shared" si="3"/>
        <v>127.3488372093023</v>
      </c>
      <c r="O48" s="14">
        <f t="shared" si="4"/>
        <v>0</v>
      </c>
      <c r="P48" s="15">
        <f t="shared" si="5"/>
        <v>-5.9844961240310397</v>
      </c>
      <c r="Q48" s="91">
        <f t="shared" si="6"/>
        <v>0.95511627906976726</v>
      </c>
      <c r="R48" s="177"/>
      <c r="S48" s="21">
        <v>0.79236111111111107</v>
      </c>
      <c r="T48" s="21">
        <v>0.82222222222222219</v>
      </c>
      <c r="U48" s="88">
        <f t="shared" si="38"/>
        <v>5.9999999999999787</v>
      </c>
      <c r="V48" s="30">
        <f t="shared" si="37"/>
        <v>43.000000000000007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-89.767441860465397</v>
      </c>
      <c r="AF48" s="91">
        <f t="shared" si="9"/>
        <v>0.95511627906976726</v>
      </c>
      <c r="AG48" s="177"/>
    </row>
    <row r="49" spans="1:33">
      <c r="A49" s="182" t="s">
        <v>275</v>
      </c>
      <c r="B49" s="28" t="s">
        <v>590</v>
      </c>
      <c r="C49" s="178"/>
      <c r="D49" s="178"/>
      <c r="E49" s="92"/>
      <c r="F49" s="12"/>
      <c r="G49" s="12"/>
      <c r="H49" s="88"/>
      <c r="I49" s="23">
        <v>18.666666666666668</v>
      </c>
      <c r="J49" s="13">
        <v>1916.6666666666667</v>
      </c>
      <c r="K49" s="12">
        <f t="shared" si="1"/>
        <v>102.67857142857143</v>
      </c>
      <c r="L49" s="23">
        <v>18.666666666666668</v>
      </c>
      <c r="M49" s="13">
        <f>AVERAGE(M43:M48)</f>
        <v>1841.229423403506</v>
      </c>
      <c r="N49" s="12">
        <f t="shared" si="3"/>
        <v>98.637290539473526</v>
      </c>
      <c r="O49" s="14">
        <f t="shared" si="4"/>
        <v>0</v>
      </c>
      <c r="P49" s="15">
        <f t="shared" si="5"/>
        <v>-4.0412808890979051</v>
      </c>
      <c r="Q49" s="91">
        <f t="shared" si="6"/>
        <v>0.96064143829748128</v>
      </c>
      <c r="R49" s="177"/>
      <c r="S49" s="21"/>
      <c r="T49" s="21"/>
      <c r="U49" s="88"/>
      <c r="V49" s="30"/>
      <c r="W49" s="12"/>
      <c r="X49" s="12"/>
      <c r="Y49" s="24">
        <f>SUM(Y43:Y48)</f>
        <v>0</v>
      </c>
      <c r="Z49" s="24">
        <f>SUM(Z43:Z48)</f>
        <v>0</v>
      </c>
      <c r="AA49" s="167"/>
      <c r="AB49" s="167"/>
      <c r="AC49" s="24">
        <v>6</v>
      </c>
      <c r="AD49" s="24">
        <f>SUM(AD43:AD48)</f>
        <v>0</v>
      </c>
      <c r="AE49" s="14">
        <f>M49-J49</f>
        <v>-75.437243263160781</v>
      </c>
      <c r="AF49" s="91">
        <f t="shared" si="9"/>
        <v>0.96064143829748139</v>
      </c>
      <c r="AG49" s="177"/>
    </row>
    <row r="50" spans="1:33" ht="15.75" customHeight="1">
      <c r="A50" s="179" t="s">
        <v>175</v>
      </c>
      <c r="B50" s="88" t="s">
        <v>33</v>
      </c>
      <c r="C50" s="169" t="s">
        <v>46</v>
      </c>
      <c r="D50" s="169"/>
      <c r="E50" s="28">
        <v>37.85</v>
      </c>
      <c r="F50" s="29">
        <v>1095</v>
      </c>
      <c r="G50" s="88">
        <f t="shared" ref="G50:G54" si="40">E50*F50</f>
        <v>41445.75</v>
      </c>
      <c r="H50" s="30" t="s">
        <v>53</v>
      </c>
      <c r="I50" s="95">
        <v>12</v>
      </c>
      <c r="J50" s="13">
        <v>2000</v>
      </c>
      <c r="K50" s="12">
        <f t="shared" si="1"/>
        <v>166.66666666666666</v>
      </c>
      <c r="L50" s="95">
        <v>12</v>
      </c>
      <c r="M50" s="13">
        <f t="shared" ref="M50:M54" si="41">F50/V50*60</f>
        <v>1932.3529411764705</v>
      </c>
      <c r="N50" s="12">
        <f t="shared" si="3"/>
        <v>161.02941176470588</v>
      </c>
      <c r="O50" s="14">
        <f t="shared" si="4"/>
        <v>0</v>
      </c>
      <c r="P50" s="15">
        <f t="shared" si="5"/>
        <v>-5.6372549019607732</v>
      </c>
      <c r="Q50" s="91">
        <f t="shared" si="6"/>
        <v>0.96617647058823541</v>
      </c>
      <c r="R50" s="177">
        <f>Q55</f>
        <v>0.95875903744873503</v>
      </c>
      <c r="S50" s="21">
        <v>0.20833333333333334</v>
      </c>
      <c r="T50" s="21">
        <v>0.23194444444444445</v>
      </c>
      <c r="U50" s="88"/>
      <c r="V50" s="30">
        <f t="shared" ref="V50:V54" si="42">(T50-S50)*24*60</f>
        <v>34</v>
      </c>
      <c r="W50" s="21"/>
      <c r="X50" s="21"/>
      <c r="Y50" s="21"/>
      <c r="Z50" s="21"/>
      <c r="AA50" s="168"/>
      <c r="AB50" s="168"/>
      <c r="AC50" s="18">
        <v>5</v>
      </c>
      <c r="AD50" s="18"/>
      <c r="AE50" s="14">
        <f t="shared" ref="AE50:AE61" si="43">M50-J50</f>
        <v>-67.647058823529505</v>
      </c>
      <c r="AF50" s="91">
        <f t="shared" si="9"/>
        <v>0.96617647058823519</v>
      </c>
      <c r="AG50" s="177">
        <f>AF55</f>
        <v>0.95875903744873492</v>
      </c>
    </row>
    <row r="51" spans="1:33" ht="15.75" customHeight="1">
      <c r="A51" s="179" t="s">
        <v>175</v>
      </c>
      <c r="B51" s="88" t="s">
        <v>33</v>
      </c>
      <c r="C51" s="169" t="s">
        <v>47</v>
      </c>
      <c r="D51" s="169"/>
      <c r="E51" s="28">
        <v>34.36</v>
      </c>
      <c r="F51" s="29">
        <v>1670</v>
      </c>
      <c r="G51" s="88">
        <f t="shared" si="40"/>
        <v>57381.2</v>
      </c>
      <c r="H51" s="30" t="s">
        <v>53</v>
      </c>
      <c r="I51" s="95">
        <v>10</v>
      </c>
      <c r="J51" s="13">
        <v>3000</v>
      </c>
      <c r="K51" s="12">
        <f t="shared" si="1"/>
        <v>300</v>
      </c>
      <c r="L51" s="95">
        <v>10</v>
      </c>
      <c r="M51" s="13">
        <f t="shared" si="41"/>
        <v>2862.8571428571431</v>
      </c>
      <c r="N51" s="12">
        <f t="shared" si="3"/>
        <v>286.28571428571433</v>
      </c>
      <c r="O51" s="14">
        <f t="shared" si="4"/>
        <v>0</v>
      </c>
      <c r="P51" s="15">
        <f t="shared" si="5"/>
        <v>-13.714285714285666</v>
      </c>
      <c r="Q51" s="91">
        <f t="shared" si="6"/>
        <v>0.9542857142857144</v>
      </c>
      <c r="R51" s="177"/>
      <c r="S51" s="21">
        <v>0.23750000000000002</v>
      </c>
      <c r="T51" s="21">
        <v>0.26180555555555557</v>
      </c>
      <c r="U51" s="88">
        <f t="shared" ref="U51:U54" si="44">(S51-T50)*24*60</f>
        <v>8.0000000000000107</v>
      </c>
      <c r="V51" s="30">
        <f t="shared" si="42"/>
        <v>34.999999999999993</v>
      </c>
      <c r="W51" s="88"/>
      <c r="X51" s="88"/>
      <c r="Y51" s="88"/>
      <c r="Z51" s="88"/>
      <c r="AA51" s="168"/>
      <c r="AB51" s="168"/>
      <c r="AC51" s="18"/>
      <c r="AD51" s="18"/>
      <c r="AE51" s="14">
        <f t="shared" si="43"/>
        <v>-137.14285714285688</v>
      </c>
      <c r="AF51" s="91">
        <f t="shared" si="9"/>
        <v>0.9542857142857144</v>
      </c>
      <c r="AG51" s="177"/>
    </row>
    <row r="52" spans="1:33" ht="15.75" customHeight="1">
      <c r="A52" s="179" t="s">
        <v>175</v>
      </c>
      <c r="B52" s="88" t="s">
        <v>33</v>
      </c>
      <c r="C52" s="169" t="s">
        <v>48</v>
      </c>
      <c r="D52" s="169"/>
      <c r="E52" s="28">
        <v>35.119999999999997</v>
      </c>
      <c r="F52" s="29">
        <v>4810</v>
      </c>
      <c r="G52" s="88">
        <f t="shared" si="40"/>
        <v>168927.19999999998</v>
      </c>
      <c r="H52" s="30" t="s">
        <v>53</v>
      </c>
      <c r="I52" s="95">
        <v>10</v>
      </c>
      <c r="J52" s="13">
        <v>3000</v>
      </c>
      <c r="K52" s="12">
        <f t="shared" si="1"/>
        <v>300</v>
      </c>
      <c r="L52" s="95">
        <v>10</v>
      </c>
      <c r="M52" s="13">
        <f t="shared" si="41"/>
        <v>2857.4257425742562</v>
      </c>
      <c r="N52" s="12">
        <f t="shared" si="3"/>
        <v>285.74257425742564</v>
      </c>
      <c r="O52" s="14">
        <f t="shared" si="4"/>
        <v>0</v>
      </c>
      <c r="P52" s="15">
        <f t="shared" si="5"/>
        <v>-14.257425742574355</v>
      </c>
      <c r="Q52" s="91">
        <f t="shared" si="6"/>
        <v>0.9524752475247521</v>
      </c>
      <c r="R52" s="177"/>
      <c r="S52" s="21">
        <v>0.26527777777777778</v>
      </c>
      <c r="T52" s="21">
        <v>0.3354166666666667</v>
      </c>
      <c r="U52" s="88">
        <f t="shared" si="44"/>
        <v>4.9999999999999822</v>
      </c>
      <c r="V52" s="30">
        <f t="shared" si="42"/>
        <v>101.00000000000004</v>
      </c>
      <c r="W52" s="88"/>
      <c r="X52" s="88"/>
      <c r="Y52" s="88"/>
      <c r="Z52" s="88"/>
      <c r="AA52" s="168"/>
      <c r="AB52" s="168"/>
      <c r="AC52" s="18"/>
      <c r="AD52" s="18"/>
      <c r="AE52" s="14">
        <f t="shared" si="43"/>
        <v>-142.57425742574378</v>
      </c>
      <c r="AF52" s="91">
        <f t="shared" si="9"/>
        <v>0.9524752475247521</v>
      </c>
      <c r="AG52" s="177"/>
    </row>
    <row r="53" spans="1:33" ht="15.75" customHeight="1">
      <c r="A53" s="179" t="s">
        <v>175</v>
      </c>
      <c r="B53" s="88" t="s">
        <v>33</v>
      </c>
      <c r="C53" s="169" t="s">
        <v>34</v>
      </c>
      <c r="D53" s="169"/>
      <c r="E53" s="28">
        <v>34.36</v>
      </c>
      <c r="F53" s="29">
        <v>1203</v>
      </c>
      <c r="G53" s="88">
        <f t="shared" si="40"/>
        <v>41335.08</v>
      </c>
      <c r="H53" s="30" t="s">
        <v>53</v>
      </c>
      <c r="I53" s="95">
        <v>10</v>
      </c>
      <c r="J53" s="13">
        <v>3000</v>
      </c>
      <c r="K53" s="12">
        <f t="shared" si="1"/>
        <v>300</v>
      </c>
      <c r="L53" s="95">
        <v>10</v>
      </c>
      <c r="M53" s="13">
        <f t="shared" si="41"/>
        <v>2887.2000000000007</v>
      </c>
      <c r="N53" s="12">
        <f t="shared" si="3"/>
        <v>288.72000000000008</v>
      </c>
      <c r="O53" s="14">
        <f t="shared" si="4"/>
        <v>0</v>
      </c>
      <c r="P53" s="15">
        <f t="shared" si="5"/>
        <v>-11.279999999999916</v>
      </c>
      <c r="Q53" s="91">
        <f t="shared" si="6"/>
        <v>0.96240000000000026</v>
      </c>
      <c r="R53" s="177"/>
      <c r="S53" s="21">
        <v>0.33958333333333335</v>
      </c>
      <c r="T53" s="21">
        <v>0.35694444444444445</v>
      </c>
      <c r="U53" s="88">
        <f t="shared" si="44"/>
        <v>5.9999999999999787</v>
      </c>
      <c r="V53" s="30">
        <f t="shared" si="42"/>
        <v>24.999999999999993</v>
      </c>
      <c r="W53" s="88"/>
      <c r="X53" s="88"/>
      <c r="Y53" s="88"/>
      <c r="Z53" s="88"/>
      <c r="AA53" s="168"/>
      <c r="AB53" s="168"/>
      <c r="AC53" s="18"/>
      <c r="AD53" s="18"/>
      <c r="AE53" s="14">
        <f t="shared" si="43"/>
        <v>-112.79999999999927</v>
      </c>
      <c r="AF53" s="91">
        <f t="shared" si="9"/>
        <v>0.96240000000000026</v>
      </c>
      <c r="AG53" s="177"/>
    </row>
    <row r="54" spans="1:33">
      <c r="A54" s="180" t="s">
        <v>175</v>
      </c>
      <c r="B54" s="88" t="s">
        <v>33</v>
      </c>
      <c r="C54" s="169" t="s">
        <v>35</v>
      </c>
      <c r="D54" s="169"/>
      <c r="E54" s="28">
        <v>26.78</v>
      </c>
      <c r="F54" s="29">
        <v>2066</v>
      </c>
      <c r="G54" s="88">
        <f t="shared" si="40"/>
        <v>55327.48</v>
      </c>
      <c r="H54" s="30" t="s">
        <v>53</v>
      </c>
      <c r="I54" s="95">
        <v>10</v>
      </c>
      <c r="J54" s="13">
        <v>3000</v>
      </c>
      <c r="K54" s="12">
        <f t="shared" si="1"/>
        <v>300</v>
      </c>
      <c r="L54" s="95">
        <v>10</v>
      </c>
      <c r="M54" s="13">
        <f t="shared" si="41"/>
        <v>2882.790697674418</v>
      </c>
      <c r="N54" s="12">
        <f t="shared" si="3"/>
        <v>288.2790697674418</v>
      </c>
      <c r="O54" s="14">
        <f t="shared" si="4"/>
        <v>0</v>
      </c>
      <c r="P54" s="15">
        <f t="shared" si="5"/>
        <v>-11.720930232558203</v>
      </c>
      <c r="Q54" s="91">
        <f t="shared" si="6"/>
        <v>0.96093023255813936</v>
      </c>
      <c r="R54" s="177"/>
      <c r="S54" s="21">
        <v>0.36180555555555555</v>
      </c>
      <c r="T54" s="21">
        <v>0.39166666666666666</v>
      </c>
      <c r="U54" s="88">
        <f t="shared" si="44"/>
        <v>6.9999999999999751</v>
      </c>
      <c r="V54" s="30">
        <f t="shared" si="42"/>
        <v>43.000000000000007</v>
      </c>
      <c r="W54" s="16"/>
      <c r="X54" s="16"/>
      <c r="Y54" s="16"/>
      <c r="Z54" s="16"/>
      <c r="AA54" s="168"/>
      <c r="AB54" s="168"/>
      <c r="AC54" s="18"/>
      <c r="AD54" s="18"/>
      <c r="AE54" s="14">
        <f t="shared" si="43"/>
        <v>-117.20930232558203</v>
      </c>
      <c r="AF54" s="91">
        <f t="shared" si="9"/>
        <v>0.96093023255813936</v>
      </c>
      <c r="AG54" s="177"/>
    </row>
    <row r="55" spans="1:33">
      <c r="A55" s="180" t="s">
        <v>175</v>
      </c>
      <c r="B55" s="28" t="s">
        <v>591</v>
      </c>
      <c r="C55" s="178"/>
      <c r="D55" s="178"/>
      <c r="E55" s="92"/>
      <c r="F55" s="12"/>
      <c r="G55" s="12"/>
      <c r="H55" s="88"/>
      <c r="I55" s="23">
        <v>10.4</v>
      </c>
      <c r="J55" s="13">
        <v>2800</v>
      </c>
      <c r="K55" s="12">
        <f t="shared" si="1"/>
        <v>269.23076923076923</v>
      </c>
      <c r="L55" s="23">
        <v>10.4</v>
      </c>
      <c r="M55" s="13">
        <f>AVERAGE(M50:M54)</f>
        <v>2684.5253048564578</v>
      </c>
      <c r="N55" s="12">
        <f t="shared" si="3"/>
        <v>258.1274331592748</v>
      </c>
      <c r="O55" s="14">
        <f t="shared" si="4"/>
        <v>0</v>
      </c>
      <c r="P55" s="15">
        <f t="shared" si="5"/>
        <v>-11.103336071494425</v>
      </c>
      <c r="Q55" s="91">
        <f t="shared" si="6"/>
        <v>0.95875903744873503</v>
      </c>
      <c r="R55" s="177"/>
      <c r="S55" s="21"/>
      <c r="T55" s="21"/>
      <c r="U55" s="12"/>
      <c r="V55" s="30"/>
      <c r="W55" s="12"/>
      <c r="X55" s="12"/>
      <c r="Y55" s="24">
        <f>SUM(Y50:Y54)</f>
        <v>0</v>
      </c>
      <c r="Z55" s="24">
        <f>SUM(Z50:Z54)</f>
        <v>0</v>
      </c>
      <c r="AA55" s="167"/>
      <c r="AB55" s="167"/>
      <c r="AC55" s="24">
        <v>5</v>
      </c>
      <c r="AD55" s="24">
        <f>SUM(AD50:AD54)</f>
        <v>0</v>
      </c>
      <c r="AE55" s="14">
        <f t="shared" si="43"/>
        <v>-115.47469514354225</v>
      </c>
      <c r="AF55" s="91">
        <f t="shared" si="9"/>
        <v>0.95875903744873492</v>
      </c>
      <c r="AG55" s="177"/>
    </row>
    <row r="56" spans="1:33" ht="15.75" customHeight="1">
      <c r="A56" s="174" t="s">
        <v>281</v>
      </c>
      <c r="B56" s="88" t="s">
        <v>22</v>
      </c>
      <c r="C56" s="169" t="s">
        <v>49</v>
      </c>
      <c r="D56" s="169"/>
      <c r="E56" s="28">
        <v>20.2</v>
      </c>
      <c r="F56" s="88">
        <v>1677</v>
      </c>
      <c r="G56" s="88">
        <f t="shared" ref="G56:G60" si="45">E56*F56</f>
        <v>33875.4</v>
      </c>
      <c r="H56" s="30" t="s">
        <v>53</v>
      </c>
      <c r="I56" s="95">
        <v>15</v>
      </c>
      <c r="J56" s="13">
        <v>2400</v>
      </c>
      <c r="K56" s="12">
        <f t="shared" si="1"/>
        <v>160</v>
      </c>
      <c r="L56" s="95">
        <v>15</v>
      </c>
      <c r="M56" s="13">
        <f t="shared" ref="M56:M60" si="46">F56/V56*60</f>
        <v>2286.818181818182</v>
      </c>
      <c r="N56" s="12">
        <f t="shared" si="3"/>
        <v>152.45454545454547</v>
      </c>
      <c r="O56" s="14">
        <f t="shared" si="4"/>
        <v>0</v>
      </c>
      <c r="P56" s="15">
        <f t="shared" si="5"/>
        <v>-7.5454545454545325</v>
      </c>
      <c r="Q56" s="91">
        <f t="shared" si="6"/>
        <v>0.95284090909090913</v>
      </c>
      <c r="R56" s="177">
        <f>Q61</f>
        <v>0.9555830982512189</v>
      </c>
      <c r="S56" s="21">
        <v>8.3333333333333329E-2</v>
      </c>
      <c r="T56" s="21">
        <v>0.11388888888888889</v>
      </c>
      <c r="U56" s="21"/>
      <c r="V56" s="30">
        <f t="shared" ref="V56:V60" si="47">(T56-S56)*24*60</f>
        <v>44</v>
      </c>
      <c r="W56" s="16">
        <f>T56</f>
        <v>0.11388888888888889</v>
      </c>
      <c r="X56" s="16">
        <f>S57</f>
        <v>0.13194444444444445</v>
      </c>
      <c r="Y56" s="16"/>
      <c r="Z56" s="16"/>
      <c r="AA56" s="168"/>
      <c r="AB56" s="168"/>
      <c r="AC56" s="18">
        <v>5</v>
      </c>
      <c r="AD56" s="18"/>
      <c r="AE56" s="14">
        <f t="shared" si="43"/>
        <v>-113.18181818181802</v>
      </c>
      <c r="AF56" s="91">
        <f t="shared" si="9"/>
        <v>0.95284090909090913</v>
      </c>
      <c r="AG56" s="177">
        <f>AF61</f>
        <v>0.9555830982512189</v>
      </c>
    </row>
    <row r="57" spans="1:33" ht="15.75" customHeight="1">
      <c r="A57" s="175" t="s">
        <v>592</v>
      </c>
      <c r="B57" s="88" t="s">
        <v>22</v>
      </c>
      <c r="C57" s="169" t="s">
        <v>50</v>
      </c>
      <c r="D57" s="169"/>
      <c r="E57" s="28">
        <v>24.45</v>
      </c>
      <c r="F57" s="88">
        <v>2077</v>
      </c>
      <c r="G57" s="88">
        <f t="shared" si="45"/>
        <v>50782.65</v>
      </c>
      <c r="H57" s="30" t="s">
        <v>53</v>
      </c>
      <c r="I57" s="95">
        <v>19</v>
      </c>
      <c r="J57" s="13">
        <v>2400</v>
      </c>
      <c r="K57" s="12">
        <f t="shared" si="1"/>
        <v>126.31578947368421</v>
      </c>
      <c r="L57" s="95">
        <v>19</v>
      </c>
      <c r="M57" s="13">
        <f t="shared" si="46"/>
        <v>2307.7777777777774</v>
      </c>
      <c r="N57" s="12">
        <f t="shared" si="3"/>
        <v>121.46198830409355</v>
      </c>
      <c r="O57" s="14">
        <f t="shared" si="4"/>
        <v>0</v>
      </c>
      <c r="P57" s="15">
        <f t="shared" si="5"/>
        <v>-4.8538011695906533</v>
      </c>
      <c r="Q57" s="91">
        <f t="shared" si="6"/>
        <v>0.96157407407407403</v>
      </c>
      <c r="R57" s="177"/>
      <c r="S57" s="21">
        <v>0.13194444444444445</v>
      </c>
      <c r="T57" s="21">
        <v>0.16944444444444445</v>
      </c>
      <c r="U57" s="88">
        <f t="shared" ref="U57:U60" si="48">(S57-T56)*24*60</f>
        <v>26.000000000000007</v>
      </c>
      <c r="V57" s="30">
        <f t="shared" si="47"/>
        <v>54.000000000000007</v>
      </c>
      <c r="W57" s="16"/>
      <c r="X57" s="16"/>
      <c r="Y57" s="16"/>
      <c r="Z57" s="16"/>
      <c r="AA57" s="168"/>
      <c r="AB57" s="168"/>
      <c r="AC57" s="18"/>
      <c r="AD57" s="18"/>
      <c r="AE57" s="14">
        <f t="shared" si="43"/>
        <v>-92.222222222222626</v>
      </c>
      <c r="AF57" s="91">
        <f t="shared" si="9"/>
        <v>0.96157407407407391</v>
      </c>
      <c r="AG57" s="177"/>
    </row>
    <row r="58" spans="1:33" ht="15.75" customHeight="1">
      <c r="A58" s="175" t="s">
        <v>281</v>
      </c>
      <c r="B58" s="88" t="s">
        <v>22</v>
      </c>
      <c r="C58" s="169" t="s">
        <v>31</v>
      </c>
      <c r="D58" s="169"/>
      <c r="E58" s="28">
        <v>20.21</v>
      </c>
      <c r="F58" s="88">
        <v>2261</v>
      </c>
      <c r="G58" s="88">
        <f t="shared" si="45"/>
        <v>45694.810000000005</v>
      </c>
      <c r="H58" s="30" t="s">
        <v>53</v>
      </c>
      <c r="I58" s="95">
        <v>15</v>
      </c>
      <c r="J58" s="13">
        <v>2400</v>
      </c>
      <c r="K58" s="12">
        <f t="shared" si="1"/>
        <v>160</v>
      </c>
      <c r="L58" s="95">
        <v>15</v>
      </c>
      <c r="M58" s="13">
        <f t="shared" si="46"/>
        <v>2299.3220338983051</v>
      </c>
      <c r="N58" s="12">
        <f t="shared" si="3"/>
        <v>153.28813559322035</v>
      </c>
      <c r="O58" s="14">
        <f t="shared" si="4"/>
        <v>0</v>
      </c>
      <c r="P58" s="15">
        <f t="shared" si="5"/>
        <v>-6.7118644067796538</v>
      </c>
      <c r="Q58" s="91">
        <f t="shared" si="6"/>
        <v>0.95805084745762714</v>
      </c>
      <c r="R58" s="177"/>
      <c r="S58" s="21">
        <v>0.17361111111111113</v>
      </c>
      <c r="T58" s="21">
        <v>0.21458333333333335</v>
      </c>
      <c r="U58" s="88">
        <f t="shared" si="48"/>
        <v>6.0000000000000187</v>
      </c>
      <c r="V58" s="30">
        <f t="shared" si="47"/>
        <v>58.999999999999993</v>
      </c>
      <c r="W58" s="16"/>
      <c r="X58" s="16"/>
      <c r="Y58" s="16"/>
      <c r="Z58" s="16"/>
      <c r="AA58" s="168"/>
      <c r="AB58" s="168"/>
      <c r="AC58" s="18"/>
      <c r="AD58" s="18"/>
      <c r="AE58" s="14">
        <f t="shared" si="43"/>
        <v>-100.67796610169489</v>
      </c>
      <c r="AF58" s="91">
        <f t="shared" si="9"/>
        <v>0.95805084745762714</v>
      </c>
      <c r="AG58" s="177"/>
    </row>
    <row r="59" spans="1:33" ht="15.75" customHeight="1">
      <c r="A59" s="175" t="s">
        <v>593</v>
      </c>
      <c r="B59" s="88" t="s">
        <v>22</v>
      </c>
      <c r="C59" s="169" t="s">
        <v>51</v>
      </c>
      <c r="D59" s="169"/>
      <c r="E59" s="28">
        <v>24.43</v>
      </c>
      <c r="F59" s="88">
        <v>5183</v>
      </c>
      <c r="G59" s="88">
        <f t="shared" si="45"/>
        <v>126620.69</v>
      </c>
      <c r="H59" s="30" t="s">
        <v>53</v>
      </c>
      <c r="I59" s="95">
        <v>14</v>
      </c>
      <c r="J59" s="13">
        <v>2400</v>
      </c>
      <c r="K59" s="12">
        <f t="shared" si="1"/>
        <v>171.42857142857142</v>
      </c>
      <c r="L59" s="95">
        <v>14</v>
      </c>
      <c r="M59" s="13">
        <f t="shared" si="46"/>
        <v>2286.6176470588243</v>
      </c>
      <c r="N59" s="12">
        <f t="shared" si="3"/>
        <v>163.32983193277317</v>
      </c>
      <c r="O59" s="14">
        <f t="shared" si="4"/>
        <v>0</v>
      </c>
      <c r="P59" s="15">
        <f t="shared" si="5"/>
        <v>-8.0987394957982417</v>
      </c>
      <c r="Q59" s="91">
        <f t="shared" si="6"/>
        <v>0.95275735294117692</v>
      </c>
      <c r="R59" s="177"/>
      <c r="S59" s="21">
        <v>0.22013888888888891</v>
      </c>
      <c r="T59" s="21">
        <v>0.31458333333333333</v>
      </c>
      <c r="U59" s="88">
        <f t="shared" si="48"/>
        <v>8.0000000000000107</v>
      </c>
      <c r="V59" s="30">
        <f t="shared" si="47"/>
        <v>135.99999999999994</v>
      </c>
      <c r="W59" s="16"/>
      <c r="X59" s="16"/>
      <c r="Y59" s="16"/>
      <c r="Z59" s="16"/>
      <c r="AA59" s="168"/>
      <c r="AB59" s="168"/>
      <c r="AC59" s="18"/>
      <c r="AD59" s="18"/>
      <c r="AE59" s="14">
        <f t="shared" si="43"/>
        <v>-113.38235294117567</v>
      </c>
      <c r="AF59" s="91">
        <f t="shared" si="9"/>
        <v>0.9527573529411768</v>
      </c>
      <c r="AG59" s="177"/>
    </row>
    <row r="60" spans="1:33" ht="15.75" customHeight="1">
      <c r="A60" s="175" t="s">
        <v>281</v>
      </c>
      <c r="B60" s="88" t="s">
        <v>22</v>
      </c>
      <c r="C60" s="169" t="s">
        <v>52</v>
      </c>
      <c r="D60" s="169"/>
      <c r="E60" s="28">
        <v>19.02</v>
      </c>
      <c r="F60" s="88">
        <v>7431</v>
      </c>
      <c r="G60" s="88">
        <f t="shared" si="45"/>
        <v>141337.62</v>
      </c>
      <c r="H60" s="30" t="s">
        <v>53</v>
      </c>
      <c r="I60" s="95">
        <v>14</v>
      </c>
      <c r="J60" s="13">
        <v>2400</v>
      </c>
      <c r="K60" s="12">
        <f t="shared" si="1"/>
        <v>171.42857142857142</v>
      </c>
      <c r="L60" s="95">
        <v>14</v>
      </c>
      <c r="M60" s="13">
        <f t="shared" si="46"/>
        <v>2286.461538461539</v>
      </c>
      <c r="N60" s="12">
        <f t="shared" si="3"/>
        <v>163.31868131868137</v>
      </c>
      <c r="O60" s="14">
        <f t="shared" si="4"/>
        <v>0</v>
      </c>
      <c r="P60" s="15">
        <f t="shared" si="5"/>
        <v>-8.1098901098900456</v>
      </c>
      <c r="Q60" s="91">
        <f t="shared" si="6"/>
        <v>0.95269230769230806</v>
      </c>
      <c r="R60" s="177"/>
      <c r="S60" s="21">
        <v>0.31805555555555554</v>
      </c>
      <c r="T60" s="21">
        <v>0.45347222222222217</v>
      </c>
      <c r="U60" s="88">
        <f t="shared" si="48"/>
        <v>4.9999999999999822</v>
      </c>
      <c r="V60" s="30">
        <f t="shared" si="47"/>
        <v>194.99999999999994</v>
      </c>
      <c r="W60" s="16"/>
      <c r="X60" s="16"/>
      <c r="Y60" s="16"/>
      <c r="Z60" s="16"/>
      <c r="AA60" s="168"/>
      <c r="AB60" s="168"/>
      <c r="AC60" s="18"/>
      <c r="AD60" s="18"/>
      <c r="AE60" s="14">
        <f t="shared" si="43"/>
        <v>-113.53846153846098</v>
      </c>
      <c r="AF60" s="91">
        <f t="shared" si="9"/>
        <v>0.95269230769230795</v>
      </c>
      <c r="AG60" s="177"/>
    </row>
    <row r="61" spans="1:33" ht="16.5" customHeight="1">
      <c r="A61" s="176" t="s">
        <v>281</v>
      </c>
      <c r="B61" s="28" t="s">
        <v>594</v>
      </c>
      <c r="C61" s="165"/>
      <c r="D61" s="166"/>
      <c r="E61" s="92"/>
      <c r="F61" s="12"/>
      <c r="G61" s="12"/>
      <c r="H61" s="88"/>
      <c r="I61" s="23">
        <v>15.4</v>
      </c>
      <c r="J61" s="13">
        <v>2400</v>
      </c>
      <c r="K61" s="12">
        <f t="shared" si="1"/>
        <v>155.84415584415584</v>
      </c>
      <c r="L61" s="23">
        <v>15.4</v>
      </c>
      <c r="M61" s="13">
        <f>AVERAGE(M56:M60)</f>
        <v>2293.3994358029254</v>
      </c>
      <c r="N61" s="12">
        <f t="shared" si="3"/>
        <v>148.92204128590424</v>
      </c>
      <c r="O61" s="14">
        <f t="shared" si="4"/>
        <v>0</v>
      </c>
      <c r="P61" s="15">
        <f t="shared" si="5"/>
        <v>-6.9221145582515931</v>
      </c>
      <c r="Q61" s="91">
        <f t="shared" si="6"/>
        <v>0.9555830982512189</v>
      </c>
      <c r="R61" s="177"/>
      <c r="S61" s="21"/>
      <c r="T61" s="21"/>
      <c r="U61" s="12"/>
      <c r="V61" s="30"/>
      <c r="W61" s="12"/>
      <c r="X61" s="12"/>
      <c r="Y61" s="24">
        <f>SUM(Y56:Y60)</f>
        <v>0</v>
      </c>
      <c r="Z61" s="24">
        <f>SUM(Z56:Z60)</f>
        <v>0</v>
      </c>
      <c r="AA61" s="167"/>
      <c r="AB61" s="167"/>
      <c r="AC61" s="24">
        <v>5</v>
      </c>
      <c r="AD61" s="24">
        <f>SUM(AD56:AD60)</f>
        <v>0</v>
      </c>
      <c r="AE61" s="14">
        <f t="shared" si="43"/>
        <v>-106.60056419707462</v>
      </c>
      <c r="AF61" s="91">
        <f t="shared" si="9"/>
        <v>0.9555830982512189</v>
      </c>
      <c r="AG61" s="177"/>
    </row>
    <row r="62" spans="1:33">
      <c r="D62" s="87"/>
      <c r="E62" s="87"/>
    </row>
  </sheetData>
  <mergeCells count="175">
    <mergeCell ref="AG56:AG61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56:A61"/>
    <mergeCell ref="C56:D56"/>
    <mergeCell ref="R56:R61"/>
    <mergeCell ref="AA56:AB56"/>
    <mergeCell ref="AA61:AB61"/>
    <mergeCell ref="A50:A55"/>
    <mergeCell ref="C50:D50"/>
    <mergeCell ref="R50:R55"/>
    <mergeCell ref="AA50:AB50"/>
    <mergeCell ref="AG50:AG55"/>
    <mergeCell ref="C51:D51"/>
    <mergeCell ref="AA51:AB51"/>
    <mergeCell ref="C52:D52"/>
    <mergeCell ref="AA52:AB52"/>
    <mergeCell ref="C53:D53"/>
    <mergeCell ref="AG43:AG49"/>
    <mergeCell ref="C44:D44"/>
    <mergeCell ref="AA44:AB44"/>
    <mergeCell ref="C45:D45"/>
    <mergeCell ref="AA45:AB45"/>
    <mergeCell ref="AA46:AB46"/>
    <mergeCell ref="AA47:AB47"/>
    <mergeCell ref="C48:D48"/>
    <mergeCell ref="AA48:AB48"/>
    <mergeCell ref="C49:D49"/>
    <mergeCell ref="AA53:AB53"/>
    <mergeCell ref="C54:D54"/>
    <mergeCell ref="AA54:AB54"/>
    <mergeCell ref="C55:D55"/>
    <mergeCell ref="AA55:AB55"/>
    <mergeCell ref="A43:A49"/>
    <mergeCell ref="C43:D43"/>
    <mergeCell ref="R43:R49"/>
    <mergeCell ref="AA43:AB43"/>
    <mergeCell ref="AA49:AB49"/>
    <mergeCell ref="A37:A42"/>
    <mergeCell ref="C37:D37"/>
    <mergeCell ref="R37:R42"/>
    <mergeCell ref="AA37:AB37"/>
    <mergeCell ref="AG37:AG42"/>
    <mergeCell ref="C38:D38"/>
    <mergeCell ref="AA38:AB38"/>
    <mergeCell ref="C39:D39"/>
    <mergeCell ref="AA39:AB39"/>
    <mergeCell ref="C40:D40"/>
    <mergeCell ref="AG31:AG36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40:AB40"/>
    <mergeCell ref="C41:D41"/>
    <mergeCell ref="AA41:AB41"/>
    <mergeCell ref="C42:D42"/>
    <mergeCell ref="AA42:AB42"/>
    <mergeCell ref="A31:A36"/>
    <mergeCell ref="C31:D31"/>
    <mergeCell ref="R31:R36"/>
    <mergeCell ref="AA31:AB31"/>
    <mergeCell ref="AA36:AB36"/>
    <mergeCell ref="A25:A30"/>
    <mergeCell ref="C25:D25"/>
    <mergeCell ref="R25:R30"/>
    <mergeCell ref="AA25:AB25"/>
    <mergeCell ref="AG25:AG30"/>
    <mergeCell ref="C26:D26"/>
    <mergeCell ref="AA26:AB26"/>
    <mergeCell ref="C27:D27"/>
    <mergeCell ref="AA27:AB27"/>
    <mergeCell ref="C28:D28"/>
    <mergeCell ref="AG18:AG24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A28:AB28"/>
    <mergeCell ref="C29:D29"/>
    <mergeCell ref="AA29:AB29"/>
    <mergeCell ref="C30:D30"/>
    <mergeCell ref="AA30:AB30"/>
    <mergeCell ref="A18:A24"/>
    <mergeCell ref="C18:D18"/>
    <mergeCell ref="R18:R24"/>
    <mergeCell ref="AA18:AB18"/>
    <mergeCell ref="AA23:AB23"/>
    <mergeCell ref="C24:D24"/>
    <mergeCell ref="AA24:AB24"/>
    <mergeCell ref="A13:A17"/>
    <mergeCell ref="C13:D13"/>
    <mergeCell ref="R13:R17"/>
    <mergeCell ref="AA13:AB13"/>
    <mergeCell ref="AG13:AG17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:O61">
    <cfRule type="cellIs" dxfId="38" priority="9" operator="greaterThan">
      <formula>0</formula>
    </cfRule>
  </conditionalFormatting>
  <conditionalFormatting sqref="P5:P61">
    <cfRule type="cellIs" dxfId="37" priority="1" operator="lessThan">
      <formula>0</formula>
    </cfRule>
  </conditionalFormatting>
  <conditionalFormatting sqref="Q5:Q61 AF5:AF61">
    <cfRule type="cellIs" dxfId="36" priority="10" operator="greaterThan">
      <formula>1</formula>
    </cfRule>
    <cfRule type="cellIs" dxfId="35" priority="11" operator="lessThan">
      <formula>0.8</formula>
    </cfRule>
  </conditionalFormatting>
  <conditionalFormatting sqref="R5:R10 AG5:AG10">
    <cfRule type="cellIs" dxfId="34" priority="37" operator="lessThan">
      <formula>0.8</formula>
    </cfRule>
  </conditionalFormatting>
  <conditionalFormatting sqref="AE5:AE61">
    <cfRule type="cellIs" dxfId="33" priority="12" operator="lessThan">
      <formula>0</formula>
    </cfRule>
  </conditionalFormatting>
  <conditionalFormatting sqref="AG13:AG53 R13:R61">
    <cfRule type="cellIs" dxfId="32" priority="13" operator="lessThan">
      <formula>0.8</formula>
    </cfRule>
  </conditionalFormatting>
  <dataValidations count="1">
    <dataValidation type="list" allowBlank="1" showInputMessage="1" showErrorMessage="1" sqref="AB9 AA5:AB8 AB54 AB11:AB50 AA9:AA54 AA55:AB61" xr:uid="{00000000-0002-0000-33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1:Q32"/>
  <sheetViews>
    <sheetView topLeftCell="B1" zoomScale="85" zoomScaleNormal="85" workbookViewId="0">
      <selection activeCell="G7" sqref="G7:H7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378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379</v>
      </c>
      <c r="C3" s="154" t="str">
        <f>TEXT('0404 4度C'!A2,"yyyy.mm.ddaaaa")</f>
        <v>2026.04.04星期六</v>
      </c>
      <c r="D3" s="155"/>
      <c r="E3" s="33" t="s">
        <v>380</v>
      </c>
      <c r="F3" s="156">
        <f>'0404 4度C'!D1</f>
        <v>115913</v>
      </c>
      <c r="G3" s="157"/>
      <c r="H3" s="33" t="s">
        <v>381</v>
      </c>
      <c r="I3" s="158">
        <f>'0404 4度C'!F1</f>
        <v>3938283.0099999988</v>
      </c>
      <c r="J3" s="159"/>
      <c r="K3" s="34"/>
      <c r="L3" s="35"/>
      <c r="M3" s="35"/>
      <c r="N3" s="35"/>
    </row>
    <row r="4" spans="2:17" ht="28.5" customHeight="1">
      <c r="B4" s="160" t="s">
        <v>382</v>
      </c>
      <c r="C4" s="146" t="s">
        <v>383</v>
      </c>
      <c r="D4" s="147"/>
      <c r="E4" s="163" t="s">
        <v>384</v>
      </c>
      <c r="F4" s="164"/>
      <c r="G4" s="163" t="s">
        <v>385</v>
      </c>
      <c r="H4" s="164"/>
      <c r="I4" s="163" t="s">
        <v>386</v>
      </c>
      <c r="J4" s="164"/>
      <c r="K4" s="144" t="s">
        <v>387</v>
      </c>
      <c r="L4" s="145"/>
      <c r="M4" s="145" t="s">
        <v>388</v>
      </c>
      <c r="N4" s="145"/>
    </row>
    <row r="5" spans="2:17" ht="28.5" customHeight="1">
      <c r="B5" s="161"/>
      <c r="C5" s="146" t="s">
        <v>389</v>
      </c>
      <c r="D5" s="147"/>
      <c r="E5" s="146" t="s">
        <v>390</v>
      </c>
      <c r="F5" s="147"/>
      <c r="G5" s="148" t="s">
        <v>391</v>
      </c>
      <c r="H5" s="149"/>
      <c r="I5" s="150" t="s">
        <v>392</v>
      </c>
      <c r="J5" s="151"/>
      <c r="K5" s="36" t="s">
        <v>393</v>
      </c>
      <c r="L5" s="37" t="s">
        <v>394</v>
      </c>
      <c r="M5" s="36" t="s">
        <v>395</v>
      </c>
      <c r="N5" s="37" t="s">
        <v>396</v>
      </c>
    </row>
    <row r="6" spans="2:17" ht="28.5" customHeight="1">
      <c r="B6" s="161"/>
      <c r="C6" s="146" t="s">
        <v>54</v>
      </c>
      <c r="D6" s="147"/>
      <c r="E6" s="138">
        <f>AVERAGE(D13:M13)</f>
        <v>154.61928549457156</v>
      </c>
      <c r="F6" s="139">
        <f>AVERAGE(D31:O31,D13:J13)</f>
        <v>160.50718287560395</v>
      </c>
      <c r="G6" s="140">
        <f>AVERAGE(D13:J13)</f>
        <v>160.50718287560395</v>
      </c>
      <c r="H6" s="141"/>
      <c r="I6" s="140">
        <f>AVERAGE(K13:M13)</f>
        <v>140.88085827216261</v>
      </c>
      <c r="J6" s="141"/>
      <c r="K6" s="142">
        <f>'0404 4度C'!Y2</f>
        <v>0</v>
      </c>
      <c r="L6" s="127">
        <f>'0404 4度C'!Z2</f>
        <v>0</v>
      </c>
      <c r="M6" s="143">
        <f>'0404 4度C'!AC2</f>
        <v>47</v>
      </c>
      <c r="N6" s="127">
        <f>'0404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148.20996258503587</v>
      </c>
      <c r="F7" s="131">
        <f>AVERAGE(D32:O32,D14:J14)</f>
        <v>153.93378537647007</v>
      </c>
      <c r="G7" s="132">
        <f>AVERAGE(D14:J14)</f>
        <v>153.93378537647007</v>
      </c>
      <c r="H7" s="133"/>
      <c r="I7" s="132">
        <f>AVERAGE(K14:M14)</f>
        <v>134.85437607168936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0.95719162489772569</v>
      </c>
      <c r="F8" s="135">
        <f>AVERAGE(D15:J15,D33:O33)</f>
        <v>0.95722005888069384</v>
      </c>
      <c r="G8" s="136">
        <f>AVERAGE(D15:J15)</f>
        <v>0.95722005888069384</v>
      </c>
      <c r="H8" s="137"/>
      <c r="I8" s="136">
        <f>AVERAGE(K15:M15)</f>
        <v>0.95712527893746657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397</v>
      </c>
      <c r="N9" s="35"/>
      <c r="O9" s="35"/>
      <c r="P9" s="35"/>
      <c r="Q9" s="35"/>
    </row>
    <row r="10" spans="2:17" ht="30" customHeight="1">
      <c r="B10" s="110" t="s">
        <v>398</v>
      </c>
      <c r="C10" s="111"/>
      <c r="D10" s="112" t="s">
        <v>399</v>
      </c>
      <c r="E10" s="113"/>
      <c r="F10" s="113"/>
      <c r="G10" s="113"/>
      <c r="H10" s="113"/>
      <c r="I10" s="113"/>
      <c r="J10" s="114"/>
      <c r="K10" s="115" t="s">
        <v>400</v>
      </c>
      <c r="L10" s="116"/>
      <c r="M10" s="117"/>
      <c r="P10" s="41"/>
      <c r="Q10" s="41"/>
    </row>
    <row r="11" spans="2:17" ht="17.25" customHeight="1">
      <c r="B11" s="118" t="s">
        <v>401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402</v>
      </c>
      <c r="C13" s="48" t="s">
        <v>403</v>
      </c>
      <c r="D13" s="49">
        <f>SUMIFS('0404 4度C'!$K:$K,'0404 4度C'!$A:$A,"新豐6線",'0404 4度C'!$B:$B,"平均")</f>
        <v>111.11111111111111</v>
      </c>
      <c r="E13" s="50">
        <f>SUMIFS('0404 4度C'!$K:$K,'0404 4度C'!$A:$A,"新豐2線",'0404 4度C'!$B:$B,"平均")</f>
        <v>83.333333333333329</v>
      </c>
      <c r="F13" s="51">
        <f>SUMIFS('0404 4度C'!$K:$K,'0404 4度C'!$A:$A,"新豐5線",'0404 4度C'!$B:$B,"平均")</f>
        <v>96.491228070175438</v>
      </c>
      <c r="G13" s="51">
        <f>SUMIFS('0404 4度C'!$K:$K,'0404 4度C'!$A:$A,"新豐7線",'0404 4度C'!$B:$B,"平均")</f>
        <v>127.77777777777779</v>
      </c>
      <c r="H13" s="51">
        <f>SUMIFS('0404 4度C'!$K:$K,'0404 4度C'!$A:$A,"新豐3線",'0404 4度C'!$B:$B,"平均")</f>
        <v>333.33333333333331</v>
      </c>
      <c r="I13" s="51">
        <f>SUMIFS('0404 4度C'!$K:$K,'0404 4度C'!$A:$A,"新豐1線",'0404 4度C'!$B:$B,"平均")</f>
        <v>102.27272727272728</v>
      </c>
      <c r="J13" s="52">
        <f>SUMIFS('0404 4度C'!$K:$K,'0404 4度C'!$A:$A,"新豐10線",'0404 4度C'!$B:$B,"平均")</f>
        <v>269.23076923076923</v>
      </c>
      <c r="K13" s="53">
        <f>SUMIFS('0404 4度C'!$K:$K,'0404 4度C'!$A:$A,"新豐8線",'0404 4度C'!$B:$B,"平均")</f>
        <v>130.43478260869566</v>
      </c>
      <c r="L13" s="54">
        <f>SUMIFS('0404 4度C'!$K:$K,'0404 4度C'!$A:$A,"新豐9線",'0404 4度C'!$B:$B,"平均")</f>
        <v>136.36363636363635</v>
      </c>
      <c r="M13" s="52">
        <f>SUMIFS('0404 4度C'!$K:$K,'0404 4度C'!$A:$A,"新豐4線",'0404 4度C'!$B:$B,"平均")</f>
        <v>155.84415584415584</v>
      </c>
    </row>
    <row r="14" spans="2:17" ht="39.6" customHeight="1">
      <c r="B14" s="123"/>
      <c r="C14" s="55" t="s">
        <v>404</v>
      </c>
      <c r="D14" s="56">
        <f>SUMIFS('0404 4度C'!$N:$N,'0404 4度C'!$A:$A,"新豐6線",'0404 4度C'!$B:$B,"平均")</f>
        <v>104.14467592592594</v>
      </c>
      <c r="E14" s="57">
        <f>SUMIFS('0404 4度C'!$N:$N,'0404 4度C'!$A:$A,"新豐2線",'0404 4度C'!$B:$B,"平均")</f>
        <v>79.569918558308771</v>
      </c>
      <c r="F14" s="57">
        <f>SUMIFS('0404 4度C'!$N:$N,'0404 4度C'!$A:$A,"新豐5線",'0404 4度C'!$B:$B,"平均")</f>
        <v>92.813595023381097</v>
      </c>
      <c r="G14" s="57">
        <f>SUMIFS('0404 4度C'!$N:$N,'0404 4度C'!$A:$A,"新豐7線",'0404 4度C'!$B:$B,"平均")</f>
        <v>122.42113767859136</v>
      </c>
      <c r="H14" s="57">
        <f>SUMIFS('0404 4度C'!$N:$N,'0404 4度C'!$A:$A,"新豐3線",'0404 4度C'!$B:$B,"平均")</f>
        <v>320.30587155576552</v>
      </c>
      <c r="I14" s="57">
        <f>SUMIFS('0404 4度C'!$N:$N,'0404 4度C'!$A:$A,"新豐1線",'0404 4度C'!$B:$B,"平均")</f>
        <v>98.418165279588294</v>
      </c>
      <c r="J14" s="58">
        <f>SUMIFS('0404 4度C'!$N:$N,'0404 4度C'!$A:$A,"新豐10線",'0404 4度C'!$B:$B,"平均")</f>
        <v>259.86313361372953</v>
      </c>
      <c r="K14" s="59">
        <f>SUMIFS('0404 4度C'!$N:$N,'0404 4度C'!$A:$A,"新豐8線",'0404 4度C'!$B:$B,"平均")</f>
        <v>124.91141553899787</v>
      </c>
      <c r="L14" s="60">
        <f>SUMIFS('0404 4度C'!$N:$N,'0404 4度C'!$A:$A,"新豐9線",'0404 4度C'!$B:$B,"平均")</f>
        <v>130.13435782759876</v>
      </c>
      <c r="M14" s="58">
        <f>SUMIFS('0404 4度C'!$N:$N,'0404 4度C'!$A:$A,"新豐4線",'0404 4度C'!$B:$B,"平均")</f>
        <v>149.51735484847143</v>
      </c>
    </row>
    <row r="15" spans="2:17" ht="40.15" customHeight="1">
      <c r="B15" s="124"/>
      <c r="C15" s="61" t="s">
        <v>405</v>
      </c>
      <c r="D15" s="62">
        <f t="shared" ref="D15:M15" si="0">D14/D13</f>
        <v>0.93730208333333342</v>
      </c>
      <c r="E15" s="63">
        <f t="shared" si="0"/>
        <v>0.95483902269970533</v>
      </c>
      <c r="F15" s="63">
        <f t="shared" si="0"/>
        <v>0.96188634842413134</v>
      </c>
      <c r="G15" s="63">
        <f t="shared" si="0"/>
        <v>0.95807846878897585</v>
      </c>
      <c r="H15" s="63">
        <f t="shared" si="0"/>
        <v>0.96091761466729664</v>
      </c>
      <c r="I15" s="63">
        <f t="shared" si="0"/>
        <v>0.96231094940041884</v>
      </c>
      <c r="J15" s="64">
        <f t="shared" si="0"/>
        <v>0.96520592485099543</v>
      </c>
      <c r="K15" s="62">
        <f t="shared" si="0"/>
        <v>0.95765418579898365</v>
      </c>
      <c r="L15" s="63">
        <f t="shared" si="0"/>
        <v>0.95431862406905776</v>
      </c>
      <c r="M15" s="64">
        <f t="shared" si="0"/>
        <v>0.95940302694435842</v>
      </c>
    </row>
    <row r="16" spans="2:17" ht="17.25" customHeight="1">
      <c r="B16" s="125" t="s">
        <v>406</v>
      </c>
      <c r="C16" s="65" t="s">
        <v>407</v>
      </c>
      <c r="D16" s="66">
        <f>VLOOKUP("新豐6線",'0404 4度C'!$A:$T,19,0)</f>
        <v>0.70833333333333337</v>
      </c>
      <c r="E16" s="67">
        <f>VLOOKUP("新豐2線",'0404 4度C'!$A:$T,19,0)</f>
        <v>0.20833333333333334</v>
      </c>
      <c r="F16" s="67">
        <f>VLOOKUP("新豐5線",'0404 4度C'!$A:$T,19,0)</f>
        <v>0.20833333333333334</v>
      </c>
      <c r="G16" s="67">
        <f>VLOOKUP("新豐7線",'0404 4度C'!$A:$T,19,0)</f>
        <v>0.20833333333333334</v>
      </c>
      <c r="H16" s="67">
        <f>VLOOKUP("新豐3線",'0404 4度C'!$A:$T,19,0)</f>
        <v>8.3333333333333329E-2</v>
      </c>
      <c r="I16" s="67">
        <f>VLOOKUP("新豐1線",'0404 4度C'!$A:$T,19,0)</f>
        <v>0.20833333333333334</v>
      </c>
      <c r="J16" s="68">
        <f>VLOOKUP("新豐10線",'0404 4度C'!$A:$T,19,0)</f>
        <v>0.20833333333333334</v>
      </c>
      <c r="K16" s="69">
        <f>VLOOKUP("新豐8線",'0404 4度C'!$A:$T,19,0)</f>
        <v>8.3333333333333329E-2</v>
      </c>
      <c r="L16" s="70">
        <f>VLOOKUP("新豐9線",'0404 4度C'!$A:$T,19,0)</f>
        <v>8.3333333333333329E-2</v>
      </c>
      <c r="M16" s="71">
        <f>VLOOKUP("新豐4線",'0404 4度C'!$A:$T,19,0)</f>
        <v>8.3333333333333329E-2</v>
      </c>
    </row>
    <row r="17" spans="2:13" ht="17.25" customHeight="1">
      <c r="B17" s="126"/>
      <c r="C17" s="65" t="s">
        <v>408</v>
      </c>
      <c r="D17" s="69">
        <f>LOOKUP(2,1/(('0404 4度C'!$A:$A="新豐6線")*('0404 4度C'!$T:$T&lt;&gt;"")),'0404 4度C'!$T:$T)</f>
        <v>0.79861111111111116</v>
      </c>
      <c r="E17" s="67">
        <f>LOOKUP(2,1/(('0404 4度C'!$A:$A="新豐2線")*('0404 4度C'!$T:$T&lt;&gt;"")),'0404 4度C'!$T:$T)</f>
        <v>0.45277777777777778</v>
      </c>
      <c r="F17" s="67">
        <f>LOOKUP(2,1/(('0404 4度C'!$A:$A="新豐5線")*('0404 4度C'!$T:$T&lt;&gt;"")),'0404 4度C'!$T:$T)</f>
        <v>0.80694444444444446</v>
      </c>
      <c r="G17" s="67">
        <f>LOOKUP(2,1/(('0404 4度C'!$A:$A="新豐7線")*('0404 4度C'!$T:$T&lt;&gt;"")),'0404 4度C'!$T:$T)</f>
        <v>0.81944444444444442</v>
      </c>
      <c r="H17" s="67">
        <f>LOOKUP(2,1/(('0404 4度C'!$A:$A="新豐3線")*('0404 4度C'!$T:$T&lt;&gt;"")),'0404 4度C'!$T:$T)</f>
        <v>0.35416666666666663</v>
      </c>
      <c r="I17" s="67">
        <f>LOOKUP(2,1/(('0404 4度C'!$A:$A="新豐1線")*('0404 4度C'!$T:$T&lt;&gt;"")),'0404 4度C'!$T:$T)</f>
        <v>0.83194444444444449</v>
      </c>
      <c r="J17" s="68">
        <f>LOOKUP(2,1/(('0404 4度C'!$A:$A="新豐10線")*('0404 4度C'!$T:$T&lt;&gt;"")),'0404 4度C'!$T:$T)</f>
        <v>0.39583333333333331</v>
      </c>
      <c r="K17" s="66">
        <f>LOOKUP(2,1/(('0404 4度C'!$A:$A="新豐8線")*('0404 4度C'!$T:$T&lt;&gt;"")),'0404 4度C'!$T:$T)</f>
        <v>0.41597222222222213</v>
      </c>
      <c r="L17" s="67">
        <f>LOOKUP(2,1/(('0404 4度C'!$A:$A="新豐9線")*('0404 4度C'!$T:$T&lt;&gt;"")),'0404 4度C'!$T:$T)</f>
        <v>0.43124999999999997</v>
      </c>
      <c r="M17" s="68">
        <f>LOOKUP(2,1/(('0404 4度C'!$A:$A="新豐4線")*('0404 4度C'!$T:$T&lt;&gt;"")),'0404 4度C'!$T:$T)</f>
        <v>0.42083333333333334</v>
      </c>
    </row>
    <row r="18" spans="2:13" ht="17.25" customHeight="1">
      <c r="B18" s="104" t="s">
        <v>409</v>
      </c>
      <c r="C18" s="72" t="s">
        <v>410</v>
      </c>
      <c r="D18" s="73">
        <f>SUMIFS('0404 4度C'!$Y:$Y,'0404 4度C'!$A:$A,"新豐6線",'0404 4度C'!$B:$B,"平均")</f>
        <v>0</v>
      </c>
      <c r="E18" s="74">
        <f>SUMIFS('0404 4度C'!$Y:$Y,'0404 4度C'!$A:$A,"新豐2線",'0404 4度C'!$B:$B,"平均")</f>
        <v>0</v>
      </c>
      <c r="F18" s="74">
        <f>SUMIFS('0404 4度C'!$Y:$Y,'0404 4度C'!$A:$A,"新豐5線",'0404 4度C'!$B:$B,"平均")</f>
        <v>0</v>
      </c>
      <c r="G18" s="74">
        <f>SUMIFS('0404 4度C'!$Y:$Y,'0404 4度C'!$A:$A,"新豐7線",'0404 4度C'!$B:$B,"平均")</f>
        <v>0</v>
      </c>
      <c r="H18" s="74">
        <f>SUMIFS('0404 4度C'!$Y:$Y,'0404 4度C'!$A:$A,"新豐3線",'0404 4度C'!$B:$B,"平均")</f>
        <v>0</v>
      </c>
      <c r="I18" s="74">
        <f>SUMIFS('0404 4度C'!$Y:$Y,'0404 4度C'!$A:$A,"新豐1線",'0404 4度C'!$B:$B,"平均")</f>
        <v>0</v>
      </c>
      <c r="J18" s="75">
        <f>SUMIFS('0404 4度C'!$Y:$Y,'0404 4度C'!$A:$A,"新豐10線",'0404 4度C'!$B:$B,"平均")</f>
        <v>0</v>
      </c>
      <c r="K18" s="76">
        <f>SUMIFS('0404 4度C'!$Y:$Y,'0404 4度C'!$A:$A,"新豐8線",'0404 4度C'!$B:$B,"平均")</f>
        <v>0</v>
      </c>
      <c r="L18" s="74">
        <f>SUMIFS('0404 4度C'!$Y:$Y,'0404 4度C'!$A:$A,"新豐9線",'0404 4度C'!$B:$B,"平均")</f>
        <v>0</v>
      </c>
      <c r="M18" s="75">
        <f>SUMIFS('0404 4度C'!$Y:$Y,'0404 4度C'!$A:$A,"新豐4線",'0404 4度C'!$B:$B,"平均")</f>
        <v>0</v>
      </c>
    </row>
    <row r="19" spans="2:13" ht="17.25" customHeight="1">
      <c r="B19" s="105"/>
      <c r="C19" s="72" t="s">
        <v>411</v>
      </c>
      <c r="D19" s="73">
        <f>SUMIFS('0404 4度C'!$Z:$Z,'0404 4度C'!$A:$A,"新豐6線",'0404 4度C'!$B:$B,"平均")</f>
        <v>0</v>
      </c>
      <c r="E19" s="74">
        <f>SUMIFS('0404 4度C'!$Z:$Z,'0404 4度C'!$A:$A,"新豐2線",'0404 4度C'!$B:$B,"平均")</f>
        <v>0</v>
      </c>
      <c r="F19" s="74">
        <f>SUMIFS('0404 4度C'!$Z:$Z,'0404 4度C'!$A:$A,"新豐5線",'0404 4度C'!$B:$B,"平均")</f>
        <v>0</v>
      </c>
      <c r="G19" s="74">
        <f>SUMIFS('0404 4度C'!$Z:$Z,'0404 4度C'!$A:$A,"新豐7線",'0404 4度C'!$B:$B,"平均")</f>
        <v>0</v>
      </c>
      <c r="H19" s="74">
        <f>SUMIFS('0404 4度C'!$Z:$Z,'0404 4度C'!$A:$A,"新豐3線",'0404 4度C'!$B:$B,"平均")</f>
        <v>0</v>
      </c>
      <c r="I19" s="74">
        <f>SUMIFS('0404 4度C'!$Z:$Z,'0404 4度C'!$A:$A,"新豐1線",'0404 4度C'!$B:$B,"平均")</f>
        <v>0</v>
      </c>
      <c r="J19" s="75">
        <f>SUMIFS('0404 4度C'!$Z:$Z,'0404 4度C'!$A:$A,"新豐10線",'0404 4度C'!$B:$B,"平均")</f>
        <v>0</v>
      </c>
      <c r="K19" s="76">
        <f>SUMIFS('0404 4度C'!$Z:$Z,'0404 4度C'!$A:$A,"新豐8線",'0404 4度C'!$B:$B,"平均")</f>
        <v>0</v>
      </c>
      <c r="L19" s="74">
        <f>SUMIFS('0404 4度C'!$Z:$Z,'0404 4度C'!$A:$A,"新豐9線",'0404 4度C'!$B:$B,"平均")</f>
        <v>0</v>
      </c>
      <c r="M19" s="75">
        <f>SUMIFS('0404 4度C'!$Z:$Z,'0404 4度C'!$A:$A,"新豐4線",'0404 4度C'!$B:$B,"平均")</f>
        <v>0</v>
      </c>
    </row>
    <row r="20" spans="2:13" ht="17.25" customHeight="1">
      <c r="B20" s="104" t="s">
        <v>412</v>
      </c>
      <c r="C20" s="72" t="s">
        <v>410</v>
      </c>
      <c r="D20" s="73">
        <f>SUMIFS('0404 4度C'!$AC:$AC,'0404 4度C'!$A:$A,"新豐6線",'0404 4度C'!$B:$B,"平均")</f>
        <v>4</v>
      </c>
      <c r="E20" s="74">
        <f>SUMIFS('0404 4度C'!$AC:$AC,'0404 4度C'!$A:$A,"新豐2線",'0404 4度C'!$B:$B,"平均")</f>
        <v>2</v>
      </c>
      <c r="F20" s="74">
        <f>SUMIFS('0404 4度C'!$AC:$AC,'0404 4度C'!$A:$A,"新豐5線",'0404 4度C'!$B:$B,"平均")</f>
        <v>3</v>
      </c>
      <c r="G20" s="74">
        <f>SUMIFS('0404 4度C'!$AC:$AC,'0404 4度C'!$A:$A,"新豐7線",'0404 4度C'!$B:$B,"平均")</f>
        <v>6</v>
      </c>
      <c r="H20" s="74">
        <f>SUMIFS('0404 4度C'!$AC:$AC,'0404 4度C'!$A:$A,"新豐3線",'0404 4度C'!$B:$B,"平均")</f>
        <v>5</v>
      </c>
      <c r="I20" s="74">
        <f>SUMIFS('0404 4度C'!$AC:$AC,'0404 4度C'!$A:$A,"新豐1線",'0404 4度C'!$B:$B,"平均")</f>
        <v>7</v>
      </c>
      <c r="J20" s="75">
        <f>SUMIFS('0404 4度C'!$AC:$AC,'0404 4度C'!$A:$A,"新豐10線",'0404 4度C'!$B:$B,"平均")</f>
        <v>5</v>
      </c>
      <c r="K20" s="76">
        <f>SUMIFS('0404 4度C'!$AC:$AC,'0404 4度C'!$A:$A,"新豐8線",'0404 4度C'!$B:$B,"平均")</f>
        <v>5</v>
      </c>
      <c r="L20" s="74">
        <f>SUMIFS('0404 4度C'!$AC:$AC,'0404 4度C'!$A:$A,"新豐9線",'0404 4度C'!$B:$B,"平均")</f>
        <v>5</v>
      </c>
      <c r="M20" s="75">
        <f>SUMIFS('0404 4度C'!$AC:$AC,'0404 4度C'!$A:$A,"新豐4線",'0404 4度C'!$B:$B,"平均")</f>
        <v>5</v>
      </c>
    </row>
    <row r="21" spans="2:13" ht="17.25" customHeight="1">
      <c r="B21" s="105"/>
      <c r="C21" s="72" t="s">
        <v>413</v>
      </c>
      <c r="D21" s="73">
        <f>SUMIFS('0404 4度C'!$AD:$AD,'0404 4度C'!$A:$A,"新豐6線",'0404 4度C'!$B:$B,"平均")</f>
        <v>0</v>
      </c>
      <c r="E21" s="74">
        <f>SUMIFS('0404 4度C'!$AD:$AD,'0404 4度C'!$A:$A,"新豐2線",'0404 4度C'!$B:$B,"平均")</f>
        <v>0</v>
      </c>
      <c r="F21" s="74">
        <f>SUMIFS('0404 4度C'!$AD:$AD,'0404 4度C'!$A:$A,"新豐5線",'0404 4度C'!$B:$B,"平均")</f>
        <v>0</v>
      </c>
      <c r="G21" s="74">
        <f>SUMIFS('0404 4度C'!$AD:$AD,'0404 4度C'!$A:$A,"新豐7線",'0404 4度C'!$B:$B,"平均")</f>
        <v>0</v>
      </c>
      <c r="H21" s="74">
        <f>SUMIFS('0404 4度C'!$AD:$AD,'0404 4度C'!$A:$A,"新豐3線",'0404 4度C'!$B:$B,"平均")</f>
        <v>0</v>
      </c>
      <c r="I21" s="74">
        <f>SUMIFS('0404 4度C'!$AD:$AD,'0404 4度C'!$A:$A,"新豐1線",'0404 4度C'!$B:$B,"平均")</f>
        <v>0</v>
      </c>
      <c r="J21" s="75">
        <f>SUMIFS('0404 4度C'!$AD:$AD,'0404 4度C'!$A:$A,"新豐10線",'0404 4度C'!$B:$B,"平均")</f>
        <v>0</v>
      </c>
      <c r="K21" s="76">
        <f>SUMIFS('0404 4度C'!$AD:$AD,'0404 4度C'!$A:$A,"新豐8線",'0404 4度C'!$B:$B,"平均")</f>
        <v>0</v>
      </c>
      <c r="L21" s="74">
        <f>SUMIFS('0404 4度C'!$AD:$AD,'0404 4度C'!$A:$A,"新豐9線",'0404 4度C'!$B:$B,"平均")</f>
        <v>0</v>
      </c>
      <c r="M21" s="75">
        <f>SUMIFS('0404 4度C'!$AD:$AD,'0404 4度C'!$A:$A,"新豐4線",'0404 4度C'!$B:$B,"平均")</f>
        <v>0</v>
      </c>
    </row>
    <row r="22" spans="2:13" ht="17.25" customHeight="1">
      <c r="B22" s="106" t="s">
        <v>414</v>
      </c>
      <c r="C22" s="107"/>
      <c r="D22" s="77">
        <f>SUMIFS('0404 4度C'!$I:$I,'0404 4度C'!$A:$A,"新豐6線",'0404 4度C'!$B:$B,"平均")</f>
        <v>18</v>
      </c>
      <c r="E22" s="78">
        <f>SUMIFS('0404 4度C'!$I:$I,'0404 4度C'!$A:$A,"新豐2線",'0404 4度C'!$B:$B,"平均")</f>
        <v>18</v>
      </c>
      <c r="F22" s="78">
        <f>SUMIFS('0404 4度C'!$I:$I,'0404 4度C'!$A:$A,"新豐5線",'0404 4度C'!$B:$B,"平均")</f>
        <v>19</v>
      </c>
      <c r="G22" s="78">
        <f>SUMIFS('0404 4度C'!$I:$I,'0404 4度C'!$A:$A,"新豐7線",'0404 4度C'!$B:$B,"平均")</f>
        <v>15</v>
      </c>
      <c r="H22" s="78">
        <f>SUMIFS('0404 4度C'!$I:$I,'0404 4度C'!$A:$A,"新豐3線",'0404 4度C'!$B:$B,"平均")</f>
        <v>9</v>
      </c>
      <c r="I22" s="78">
        <f>SUMIFS('0404 4度C'!$I:$I,'0404 4度C'!$A:$A,"新豐1線",'0404 4度C'!$B:$B,"平均")</f>
        <v>18.857142857142858</v>
      </c>
      <c r="J22" s="79">
        <f>SUMIFS('0404 4度C'!$I:$I,'0404 4度C'!$A:$A,"新豐10線",'0404 4度C'!$B:$B,"平均")</f>
        <v>10.4</v>
      </c>
      <c r="K22" s="77">
        <f>SUMIFS('0404 4度C'!$I:$I,'0404 4度C'!$A:$A,"新豐8線",'0404 4度C'!$B:$B,"平均")</f>
        <v>18.399999999999999</v>
      </c>
      <c r="L22" s="78">
        <f>SUMIFS('0404 4度C'!$I:$I,'0404 4度C'!$A:$A,"新豐9線",'0404 4度C'!$B:$B,"平均")</f>
        <v>17.600000000000001</v>
      </c>
      <c r="M22" s="79">
        <f>SUMIFS('0404 4度C'!$I:$I,'0404 4度C'!$A:$A,"新豐4線",'0404 4度C'!$B:$B,"平均")</f>
        <v>15.4</v>
      </c>
    </row>
    <row r="23" spans="2:13" ht="17.25" customHeight="1">
      <c r="B23" s="106" t="s">
        <v>415</v>
      </c>
      <c r="C23" s="107"/>
      <c r="D23" s="80" t="s">
        <v>67</v>
      </c>
      <c r="E23" s="81" t="s">
        <v>68</v>
      </c>
      <c r="F23" s="81" t="s">
        <v>416</v>
      </c>
      <c r="G23" s="81" t="s">
        <v>416</v>
      </c>
      <c r="H23" s="81" t="s">
        <v>69</v>
      </c>
      <c r="I23" s="81" t="s">
        <v>67</v>
      </c>
      <c r="J23" s="82" t="s">
        <v>69</v>
      </c>
      <c r="K23" s="80" t="s">
        <v>417</v>
      </c>
      <c r="L23" s="81" t="s">
        <v>417</v>
      </c>
      <c r="M23" s="82" t="s">
        <v>417</v>
      </c>
    </row>
    <row r="24" spans="2:13" ht="17.25" customHeight="1">
      <c r="B24" s="106" t="s">
        <v>418</v>
      </c>
      <c r="C24" s="107"/>
      <c r="D24" s="80"/>
      <c r="E24" s="81"/>
      <c r="F24" s="81" t="s">
        <v>419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420</v>
      </c>
      <c r="C25" s="109"/>
      <c r="D25" s="83"/>
      <c r="E25" s="84" t="s">
        <v>421</v>
      </c>
      <c r="F25" s="102" t="s">
        <v>422</v>
      </c>
      <c r="G25" s="103"/>
      <c r="H25" s="84" t="s">
        <v>423</v>
      </c>
      <c r="I25" s="84" t="s">
        <v>424</v>
      </c>
      <c r="J25" s="85" t="s">
        <v>423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3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G62"/>
  <sheetViews>
    <sheetView topLeftCell="L1" zoomScale="80" zoomScaleNormal="80" workbookViewId="0">
      <pane ySplit="4" topLeftCell="A5" activePane="bottomLeft" state="frozen"/>
      <selection activeCell="B1" sqref="B1:J2"/>
      <selection pane="bottomLeft" activeCell="AC29" sqref="AC29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425</v>
      </c>
      <c r="B1" s="1"/>
      <c r="C1" s="2" t="s">
        <v>426</v>
      </c>
      <c r="D1" s="3">
        <f>SUM(F5:F61)</f>
        <v>115913</v>
      </c>
      <c r="E1" s="88" t="s">
        <v>427</v>
      </c>
      <c r="F1" s="1">
        <f>SUM(G5:G61)</f>
        <v>3938283.0099999988</v>
      </c>
      <c r="G1" s="1" t="s">
        <v>428</v>
      </c>
      <c r="H1" s="4">
        <f>L9+L12+L41+L49+L16+L55+L29+L35+L23+L61</f>
        <v>159.65714285714287</v>
      </c>
      <c r="I1" s="215" t="s">
        <v>429</v>
      </c>
      <c r="J1" s="215"/>
      <c r="K1" s="215"/>
      <c r="L1" s="215" t="s">
        <v>430</v>
      </c>
      <c r="M1" s="215"/>
      <c r="N1" s="215"/>
      <c r="O1" s="215" t="s">
        <v>431</v>
      </c>
      <c r="P1" s="215"/>
      <c r="Q1" s="215"/>
      <c r="R1" s="215"/>
      <c r="S1" s="215" t="s">
        <v>127</v>
      </c>
      <c r="T1" s="215"/>
      <c r="U1" s="215"/>
      <c r="V1" s="215"/>
      <c r="W1" s="215"/>
      <c r="X1" s="215"/>
      <c r="Y1" s="5" t="s">
        <v>432</v>
      </c>
      <c r="Z1" s="6" t="s">
        <v>433</v>
      </c>
      <c r="AA1" s="216" t="s">
        <v>434</v>
      </c>
      <c r="AB1" s="216"/>
      <c r="AC1" s="97" t="s">
        <v>432</v>
      </c>
      <c r="AD1" s="6" t="s">
        <v>435</v>
      </c>
      <c r="AE1" s="215" t="s">
        <v>436</v>
      </c>
      <c r="AF1" s="217"/>
      <c r="AG1" s="217"/>
    </row>
    <row r="2" spans="1:33" ht="26.25" customHeight="1">
      <c r="A2" s="26">
        <v>46116</v>
      </c>
      <c r="B2" s="27" t="s">
        <v>437</v>
      </c>
      <c r="C2" s="2" t="s">
        <v>402</v>
      </c>
      <c r="D2" s="8">
        <f>AVERAGE(N9,N12,N41,N49,N16,N55,N23,N29,N35,N61)</f>
        <v>148.20996258503587</v>
      </c>
      <c r="E2" s="9" t="s">
        <v>0</v>
      </c>
      <c r="F2" s="10">
        <f>F1/D1</f>
        <v>33.976197751762086</v>
      </c>
      <c r="G2" s="1" t="s">
        <v>134</v>
      </c>
      <c r="H2" s="96">
        <f>COUNT(H5:H61)</f>
        <v>0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SUM(Y9+Y12+Y16+Y23+Y29+Y35+Y41+Y49+Y55+Y61)</f>
        <v>0</v>
      </c>
      <c r="Z2" s="11">
        <f>SUM(Z9+Z12+Z16+Z23+Z29+Z35+Z41+Z49+Z55+Z61)</f>
        <v>0</v>
      </c>
      <c r="AA2" s="216"/>
      <c r="AB2" s="216"/>
      <c r="AC2" s="11">
        <v>47</v>
      </c>
      <c r="AD2" s="11">
        <f>SUM(AD9+AD12+AD16+AD23+AD29+AD35+AD41+AD49+AD55+AD61)</f>
        <v>0</v>
      </c>
      <c r="AE2" s="217"/>
      <c r="AF2" s="217"/>
      <c r="AG2" s="217"/>
    </row>
    <row r="3" spans="1:33" ht="40.5" customHeight="1">
      <c r="A3" s="168" t="s">
        <v>438</v>
      </c>
      <c r="B3" s="168" t="s">
        <v>439</v>
      </c>
      <c r="C3" s="168" t="s">
        <v>440</v>
      </c>
      <c r="D3" s="168"/>
      <c r="E3" s="213" t="s">
        <v>441</v>
      </c>
      <c r="F3" s="168" t="s">
        <v>442</v>
      </c>
      <c r="G3" s="213" t="s">
        <v>443</v>
      </c>
      <c r="H3" s="207" t="s">
        <v>444</v>
      </c>
      <c r="I3" s="205" t="s">
        <v>445</v>
      </c>
      <c r="J3" s="202" t="s">
        <v>446</v>
      </c>
      <c r="K3" s="212" t="s">
        <v>402</v>
      </c>
      <c r="L3" s="205" t="s">
        <v>445</v>
      </c>
      <c r="M3" s="202" t="s">
        <v>446</v>
      </c>
      <c r="N3" s="212" t="s">
        <v>402</v>
      </c>
      <c r="O3" s="205" t="s">
        <v>445</v>
      </c>
      <c r="P3" s="212" t="s">
        <v>402</v>
      </c>
      <c r="Q3" s="203" t="s">
        <v>447</v>
      </c>
      <c r="R3" s="181" t="s">
        <v>448</v>
      </c>
      <c r="S3" s="168" t="s">
        <v>1</v>
      </c>
      <c r="T3" s="168"/>
      <c r="U3" s="207" t="s">
        <v>2</v>
      </c>
      <c r="V3" s="207" t="s">
        <v>449</v>
      </c>
      <c r="W3" s="168" t="s">
        <v>450</v>
      </c>
      <c r="X3" s="168"/>
      <c r="Y3" s="208" t="s">
        <v>451</v>
      </c>
      <c r="Z3" s="167"/>
      <c r="AA3" s="209" t="s">
        <v>152</v>
      </c>
      <c r="AB3" s="210"/>
      <c r="AC3" s="208" t="s">
        <v>452</v>
      </c>
      <c r="AD3" s="167"/>
      <c r="AE3" s="202" t="s">
        <v>453</v>
      </c>
      <c r="AF3" s="203" t="s">
        <v>147</v>
      </c>
      <c r="AG3" s="181" t="s">
        <v>454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455</v>
      </c>
      <c r="X4" s="88" t="s">
        <v>456</v>
      </c>
      <c r="Y4" s="90" t="s">
        <v>457</v>
      </c>
      <c r="Z4" s="90" t="s">
        <v>458</v>
      </c>
      <c r="AA4" s="211"/>
      <c r="AB4" s="210"/>
      <c r="AC4" s="90" t="s">
        <v>459</v>
      </c>
      <c r="AD4" s="90" t="s">
        <v>460</v>
      </c>
      <c r="AE4" s="202"/>
      <c r="AF4" s="203"/>
      <c r="AG4" s="181"/>
    </row>
    <row r="5" spans="1:33">
      <c r="A5" s="204" t="s">
        <v>461</v>
      </c>
      <c r="B5" s="28" t="s">
        <v>5</v>
      </c>
      <c r="C5" s="206" t="s">
        <v>6</v>
      </c>
      <c r="D5" s="206"/>
      <c r="E5" s="28">
        <v>50.67</v>
      </c>
      <c r="F5" s="88">
        <v>1272</v>
      </c>
      <c r="G5" s="88">
        <f t="shared" ref="G5:G8" si="0">E5*F5</f>
        <v>64452.240000000005</v>
      </c>
      <c r="H5" s="30" t="s">
        <v>53</v>
      </c>
      <c r="I5" s="95">
        <v>17</v>
      </c>
      <c r="J5" s="13">
        <v>2000</v>
      </c>
      <c r="K5" s="12">
        <f t="shared" ref="K5:K61" si="1">J5/I5</f>
        <v>117.64705882352941</v>
      </c>
      <c r="L5" s="95">
        <v>17</v>
      </c>
      <c r="M5" s="13">
        <f t="shared" ref="M5:M8" si="2">F5/V5*60</f>
        <v>1907.9999999999993</v>
      </c>
      <c r="N5" s="12">
        <f t="shared" ref="N5:N61" si="3">M5/L5</f>
        <v>112.23529411764702</v>
      </c>
      <c r="O5" s="14">
        <f t="shared" ref="O5:O61" si="4">L5-I5</f>
        <v>0</v>
      </c>
      <c r="P5" s="15">
        <f t="shared" ref="P5:P61" si="5">N5-K5</f>
        <v>-5.4117647058823906</v>
      </c>
      <c r="Q5" s="91">
        <f t="shared" ref="Q5:Q61" si="6">N5/K5</f>
        <v>0.95399999999999963</v>
      </c>
      <c r="R5" s="177">
        <f>Q9</f>
        <v>0.93730208333333342</v>
      </c>
      <c r="S5" s="21">
        <v>0.70833333333333337</v>
      </c>
      <c r="T5" s="21">
        <v>0.73611111111111116</v>
      </c>
      <c r="U5" s="88"/>
      <c r="V5" s="30">
        <f t="shared" ref="V5:V8" si="7">(T5-S5)*24*60</f>
        <v>40.000000000000014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48" si="8">M5-J5</f>
        <v>-92.000000000000682</v>
      </c>
      <c r="AF5" s="91">
        <f t="shared" ref="AF5:AF61" si="9">M5/J5</f>
        <v>0.95399999999999963</v>
      </c>
      <c r="AG5" s="177">
        <f>AF9</f>
        <v>0.93730208333333354</v>
      </c>
    </row>
    <row r="6" spans="1:33">
      <c r="A6" s="205" t="s">
        <v>462</v>
      </c>
      <c r="B6" s="28" t="s">
        <v>5</v>
      </c>
      <c r="C6" s="206" t="s">
        <v>7</v>
      </c>
      <c r="D6" s="206"/>
      <c r="E6" s="28">
        <v>54.09</v>
      </c>
      <c r="F6" s="88">
        <v>1034</v>
      </c>
      <c r="G6" s="88">
        <f t="shared" si="0"/>
        <v>55929.060000000005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1938.7499999999975</v>
      </c>
      <c r="N6" s="12">
        <f t="shared" si="3"/>
        <v>102.03947368421039</v>
      </c>
      <c r="O6" s="14">
        <f t="shared" si="4"/>
        <v>0</v>
      </c>
      <c r="P6" s="15">
        <f t="shared" si="5"/>
        <v>-3.2236842105264429</v>
      </c>
      <c r="Q6" s="91">
        <f t="shared" si="6"/>
        <v>0.96937499999999877</v>
      </c>
      <c r="R6" s="177"/>
      <c r="S6" s="21">
        <v>0.74027777777777781</v>
      </c>
      <c r="T6" s="21">
        <v>0.76250000000000007</v>
      </c>
      <c r="U6" s="88">
        <f t="shared" ref="U6:U8" si="10">IF(S6=TIME(17,0,0),"",(S6-T5)*24*60)</f>
        <v>5.9999999999999787</v>
      </c>
      <c r="V6" s="30">
        <f t="shared" si="7"/>
        <v>32.000000000000043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-61.250000000002501</v>
      </c>
      <c r="AF6" s="91">
        <f t="shared" si="9"/>
        <v>0.96937499999999877</v>
      </c>
      <c r="AG6" s="177"/>
    </row>
    <row r="7" spans="1:33">
      <c r="A7" s="205" t="s">
        <v>462</v>
      </c>
      <c r="B7" s="28" t="s">
        <v>5</v>
      </c>
      <c r="C7" s="200" t="s">
        <v>8</v>
      </c>
      <c r="D7" s="201"/>
      <c r="E7" s="28">
        <v>50.67</v>
      </c>
      <c r="F7" s="88">
        <v>170</v>
      </c>
      <c r="G7" s="88">
        <f t="shared" si="0"/>
        <v>8613.9</v>
      </c>
      <c r="H7" s="30" t="s">
        <v>53</v>
      </c>
      <c r="I7" s="95">
        <v>21</v>
      </c>
      <c r="J7" s="13">
        <v>2000</v>
      </c>
      <c r="K7" s="12">
        <f t="shared" si="1"/>
        <v>95.238095238095241</v>
      </c>
      <c r="L7" s="95">
        <v>21</v>
      </c>
      <c r="M7" s="13">
        <f t="shared" si="2"/>
        <v>1700.0000000000061</v>
      </c>
      <c r="N7" s="12">
        <f t="shared" si="3"/>
        <v>80.952380952381247</v>
      </c>
      <c r="O7" s="14">
        <f t="shared" si="4"/>
        <v>0</v>
      </c>
      <c r="P7" s="15">
        <f t="shared" si="5"/>
        <v>-14.285714285713993</v>
      </c>
      <c r="Q7" s="91">
        <f t="shared" si="6"/>
        <v>0.85000000000000309</v>
      </c>
      <c r="R7" s="177"/>
      <c r="S7" s="21">
        <v>0.76597222222222228</v>
      </c>
      <c r="T7" s="21">
        <v>0.77013888888888893</v>
      </c>
      <c r="U7" s="88">
        <f t="shared" si="10"/>
        <v>4.9999999999999822</v>
      </c>
      <c r="V7" s="30">
        <f t="shared" si="7"/>
        <v>5.9999999999999787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-299.99999999999386</v>
      </c>
      <c r="AF7" s="91">
        <f t="shared" si="9"/>
        <v>0.85000000000000309</v>
      </c>
      <c r="AG7" s="177"/>
    </row>
    <row r="8" spans="1:33">
      <c r="A8" s="205" t="s">
        <v>462</v>
      </c>
      <c r="B8" s="28" t="s">
        <v>5</v>
      </c>
      <c r="C8" s="200" t="s">
        <v>16</v>
      </c>
      <c r="D8" s="201"/>
      <c r="E8" s="28">
        <v>50.67</v>
      </c>
      <c r="F8" s="88">
        <v>1171</v>
      </c>
      <c r="G8" s="88">
        <f t="shared" si="0"/>
        <v>59334.57</v>
      </c>
      <c r="H8" s="30" t="s">
        <v>53</v>
      </c>
      <c r="I8" s="95">
        <v>15</v>
      </c>
      <c r="J8" s="13">
        <v>2000</v>
      </c>
      <c r="K8" s="12">
        <f t="shared" si="1"/>
        <v>133.33333333333334</v>
      </c>
      <c r="L8" s="95">
        <v>15</v>
      </c>
      <c r="M8" s="13">
        <f t="shared" si="2"/>
        <v>1951.6666666666649</v>
      </c>
      <c r="N8" s="12">
        <f t="shared" si="3"/>
        <v>130.111111111111</v>
      </c>
      <c r="O8" s="14">
        <f t="shared" si="4"/>
        <v>0</v>
      </c>
      <c r="P8" s="15">
        <f t="shared" si="5"/>
        <v>-3.2222222222223422</v>
      </c>
      <c r="Q8" s="91">
        <f t="shared" si="6"/>
        <v>0.97583333333333244</v>
      </c>
      <c r="R8" s="177"/>
      <c r="S8" s="21">
        <v>0.77361111111111114</v>
      </c>
      <c r="T8" s="21">
        <v>0.79861111111111116</v>
      </c>
      <c r="U8" s="88">
        <f t="shared" si="10"/>
        <v>4.9999999999999822</v>
      </c>
      <c r="V8" s="30">
        <f t="shared" si="7"/>
        <v>36.000000000000028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-48.333333333335077</v>
      </c>
      <c r="AF8" s="91">
        <f t="shared" si="9"/>
        <v>0.97583333333333244</v>
      </c>
      <c r="AG8" s="177"/>
    </row>
    <row r="9" spans="1:33">
      <c r="A9" s="205" t="s">
        <v>461</v>
      </c>
      <c r="B9" s="28" t="s">
        <v>463</v>
      </c>
      <c r="C9" s="178"/>
      <c r="D9" s="178"/>
      <c r="E9" s="92"/>
      <c r="F9" s="12"/>
      <c r="G9" s="12"/>
      <c r="H9" s="88"/>
      <c r="I9" s="23">
        <v>18</v>
      </c>
      <c r="J9" s="13">
        <v>2000</v>
      </c>
      <c r="K9" s="12">
        <f t="shared" si="1"/>
        <v>111.11111111111111</v>
      </c>
      <c r="L9" s="23">
        <v>18</v>
      </c>
      <c r="M9" s="13">
        <f>AVERAGE(M5:M8)</f>
        <v>1874.604166666667</v>
      </c>
      <c r="N9" s="12">
        <f t="shared" si="3"/>
        <v>104.14467592592594</v>
      </c>
      <c r="O9" s="14">
        <f t="shared" si="4"/>
        <v>0</v>
      </c>
      <c r="P9" s="15">
        <f t="shared" si="5"/>
        <v>-6.9664351851851762</v>
      </c>
      <c r="Q9" s="91">
        <f t="shared" si="6"/>
        <v>0.93730208333333342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v>4</v>
      </c>
      <c r="AD9" s="24">
        <f>SUM(AD5:AD8)</f>
        <v>0</v>
      </c>
      <c r="AE9" s="14">
        <f t="shared" si="8"/>
        <v>-125.39583333333303</v>
      </c>
      <c r="AF9" s="91">
        <f t="shared" si="9"/>
        <v>0.93730208333333354</v>
      </c>
      <c r="AG9" s="177"/>
    </row>
    <row r="10" spans="1:33" ht="15.75" customHeight="1">
      <c r="A10" s="199" t="s">
        <v>464</v>
      </c>
      <c r="B10" s="28" t="s">
        <v>9</v>
      </c>
      <c r="C10" s="200" t="s">
        <v>10</v>
      </c>
      <c r="D10" s="201"/>
      <c r="E10" s="28">
        <v>39.619999999999997</v>
      </c>
      <c r="F10" s="88">
        <v>3471</v>
      </c>
      <c r="G10" s="88">
        <f t="shared" ref="G10:G11" si="11">E10*F10</f>
        <v>137521.01999999999</v>
      </c>
      <c r="H10" s="30" t="s">
        <v>53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1" si="12">F10/V10*60</f>
        <v>1436.2758620689654</v>
      </c>
      <c r="N10" s="12">
        <f t="shared" si="3"/>
        <v>75.59346642468239</v>
      </c>
      <c r="O10" s="14">
        <f t="shared" si="4"/>
        <v>0</v>
      </c>
      <c r="P10" s="15">
        <f t="shared" si="5"/>
        <v>-3.3539019963702401</v>
      </c>
      <c r="Q10" s="91">
        <f t="shared" si="6"/>
        <v>0.95751724137931027</v>
      </c>
      <c r="R10" s="177">
        <f>Q12</f>
        <v>0.95483902269970533</v>
      </c>
      <c r="S10" s="21">
        <v>0.20833333333333334</v>
      </c>
      <c r="T10" s="21">
        <v>0.30902777777777779</v>
      </c>
      <c r="U10" s="88"/>
      <c r="V10" s="30">
        <f t="shared" ref="V10:V11" si="13">(T10-S10)*24*60</f>
        <v>145.00000000000003</v>
      </c>
      <c r="W10" s="16"/>
      <c r="X10" s="16"/>
      <c r="Y10" s="16"/>
      <c r="Z10" s="16"/>
      <c r="AA10" s="168"/>
      <c r="AB10" s="168"/>
      <c r="AC10" s="18">
        <v>2</v>
      </c>
      <c r="AD10" s="18"/>
      <c r="AE10" s="14">
        <f t="shared" si="8"/>
        <v>-63.724137931034647</v>
      </c>
      <c r="AF10" s="91">
        <f t="shared" si="9"/>
        <v>0.95751724137931027</v>
      </c>
      <c r="AG10" s="177">
        <f>AF12</f>
        <v>0.95483902269970533</v>
      </c>
    </row>
    <row r="11" spans="1:33" ht="15.75" customHeight="1">
      <c r="A11" s="199" t="s">
        <v>465</v>
      </c>
      <c r="B11" s="28" t="s">
        <v>9</v>
      </c>
      <c r="C11" s="200" t="s">
        <v>11</v>
      </c>
      <c r="D11" s="201"/>
      <c r="E11" s="28">
        <v>39.799999999999997</v>
      </c>
      <c r="F11" s="88">
        <v>4737</v>
      </c>
      <c r="G11" s="88">
        <f t="shared" si="11"/>
        <v>188532.59999999998</v>
      </c>
      <c r="H11" s="30" t="s">
        <v>53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1428.2412060301508</v>
      </c>
      <c r="N11" s="12">
        <f t="shared" si="3"/>
        <v>84.014188590008871</v>
      </c>
      <c r="O11" s="14">
        <f t="shared" si="4"/>
        <v>0</v>
      </c>
      <c r="P11" s="15">
        <f t="shared" si="5"/>
        <v>-4.221105527638187</v>
      </c>
      <c r="Q11" s="91">
        <f t="shared" si="6"/>
        <v>0.9521608040201005</v>
      </c>
      <c r="R11" s="177"/>
      <c r="S11" s="21">
        <v>0.31458333333333333</v>
      </c>
      <c r="T11" s="21">
        <v>0.45277777777777778</v>
      </c>
      <c r="U11" s="88">
        <f t="shared" ref="U11" si="14">IF(S11=TIME(17,0,0),"",(S11-T10)*24*60)</f>
        <v>7.9999999999999716</v>
      </c>
      <c r="V11" s="30">
        <f t="shared" si="13"/>
        <v>199</v>
      </c>
      <c r="W11" s="16"/>
      <c r="X11" s="16"/>
      <c r="Y11" s="16"/>
      <c r="Z11" s="16"/>
      <c r="AA11" s="168"/>
      <c r="AB11" s="168"/>
      <c r="AC11" s="18"/>
      <c r="AD11" s="18"/>
      <c r="AE11" s="14">
        <f t="shared" si="8"/>
        <v>-71.758793969849194</v>
      </c>
      <c r="AF11" s="91">
        <f t="shared" si="9"/>
        <v>0.9521608040201005</v>
      </c>
      <c r="AG11" s="177"/>
    </row>
    <row r="12" spans="1:33" ht="16.5" customHeight="1">
      <c r="A12" s="199" t="s">
        <v>466</v>
      </c>
      <c r="B12" s="28" t="s">
        <v>467</v>
      </c>
      <c r="C12" s="178"/>
      <c r="D12" s="178"/>
      <c r="E12" s="92"/>
      <c r="F12" s="13"/>
      <c r="G12" s="13"/>
      <c r="H12" s="88"/>
      <c r="I12" s="23">
        <v>18</v>
      </c>
      <c r="J12" s="13">
        <v>1500</v>
      </c>
      <c r="K12" s="12">
        <f t="shared" si="1"/>
        <v>83.333333333333329</v>
      </c>
      <c r="L12" s="23">
        <v>18</v>
      </c>
      <c r="M12" s="13">
        <f>AVERAGE(M10:M11)</f>
        <v>1432.258534049558</v>
      </c>
      <c r="N12" s="12">
        <f t="shared" si="3"/>
        <v>79.569918558308771</v>
      </c>
      <c r="O12" s="14">
        <f t="shared" si="4"/>
        <v>0</v>
      </c>
      <c r="P12" s="15">
        <f t="shared" si="5"/>
        <v>-3.7634147750245575</v>
      </c>
      <c r="Q12" s="91">
        <f t="shared" si="6"/>
        <v>0.95483902269970533</v>
      </c>
      <c r="R12" s="177"/>
      <c r="S12" s="21"/>
      <c r="T12" s="21"/>
      <c r="U12" s="12"/>
      <c r="V12" s="30"/>
      <c r="W12" s="12"/>
      <c r="X12" s="12"/>
      <c r="Y12" s="24">
        <f>SUM(Y10:Y11)</f>
        <v>0</v>
      </c>
      <c r="Z12" s="24">
        <f>SUM(Z10:Z11)</f>
        <v>0</v>
      </c>
      <c r="AA12" s="167"/>
      <c r="AB12" s="167"/>
      <c r="AC12" s="24">
        <v>2</v>
      </c>
      <c r="AD12" s="24">
        <f>SUM(AD10:AD11)</f>
        <v>0</v>
      </c>
      <c r="AE12" s="14">
        <f t="shared" si="8"/>
        <v>-67.741465950442034</v>
      </c>
      <c r="AF12" s="91">
        <f t="shared" si="9"/>
        <v>0.95483902269970533</v>
      </c>
      <c r="AG12" s="177"/>
    </row>
    <row r="13" spans="1:33" ht="16.5" customHeight="1">
      <c r="A13" s="197" t="s">
        <v>468</v>
      </c>
      <c r="B13" s="88" t="s">
        <v>12</v>
      </c>
      <c r="C13" s="193" t="s">
        <v>13</v>
      </c>
      <c r="D13" s="193"/>
      <c r="E13" s="28">
        <v>41</v>
      </c>
      <c r="F13" s="88">
        <v>2413</v>
      </c>
      <c r="G13" s="88">
        <f t="shared" ref="G13:G15" si="15">E13*F13</f>
        <v>98933</v>
      </c>
      <c r="H13" s="30" t="s">
        <v>53</v>
      </c>
      <c r="I13" s="95">
        <v>26</v>
      </c>
      <c r="J13" s="13">
        <v>1500</v>
      </c>
      <c r="K13" s="12">
        <f t="shared" si="1"/>
        <v>57.692307692307693</v>
      </c>
      <c r="L13" s="95">
        <v>26</v>
      </c>
      <c r="M13" s="13">
        <f t="shared" ref="M13:M15" si="16">F13/V13*60</f>
        <v>1433.4653465346535</v>
      </c>
      <c r="N13" s="12">
        <f t="shared" si="3"/>
        <v>55.133282559025133</v>
      </c>
      <c r="O13" s="14">
        <f t="shared" si="4"/>
        <v>0</v>
      </c>
      <c r="P13" s="15">
        <f t="shared" si="5"/>
        <v>-2.5590251332825602</v>
      </c>
      <c r="Q13" s="91">
        <f t="shared" si="6"/>
        <v>0.9556435643564356</v>
      </c>
      <c r="R13" s="177">
        <f>Q16</f>
        <v>0.96188634842413134</v>
      </c>
      <c r="S13" s="21">
        <v>0.20833333333333334</v>
      </c>
      <c r="T13" s="21">
        <v>0.27847222222222223</v>
      </c>
      <c r="U13" s="88"/>
      <c r="V13" s="30">
        <f t="shared" ref="V13:V15" si="17">(T13-S13)*24*60</f>
        <v>101</v>
      </c>
      <c r="W13" s="21"/>
      <c r="X13" s="21"/>
      <c r="Y13" s="21"/>
      <c r="Z13" s="21"/>
      <c r="AA13" s="168"/>
      <c r="AB13" s="168"/>
      <c r="AC13" s="18">
        <v>3</v>
      </c>
      <c r="AD13" s="18"/>
      <c r="AE13" s="14">
        <f t="shared" si="8"/>
        <v>-66.534653465346537</v>
      </c>
      <c r="AF13" s="91">
        <f t="shared" si="9"/>
        <v>0.9556435643564356</v>
      </c>
      <c r="AG13" s="177">
        <f>AF16</f>
        <v>0.96188634842413134</v>
      </c>
    </row>
    <row r="14" spans="1:33" ht="16.5" customHeight="1">
      <c r="A14" s="198" t="s">
        <v>469</v>
      </c>
      <c r="B14" s="88" t="s">
        <v>5</v>
      </c>
      <c r="C14" s="193" t="s">
        <v>14</v>
      </c>
      <c r="D14" s="193"/>
      <c r="E14" s="28">
        <v>50.98</v>
      </c>
      <c r="F14" s="88">
        <v>2184</v>
      </c>
      <c r="G14" s="88">
        <f t="shared" si="15"/>
        <v>111340.31999999999</v>
      </c>
      <c r="H14" s="30" t="s">
        <v>53</v>
      </c>
      <c r="I14" s="95">
        <v>16</v>
      </c>
      <c r="J14" s="13">
        <v>2000</v>
      </c>
      <c r="K14" s="12">
        <f t="shared" si="1"/>
        <v>125</v>
      </c>
      <c r="L14" s="95">
        <v>16</v>
      </c>
      <c r="M14" s="13">
        <f t="shared" si="16"/>
        <v>1927.0588235294142</v>
      </c>
      <c r="N14" s="12">
        <f t="shared" si="3"/>
        <v>120.44117647058839</v>
      </c>
      <c r="O14" s="14">
        <f t="shared" si="4"/>
        <v>0</v>
      </c>
      <c r="P14" s="15">
        <f t="shared" si="5"/>
        <v>-4.5588235294116117</v>
      </c>
      <c r="Q14" s="91">
        <f t="shared" si="6"/>
        <v>0.96352941176470708</v>
      </c>
      <c r="R14" s="177"/>
      <c r="S14" s="21">
        <v>0.70833333333333337</v>
      </c>
      <c r="T14" s="21">
        <v>0.75555555555555554</v>
      </c>
      <c r="U14" s="88" t="str">
        <f t="shared" ref="U14:U15" si="18">IF(S14=TIME(17,0,0),"",(S14-T13)*24*60)</f>
        <v/>
      </c>
      <c r="V14" s="30">
        <f t="shared" si="17"/>
        <v>67.999999999999915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8"/>
        <v>-72.941176470585788</v>
      </c>
      <c r="AF14" s="91">
        <f t="shared" si="9"/>
        <v>0.96352941176470708</v>
      </c>
      <c r="AG14" s="177"/>
    </row>
    <row r="15" spans="1:33" ht="16.5" customHeight="1">
      <c r="A15" s="198" t="s">
        <v>470</v>
      </c>
      <c r="B15" s="88" t="s">
        <v>5</v>
      </c>
      <c r="C15" s="193" t="s">
        <v>15</v>
      </c>
      <c r="D15" s="193"/>
      <c r="E15" s="28">
        <v>50.92</v>
      </c>
      <c r="F15" s="88">
        <v>2155</v>
      </c>
      <c r="G15" s="88">
        <f t="shared" si="15"/>
        <v>109732.6</v>
      </c>
      <c r="H15" s="30" t="s">
        <v>53</v>
      </c>
      <c r="I15" s="95">
        <v>15</v>
      </c>
      <c r="J15" s="13">
        <v>2000</v>
      </c>
      <c r="K15" s="12">
        <f t="shared" si="1"/>
        <v>133.33333333333334</v>
      </c>
      <c r="L15" s="95">
        <v>15</v>
      </c>
      <c r="M15" s="13">
        <f t="shared" si="16"/>
        <v>1929.8507462686541</v>
      </c>
      <c r="N15" s="12">
        <f t="shared" si="3"/>
        <v>128.65671641791027</v>
      </c>
      <c r="O15" s="14">
        <f t="shared" si="4"/>
        <v>0</v>
      </c>
      <c r="P15" s="15">
        <f t="shared" si="5"/>
        <v>-4.6766169154230681</v>
      </c>
      <c r="Q15" s="91">
        <f t="shared" si="6"/>
        <v>0.96492537313432702</v>
      </c>
      <c r="R15" s="177"/>
      <c r="S15" s="21">
        <v>0.76041666666666663</v>
      </c>
      <c r="T15" s="21">
        <v>0.80694444444444446</v>
      </c>
      <c r="U15" s="88">
        <f t="shared" si="18"/>
        <v>6.9999999999999751</v>
      </c>
      <c r="V15" s="30">
        <f t="shared" si="17"/>
        <v>67.000000000000085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-70.14925373134588</v>
      </c>
      <c r="AF15" s="91">
        <f t="shared" si="9"/>
        <v>0.96492537313432702</v>
      </c>
      <c r="AG15" s="177"/>
    </row>
    <row r="16" spans="1:33" ht="16.5" customHeight="1">
      <c r="A16" s="198" t="s">
        <v>469</v>
      </c>
      <c r="B16" s="28" t="s">
        <v>471</v>
      </c>
      <c r="C16" s="178"/>
      <c r="D16" s="178"/>
      <c r="E16" s="92"/>
      <c r="F16" s="12"/>
      <c r="G16" s="12"/>
      <c r="H16" s="88"/>
      <c r="I16" s="23">
        <v>19</v>
      </c>
      <c r="J16" s="13">
        <v>1833.3333333333333</v>
      </c>
      <c r="K16" s="12">
        <f t="shared" si="1"/>
        <v>96.491228070175438</v>
      </c>
      <c r="L16" s="23">
        <v>19</v>
      </c>
      <c r="M16" s="13">
        <f>AVERAGE(M13:M15)</f>
        <v>1763.4583054442408</v>
      </c>
      <c r="N16" s="12">
        <f t="shared" si="3"/>
        <v>92.813595023381097</v>
      </c>
      <c r="O16" s="14">
        <f t="shared" si="4"/>
        <v>0</v>
      </c>
      <c r="P16" s="15">
        <f t="shared" si="5"/>
        <v>-3.677633046794341</v>
      </c>
      <c r="Q16" s="91">
        <f t="shared" si="6"/>
        <v>0.96188634842413134</v>
      </c>
      <c r="R16" s="177"/>
      <c r="S16" s="21"/>
      <c r="T16" s="21"/>
      <c r="U16" s="88"/>
      <c r="V16" s="30"/>
      <c r="W16" s="12"/>
      <c r="X16" s="12"/>
      <c r="Y16" s="24">
        <f>SUM(Y13:Y15)</f>
        <v>0</v>
      </c>
      <c r="Z16" s="24">
        <f>SUM(Z13:Z15)</f>
        <v>0</v>
      </c>
      <c r="AA16" s="167"/>
      <c r="AB16" s="167"/>
      <c r="AC16" s="24">
        <v>3</v>
      </c>
      <c r="AD16" s="24">
        <f>SUM(AD13:AD15)</f>
        <v>0</v>
      </c>
      <c r="AE16" s="14">
        <f t="shared" si="8"/>
        <v>-69.875027889092507</v>
      </c>
      <c r="AF16" s="91">
        <f t="shared" si="9"/>
        <v>0.96188634842413134</v>
      </c>
      <c r="AG16" s="177"/>
    </row>
    <row r="17" spans="1:33" ht="15.75" customHeight="1">
      <c r="A17" s="195" t="s">
        <v>170</v>
      </c>
      <c r="B17" s="28" t="s">
        <v>5</v>
      </c>
      <c r="C17" s="193" t="s">
        <v>17</v>
      </c>
      <c r="D17" s="193"/>
      <c r="E17" s="28">
        <v>57.73</v>
      </c>
      <c r="F17" s="88">
        <v>2094</v>
      </c>
      <c r="G17" s="88">
        <f t="shared" ref="G17:G22" si="19">E17*F17</f>
        <v>120886.62</v>
      </c>
      <c r="H17" s="30" t="s">
        <v>53</v>
      </c>
      <c r="I17" s="95">
        <v>14</v>
      </c>
      <c r="J17" s="13">
        <v>2000</v>
      </c>
      <c r="K17" s="12">
        <f t="shared" si="1"/>
        <v>142.85714285714286</v>
      </c>
      <c r="L17" s="95">
        <v>14</v>
      </c>
      <c r="M17" s="13">
        <f t="shared" ref="M17:M22" si="20">F17/V17*60</f>
        <v>1903.6363636363644</v>
      </c>
      <c r="N17" s="12">
        <f t="shared" si="3"/>
        <v>135.97402597402603</v>
      </c>
      <c r="O17" s="14">
        <f t="shared" si="4"/>
        <v>0</v>
      </c>
      <c r="P17" s="15">
        <f t="shared" si="5"/>
        <v>-6.883116883116827</v>
      </c>
      <c r="Q17" s="91">
        <f t="shared" si="6"/>
        <v>0.95181818181818223</v>
      </c>
      <c r="R17" s="177">
        <f>Q23</f>
        <v>0.95807846878897585</v>
      </c>
      <c r="S17" s="21">
        <v>0.20833333333333334</v>
      </c>
      <c r="T17" s="21">
        <v>0.25416666666666665</v>
      </c>
      <c r="U17" s="88"/>
      <c r="V17" s="30">
        <f t="shared" ref="V17:V22" si="21">(T17-S17)*24*60</f>
        <v>65.999999999999972</v>
      </c>
      <c r="W17" s="21"/>
      <c r="X17" s="21"/>
      <c r="Y17" s="21"/>
      <c r="Z17" s="21"/>
      <c r="AA17" s="168"/>
      <c r="AB17" s="168"/>
      <c r="AC17" s="18">
        <v>6</v>
      </c>
      <c r="AD17" s="18"/>
      <c r="AE17" s="14">
        <f t="shared" si="8"/>
        <v>-96.363636363635578</v>
      </c>
      <c r="AF17" s="91">
        <f t="shared" si="9"/>
        <v>0.95181818181818223</v>
      </c>
      <c r="AG17" s="177">
        <f>AF23</f>
        <v>0.95807846878897585</v>
      </c>
    </row>
    <row r="18" spans="1:33" ht="15.75" customHeight="1">
      <c r="A18" s="196" t="s">
        <v>472</v>
      </c>
      <c r="B18" s="28" t="s">
        <v>5</v>
      </c>
      <c r="C18" s="193" t="s">
        <v>18</v>
      </c>
      <c r="D18" s="193"/>
      <c r="E18" s="28">
        <v>53.68</v>
      </c>
      <c r="F18" s="88">
        <v>1190</v>
      </c>
      <c r="G18" s="88">
        <f t="shared" si="19"/>
        <v>63879.199999999997</v>
      </c>
      <c r="H18" s="30" t="s">
        <v>53</v>
      </c>
      <c r="I18" s="95">
        <v>16</v>
      </c>
      <c r="J18" s="13">
        <v>2000</v>
      </c>
      <c r="K18" s="12">
        <f t="shared" si="1"/>
        <v>125</v>
      </c>
      <c r="L18" s="95">
        <v>16</v>
      </c>
      <c r="M18" s="13">
        <f t="shared" si="20"/>
        <v>1929.7297297297284</v>
      </c>
      <c r="N18" s="12">
        <f t="shared" si="3"/>
        <v>120.60810810810803</v>
      </c>
      <c r="O18" s="14">
        <f t="shared" si="4"/>
        <v>0</v>
      </c>
      <c r="P18" s="15">
        <f t="shared" si="5"/>
        <v>-4.3918918918919729</v>
      </c>
      <c r="Q18" s="91">
        <f t="shared" si="6"/>
        <v>0.96486486486486422</v>
      </c>
      <c r="R18" s="177"/>
      <c r="S18" s="21">
        <v>0.25902777777777775</v>
      </c>
      <c r="T18" s="21">
        <v>0.28472222222222221</v>
      </c>
      <c r="U18" s="88">
        <f t="shared" ref="U18:U22" si="22">IF(S18=TIME(17,0,0),"",(S18-T17)*24*60)</f>
        <v>6.9999999999999751</v>
      </c>
      <c r="V18" s="30">
        <f t="shared" si="21"/>
        <v>37.000000000000028</v>
      </c>
      <c r="W18" s="16"/>
      <c r="X18" s="88"/>
      <c r="Y18" s="88"/>
      <c r="Z18" s="88"/>
      <c r="AA18" s="168"/>
      <c r="AB18" s="168"/>
      <c r="AC18" s="18"/>
      <c r="AD18" s="18"/>
      <c r="AE18" s="14">
        <f t="shared" si="8"/>
        <v>-70.270270270271567</v>
      </c>
      <c r="AF18" s="91">
        <f t="shared" si="9"/>
        <v>0.96486486486486422</v>
      </c>
      <c r="AG18" s="177"/>
    </row>
    <row r="19" spans="1:33" ht="15.75" customHeight="1">
      <c r="A19" s="196" t="s">
        <v>473</v>
      </c>
      <c r="B19" s="28" t="s">
        <v>5</v>
      </c>
      <c r="C19" s="193" t="s">
        <v>73</v>
      </c>
      <c r="D19" s="193"/>
      <c r="E19" s="28">
        <v>50.67</v>
      </c>
      <c r="F19" s="88">
        <v>2345</v>
      </c>
      <c r="G19" s="88">
        <f t="shared" si="19"/>
        <v>118821.15000000001</v>
      </c>
      <c r="H19" s="30" t="s">
        <v>53</v>
      </c>
      <c r="I19" s="95">
        <v>16</v>
      </c>
      <c r="J19" s="13">
        <v>2000</v>
      </c>
      <c r="K19" s="12">
        <f t="shared" si="1"/>
        <v>125</v>
      </c>
      <c r="L19" s="95">
        <v>16</v>
      </c>
      <c r="M19" s="13">
        <f t="shared" si="20"/>
        <v>1927.3972602739727</v>
      </c>
      <c r="N19" s="12">
        <f t="shared" si="3"/>
        <v>120.4623287671233</v>
      </c>
      <c r="O19" s="14">
        <f t="shared" si="4"/>
        <v>0</v>
      </c>
      <c r="P19" s="15">
        <f t="shared" si="5"/>
        <v>-4.5376712328767042</v>
      </c>
      <c r="Q19" s="91">
        <f t="shared" si="6"/>
        <v>0.96369863013698631</v>
      </c>
      <c r="R19" s="177"/>
      <c r="S19" s="21">
        <v>0.28819444444444442</v>
      </c>
      <c r="T19" s="21">
        <v>0.33888888888888885</v>
      </c>
      <c r="U19" s="88">
        <f t="shared" si="22"/>
        <v>4.9999999999999822</v>
      </c>
      <c r="V19" s="30">
        <f t="shared" si="21"/>
        <v>72.999999999999986</v>
      </c>
      <c r="W19" s="16"/>
      <c r="X19" s="88"/>
      <c r="Y19" s="88"/>
      <c r="Z19" s="88"/>
      <c r="AA19" s="168"/>
      <c r="AB19" s="168"/>
      <c r="AC19" s="18"/>
      <c r="AD19" s="18"/>
      <c r="AE19" s="14">
        <f t="shared" si="8"/>
        <v>-72.602739726027266</v>
      </c>
      <c r="AF19" s="91">
        <f t="shared" si="9"/>
        <v>0.96369863013698631</v>
      </c>
      <c r="AG19" s="177"/>
    </row>
    <row r="20" spans="1:33" ht="15.75" customHeight="1">
      <c r="A20" s="196" t="s">
        <v>472</v>
      </c>
      <c r="B20" s="28" t="s">
        <v>5</v>
      </c>
      <c r="C20" s="193" t="s">
        <v>21</v>
      </c>
      <c r="D20" s="193"/>
      <c r="E20" s="28">
        <v>57.3</v>
      </c>
      <c r="F20" s="88">
        <v>1274</v>
      </c>
      <c r="G20" s="88">
        <f t="shared" si="19"/>
        <v>73000.2</v>
      </c>
      <c r="H20" s="30" t="s">
        <v>53</v>
      </c>
      <c r="I20" s="95">
        <v>13</v>
      </c>
      <c r="J20" s="13">
        <v>2000</v>
      </c>
      <c r="K20" s="12">
        <f t="shared" si="1"/>
        <v>153.84615384615384</v>
      </c>
      <c r="L20" s="95">
        <v>13</v>
      </c>
      <c r="M20" s="13">
        <f t="shared" si="20"/>
        <v>1910.9999999999993</v>
      </c>
      <c r="N20" s="12">
        <f t="shared" si="3"/>
        <v>146.99999999999994</v>
      </c>
      <c r="O20" s="14">
        <f t="shared" si="4"/>
        <v>0</v>
      </c>
      <c r="P20" s="15">
        <f t="shared" si="5"/>
        <v>-6.8461538461538964</v>
      </c>
      <c r="Q20" s="91">
        <f t="shared" si="6"/>
        <v>0.95549999999999968</v>
      </c>
      <c r="R20" s="177"/>
      <c r="S20" s="21">
        <v>0.70833333333333337</v>
      </c>
      <c r="T20" s="21">
        <v>0.73611111111111116</v>
      </c>
      <c r="U20" s="88" t="str">
        <f t="shared" si="22"/>
        <v/>
      </c>
      <c r="V20" s="30">
        <f t="shared" si="21"/>
        <v>40.000000000000014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-89.000000000000682</v>
      </c>
      <c r="AF20" s="91">
        <f t="shared" si="9"/>
        <v>0.95549999999999968</v>
      </c>
      <c r="AG20" s="177"/>
    </row>
    <row r="21" spans="1:33" ht="15.75" customHeight="1">
      <c r="A21" s="196" t="s">
        <v>474</v>
      </c>
      <c r="B21" s="28" t="s">
        <v>5</v>
      </c>
      <c r="C21" s="193" t="s">
        <v>20</v>
      </c>
      <c r="D21" s="193"/>
      <c r="E21" s="28">
        <v>53.68</v>
      </c>
      <c r="F21" s="88">
        <v>1215</v>
      </c>
      <c r="G21" s="88">
        <f t="shared" si="19"/>
        <v>65221.2</v>
      </c>
      <c r="H21" s="30" t="s">
        <v>53</v>
      </c>
      <c r="I21" s="95">
        <v>16</v>
      </c>
      <c r="J21" s="13">
        <v>1500</v>
      </c>
      <c r="K21" s="12">
        <f t="shared" si="1"/>
        <v>93.75</v>
      </c>
      <c r="L21" s="95">
        <v>16</v>
      </c>
      <c r="M21" s="13">
        <f t="shared" si="20"/>
        <v>1429.4117647058831</v>
      </c>
      <c r="N21" s="12">
        <f t="shared" si="3"/>
        <v>89.338235294117695</v>
      </c>
      <c r="O21" s="14">
        <f t="shared" si="4"/>
        <v>0</v>
      </c>
      <c r="P21" s="15">
        <f t="shared" si="5"/>
        <v>-4.4117647058823053</v>
      </c>
      <c r="Q21" s="91">
        <f t="shared" si="6"/>
        <v>0.95294117647058874</v>
      </c>
      <c r="R21" s="177"/>
      <c r="S21" s="21">
        <v>0.74097222222222225</v>
      </c>
      <c r="T21" s="21">
        <v>0.77638888888888891</v>
      </c>
      <c r="U21" s="88">
        <f t="shared" si="22"/>
        <v>6.9999999999999751</v>
      </c>
      <c r="V21" s="30">
        <f t="shared" si="21"/>
        <v>50.999999999999979</v>
      </c>
      <c r="W21" s="16"/>
      <c r="X21" s="16"/>
      <c r="Y21" s="88"/>
      <c r="Z21" s="88"/>
      <c r="AA21" s="168"/>
      <c r="AB21" s="168"/>
      <c r="AC21" s="18"/>
      <c r="AD21" s="18"/>
      <c r="AE21" s="14">
        <f t="shared" si="8"/>
        <v>-70.588235294116885</v>
      </c>
      <c r="AF21" s="91">
        <f t="shared" si="9"/>
        <v>0.95294117647058874</v>
      </c>
      <c r="AG21" s="177"/>
    </row>
    <row r="22" spans="1:33" ht="15.75" customHeight="1">
      <c r="A22" s="196" t="s">
        <v>475</v>
      </c>
      <c r="B22" s="28" t="s">
        <v>5</v>
      </c>
      <c r="C22" s="193" t="s">
        <v>19</v>
      </c>
      <c r="D22" s="193"/>
      <c r="E22" s="28">
        <v>50.49</v>
      </c>
      <c r="F22" s="88">
        <v>1757</v>
      </c>
      <c r="G22" s="88">
        <f t="shared" si="19"/>
        <v>88710.930000000008</v>
      </c>
      <c r="H22" s="30" t="s">
        <v>53</v>
      </c>
      <c r="I22" s="95">
        <v>15</v>
      </c>
      <c r="J22" s="13">
        <v>2000</v>
      </c>
      <c r="K22" s="12">
        <f t="shared" si="1"/>
        <v>133.33333333333334</v>
      </c>
      <c r="L22" s="95">
        <v>15</v>
      </c>
      <c r="M22" s="13">
        <f t="shared" si="20"/>
        <v>1916.7272727272739</v>
      </c>
      <c r="N22" s="12">
        <f t="shared" si="3"/>
        <v>127.78181818181825</v>
      </c>
      <c r="O22" s="14">
        <f t="shared" si="4"/>
        <v>0</v>
      </c>
      <c r="P22" s="15">
        <f t="shared" si="5"/>
        <v>-5.5515151515150905</v>
      </c>
      <c r="Q22" s="91">
        <f t="shared" si="6"/>
        <v>0.95836363636363686</v>
      </c>
      <c r="R22" s="177"/>
      <c r="S22" s="21">
        <v>0.78125</v>
      </c>
      <c r="T22" s="21">
        <v>0.81944444444444442</v>
      </c>
      <c r="U22" s="88">
        <f t="shared" si="22"/>
        <v>6.9999999999999751</v>
      </c>
      <c r="V22" s="30">
        <f t="shared" si="21"/>
        <v>54.999999999999964</v>
      </c>
      <c r="W22" s="16"/>
      <c r="X22" s="21"/>
      <c r="Y22" s="21"/>
      <c r="Z22" s="21"/>
      <c r="AA22" s="168"/>
      <c r="AB22" s="168"/>
      <c r="AC22" s="18"/>
      <c r="AD22" s="18"/>
      <c r="AE22" s="14">
        <f t="shared" si="8"/>
        <v>-83.272727272726115</v>
      </c>
      <c r="AF22" s="91">
        <f t="shared" si="9"/>
        <v>0.95836363636363697</v>
      </c>
      <c r="AG22" s="177"/>
    </row>
    <row r="23" spans="1:33" ht="15.75" customHeight="1">
      <c r="A23" s="196" t="s">
        <v>472</v>
      </c>
      <c r="B23" s="28" t="s">
        <v>476</v>
      </c>
      <c r="C23" s="178"/>
      <c r="D23" s="178"/>
      <c r="E23" s="92"/>
      <c r="F23" s="88"/>
      <c r="G23" s="88"/>
      <c r="H23" s="88"/>
      <c r="I23" s="23">
        <v>15</v>
      </c>
      <c r="J23" s="13">
        <v>1916.6666666666667</v>
      </c>
      <c r="K23" s="12">
        <f t="shared" si="1"/>
        <v>127.77777777777779</v>
      </c>
      <c r="L23" s="23">
        <v>15</v>
      </c>
      <c r="M23" s="13">
        <f>AVERAGE(M17:M22)</f>
        <v>1836.3170651788705</v>
      </c>
      <c r="N23" s="12">
        <f t="shared" si="3"/>
        <v>122.42113767859136</v>
      </c>
      <c r="O23" s="14">
        <f t="shared" si="4"/>
        <v>0</v>
      </c>
      <c r="P23" s="15">
        <f t="shared" si="5"/>
        <v>-5.3566400991864214</v>
      </c>
      <c r="Q23" s="91">
        <f t="shared" si="6"/>
        <v>0.95807846878897585</v>
      </c>
      <c r="R23" s="177"/>
      <c r="S23" s="21"/>
      <c r="T23" s="21"/>
      <c r="U23" s="12"/>
      <c r="V23" s="30"/>
      <c r="W23" s="12"/>
      <c r="X23" s="12"/>
      <c r="Y23" s="24">
        <f>SUM(Y17:Y22)</f>
        <v>0</v>
      </c>
      <c r="Z23" s="24">
        <f>SUM(Z17:Z22)</f>
        <v>0</v>
      </c>
      <c r="AA23" s="167"/>
      <c r="AB23" s="167"/>
      <c r="AC23" s="24">
        <v>6</v>
      </c>
      <c r="AD23" s="24">
        <f>SUM(AD17:AD22)</f>
        <v>0</v>
      </c>
      <c r="AE23" s="14">
        <f t="shared" si="8"/>
        <v>-80.349601487796235</v>
      </c>
      <c r="AF23" s="91">
        <f t="shared" si="9"/>
        <v>0.95807846878897585</v>
      </c>
      <c r="AG23" s="177"/>
    </row>
    <row r="24" spans="1:33" ht="15.75" customHeight="1">
      <c r="A24" s="194" t="s">
        <v>171</v>
      </c>
      <c r="B24" s="28" t="s">
        <v>22</v>
      </c>
      <c r="C24" s="193" t="s">
        <v>23</v>
      </c>
      <c r="D24" s="193"/>
      <c r="E24" s="28">
        <v>31.29</v>
      </c>
      <c r="F24" s="88">
        <v>6653</v>
      </c>
      <c r="G24" s="88">
        <f t="shared" ref="G24:G28" si="23">E24*F24</f>
        <v>208172.37</v>
      </c>
      <c r="H24" s="30" t="s">
        <v>53</v>
      </c>
      <c r="I24" s="95">
        <v>18</v>
      </c>
      <c r="J24" s="13">
        <v>2400</v>
      </c>
      <c r="K24" s="12">
        <f t="shared" si="1"/>
        <v>133.33333333333334</v>
      </c>
      <c r="L24" s="95">
        <v>18</v>
      </c>
      <c r="M24" s="13">
        <f t="shared" ref="M24:M28" si="24">F24/V24*60</f>
        <v>2294.1379310344828</v>
      </c>
      <c r="N24" s="12">
        <f t="shared" si="3"/>
        <v>127.45210727969349</v>
      </c>
      <c r="O24" s="14">
        <f t="shared" si="4"/>
        <v>0</v>
      </c>
      <c r="P24" s="15">
        <f t="shared" si="5"/>
        <v>-5.8812260536398497</v>
      </c>
      <c r="Q24" s="91">
        <f t="shared" si="6"/>
        <v>0.95589080459770115</v>
      </c>
      <c r="R24" s="177">
        <f>Q29</f>
        <v>0.95765418579898365</v>
      </c>
      <c r="S24" s="21">
        <v>8.3333333333333329E-2</v>
      </c>
      <c r="T24" s="21">
        <v>0.20416666666666666</v>
      </c>
      <c r="U24" s="88"/>
      <c r="V24" s="30">
        <f t="shared" ref="V24:V28" si="25">(T24-S24)*24*60</f>
        <v>174</v>
      </c>
      <c r="W24" s="16">
        <f>T24</f>
        <v>0.20416666666666666</v>
      </c>
      <c r="X24" s="16">
        <f>S25</f>
        <v>0.22500000000000001</v>
      </c>
      <c r="Y24" s="16"/>
      <c r="Z24" s="16"/>
      <c r="AA24" s="168"/>
      <c r="AB24" s="168"/>
      <c r="AC24" s="18">
        <v>5</v>
      </c>
      <c r="AD24" s="18"/>
      <c r="AE24" s="14">
        <f t="shared" si="8"/>
        <v>-105.86206896551721</v>
      </c>
      <c r="AF24" s="91">
        <f t="shared" si="9"/>
        <v>0.95589080459770115</v>
      </c>
      <c r="AG24" s="177">
        <f>AF29</f>
        <v>0.95765418579898365</v>
      </c>
    </row>
    <row r="25" spans="1:33" ht="15.75" customHeight="1">
      <c r="A25" s="194" t="s">
        <v>477</v>
      </c>
      <c r="B25" s="28" t="s">
        <v>22</v>
      </c>
      <c r="C25" s="193" t="s">
        <v>24</v>
      </c>
      <c r="D25" s="193"/>
      <c r="E25" s="28">
        <v>25.98</v>
      </c>
      <c r="F25" s="88">
        <v>2177</v>
      </c>
      <c r="G25" s="88">
        <f t="shared" si="23"/>
        <v>56558.46</v>
      </c>
      <c r="H25" s="30" t="s">
        <v>53</v>
      </c>
      <c r="I25" s="95">
        <v>21</v>
      </c>
      <c r="J25" s="13">
        <v>2400</v>
      </c>
      <c r="K25" s="12">
        <f t="shared" si="1"/>
        <v>114.28571428571429</v>
      </c>
      <c r="L25" s="95">
        <v>21</v>
      </c>
      <c r="M25" s="13">
        <f t="shared" si="24"/>
        <v>2291.5789473684208</v>
      </c>
      <c r="N25" s="12">
        <f t="shared" si="3"/>
        <v>109.12280701754385</v>
      </c>
      <c r="O25" s="14">
        <f t="shared" si="4"/>
        <v>0</v>
      </c>
      <c r="P25" s="15">
        <f t="shared" si="5"/>
        <v>-5.1629072681704429</v>
      </c>
      <c r="Q25" s="91">
        <f t="shared" si="6"/>
        <v>0.95482456140350858</v>
      </c>
      <c r="R25" s="177"/>
      <c r="S25" s="21">
        <v>0.22500000000000001</v>
      </c>
      <c r="T25" s="21">
        <v>0.26458333333333334</v>
      </c>
      <c r="U25" s="88">
        <f t="shared" ref="U25:U28" si="26">(S25-T24)*24*60</f>
        <v>30.000000000000014</v>
      </c>
      <c r="V25" s="30">
        <f t="shared" si="25"/>
        <v>57</v>
      </c>
      <c r="W25" s="16"/>
      <c r="X25" s="16"/>
      <c r="Y25" s="16"/>
      <c r="Z25" s="16"/>
      <c r="AA25" s="168"/>
      <c r="AB25" s="168"/>
      <c r="AC25" s="18"/>
      <c r="AD25" s="18"/>
      <c r="AE25" s="14">
        <f t="shared" si="8"/>
        <v>-108.42105263157919</v>
      </c>
      <c r="AF25" s="91">
        <f t="shared" si="9"/>
        <v>0.95482456140350869</v>
      </c>
      <c r="AG25" s="177"/>
    </row>
    <row r="26" spans="1:33" ht="15.75" customHeight="1">
      <c r="A26" s="194" t="s">
        <v>478</v>
      </c>
      <c r="B26" s="28" t="s">
        <v>22</v>
      </c>
      <c r="C26" s="193" t="s">
        <v>25</v>
      </c>
      <c r="D26" s="193"/>
      <c r="E26" s="28">
        <v>26.2</v>
      </c>
      <c r="F26" s="88">
        <v>3723</v>
      </c>
      <c r="G26" s="88">
        <f t="shared" si="23"/>
        <v>97542.599999999991</v>
      </c>
      <c r="H26" s="30" t="s">
        <v>53</v>
      </c>
      <c r="I26" s="95">
        <v>20</v>
      </c>
      <c r="J26" s="13">
        <v>2400</v>
      </c>
      <c r="K26" s="12">
        <f t="shared" si="1"/>
        <v>120</v>
      </c>
      <c r="L26" s="95">
        <v>20</v>
      </c>
      <c r="M26" s="13">
        <f t="shared" si="24"/>
        <v>2302.8865979381449</v>
      </c>
      <c r="N26" s="12">
        <f t="shared" si="3"/>
        <v>115.14432989690724</v>
      </c>
      <c r="O26" s="14">
        <f t="shared" si="4"/>
        <v>0</v>
      </c>
      <c r="P26" s="15">
        <f t="shared" si="5"/>
        <v>-4.8556701030927627</v>
      </c>
      <c r="Q26" s="91">
        <f t="shared" si="6"/>
        <v>0.95953608247422695</v>
      </c>
      <c r="R26" s="177"/>
      <c r="S26" s="21">
        <v>0.26805555555555555</v>
      </c>
      <c r="T26" s="21">
        <v>0.33541666666666664</v>
      </c>
      <c r="U26" s="88">
        <f t="shared" si="26"/>
        <v>4.9999999999999822</v>
      </c>
      <c r="V26" s="30">
        <f t="shared" si="25"/>
        <v>96.999999999999972</v>
      </c>
      <c r="W26" s="16"/>
      <c r="X26" s="16"/>
      <c r="Y26" s="16"/>
      <c r="Z26" s="16"/>
      <c r="AA26" s="168"/>
      <c r="AB26" s="168"/>
      <c r="AC26" s="18"/>
      <c r="AD26" s="18"/>
      <c r="AE26" s="14">
        <f t="shared" si="8"/>
        <v>-97.11340206185514</v>
      </c>
      <c r="AF26" s="91">
        <f t="shared" si="9"/>
        <v>0.95953608247422706</v>
      </c>
      <c r="AG26" s="177"/>
    </row>
    <row r="27" spans="1:33" ht="15.75" customHeight="1">
      <c r="A27" s="194" t="s">
        <v>479</v>
      </c>
      <c r="B27" s="28" t="s">
        <v>22</v>
      </c>
      <c r="C27" s="193" t="s">
        <v>26</v>
      </c>
      <c r="D27" s="193"/>
      <c r="E27" s="28">
        <v>25.99</v>
      </c>
      <c r="F27" s="88">
        <v>2954</v>
      </c>
      <c r="G27" s="88">
        <f t="shared" si="23"/>
        <v>76774.459999999992</v>
      </c>
      <c r="H27" s="30" t="s">
        <v>53</v>
      </c>
      <c r="I27" s="95">
        <v>14</v>
      </c>
      <c r="J27" s="13">
        <v>2400</v>
      </c>
      <c r="K27" s="12">
        <f t="shared" si="1"/>
        <v>171.42857142857142</v>
      </c>
      <c r="L27" s="95">
        <v>14</v>
      </c>
      <c r="M27" s="13">
        <f t="shared" si="24"/>
        <v>2301.8181818181829</v>
      </c>
      <c r="N27" s="12">
        <f t="shared" si="3"/>
        <v>164.4155844155845</v>
      </c>
      <c r="O27" s="14">
        <f t="shared" si="4"/>
        <v>0</v>
      </c>
      <c r="P27" s="15">
        <f t="shared" si="5"/>
        <v>-7.0129870129869119</v>
      </c>
      <c r="Q27" s="91">
        <f t="shared" si="6"/>
        <v>0.95909090909090966</v>
      </c>
      <c r="R27" s="177"/>
      <c r="S27" s="21">
        <v>0.33958333333333329</v>
      </c>
      <c r="T27" s="21">
        <v>0.39305555555555549</v>
      </c>
      <c r="U27" s="88">
        <f t="shared" si="26"/>
        <v>5.9999999999999787</v>
      </c>
      <c r="V27" s="30">
        <f t="shared" si="25"/>
        <v>76.999999999999972</v>
      </c>
      <c r="W27" s="16"/>
      <c r="X27" s="16"/>
      <c r="Y27" s="16"/>
      <c r="Z27" s="16"/>
      <c r="AA27" s="168"/>
      <c r="AB27" s="168"/>
      <c r="AC27" s="18"/>
      <c r="AD27" s="18"/>
      <c r="AE27" s="14">
        <f t="shared" si="8"/>
        <v>-98.181818181817107</v>
      </c>
      <c r="AF27" s="91">
        <f t="shared" si="9"/>
        <v>0.95909090909090955</v>
      </c>
      <c r="AG27" s="177"/>
    </row>
    <row r="28" spans="1:33" ht="15.75" customHeight="1">
      <c r="A28" s="194" t="s">
        <v>480</v>
      </c>
      <c r="B28" s="28" t="s">
        <v>22</v>
      </c>
      <c r="C28" s="193" t="s">
        <v>27</v>
      </c>
      <c r="D28" s="193"/>
      <c r="E28" s="28">
        <v>26.18</v>
      </c>
      <c r="F28" s="88">
        <v>1074</v>
      </c>
      <c r="G28" s="88">
        <f t="shared" si="23"/>
        <v>28117.32</v>
      </c>
      <c r="H28" s="30" t="s">
        <v>53</v>
      </c>
      <c r="I28" s="95">
        <v>19</v>
      </c>
      <c r="J28" s="13">
        <v>2400</v>
      </c>
      <c r="K28" s="12">
        <f t="shared" si="1"/>
        <v>126.31578947368421</v>
      </c>
      <c r="L28" s="95">
        <v>19</v>
      </c>
      <c r="M28" s="13">
        <f t="shared" si="24"/>
        <v>2301.4285714285734</v>
      </c>
      <c r="N28" s="12">
        <f t="shared" si="3"/>
        <v>121.12781954887228</v>
      </c>
      <c r="O28" s="14">
        <f t="shared" si="4"/>
        <v>0</v>
      </c>
      <c r="P28" s="15">
        <f t="shared" si="5"/>
        <v>-5.1879699248119238</v>
      </c>
      <c r="Q28" s="91">
        <f t="shared" si="6"/>
        <v>0.95892857142857224</v>
      </c>
      <c r="R28" s="177"/>
      <c r="S28" s="21">
        <v>0.3965277777777777</v>
      </c>
      <c r="T28" s="21">
        <v>0.41597222222222213</v>
      </c>
      <c r="U28" s="88">
        <f t="shared" si="26"/>
        <v>4.9999999999999822</v>
      </c>
      <c r="V28" s="30">
        <f t="shared" si="25"/>
        <v>27.999999999999979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-98.571428571426623</v>
      </c>
      <c r="AF28" s="91">
        <f t="shared" si="9"/>
        <v>0.95892857142857224</v>
      </c>
      <c r="AG28" s="177"/>
    </row>
    <row r="29" spans="1:33" ht="15.75" customHeight="1">
      <c r="A29" s="194" t="s">
        <v>477</v>
      </c>
      <c r="B29" s="28" t="s">
        <v>467</v>
      </c>
      <c r="C29" s="178"/>
      <c r="D29" s="178"/>
      <c r="E29" s="92"/>
      <c r="F29" s="88"/>
      <c r="G29" s="88"/>
      <c r="H29" s="88"/>
      <c r="I29" s="23">
        <v>18.399999999999999</v>
      </c>
      <c r="J29" s="13">
        <v>2400</v>
      </c>
      <c r="K29" s="12">
        <f t="shared" si="1"/>
        <v>130.43478260869566</v>
      </c>
      <c r="L29" s="23">
        <v>18.399999999999999</v>
      </c>
      <c r="M29" s="13">
        <f>AVERAGE(M24:M28)</f>
        <v>2298.3700459175607</v>
      </c>
      <c r="N29" s="12">
        <f t="shared" si="3"/>
        <v>124.91141553899787</v>
      </c>
      <c r="O29" s="14">
        <f t="shared" si="4"/>
        <v>0</v>
      </c>
      <c r="P29" s="15">
        <f t="shared" si="5"/>
        <v>-5.5233670696977839</v>
      </c>
      <c r="Q29" s="91">
        <f t="shared" si="6"/>
        <v>0.95765418579898365</v>
      </c>
      <c r="R29" s="177"/>
      <c r="S29" s="21"/>
      <c r="T29" s="21"/>
      <c r="U29" s="88"/>
      <c r="V29" s="30"/>
      <c r="W29" s="88"/>
      <c r="X29" s="88"/>
      <c r="Y29" s="24">
        <f>SUM(Y24:Y28)</f>
        <v>0</v>
      </c>
      <c r="Z29" s="24">
        <f>SUM(Z24:Z28)</f>
        <v>0</v>
      </c>
      <c r="AA29" s="167"/>
      <c r="AB29" s="167"/>
      <c r="AC29" s="24">
        <v>5</v>
      </c>
      <c r="AD29" s="24">
        <f>SUM(AD24:AD28)</f>
        <v>0</v>
      </c>
      <c r="AE29" s="14">
        <f t="shared" si="8"/>
        <v>-101.62995408243933</v>
      </c>
      <c r="AF29" s="91">
        <f t="shared" si="9"/>
        <v>0.95765418579898365</v>
      </c>
      <c r="AG29" s="177"/>
    </row>
    <row r="30" spans="1:33" ht="15.75" customHeight="1">
      <c r="A30" s="191" t="s">
        <v>481</v>
      </c>
      <c r="B30" s="28" t="s">
        <v>22</v>
      </c>
      <c r="C30" s="169" t="s">
        <v>28</v>
      </c>
      <c r="D30" s="169"/>
      <c r="E30" s="28">
        <v>26.2</v>
      </c>
      <c r="F30" s="88">
        <v>4740</v>
      </c>
      <c r="G30" s="88">
        <f t="shared" ref="G30:G34" si="27">E30*F30</f>
        <v>124188</v>
      </c>
      <c r="H30" s="30" t="s">
        <v>53</v>
      </c>
      <c r="I30" s="95">
        <v>18</v>
      </c>
      <c r="J30" s="13">
        <v>2400</v>
      </c>
      <c r="K30" s="12">
        <f t="shared" si="1"/>
        <v>133.33333333333334</v>
      </c>
      <c r="L30" s="95">
        <v>18</v>
      </c>
      <c r="M30" s="13">
        <f t="shared" ref="M30:M34" si="28">F30/V30*60</f>
        <v>2293.5483870967737</v>
      </c>
      <c r="N30" s="12">
        <f t="shared" si="3"/>
        <v>127.41935483870965</v>
      </c>
      <c r="O30" s="14">
        <f t="shared" si="4"/>
        <v>0</v>
      </c>
      <c r="P30" s="15">
        <f t="shared" si="5"/>
        <v>-5.9139784946236915</v>
      </c>
      <c r="Q30" s="91">
        <f t="shared" si="6"/>
        <v>0.95564516129032229</v>
      </c>
      <c r="R30" s="177">
        <f>Q35</f>
        <v>0.95431862406905776</v>
      </c>
      <c r="S30" s="21">
        <v>8.3333333333333329E-2</v>
      </c>
      <c r="T30" s="21">
        <v>0.16944444444444445</v>
      </c>
      <c r="U30" s="88"/>
      <c r="V30" s="30">
        <f t="shared" ref="V30:V34" si="29">(T30-S30)*24*60</f>
        <v>124.00000000000001</v>
      </c>
      <c r="W30" s="21">
        <f>T30</f>
        <v>0.16944444444444445</v>
      </c>
      <c r="X30" s="21">
        <f>S31</f>
        <v>0.18888888888888888</v>
      </c>
      <c r="Y30" s="21"/>
      <c r="Z30" s="21"/>
      <c r="AA30" s="168"/>
      <c r="AB30" s="168"/>
      <c r="AC30" s="18">
        <v>5</v>
      </c>
      <c r="AD30" s="18"/>
      <c r="AE30" s="14">
        <f t="shared" si="8"/>
        <v>-106.45161290322631</v>
      </c>
      <c r="AF30" s="91">
        <f t="shared" si="9"/>
        <v>0.9556451612903224</v>
      </c>
      <c r="AG30" s="177">
        <f>AF35</f>
        <v>0.95431862406905776</v>
      </c>
    </row>
    <row r="31" spans="1:33" ht="15.75" customHeight="1">
      <c r="A31" s="191" t="s">
        <v>482</v>
      </c>
      <c r="B31" s="28" t="s">
        <v>22</v>
      </c>
      <c r="C31" s="169" t="s">
        <v>29</v>
      </c>
      <c r="D31" s="169"/>
      <c r="E31" s="28">
        <v>20.52</v>
      </c>
      <c r="F31" s="88">
        <v>2709</v>
      </c>
      <c r="G31" s="88">
        <f t="shared" si="27"/>
        <v>55588.68</v>
      </c>
      <c r="H31" s="30" t="s">
        <v>53</v>
      </c>
      <c r="I31" s="95">
        <v>18</v>
      </c>
      <c r="J31" s="13">
        <v>2400</v>
      </c>
      <c r="K31" s="12">
        <f t="shared" si="1"/>
        <v>133.33333333333334</v>
      </c>
      <c r="L31" s="95">
        <v>18</v>
      </c>
      <c r="M31" s="13">
        <f t="shared" si="28"/>
        <v>2289.2957746478878</v>
      </c>
      <c r="N31" s="12">
        <f t="shared" si="3"/>
        <v>127.18309859154932</v>
      </c>
      <c r="O31" s="14">
        <f t="shared" si="4"/>
        <v>0</v>
      </c>
      <c r="P31" s="15">
        <f t="shared" si="5"/>
        <v>-6.1502347417840184</v>
      </c>
      <c r="Q31" s="91">
        <f t="shared" si="6"/>
        <v>0.95387323943661984</v>
      </c>
      <c r="R31" s="177"/>
      <c r="S31" s="21">
        <v>0.18888888888888888</v>
      </c>
      <c r="T31" s="21">
        <v>0.23819444444444443</v>
      </c>
      <c r="U31" s="88">
        <f t="shared" ref="U31:U34" si="30">(S31-T30)*24*60</f>
        <v>27.999999999999979</v>
      </c>
      <c r="V31" s="30">
        <f t="shared" si="29"/>
        <v>70.999999999999986</v>
      </c>
      <c r="W31" s="88"/>
      <c r="X31" s="88"/>
      <c r="Y31" s="88"/>
      <c r="Z31" s="88"/>
      <c r="AA31" s="168"/>
      <c r="AB31" s="168"/>
      <c r="AC31" s="18"/>
      <c r="AD31" s="18"/>
      <c r="AE31" s="14">
        <f t="shared" si="8"/>
        <v>-110.70422535211219</v>
      </c>
      <c r="AF31" s="91">
        <f t="shared" si="9"/>
        <v>0.95387323943661995</v>
      </c>
      <c r="AG31" s="177"/>
    </row>
    <row r="32" spans="1:33">
      <c r="A32" s="192" t="s">
        <v>172</v>
      </c>
      <c r="B32" s="28" t="s">
        <v>22</v>
      </c>
      <c r="C32" s="169" t="s">
        <v>30</v>
      </c>
      <c r="D32" s="169"/>
      <c r="E32" s="28">
        <v>26.39</v>
      </c>
      <c r="F32" s="88">
        <v>3936</v>
      </c>
      <c r="G32" s="88">
        <f t="shared" si="27"/>
        <v>103871.04000000001</v>
      </c>
      <c r="H32" s="30" t="s">
        <v>53</v>
      </c>
      <c r="I32" s="95">
        <v>19</v>
      </c>
      <c r="J32" s="13">
        <v>2400</v>
      </c>
      <c r="K32" s="12">
        <f t="shared" si="1"/>
        <v>126.31578947368421</v>
      </c>
      <c r="L32" s="95">
        <v>19</v>
      </c>
      <c r="M32" s="13">
        <f t="shared" si="28"/>
        <v>2292.8155339805826</v>
      </c>
      <c r="N32" s="12">
        <f t="shared" si="3"/>
        <v>120.67450178845172</v>
      </c>
      <c r="O32" s="14">
        <f t="shared" si="4"/>
        <v>0</v>
      </c>
      <c r="P32" s="15">
        <f t="shared" si="5"/>
        <v>-5.6412876852324843</v>
      </c>
      <c r="Q32" s="91">
        <f t="shared" si="6"/>
        <v>0.9553398058252428</v>
      </c>
      <c r="R32" s="177"/>
      <c r="S32" s="21">
        <v>0.24374999999999999</v>
      </c>
      <c r="T32" s="21">
        <v>0.31527777777777777</v>
      </c>
      <c r="U32" s="88">
        <f t="shared" si="30"/>
        <v>8.0000000000000107</v>
      </c>
      <c r="V32" s="30">
        <f t="shared" si="29"/>
        <v>103</v>
      </c>
      <c r="W32" s="88"/>
      <c r="X32" s="88"/>
      <c r="Y32" s="88"/>
      <c r="Z32" s="88"/>
      <c r="AA32" s="168"/>
      <c r="AB32" s="168"/>
      <c r="AC32" s="18"/>
      <c r="AD32" s="18"/>
      <c r="AE32" s="14">
        <f t="shared" si="8"/>
        <v>-107.18446601941741</v>
      </c>
      <c r="AF32" s="91">
        <f t="shared" si="9"/>
        <v>0.95533980582524269</v>
      </c>
      <c r="AG32" s="177"/>
    </row>
    <row r="33" spans="1:33">
      <c r="A33" s="192" t="s">
        <v>482</v>
      </c>
      <c r="B33" s="28" t="s">
        <v>22</v>
      </c>
      <c r="C33" s="169" t="s">
        <v>32</v>
      </c>
      <c r="D33" s="169"/>
      <c r="E33" s="28">
        <v>20.52</v>
      </c>
      <c r="F33" s="88">
        <v>2216</v>
      </c>
      <c r="G33" s="88">
        <f t="shared" si="27"/>
        <v>45472.32</v>
      </c>
      <c r="H33" s="30" t="s">
        <v>53</v>
      </c>
      <c r="I33" s="95">
        <v>18</v>
      </c>
      <c r="J33" s="13">
        <v>2400</v>
      </c>
      <c r="K33" s="12">
        <f t="shared" si="1"/>
        <v>133.33333333333334</v>
      </c>
      <c r="L33" s="95">
        <v>18</v>
      </c>
      <c r="M33" s="13">
        <f t="shared" si="28"/>
        <v>2292.413793103447</v>
      </c>
      <c r="N33" s="12">
        <f t="shared" si="3"/>
        <v>127.35632183908039</v>
      </c>
      <c r="O33" s="14">
        <f t="shared" si="4"/>
        <v>0</v>
      </c>
      <c r="P33" s="15">
        <f t="shared" si="5"/>
        <v>-5.9770114942529489</v>
      </c>
      <c r="Q33" s="91">
        <f t="shared" si="6"/>
        <v>0.95517241379310291</v>
      </c>
      <c r="R33" s="177"/>
      <c r="S33" s="21">
        <v>0.31944444444444442</v>
      </c>
      <c r="T33" s="21">
        <v>0.35972222222222222</v>
      </c>
      <c r="U33" s="88">
        <f t="shared" si="30"/>
        <v>5.9999999999999787</v>
      </c>
      <c r="V33" s="30">
        <f t="shared" si="29"/>
        <v>58.000000000000036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-107.58620689655299</v>
      </c>
      <c r="AF33" s="91">
        <f t="shared" si="9"/>
        <v>0.95517241379310291</v>
      </c>
      <c r="AG33" s="177"/>
    </row>
    <row r="34" spans="1:33">
      <c r="A34" s="192" t="s">
        <v>481</v>
      </c>
      <c r="B34" s="28" t="s">
        <v>22</v>
      </c>
      <c r="C34" s="169" t="s">
        <v>70</v>
      </c>
      <c r="D34" s="169"/>
      <c r="E34" s="28">
        <v>22.69</v>
      </c>
      <c r="F34" s="88">
        <v>3654</v>
      </c>
      <c r="G34" s="88">
        <f t="shared" si="27"/>
        <v>82909.260000000009</v>
      </c>
      <c r="H34" s="30" t="s">
        <v>53</v>
      </c>
      <c r="I34" s="95">
        <v>15</v>
      </c>
      <c r="J34" s="13">
        <v>2400</v>
      </c>
      <c r="K34" s="12">
        <f t="shared" si="1"/>
        <v>160</v>
      </c>
      <c r="L34" s="95">
        <v>15</v>
      </c>
      <c r="M34" s="13">
        <f t="shared" si="28"/>
        <v>2283.7500000000009</v>
      </c>
      <c r="N34" s="12">
        <f t="shared" si="3"/>
        <v>152.25000000000006</v>
      </c>
      <c r="O34" s="14">
        <f t="shared" si="4"/>
        <v>0</v>
      </c>
      <c r="P34" s="15">
        <f t="shared" si="5"/>
        <v>-7.7499999999999432</v>
      </c>
      <c r="Q34" s="91">
        <f t="shared" si="6"/>
        <v>0.95156250000000031</v>
      </c>
      <c r="R34" s="177"/>
      <c r="S34" s="21">
        <v>0.36458333333333331</v>
      </c>
      <c r="T34" s="21">
        <v>0.43124999999999997</v>
      </c>
      <c r="U34" s="88">
        <f t="shared" si="30"/>
        <v>6.9999999999999751</v>
      </c>
      <c r="V34" s="30">
        <f t="shared" si="29"/>
        <v>95.999999999999972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8"/>
        <v>-116.24999999999909</v>
      </c>
      <c r="AF34" s="91">
        <f t="shared" si="9"/>
        <v>0.95156250000000042</v>
      </c>
      <c r="AG34" s="177"/>
    </row>
    <row r="35" spans="1:33">
      <c r="A35" s="192" t="s">
        <v>482</v>
      </c>
      <c r="B35" s="12" t="s">
        <v>467</v>
      </c>
      <c r="C35" s="178"/>
      <c r="D35" s="178"/>
      <c r="E35" s="92"/>
      <c r="F35" s="12"/>
      <c r="G35" s="12"/>
      <c r="H35" s="88"/>
      <c r="I35" s="23">
        <v>17.600000000000001</v>
      </c>
      <c r="J35" s="13">
        <v>2400</v>
      </c>
      <c r="K35" s="12">
        <f t="shared" si="1"/>
        <v>136.36363636363635</v>
      </c>
      <c r="L35" s="23">
        <v>17.600000000000001</v>
      </c>
      <c r="M35" s="13">
        <f>AVERAGE(M30:M34)</f>
        <v>2290.3646977657386</v>
      </c>
      <c r="N35" s="12">
        <f t="shared" si="3"/>
        <v>130.13435782759876</v>
      </c>
      <c r="O35" s="14">
        <f t="shared" si="4"/>
        <v>0</v>
      </c>
      <c r="P35" s="15">
        <f t="shared" si="5"/>
        <v>-6.2292785360375831</v>
      </c>
      <c r="Q35" s="91">
        <f t="shared" si="6"/>
        <v>0.95431862406905776</v>
      </c>
      <c r="R35" s="177"/>
      <c r="S35" s="21"/>
      <c r="T35" s="21"/>
      <c r="U35" s="12"/>
      <c r="V35" s="30"/>
      <c r="W35" s="12"/>
      <c r="X35" s="12"/>
      <c r="Y35" s="24">
        <f>SUM(Y30:Y34)</f>
        <v>0</v>
      </c>
      <c r="Z35" s="24">
        <f>SUM(Z30:Z34)</f>
        <v>0</v>
      </c>
      <c r="AA35" s="167"/>
      <c r="AB35" s="167"/>
      <c r="AC35" s="24">
        <v>5</v>
      </c>
      <c r="AD35" s="24">
        <f>SUM(AD30:AD34)</f>
        <v>0</v>
      </c>
      <c r="AE35" s="14">
        <f t="shared" si="8"/>
        <v>-109.63530223426142</v>
      </c>
      <c r="AF35" s="91">
        <f t="shared" si="9"/>
        <v>0.95431862406905776</v>
      </c>
      <c r="AG35" s="177"/>
    </row>
    <row r="36" spans="1:33" ht="15.75" customHeight="1">
      <c r="A36" s="188" t="s">
        <v>483</v>
      </c>
      <c r="B36" s="28" t="s">
        <v>33</v>
      </c>
      <c r="C36" s="170" t="s">
        <v>72</v>
      </c>
      <c r="D36" s="171"/>
      <c r="E36" s="28">
        <v>34.35</v>
      </c>
      <c r="F36" s="88">
        <v>2287</v>
      </c>
      <c r="G36" s="88">
        <f t="shared" ref="G36:G40" si="31">E36*F36</f>
        <v>78558.45</v>
      </c>
      <c r="H36" s="30" t="s">
        <v>53</v>
      </c>
      <c r="I36" s="95">
        <v>8</v>
      </c>
      <c r="J36" s="13">
        <v>3000</v>
      </c>
      <c r="K36" s="12">
        <f t="shared" si="1"/>
        <v>375</v>
      </c>
      <c r="L36" s="95">
        <v>8</v>
      </c>
      <c r="M36" s="13">
        <f t="shared" ref="M36:M40" si="32">F36/V36*60</f>
        <v>2858.7499999999995</v>
      </c>
      <c r="N36" s="13">
        <f t="shared" si="3"/>
        <v>357.34374999999994</v>
      </c>
      <c r="O36" s="14">
        <f t="shared" si="4"/>
        <v>0</v>
      </c>
      <c r="P36" s="15">
        <f t="shared" si="5"/>
        <v>-17.656250000000057</v>
      </c>
      <c r="Q36" s="91">
        <f t="shared" si="6"/>
        <v>0.95291666666666652</v>
      </c>
      <c r="R36" s="183">
        <f>Q41</f>
        <v>0.96091761466729664</v>
      </c>
      <c r="S36" s="21">
        <v>8.3333333333333329E-2</v>
      </c>
      <c r="T36" s="21">
        <v>0.11666666666666667</v>
      </c>
      <c r="U36" s="21"/>
      <c r="V36" s="30">
        <f t="shared" ref="V36:V40" si="33">(T36-S36)*24*60</f>
        <v>48.000000000000007</v>
      </c>
      <c r="W36" s="16">
        <f>T36</f>
        <v>0.11666666666666667</v>
      </c>
      <c r="X36" s="16">
        <f>S37</f>
        <v>0.13472222222222222</v>
      </c>
      <c r="Y36" s="19"/>
      <c r="Z36" s="19"/>
      <c r="AA36" s="172"/>
      <c r="AB36" s="173"/>
      <c r="AC36" s="18">
        <v>5</v>
      </c>
      <c r="AD36" s="18"/>
      <c r="AE36" s="14">
        <f t="shared" si="8"/>
        <v>-141.25000000000045</v>
      </c>
      <c r="AF36" s="91">
        <f t="shared" si="9"/>
        <v>0.95291666666666652</v>
      </c>
      <c r="AG36" s="183">
        <f>AF41</f>
        <v>0.96091761466729653</v>
      </c>
    </row>
    <row r="37" spans="1:33" ht="15.75" customHeight="1">
      <c r="A37" s="189" t="s">
        <v>173</v>
      </c>
      <c r="B37" s="28" t="s">
        <v>33</v>
      </c>
      <c r="C37" s="170" t="s">
        <v>36</v>
      </c>
      <c r="D37" s="171"/>
      <c r="E37" s="28">
        <v>21.13</v>
      </c>
      <c r="F37" s="88">
        <v>4086</v>
      </c>
      <c r="G37" s="88">
        <f t="shared" si="31"/>
        <v>86337.18</v>
      </c>
      <c r="H37" s="30" t="s">
        <v>53</v>
      </c>
      <c r="I37" s="95">
        <v>10</v>
      </c>
      <c r="J37" s="13">
        <v>3000</v>
      </c>
      <c r="K37" s="12">
        <f t="shared" si="1"/>
        <v>300</v>
      </c>
      <c r="L37" s="95">
        <v>10</v>
      </c>
      <c r="M37" s="13">
        <f t="shared" si="32"/>
        <v>2884.2352941176468</v>
      </c>
      <c r="N37" s="13">
        <f t="shared" si="3"/>
        <v>288.42352941176466</v>
      </c>
      <c r="O37" s="14">
        <f t="shared" si="4"/>
        <v>0</v>
      </c>
      <c r="P37" s="15">
        <f t="shared" si="5"/>
        <v>-11.576470588235338</v>
      </c>
      <c r="Q37" s="91">
        <f t="shared" si="6"/>
        <v>0.96141176470588219</v>
      </c>
      <c r="R37" s="184"/>
      <c r="S37" s="21">
        <v>0.13472222222222222</v>
      </c>
      <c r="T37" s="21">
        <v>0.19375000000000001</v>
      </c>
      <c r="U37" s="88">
        <f t="shared" ref="U37:U40" si="34">(S37-T36)*24*60</f>
        <v>25.999999999999986</v>
      </c>
      <c r="V37" s="30">
        <f t="shared" si="33"/>
        <v>85.000000000000014</v>
      </c>
      <c r="W37" s="16"/>
      <c r="X37" s="16"/>
      <c r="Y37" s="19"/>
      <c r="Z37" s="19"/>
      <c r="AA37" s="172"/>
      <c r="AB37" s="173"/>
      <c r="AC37" s="18"/>
      <c r="AD37" s="18"/>
      <c r="AE37" s="14">
        <f t="shared" si="8"/>
        <v>-115.76470588235316</v>
      </c>
      <c r="AF37" s="91">
        <f t="shared" si="9"/>
        <v>0.9614117647058823</v>
      </c>
      <c r="AG37" s="184"/>
    </row>
    <row r="38" spans="1:33" ht="15.75" customHeight="1">
      <c r="A38" s="189" t="s">
        <v>484</v>
      </c>
      <c r="B38" s="28" t="s">
        <v>33</v>
      </c>
      <c r="C38" s="170" t="s">
        <v>37</v>
      </c>
      <c r="D38" s="171"/>
      <c r="E38" s="28">
        <v>27.17</v>
      </c>
      <c r="F38" s="88">
        <v>5121</v>
      </c>
      <c r="G38" s="88">
        <f t="shared" si="31"/>
        <v>139137.57</v>
      </c>
      <c r="H38" s="30" t="s">
        <v>53</v>
      </c>
      <c r="I38" s="95">
        <v>10</v>
      </c>
      <c r="J38" s="13">
        <v>3000</v>
      </c>
      <c r="K38" s="12">
        <f t="shared" si="1"/>
        <v>300</v>
      </c>
      <c r="L38" s="95">
        <v>10</v>
      </c>
      <c r="M38" s="13">
        <f t="shared" si="32"/>
        <v>2871.5887850467284</v>
      </c>
      <c r="N38" s="13">
        <f t="shared" si="3"/>
        <v>287.15887850467283</v>
      </c>
      <c r="O38" s="14">
        <f t="shared" si="4"/>
        <v>0</v>
      </c>
      <c r="P38" s="15">
        <f t="shared" si="5"/>
        <v>-12.841121495327172</v>
      </c>
      <c r="Q38" s="91">
        <f t="shared" si="6"/>
        <v>0.95719626168224281</v>
      </c>
      <c r="R38" s="184"/>
      <c r="S38" s="21">
        <v>0.19930555555555557</v>
      </c>
      <c r="T38" s="21">
        <v>0.27361111111111114</v>
      </c>
      <c r="U38" s="88">
        <f t="shared" si="34"/>
        <v>8.0000000000000107</v>
      </c>
      <c r="V38" s="30">
        <f t="shared" si="33"/>
        <v>107.00000000000001</v>
      </c>
      <c r="W38" s="16"/>
      <c r="X38" s="16"/>
      <c r="Y38" s="19"/>
      <c r="Z38" s="19"/>
      <c r="AA38" s="172"/>
      <c r="AB38" s="173"/>
      <c r="AC38" s="18"/>
      <c r="AD38" s="18"/>
      <c r="AE38" s="14">
        <f t="shared" si="8"/>
        <v>-128.41121495327161</v>
      </c>
      <c r="AF38" s="91">
        <f t="shared" si="9"/>
        <v>0.95719626168224281</v>
      </c>
      <c r="AG38" s="184"/>
    </row>
    <row r="39" spans="1:33" ht="15.75" customHeight="1">
      <c r="A39" s="189" t="s">
        <v>485</v>
      </c>
      <c r="B39" s="28" t="s">
        <v>33</v>
      </c>
      <c r="C39" s="170" t="s">
        <v>71</v>
      </c>
      <c r="D39" s="171"/>
      <c r="E39" s="28">
        <v>28.3</v>
      </c>
      <c r="F39" s="88">
        <v>1556</v>
      </c>
      <c r="G39" s="88">
        <f t="shared" si="31"/>
        <v>44034.8</v>
      </c>
      <c r="H39" s="30" t="s">
        <v>53</v>
      </c>
      <c r="I39" s="95">
        <v>8</v>
      </c>
      <c r="J39" s="13">
        <v>3000</v>
      </c>
      <c r="K39" s="12">
        <f t="shared" si="1"/>
        <v>375</v>
      </c>
      <c r="L39" s="95">
        <v>8</v>
      </c>
      <c r="M39" s="13">
        <f t="shared" si="32"/>
        <v>2917.5000000000036</v>
      </c>
      <c r="N39" s="13">
        <f t="shared" si="3"/>
        <v>364.68750000000045</v>
      </c>
      <c r="O39" s="14">
        <f t="shared" si="4"/>
        <v>0</v>
      </c>
      <c r="P39" s="15">
        <f t="shared" si="5"/>
        <v>-10.312499999999545</v>
      </c>
      <c r="Q39" s="91">
        <f t="shared" si="6"/>
        <v>0.97250000000000125</v>
      </c>
      <c r="R39" s="184"/>
      <c r="S39" s="21">
        <v>0.27777777777777779</v>
      </c>
      <c r="T39" s="21">
        <v>0.3</v>
      </c>
      <c r="U39" s="88">
        <f t="shared" si="34"/>
        <v>5.9999999999999787</v>
      </c>
      <c r="V39" s="30">
        <f t="shared" si="33"/>
        <v>31.999999999999964</v>
      </c>
      <c r="W39" s="16"/>
      <c r="X39" s="16"/>
      <c r="Y39" s="19"/>
      <c r="Z39" s="19"/>
      <c r="AA39" s="172"/>
      <c r="AB39" s="173"/>
      <c r="AC39" s="18"/>
      <c r="AD39" s="18"/>
      <c r="AE39" s="14">
        <f t="shared" si="8"/>
        <v>-82.499999999996362</v>
      </c>
      <c r="AF39" s="91">
        <f t="shared" si="9"/>
        <v>0.97250000000000125</v>
      </c>
      <c r="AG39" s="184"/>
    </row>
    <row r="40" spans="1:33" ht="15.75" customHeight="1">
      <c r="A40" s="189" t="s">
        <v>173</v>
      </c>
      <c r="B40" s="28" t="s">
        <v>33</v>
      </c>
      <c r="C40" s="170" t="s">
        <v>38</v>
      </c>
      <c r="D40" s="171"/>
      <c r="E40" s="28">
        <v>35.869999999999997</v>
      </c>
      <c r="F40" s="88">
        <v>3410</v>
      </c>
      <c r="G40" s="88">
        <f t="shared" si="31"/>
        <v>122316.7</v>
      </c>
      <c r="H40" s="30" t="s">
        <v>53</v>
      </c>
      <c r="I40" s="95">
        <v>9</v>
      </c>
      <c r="J40" s="13">
        <v>3000</v>
      </c>
      <c r="K40" s="12">
        <f t="shared" si="1"/>
        <v>333.33333333333331</v>
      </c>
      <c r="L40" s="95">
        <v>9</v>
      </c>
      <c r="M40" s="13">
        <f t="shared" si="32"/>
        <v>2881.6901408450713</v>
      </c>
      <c r="N40" s="13">
        <f t="shared" si="3"/>
        <v>320.18779342723013</v>
      </c>
      <c r="O40" s="14">
        <f t="shared" si="4"/>
        <v>0</v>
      </c>
      <c r="P40" s="15">
        <f t="shared" si="5"/>
        <v>-13.145539906103181</v>
      </c>
      <c r="Q40" s="91">
        <f t="shared" si="6"/>
        <v>0.96056338028169042</v>
      </c>
      <c r="R40" s="184"/>
      <c r="S40" s="21">
        <v>0.30486111111111108</v>
      </c>
      <c r="T40" s="21">
        <v>0.35416666666666663</v>
      </c>
      <c r="U40" s="88">
        <f t="shared" si="34"/>
        <v>6.9999999999999751</v>
      </c>
      <c r="V40" s="30">
        <f t="shared" si="33"/>
        <v>70.999999999999986</v>
      </c>
      <c r="W40" s="16"/>
      <c r="X40" s="16"/>
      <c r="Y40" s="19"/>
      <c r="Z40" s="19"/>
      <c r="AA40" s="172"/>
      <c r="AB40" s="173"/>
      <c r="AC40" s="18"/>
      <c r="AD40" s="18"/>
      <c r="AE40" s="14">
        <f t="shared" si="8"/>
        <v>-118.30985915492874</v>
      </c>
      <c r="AF40" s="91">
        <f t="shared" si="9"/>
        <v>0.96056338028169042</v>
      </c>
      <c r="AG40" s="184"/>
    </row>
    <row r="41" spans="1:33" ht="15.75" customHeight="1">
      <c r="A41" s="190" t="s">
        <v>486</v>
      </c>
      <c r="B41" s="28" t="s">
        <v>487</v>
      </c>
      <c r="C41" s="165"/>
      <c r="D41" s="166"/>
      <c r="E41" s="89"/>
      <c r="F41" s="88"/>
      <c r="G41" s="88"/>
      <c r="H41" s="88"/>
      <c r="I41" s="23">
        <v>9</v>
      </c>
      <c r="J41" s="13">
        <v>3000</v>
      </c>
      <c r="K41" s="12">
        <f t="shared" si="1"/>
        <v>333.33333333333331</v>
      </c>
      <c r="L41" s="23">
        <v>9</v>
      </c>
      <c r="M41" s="13">
        <f>AVERAGE(M36:M40)</f>
        <v>2882.7528440018896</v>
      </c>
      <c r="N41" s="12">
        <f t="shared" si="3"/>
        <v>320.30587155576552</v>
      </c>
      <c r="O41" s="14">
        <f t="shared" si="4"/>
        <v>0</v>
      </c>
      <c r="P41" s="15">
        <f t="shared" si="5"/>
        <v>-13.027461777567794</v>
      </c>
      <c r="Q41" s="91">
        <f t="shared" si="6"/>
        <v>0.96091761466729664</v>
      </c>
      <c r="R41" s="185"/>
      <c r="S41" s="21"/>
      <c r="T41" s="21"/>
      <c r="U41" s="88"/>
      <c r="V41" s="30"/>
      <c r="W41" s="16"/>
      <c r="X41" s="16"/>
      <c r="Y41" s="24">
        <f>SUM(Y36:Y40)</f>
        <v>0</v>
      </c>
      <c r="Z41" s="24">
        <f>SUM(Z36:Z40)</f>
        <v>0</v>
      </c>
      <c r="AA41" s="186"/>
      <c r="AB41" s="187"/>
      <c r="AC41" s="24">
        <v>5</v>
      </c>
      <c r="AD41" s="24">
        <f>SUM(AD36:AD40)</f>
        <v>0</v>
      </c>
      <c r="AE41" s="14">
        <f t="shared" si="8"/>
        <v>-117.24715599811043</v>
      </c>
      <c r="AF41" s="91">
        <f t="shared" si="9"/>
        <v>0.96091761466729653</v>
      </c>
      <c r="AG41" s="185"/>
    </row>
    <row r="42" spans="1:33" ht="15.75" customHeight="1">
      <c r="A42" s="181" t="s">
        <v>488</v>
      </c>
      <c r="B42" s="28" t="s">
        <v>9</v>
      </c>
      <c r="C42" s="169" t="s">
        <v>39</v>
      </c>
      <c r="D42" s="169"/>
      <c r="E42" s="28">
        <v>46</v>
      </c>
      <c r="F42" s="29">
        <v>2091</v>
      </c>
      <c r="G42" s="88">
        <f t="shared" ref="G42:G48" si="35">E42*F42</f>
        <v>96186</v>
      </c>
      <c r="H42" s="30" t="s">
        <v>53</v>
      </c>
      <c r="I42" s="95">
        <v>17</v>
      </c>
      <c r="J42" s="13">
        <v>2000</v>
      </c>
      <c r="K42" s="12">
        <f t="shared" si="1"/>
        <v>117.64705882352941</v>
      </c>
      <c r="L42" s="95">
        <v>17</v>
      </c>
      <c r="M42" s="13">
        <f t="shared" ref="M42" si="36">F42/V42*60</f>
        <v>1930.1538461538471</v>
      </c>
      <c r="N42" s="13">
        <f t="shared" si="3"/>
        <v>113.53846153846159</v>
      </c>
      <c r="O42" s="14">
        <f t="shared" si="4"/>
        <v>0</v>
      </c>
      <c r="P42" s="15">
        <f t="shared" si="5"/>
        <v>-4.1085972850678161</v>
      </c>
      <c r="Q42" s="91">
        <f t="shared" si="6"/>
        <v>0.96507692307692361</v>
      </c>
      <c r="R42" s="177">
        <f>Q49</f>
        <v>0.96231094940041884</v>
      </c>
      <c r="S42" s="21">
        <v>0.20833333333333334</v>
      </c>
      <c r="T42" s="21">
        <v>0.25347222222222221</v>
      </c>
      <c r="U42" s="21"/>
      <c r="V42" s="30">
        <f t="shared" ref="V42:V48" si="37">(T42-S42)*24*60</f>
        <v>64.999999999999972</v>
      </c>
      <c r="W42" s="21"/>
      <c r="X42" s="21"/>
      <c r="Y42" s="21"/>
      <c r="Z42" s="21"/>
      <c r="AA42" s="168"/>
      <c r="AB42" s="168"/>
      <c r="AC42" s="18">
        <v>7</v>
      </c>
      <c r="AD42" s="18"/>
      <c r="AE42" s="14">
        <f t="shared" si="8"/>
        <v>-69.846153846152902</v>
      </c>
      <c r="AF42" s="91">
        <f t="shared" si="9"/>
        <v>0.9650769230769235</v>
      </c>
      <c r="AG42" s="177">
        <f>AF49</f>
        <v>0.96231094940041895</v>
      </c>
    </row>
    <row r="43" spans="1:33" ht="15.75" customHeight="1">
      <c r="A43" s="181" t="s">
        <v>489</v>
      </c>
      <c r="B43" s="28" t="s">
        <v>5</v>
      </c>
      <c r="C43" s="169" t="s">
        <v>40</v>
      </c>
      <c r="D43" s="169"/>
      <c r="E43" s="28">
        <v>56.43</v>
      </c>
      <c r="F43" s="29">
        <v>1371</v>
      </c>
      <c r="G43" s="88">
        <f t="shared" si="35"/>
        <v>77365.53</v>
      </c>
      <c r="H43" s="30" t="s">
        <v>53</v>
      </c>
      <c r="I43" s="95">
        <v>22</v>
      </c>
      <c r="J43" s="13">
        <v>2000</v>
      </c>
      <c r="K43" s="12">
        <f t="shared" si="1"/>
        <v>90.909090909090907</v>
      </c>
      <c r="L43" s="95">
        <v>22</v>
      </c>
      <c r="M43" s="13">
        <f>F43/V43*60</f>
        <v>1913.0232558139533</v>
      </c>
      <c r="N43" s="13">
        <f t="shared" si="3"/>
        <v>86.955602536997873</v>
      </c>
      <c r="O43" s="14">
        <f t="shared" si="4"/>
        <v>0</v>
      </c>
      <c r="P43" s="15">
        <f t="shared" si="5"/>
        <v>-3.9534883720930338</v>
      </c>
      <c r="Q43" s="91">
        <f t="shared" si="6"/>
        <v>0.95651162790697664</v>
      </c>
      <c r="R43" s="177"/>
      <c r="S43" s="21">
        <v>0.25694444444444442</v>
      </c>
      <c r="T43" s="21">
        <v>0.28680555555555554</v>
      </c>
      <c r="U43" s="88">
        <f t="shared" ref="U43:U48" si="38">IF(S43=TIME(17,0,0),"",(S43-T42)*24*60)</f>
        <v>4.9999999999999822</v>
      </c>
      <c r="V43" s="30">
        <f t="shared" si="37"/>
        <v>43.000000000000007</v>
      </c>
      <c r="W43" s="16"/>
      <c r="X43" s="16"/>
      <c r="Y43" s="16"/>
      <c r="Z43" s="16"/>
      <c r="AA43" s="168"/>
      <c r="AB43" s="168"/>
      <c r="AC43" s="18"/>
      <c r="AD43" s="18"/>
      <c r="AE43" s="14">
        <f t="shared" si="8"/>
        <v>-86.976744186046744</v>
      </c>
      <c r="AF43" s="91">
        <f t="shared" si="9"/>
        <v>0.95651162790697664</v>
      </c>
      <c r="AG43" s="177"/>
    </row>
    <row r="44" spans="1:33" ht="15.75" customHeight="1">
      <c r="A44" s="181" t="s">
        <v>490</v>
      </c>
      <c r="B44" s="28" t="s">
        <v>5</v>
      </c>
      <c r="C44" s="170" t="s">
        <v>41</v>
      </c>
      <c r="D44" s="171"/>
      <c r="E44" s="28">
        <v>51.75</v>
      </c>
      <c r="F44" s="29">
        <v>1018</v>
      </c>
      <c r="G44" s="88">
        <f t="shared" si="35"/>
        <v>52681.5</v>
      </c>
      <c r="H44" s="30" t="s">
        <v>53</v>
      </c>
      <c r="I44" s="95">
        <v>25</v>
      </c>
      <c r="J44" s="13">
        <v>2000</v>
      </c>
      <c r="K44" s="12">
        <f t="shared" si="1"/>
        <v>80</v>
      </c>
      <c r="L44" s="95">
        <v>25</v>
      </c>
      <c r="M44" s="13">
        <f t="shared" ref="M44:M48" si="39">F44/V44*60</f>
        <v>1908.750000000002</v>
      </c>
      <c r="N44" s="13">
        <f t="shared" si="3"/>
        <v>76.35000000000008</v>
      </c>
      <c r="O44" s="14">
        <f t="shared" si="4"/>
        <v>0</v>
      </c>
      <c r="P44" s="15">
        <f t="shared" si="5"/>
        <v>-3.6499999999999204</v>
      </c>
      <c r="Q44" s="91">
        <f t="shared" si="6"/>
        <v>0.95437500000000097</v>
      </c>
      <c r="R44" s="177"/>
      <c r="S44" s="21">
        <v>0.29236111111111107</v>
      </c>
      <c r="T44" s="21">
        <v>0.31458333333333327</v>
      </c>
      <c r="U44" s="88">
        <f t="shared" si="38"/>
        <v>7.9999999999999716</v>
      </c>
      <c r="V44" s="30">
        <f t="shared" si="37"/>
        <v>31.999999999999964</v>
      </c>
      <c r="W44" s="16"/>
      <c r="X44" s="16"/>
      <c r="Y44" s="19"/>
      <c r="Z44" s="19"/>
      <c r="AA44" s="168"/>
      <c r="AB44" s="168"/>
      <c r="AC44" s="18"/>
      <c r="AD44" s="18"/>
      <c r="AE44" s="14">
        <f t="shared" si="8"/>
        <v>-91.249999999997954</v>
      </c>
      <c r="AF44" s="91">
        <f t="shared" si="9"/>
        <v>0.95437500000000097</v>
      </c>
      <c r="AG44" s="177"/>
    </row>
    <row r="45" spans="1:33" ht="15.75" customHeight="1">
      <c r="A45" s="181" t="s">
        <v>489</v>
      </c>
      <c r="B45" s="28" t="s">
        <v>5</v>
      </c>
      <c r="C45" s="93" t="s">
        <v>42</v>
      </c>
      <c r="D45" s="94"/>
      <c r="E45" s="28">
        <v>57.73</v>
      </c>
      <c r="F45" s="29">
        <v>814</v>
      </c>
      <c r="G45" s="88">
        <f t="shared" si="35"/>
        <v>46992.219999999994</v>
      </c>
      <c r="H45" s="30" t="s">
        <v>53</v>
      </c>
      <c r="I45" s="95">
        <v>16</v>
      </c>
      <c r="J45" s="13">
        <v>1500</v>
      </c>
      <c r="K45" s="12">
        <f t="shared" si="1"/>
        <v>93.75</v>
      </c>
      <c r="L45" s="95">
        <v>16</v>
      </c>
      <c r="M45" s="13">
        <f t="shared" si="39"/>
        <v>1436.4705882352923</v>
      </c>
      <c r="N45" s="13">
        <f t="shared" si="3"/>
        <v>89.77941176470577</v>
      </c>
      <c r="O45" s="14">
        <f t="shared" si="4"/>
        <v>0</v>
      </c>
      <c r="P45" s="15">
        <f t="shared" si="5"/>
        <v>-3.9705882352942297</v>
      </c>
      <c r="Q45" s="91">
        <f t="shared" si="6"/>
        <v>0.95764705882352819</v>
      </c>
      <c r="R45" s="177"/>
      <c r="S45" s="21">
        <v>0.70833333333333337</v>
      </c>
      <c r="T45" s="21">
        <v>0.73194444444444451</v>
      </c>
      <c r="U45" s="88" t="str">
        <f t="shared" si="38"/>
        <v/>
      </c>
      <c r="V45" s="30">
        <f t="shared" si="37"/>
        <v>34.000000000000043</v>
      </c>
      <c r="W45" s="16"/>
      <c r="X45" s="16"/>
      <c r="Y45" s="19"/>
      <c r="Z45" s="19"/>
      <c r="AA45" s="168"/>
      <c r="AB45" s="168"/>
      <c r="AC45" s="18"/>
      <c r="AD45" s="18"/>
      <c r="AE45" s="14">
        <f t="shared" si="8"/>
        <v>-63.529411764707675</v>
      </c>
      <c r="AF45" s="91">
        <f t="shared" si="9"/>
        <v>0.95764705882352819</v>
      </c>
      <c r="AG45" s="177"/>
    </row>
    <row r="46" spans="1:33" ht="15.75" customHeight="1">
      <c r="A46" s="181" t="s">
        <v>491</v>
      </c>
      <c r="B46" s="28" t="s">
        <v>5</v>
      </c>
      <c r="C46" s="93" t="s">
        <v>43</v>
      </c>
      <c r="D46" s="94"/>
      <c r="E46" s="28">
        <v>54.29</v>
      </c>
      <c r="F46" s="29">
        <v>912</v>
      </c>
      <c r="G46" s="88">
        <f t="shared" si="35"/>
        <v>49512.479999999996</v>
      </c>
      <c r="H46" s="30" t="s">
        <v>53</v>
      </c>
      <c r="I46" s="95">
        <v>20</v>
      </c>
      <c r="J46" s="13">
        <v>2000</v>
      </c>
      <c r="K46" s="12">
        <f t="shared" si="1"/>
        <v>100</v>
      </c>
      <c r="L46" s="95">
        <v>20</v>
      </c>
      <c r="M46" s="13">
        <f t="shared" si="39"/>
        <v>1954.2857142857099</v>
      </c>
      <c r="N46" s="13">
        <f t="shared" si="3"/>
        <v>97.714285714285495</v>
      </c>
      <c r="O46" s="14">
        <f t="shared" si="4"/>
        <v>0</v>
      </c>
      <c r="P46" s="15">
        <f t="shared" si="5"/>
        <v>-2.285714285714505</v>
      </c>
      <c r="Q46" s="91">
        <f t="shared" si="6"/>
        <v>0.97714285714285498</v>
      </c>
      <c r="R46" s="177"/>
      <c r="S46" s="21">
        <v>0.73541666666666672</v>
      </c>
      <c r="T46" s="21">
        <v>0.7548611111111112</v>
      </c>
      <c r="U46" s="88">
        <f t="shared" si="38"/>
        <v>4.9999999999999822</v>
      </c>
      <c r="V46" s="30">
        <f t="shared" si="37"/>
        <v>28.00000000000006</v>
      </c>
      <c r="W46" s="16"/>
      <c r="X46" s="16"/>
      <c r="Y46" s="19"/>
      <c r="Z46" s="19"/>
      <c r="AA46" s="168"/>
      <c r="AB46" s="168"/>
      <c r="AC46" s="18"/>
      <c r="AD46" s="18"/>
      <c r="AE46" s="14">
        <f t="shared" si="8"/>
        <v>-45.714285714290099</v>
      </c>
      <c r="AF46" s="91">
        <f t="shared" si="9"/>
        <v>0.97714285714285498</v>
      </c>
      <c r="AG46" s="177"/>
    </row>
    <row r="47" spans="1:33" ht="15.75" customHeight="1">
      <c r="A47" s="181" t="s">
        <v>489</v>
      </c>
      <c r="B47" s="28" t="s">
        <v>5</v>
      </c>
      <c r="C47" s="170" t="s">
        <v>44</v>
      </c>
      <c r="D47" s="171"/>
      <c r="E47" s="28">
        <v>55.56</v>
      </c>
      <c r="F47" s="29">
        <v>1745</v>
      </c>
      <c r="G47" s="88">
        <f t="shared" si="35"/>
        <v>96952.2</v>
      </c>
      <c r="H47" s="30" t="s">
        <v>53</v>
      </c>
      <c r="I47" s="95">
        <v>17</v>
      </c>
      <c r="J47" s="13">
        <v>2000</v>
      </c>
      <c r="K47" s="12">
        <f t="shared" si="1"/>
        <v>117.64705882352941</v>
      </c>
      <c r="L47" s="95">
        <v>17</v>
      </c>
      <c r="M47" s="13">
        <f t="shared" si="39"/>
        <v>1903.6363636363649</v>
      </c>
      <c r="N47" s="13">
        <f t="shared" si="3"/>
        <v>111.97860962566853</v>
      </c>
      <c r="O47" s="14">
        <f t="shared" si="4"/>
        <v>0</v>
      </c>
      <c r="P47" s="15">
        <f t="shared" si="5"/>
        <v>-5.6684491978608804</v>
      </c>
      <c r="Q47" s="91">
        <f t="shared" si="6"/>
        <v>0.95181818181818256</v>
      </c>
      <c r="R47" s="177"/>
      <c r="S47" s="21">
        <v>0.76041666666666674</v>
      </c>
      <c r="T47" s="21">
        <v>0.79861111111111116</v>
      </c>
      <c r="U47" s="88">
        <f t="shared" si="38"/>
        <v>7.9999999999999716</v>
      </c>
      <c r="V47" s="30">
        <f t="shared" si="37"/>
        <v>54.999999999999964</v>
      </c>
      <c r="W47" s="16"/>
      <c r="X47" s="16"/>
      <c r="Y47" s="19"/>
      <c r="Z47" s="19"/>
      <c r="AA47" s="172"/>
      <c r="AB47" s="173"/>
      <c r="AC47" s="18"/>
      <c r="AD47" s="18"/>
      <c r="AE47" s="14">
        <f t="shared" si="8"/>
        <v>-96.363636363635123</v>
      </c>
      <c r="AF47" s="91">
        <f t="shared" si="9"/>
        <v>0.95181818181818245</v>
      </c>
      <c r="AG47" s="177"/>
    </row>
    <row r="48" spans="1:33" ht="15.75" customHeight="1">
      <c r="A48" s="181" t="s">
        <v>489</v>
      </c>
      <c r="B48" s="28" t="s">
        <v>5</v>
      </c>
      <c r="C48" s="170" t="s">
        <v>45</v>
      </c>
      <c r="D48" s="171"/>
      <c r="E48" s="28">
        <v>55.32</v>
      </c>
      <c r="F48" s="29">
        <v>1329</v>
      </c>
      <c r="G48" s="88">
        <f t="shared" si="35"/>
        <v>73520.28</v>
      </c>
      <c r="H48" s="30" t="s">
        <v>53</v>
      </c>
      <c r="I48" s="95">
        <v>15</v>
      </c>
      <c r="J48" s="13">
        <v>2000</v>
      </c>
      <c r="K48" s="12">
        <f t="shared" si="1"/>
        <v>133.33333333333334</v>
      </c>
      <c r="L48" s="95">
        <v>15</v>
      </c>
      <c r="M48" s="13">
        <f t="shared" si="39"/>
        <v>1944.878048780487</v>
      </c>
      <c r="N48" s="13">
        <f t="shared" si="3"/>
        <v>129.65853658536579</v>
      </c>
      <c r="O48" s="14">
        <f t="shared" si="4"/>
        <v>0</v>
      </c>
      <c r="P48" s="15">
        <f t="shared" si="5"/>
        <v>-3.6747967479675481</v>
      </c>
      <c r="Q48" s="91">
        <f t="shared" si="6"/>
        <v>0.97243902439024343</v>
      </c>
      <c r="R48" s="177"/>
      <c r="S48" s="21">
        <v>0.80347222222222225</v>
      </c>
      <c r="T48" s="21">
        <v>0.83194444444444449</v>
      </c>
      <c r="U48" s="88">
        <f t="shared" si="38"/>
        <v>6.9999999999999751</v>
      </c>
      <c r="V48" s="30">
        <f t="shared" si="37"/>
        <v>41.000000000000014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-55.121951219512994</v>
      </c>
      <c r="AF48" s="91">
        <f t="shared" si="9"/>
        <v>0.97243902439024354</v>
      </c>
      <c r="AG48" s="177"/>
    </row>
    <row r="49" spans="1:33">
      <c r="A49" s="182" t="s">
        <v>490</v>
      </c>
      <c r="B49" s="28" t="s">
        <v>165</v>
      </c>
      <c r="C49" s="178"/>
      <c r="D49" s="178"/>
      <c r="E49" s="92"/>
      <c r="F49" s="12"/>
      <c r="G49" s="12"/>
      <c r="H49" s="88"/>
      <c r="I49" s="23">
        <v>18.857142857142858</v>
      </c>
      <c r="J49" s="13">
        <v>1928.5714285714287</v>
      </c>
      <c r="K49" s="12">
        <f t="shared" si="1"/>
        <v>102.27272727272728</v>
      </c>
      <c r="L49" s="23">
        <v>18.857142857142858</v>
      </c>
      <c r="M49" s="13">
        <f>AVERAGE(M42:M48)</f>
        <v>1855.8854024150937</v>
      </c>
      <c r="N49" s="12">
        <f t="shared" si="3"/>
        <v>98.418165279588294</v>
      </c>
      <c r="O49" s="14">
        <f t="shared" si="4"/>
        <v>0</v>
      </c>
      <c r="P49" s="15">
        <f t="shared" si="5"/>
        <v>-3.8545619931389865</v>
      </c>
      <c r="Q49" s="91">
        <f t="shared" si="6"/>
        <v>0.96231094940041884</v>
      </c>
      <c r="R49" s="177"/>
      <c r="S49" s="21"/>
      <c r="T49" s="21"/>
      <c r="U49" s="88"/>
      <c r="V49" s="30"/>
      <c r="W49" s="12"/>
      <c r="X49" s="12"/>
      <c r="Y49" s="24">
        <f>SUM(Y42:Y48)</f>
        <v>0</v>
      </c>
      <c r="Z49" s="24">
        <f>SUM(Z42:Z48)</f>
        <v>0</v>
      </c>
      <c r="AA49" s="167"/>
      <c r="AB49" s="167"/>
      <c r="AC49" s="24">
        <v>7</v>
      </c>
      <c r="AD49" s="24">
        <f>SUM(AD42:AD48)</f>
        <v>0</v>
      </c>
      <c r="AE49" s="14">
        <f>M49-J49</f>
        <v>-72.686026156334947</v>
      </c>
      <c r="AF49" s="91">
        <f t="shared" si="9"/>
        <v>0.96231094940041895</v>
      </c>
      <c r="AG49" s="177"/>
    </row>
    <row r="50" spans="1:33" ht="15.75" customHeight="1">
      <c r="A50" s="179" t="s">
        <v>492</v>
      </c>
      <c r="B50" s="88" t="s">
        <v>33</v>
      </c>
      <c r="C50" s="169" t="s">
        <v>46</v>
      </c>
      <c r="D50" s="169"/>
      <c r="E50" s="28">
        <v>37.85</v>
      </c>
      <c r="F50" s="29">
        <v>1313</v>
      </c>
      <c r="G50" s="88">
        <f t="shared" ref="G50:G54" si="40">E50*F50</f>
        <v>49697.05</v>
      </c>
      <c r="H50" s="30" t="s">
        <v>53</v>
      </c>
      <c r="I50" s="95">
        <v>12</v>
      </c>
      <c r="J50" s="13">
        <v>2000</v>
      </c>
      <c r="K50" s="12">
        <f t="shared" si="1"/>
        <v>166.66666666666666</v>
      </c>
      <c r="L50" s="95">
        <v>12</v>
      </c>
      <c r="M50" s="13">
        <f t="shared" ref="M50:M54" si="41">F50/V50*60</f>
        <v>1921.4634146341459</v>
      </c>
      <c r="N50" s="12">
        <f t="shared" si="3"/>
        <v>160.12195121951217</v>
      </c>
      <c r="O50" s="14">
        <f t="shared" si="4"/>
        <v>0</v>
      </c>
      <c r="P50" s="15">
        <f t="shared" si="5"/>
        <v>-6.5447154471544877</v>
      </c>
      <c r="Q50" s="91">
        <f t="shared" si="6"/>
        <v>0.96073170731707302</v>
      </c>
      <c r="R50" s="177">
        <f>Q55</f>
        <v>0.96520592485099543</v>
      </c>
      <c r="S50" s="21">
        <v>0.20833333333333334</v>
      </c>
      <c r="T50" s="21">
        <v>0.23680555555555557</v>
      </c>
      <c r="U50" s="88"/>
      <c r="V50" s="30">
        <f t="shared" ref="V50:V54" si="42">(T50-S50)*24*60</f>
        <v>41.000000000000014</v>
      </c>
      <c r="W50" s="21"/>
      <c r="X50" s="21"/>
      <c r="Y50" s="21"/>
      <c r="Z50" s="21"/>
      <c r="AA50" s="168"/>
      <c r="AB50" s="168"/>
      <c r="AC50" s="18">
        <v>5</v>
      </c>
      <c r="AD50" s="18"/>
      <c r="AE50" s="14">
        <f t="shared" ref="AE50:AE61" si="43">M50-J50</f>
        <v>-78.53658536585408</v>
      </c>
      <c r="AF50" s="91">
        <f t="shared" si="9"/>
        <v>0.96073170731707291</v>
      </c>
      <c r="AG50" s="177">
        <f>AF55</f>
        <v>0.96520592485099543</v>
      </c>
    </row>
    <row r="51" spans="1:33" ht="15.75" customHeight="1">
      <c r="A51" s="179" t="s">
        <v>175</v>
      </c>
      <c r="B51" s="88" t="s">
        <v>33</v>
      </c>
      <c r="C51" s="169" t="s">
        <v>47</v>
      </c>
      <c r="D51" s="169"/>
      <c r="E51" s="28">
        <v>34.36</v>
      </c>
      <c r="F51" s="29">
        <v>1853</v>
      </c>
      <c r="G51" s="88">
        <f t="shared" si="40"/>
        <v>63669.08</v>
      </c>
      <c r="H51" s="30" t="s">
        <v>53</v>
      </c>
      <c r="I51" s="95">
        <v>10</v>
      </c>
      <c r="J51" s="13">
        <v>3000</v>
      </c>
      <c r="K51" s="12">
        <f t="shared" si="1"/>
        <v>300</v>
      </c>
      <c r="L51" s="95">
        <v>10</v>
      </c>
      <c r="M51" s="13">
        <f t="shared" si="41"/>
        <v>2925.7894736842086</v>
      </c>
      <c r="N51" s="12">
        <f t="shared" si="3"/>
        <v>292.57894736842087</v>
      </c>
      <c r="O51" s="14">
        <f t="shared" si="4"/>
        <v>0</v>
      </c>
      <c r="P51" s="15">
        <f t="shared" si="5"/>
        <v>-7.4210526315791299</v>
      </c>
      <c r="Q51" s="91">
        <f t="shared" si="6"/>
        <v>0.97526315789473628</v>
      </c>
      <c r="R51" s="177"/>
      <c r="S51" s="21">
        <v>0.2416666666666667</v>
      </c>
      <c r="T51" s="21">
        <v>0.2680555555555556</v>
      </c>
      <c r="U51" s="88">
        <f t="shared" ref="U51:U54" si="44">(S51-T50)*24*60</f>
        <v>7.0000000000000151</v>
      </c>
      <c r="V51" s="30">
        <f t="shared" si="42"/>
        <v>38.000000000000028</v>
      </c>
      <c r="W51" s="88"/>
      <c r="X51" s="88"/>
      <c r="Y51" s="88"/>
      <c r="Z51" s="88"/>
      <c r="AA51" s="168"/>
      <c r="AB51" s="168"/>
      <c r="AC51" s="18"/>
      <c r="AD51" s="18"/>
      <c r="AE51" s="14">
        <f t="shared" si="43"/>
        <v>-74.210526315791412</v>
      </c>
      <c r="AF51" s="91">
        <f t="shared" si="9"/>
        <v>0.97526315789473617</v>
      </c>
      <c r="AG51" s="177"/>
    </row>
    <row r="52" spans="1:33" ht="15.75" customHeight="1">
      <c r="A52" s="179" t="s">
        <v>175</v>
      </c>
      <c r="B52" s="88" t="s">
        <v>33</v>
      </c>
      <c r="C52" s="169" t="s">
        <v>48</v>
      </c>
      <c r="D52" s="169"/>
      <c r="E52" s="28">
        <v>35.119999999999997</v>
      </c>
      <c r="F52" s="29">
        <v>4371</v>
      </c>
      <c r="G52" s="88">
        <f t="shared" si="40"/>
        <v>153509.51999999999</v>
      </c>
      <c r="H52" s="30" t="s">
        <v>53</v>
      </c>
      <c r="I52" s="95">
        <v>10</v>
      </c>
      <c r="J52" s="13">
        <v>3000</v>
      </c>
      <c r="K52" s="12">
        <f t="shared" si="1"/>
        <v>300</v>
      </c>
      <c r="L52" s="95">
        <v>10</v>
      </c>
      <c r="M52" s="13">
        <f t="shared" si="41"/>
        <v>2881.9780219780223</v>
      </c>
      <c r="N52" s="12">
        <f t="shared" si="3"/>
        <v>288.19780219780222</v>
      </c>
      <c r="O52" s="14">
        <f t="shared" si="4"/>
        <v>0</v>
      </c>
      <c r="P52" s="15">
        <f t="shared" si="5"/>
        <v>-11.802197802197782</v>
      </c>
      <c r="Q52" s="91">
        <f t="shared" si="6"/>
        <v>0.96065934065934078</v>
      </c>
      <c r="R52" s="177"/>
      <c r="S52" s="21">
        <v>0.27222222222222225</v>
      </c>
      <c r="T52" s="21">
        <v>0.3354166666666667</v>
      </c>
      <c r="U52" s="88">
        <f t="shared" si="44"/>
        <v>5.9999999999999787</v>
      </c>
      <c r="V52" s="30">
        <f t="shared" si="42"/>
        <v>91</v>
      </c>
      <c r="W52" s="88"/>
      <c r="X52" s="88"/>
      <c r="Y52" s="88"/>
      <c r="Z52" s="88"/>
      <c r="AA52" s="168"/>
      <c r="AB52" s="168"/>
      <c r="AC52" s="18"/>
      <c r="AD52" s="18"/>
      <c r="AE52" s="14">
        <f t="shared" si="43"/>
        <v>-118.0219780219777</v>
      </c>
      <c r="AF52" s="91">
        <f t="shared" si="9"/>
        <v>0.96065934065934078</v>
      </c>
      <c r="AG52" s="177"/>
    </row>
    <row r="53" spans="1:33" ht="15.75" customHeight="1">
      <c r="A53" s="179" t="s">
        <v>175</v>
      </c>
      <c r="B53" s="88" t="s">
        <v>33</v>
      </c>
      <c r="C53" s="169" t="s">
        <v>34</v>
      </c>
      <c r="D53" s="169"/>
      <c r="E53" s="28">
        <v>34.36</v>
      </c>
      <c r="F53" s="29">
        <v>1412</v>
      </c>
      <c r="G53" s="88">
        <f t="shared" si="40"/>
        <v>48516.32</v>
      </c>
      <c r="H53" s="30" t="s">
        <v>53</v>
      </c>
      <c r="I53" s="95">
        <v>10</v>
      </c>
      <c r="J53" s="13">
        <v>3000</v>
      </c>
      <c r="K53" s="12">
        <f t="shared" si="1"/>
        <v>300</v>
      </c>
      <c r="L53" s="95">
        <v>10</v>
      </c>
      <c r="M53" s="13">
        <f t="shared" si="41"/>
        <v>2921.3793103448297</v>
      </c>
      <c r="N53" s="12">
        <f t="shared" si="3"/>
        <v>292.13793103448296</v>
      </c>
      <c r="O53" s="14">
        <f t="shared" si="4"/>
        <v>0</v>
      </c>
      <c r="P53" s="15">
        <f t="shared" si="5"/>
        <v>-7.8620689655170395</v>
      </c>
      <c r="Q53" s="91">
        <f t="shared" si="6"/>
        <v>0.97379310344827652</v>
      </c>
      <c r="R53" s="177"/>
      <c r="S53" s="21">
        <v>0.34027777777777779</v>
      </c>
      <c r="T53" s="21">
        <v>0.36041666666666666</v>
      </c>
      <c r="U53" s="88">
        <f t="shared" si="44"/>
        <v>6.9999999999999751</v>
      </c>
      <c r="V53" s="30">
        <f t="shared" si="42"/>
        <v>28.999999999999979</v>
      </c>
      <c r="W53" s="88"/>
      <c r="X53" s="88"/>
      <c r="Y53" s="88"/>
      <c r="Z53" s="88"/>
      <c r="AA53" s="168"/>
      <c r="AB53" s="168"/>
      <c r="AC53" s="18"/>
      <c r="AD53" s="18"/>
      <c r="AE53" s="14">
        <f t="shared" si="43"/>
        <v>-78.620689655170281</v>
      </c>
      <c r="AF53" s="91">
        <f t="shared" si="9"/>
        <v>0.97379310344827652</v>
      </c>
      <c r="AG53" s="177"/>
    </row>
    <row r="54" spans="1:33">
      <c r="A54" s="180" t="s">
        <v>175</v>
      </c>
      <c r="B54" s="88" t="s">
        <v>33</v>
      </c>
      <c r="C54" s="169" t="s">
        <v>35</v>
      </c>
      <c r="D54" s="169"/>
      <c r="E54" s="28">
        <v>26.78</v>
      </c>
      <c r="F54" s="29">
        <v>2099</v>
      </c>
      <c r="G54" s="88">
        <f t="shared" si="40"/>
        <v>56211.22</v>
      </c>
      <c r="H54" s="30" t="s">
        <v>53</v>
      </c>
      <c r="I54" s="95">
        <v>10</v>
      </c>
      <c r="J54" s="13">
        <v>3000</v>
      </c>
      <c r="K54" s="12">
        <f t="shared" si="1"/>
        <v>300</v>
      </c>
      <c r="L54" s="95">
        <v>10</v>
      </c>
      <c r="M54" s="13">
        <f t="shared" si="41"/>
        <v>2862.272727272727</v>
      </c>
      <c r="N54" s="12">
        <f t="shared" si="3"/>
        <v>286.22727272727269</v>
      </c>
      <c r="O54" s="14">
        <f t="shared" si="4"/>
        <v>0</v>
      </c>
      <c r="P54" s="15">
        <f t="shared" si="5"/>
        <v>-13.772727272727309</v>
      </c>
      <c r="Q54" s="91">
        <f t="shared" si="6"/>
        <v>0.95409090909090899</v>
      </c>
      <c r="R54" s="177"/>
      <c r="S54" s="21">
        <v>0.36527777777777776</v>
      </c>
      <c r="T54" s="21">
        <v>0.39583333333333331</v>
      </c>
      <c r="U54" s="88">
        <f t="shared" si="44"/>
        <v>6.9999999999999751</v>
      </c>
      <c r="V54" s="30">
        <f t="shared" si="42"/>
        <v>44</v>
      </c>
      <c r="W54" s="16"/>
      <c r="X54" s="16"/>
      <c r="Y54" s="16"/>
      <c r="Z54" s="16"/>
      <c r="AA54" s="168"/>
      <c r="AB54" s="168"/>
      <c r="AC54" s="18"/>
      <c r="AD54" s="18"/>
      <c r="AE54" s="14">
        <f t="shared" si="43"/>
        <v>-137.72727272727298</v>
      </c>
      <c r="AF54" s="91">
        <f t="shared" si="9"/>
        <v>0.95409090909090899</v>
      </c>
      <c r="AG54" s="177"/>
    </row>
    <row r="55" spans="1:33">
      <c r="A55" s="180" t="s">
        <v>493</v>
      </c>
      <c r="B55" s="28" t="s">
        <v>165</v>
      </c>
      <c r="C55" s="178"/>
      <c r="D55" s="178"/>
      <c r="E55" s="92"/>
      <c r="F55" s="12"/>
      <c r="G55" s="12"/>
      <c r="H55" s="88"/>
      <c r="I55" s="23">
        <v>10.4</v>
      </c>
      <c r="J55" s="13">
        <v>2800</v>
      </c>
      <c r="K55" s="12">
        <f t="shared" si="1"/>
        <v>269.23076923076923</v>
      </c>
      <c r="L55" s="23">
        <v>10.4</v>
      </c>
      <c r="M55" s="13">
        <f>AVERAGE(M50:M54)</f>
        <v>2702.5765895827872</v>
      </c>
      <c r="N55" s="12">
        <f t="shared" si="3"/>
        <v>259.86313361372953</v>
      </c>
      <c r="O55" s="14">
        <f t="shared" si="4"/>
        <v>0</v>
      </c>
      <c r="P55" s="15">
        <f t="shared" si="5"/>
        <v>-9.3676356170396957</v>
      </c>
      <c r="Q55" s="91">
        <f t="shared" si="6"/>
        <v>0.96520592485099543</v>
      </c>
      <c r="R55" s="177"/>
      <c r="S55" s="21"/>
      <c r="T55" s="21"/>
      <c r="U55" s="12"/>
      <c r="V55" s="30"/>
      <c r="W55" s="12"/>
      <c r="X55" s="12"/>
      <c r="Y55" s="24">
        <f>SUM(Y50:Y54)</f>
        <v>0</v>
      </c>
      <c r="Z55" s="24">
        <f>SUM(Z50:Z54)</f>
        <v>0</v>
      </c>
      <c r="AA55" s="167"/>
      <c r="AB55" s="167"/>
      <c r="AC55" s="24">
        <v>5</v>
      </c>
      <c r="AD55" s="24">
        <f>SUM(AD50:AD54)</f>
        <v>0</v>
      </c>
      <c r="AE55" s="14">
        <f t="shared" si="43"/>
        <v>-97.423410417212835</v>
      </c>
      <c r="AF55" s="91">
        <f t="shared" si="9"/>
        <v>0.96520592485099543</v>
      </c>
      <c r="AG55" s="177"/>
    </row>
    <row r="56" spans="1:33" ht="15.75" customHeight="1">
      <c r="A56" s="174" t="s">
        <v>176</v>
      </c>
      <c r="B56" s="88" t="s">
        <v>22</v>
      </c>
      <c r="C56" s="169" t="s">
        <v>49</v>
      </c>
      <c r="D56" s="169"/>
      <c r="E56" s="28">
        <v>20.2</v>
      </c>
      <c r="F56" s="88">
        <v>1401</v>
      </c>
      <c r="G56" s="88">
        <f t="shared" ref="G56:G60" si="45">E56*F56</f>
        <v>28300.2</v>
      </c>
      <c r="H56" s="30" t="s">
        <v>53</v>
      </c>
      <c r="I56" s="95">
        <v>15</v>
      </c>
      <c r="J56" s="13">
        <v>2400</v>
      </c>
      <c r="K56" s="12">
        <f t="shared" si="1"/>
        <v>160</v>
      </c>
      <c r="L56" s="95">
        <v>15</v>
      </c>
      <c r="M56" s="13">
        <f t="shared" ref="M56:M60" si="46">F56/V56*60</f>
        <v>2335.0000000000005</v>
      </c>
      <c r="N56" s="12">
        <f t="shared" si="3"/>
        <v>155.66666666666669</v>
      </c>
      <c r="O56" s="14">
        <f t="shared" si="4"/>
        <v>0</v>
      </c>
      <c r="P56" s="15">
        <f t="shared" si="5"/>
        <v>-4.3333333333333144</v>
      </c>
      <c r="Q56" s="91">
        <f t="shared" si="6"/>
        <v>0.97291666666666676</v>
      </c>
      <c r="R56" s="177">
        <f>Q61</f>
        <v>0.95940302694435842</v>
      </c>
      <c r="S56" s="21">
        <v>8.3333333333333329E-2</v>
      </c>
      <c r="T56" s="21">
        <v>0.10833333333333332</v>
      </c>
      <c r="U56" s="21"/>
      <c r="V56" s="30">
        <f t="shared" ref="V56:V60" si="47">(T56-S56)*24*60</f>
        <v>35.999999999999993</v>
      </c>
      <c r="W56" s="16">
        <f>T56</f>
        <v>0.10833333333333332</v>
      </c>
      <c r="X56" s="16">
        <f>S57</f>
        <v>0.12638888888888888</v>
      </c>
      <c r="Y56" s="16"/>
      <c r="Z56" s="16"/>
      <c r="AA56" s="168"/>
      <c r="AB56" s="168"/>
      <c r="AC56" s="18">
        <v>5</v>
      </c>
      <c r="AD56" s="18"/>
      <c r="AE56" s="14">
        <f t="shared" si="43"/>
        <v>-64.999999999999545</v>
      </c>
      <c r="AF56" s="91">
        <f t="shared" si="9"/>
        <v>0.97291666666666687</v>
      </c>
      <c r="AG56" s="177">
        <f>AF61</f>
        <v>0.95940302694435842</v>
      </c>
    </row>
    <row r="57" spans="1:33" ht="15.75" customHeight="1">
      <c r="A57" s="175" t="s">
        <v>176</v>
      </c>
      <c r="B57" s="88" t="s">
        <v>22</v>
      </c>
      <c r="C57" s="169" t="s">
        <v>50</v>
      </c>
      <c r="D57" s="169"/>
      <c r="E57" s="28">
        <v>24.45</v>
      </c>
      <c r="F57" s="88">
        <v>1834</v>
      </c>
      <c r="G57" s="88">
        <f t="shared" si="45"/>
        <v>44841.299999999996</v>
      </c>
      <c r="H57" s="30" t="s">
        <v>53</v>
      </c>
      <c r="I57" s="95">
        <v>19</v>
      </c>
      <c r="J57" s="13">
        <v>2400</v>
      </c>
      <c r="K57" s="12">
        <f t="shared" si="1"/>
        <v>126.31578947368421</v>
      </c>
      <c r="L57" s="95">
        <v>19</v>
      </c>
      <c r="M57" s="13">
        <f t="shared" si="46"/>
        <v>2292.5000000000005</v>
      </c>
      <c r="N57" s="12">
        <f t="shared" si="3"/>
        <v>120.65789473684212</v>
      </c>
      <c r="O57" s="14">
        <f t="shared" si="4"/>
        <v>0</v>
      </c>
      <c r="P57" s="15">
        <f t="shared" si="5"/>
        <v>-5.6578947368420813</v>
      </c>
      <c r="Q57" s="91">
        <f t="shared" si="6"/>
        <v>0.95520833333333355</v>
      </c>
      <c r="R57" s="177"/>
      <c r="S57" s="21">
        <v>0.12638888888888888</v>
      </c>
      <c r="T57" s="21">
        <v>0.15972222222222221</v>
      </c>
      <c r="U57" s="88">
        <f t="shared" ref="U57:U60" si="48">(S57-T56)*24*60</f>
        <v>26.000000000000007</v>
      </c>
      <c r="V57" s="30">
        <f t="shared" si="47"/>
        <v>47.999999999999986</v>
      </c>
      <c r="W57" s="16"/>
      <c r="X57" s="16"/>
      <c r="Y57" s="16"/>
      <c r="Z57" s="16"/>
      <c r="AA57" s="168"/>
      <c r="AB57" s="168"/>
      <c r="AC57" s="18"/>
      <c r="AD57" s="18"/>
      <c r="AE57" s="14">
        <f t="shared" si="43"/>
        <v>-107.49999999999955</v>
      </c>
      <c r="AF57" s="91">
        <f t="shared" si="9"/>
        <v>0.95520833333333355</v>
      </c>
      <c r="AG57" s="177"/>
    </row>
    <row r="58" spans="1:33" ht="15.75" customHeight="1">
      <c r="A58" s="175" t="s">
        <v>176</v>
      </c>
      <c r="B58" s="88" t="s">
        <v>22</v>
      </c>
      <c r="C58" s="169" t="s">
        <v>31</v>
      </c>
      <c r="D58" s="169"/>
      <c r="E58" s="28">
        <v>20.21</v>
      </c>
      <c r="F58" s="88">
        <v>2029</v>
      </c>
      <c r="G58" s="88">
        <f t="shared" si="45"/>
        <v>41006.090000000004</v>
      </c>
      <c r="H58" s="30" t="s">
        <v>53</v>
      </c>
      <c r="I58" s="95">
        <v>15</v>
      </c>
      <c r="J58" s="13">
        <v>2400</v>
      </c>
      <c r="K58" s="12">
        <f t="shared" si="1"/>
        <v>160</v>
      </c>
      <c r="L58" s="95">
        <v>15</v>
      </c>
      <c r="M58" s="13">
        <f t="shared" si="46"/>
        <v>2296.9811320754711</v>
      </c>
      <c r="N58" s="12">
        <f t="shared" si="3"/>
        <v>153.13207547169807</v>
      </c>
      <c r="O58" s="14">
        <f t="shared" si="4"/>
        <v>0</v>
      </c>
      <c r="P58" s="15">
        <f t="shared" si="5"/>
        <v>-6.867924528301927</v>
      </c>
      <c r="Q58" s="91">
        <f t="shared" si="6"/>
        <v>0.95707547169811291</v>
      </c>
      <c r="R58" s="177"/>
      <c r="S58" s="21">
        <v>0.16527777777777777</v>
      </c>
      <c r="T58" s="21">
        <v>0.20208333333333334</v>
      </c>
      <c r="U58" s="88">
        <f t="shared" si="48"/>
        <v>8.0000000000000107</v>
      </c>
      <c r="V58" s="30">
        <f t="shared" si="47"/>
        <v>53.000000000000014</v>
      </c>
      <c r="W58" s="16"/>
      <c r="X58" s="16"/>
      <c r="Y58" s="16"/>
      <c r="Z58" s="16"/>
      <c r="AA58" s="168"/>
      <c r="AB58" s="168"/>
      <c r="AC58" s="18"/>
      <c r="AD58" s="18"/>
      <c r="AE58" s="14">
        <f t="shared" si="43"/>
        <v>-103.01886792452888</v>
      </c>
      <c r="AF58" s="91">
        <f t="shared" si="9"/>
        <v>0.95707547169811302</v>
      </c>
      <c r="AG58" s="177"/>
    </row>
    <row r="59" spans="1:33" ht="15.75" customHeight="1">
      <c r="A59" s="175" t="s">
        <v>176</v>
      </c>
      <c r="B59" s="88" t="s">
        <v>22</v>
      </c>
      <c r="C59" s="169" t="s">
        <v>51</v>
      </c>
      <c r="D59" s="169"/>
      <c r="E59" s="28">
        <v>24.43</v>
      </c>
      <c r="F59" s="88">
        <v>4674</v>
      </c>
      <c r="G59" s="88">
        <f t="shared" si="45"/>
        <v>114185.81999999999</v>
      </c>
      <c r="H59" s="30" t="s">
        <v>53</v>
      </c>
      <c r="I59" s="95">
        <v>14</v>
      </c>
      <c r="J59" s="13">
        <v>2400</v>
      </c>
      <c r="K59" s="12">
        <f t="shared" si="1"/>
        <v>171.42857142857142</v>
      </c>
      <c r="L59" s="95">
        <v>14</v>
      </c>
      <c r="M59" s="13">
        <f t="shared" si="46"/>
        <v>2298.688524590164</v>
      </c>
      <c r="N59" s="12">
        <f t="shared" si="3"/>
        <v>164.19203747072601</v>
      </c>
      <c r="O59" s="14">
        <f t="shared" si="4"/>
        <v>0</v>
      </c>
      <c r="P59" s="15">
        <f t="shared" si="5"/>
        <v>-7.2365339578454098</v>
      </c>
      <c r="Q59" s="91">
        <f t="shared" si="6"/>
        <v>0.95778688524590172</v>
      </c>
      <c r="R59" s="177"/>
      <c r="S59" s="21">
        <v>0.20694444444444446</v>
      </c>
      <c r="T59" s="21">
        <v>0.29166666666666669</v>
      </c>
      <c r="U59" s="88">
        <f t="shared" si="48"/>
        <v>7.0000000000000151</v>
      </c>
      <c r="V59" s="30">
        <f t="shared" si="47"/>
        <v>122</v>
      </c>
      <c r="W59" s="16"/>
      <c r="X59" s="16"/>
      <c r="Y59" s="16"/>
      <c r="Z59" s="16"/>
      <c r="AA59" s="168"/>
      <c r="AB59" s="168"/>
      <c r="AC59" s="18"/>
      <c r="AD59" s="18"/>
      <c r="AE59" s="14">
        <f t="shared" si="43"/>
        <v>-101.31147540983602</v>
      </c>
      <c r="AF59" s="91">
        <f t="shared" si="9"/>
        <v>0.95778688524590161</v>
      </c>
      <c r="AG59" s="177"/>
    </row>
    <row r="60" spans="1:33" ht="15.75" customHeight="1">
      <c r="A60" s="175" t="s">
        <v>176</v>
      </c>
      <c r="B60" s="88" t="s">
        <v>22</v>
      </c>
      <c r="C60" s="169" t="s">
        <v>52</v>
      </c>
      <c r="D60" s="169"/>
      <c r="E60" s="28">
        <v>19.02</v>
      </c>
      <c r="F60" s="88">
        <v>6869</v>
      </c>
      <c r="G60" s="88">
        <f t="shared" si="45"/>
        <v>130648.37999999999</v>
      </c>
      <c r="H60" s="30" t="s">
        <v>53</v>
      </c>
      <c r="I60" s="95">
        <v>14</v>
      </c>
      <c r="J60" s="13">
        <v>2400</v>
      </c>
      <c r="K60" s="12">
        <f t="shared" si="1"/>
        <v>171.42857142857142</v>
      </c>
      <c r="L60" s="95">
        <v>14</v>
      </c>
      <c r="M60" s="13">
        <f t="shared" si="46"/>
        <v>2289.6666666666665</v>
      </c>
      <c r="N60" s="12">
        <f t="shared" si="3"/>
        <v>163.54761904761904</v>
      </c>
      <c r="O60" s="14">
        <f t="shared" si="4"/>
        <v>0</v>
      </c>
      <c r="P60" s="15">
        <f t="shared" si="5"/>
        <v>-7.8809523809523796</v>
      </c>
      <c r="Q60" s="91">
        <f t="shared" si="6"/>
        <v>0.95402777777777781</v>
      </c>
      <c r="R60" s="177"/>
      <c r="S60" s="21">
        <v>0.29583333333333334</v>
      </c>
      <c r="T60" s="21">
        <v>0.42083333333333334</v>
      </c>
      <c r="U60" s="88">
        <f t="shared" si="48"/>
        <v>5.9999999999999787</v>
      </c>
      <c r="V60" s="30">
        <f t="shared" si="47"/>
        <v>180</v>
      </c>
      <c r="W60" s="16"/>
      <c r="X60" s="16"/>
      <c r="Y60" s="16"/>
      <c r="Z60" s="16"/>
      <c r="AA60" s="168"/>
      <c r="AB60" s="168"/>
      <c r="AC60" s="18"/>
      <c r="AD60" s="18"/>
      <c r="AE60" s="14">
        <f t="shared" si="43"/>
        <v>-110.33333333333348</v>
      </c>
      <c r="AF60" s="91">
        <f t="shared" si="9"/>
        <v>0.9540277777777777</v>
      </c>
      <c r="AG60" s="177"/>
    </row>
    <row r="61" spans="1:33" ht="16.5" customHeight="1">
      <c r="A61" s="176" t="s">
        <v>176</v>
      </c>
      <c r="B61" s="28" t="s">
        <v>165</v>
      </c>
      <c r="C61" s="165"/>
      <c r="D61" s="166"/>
      <c r="E61" s="92"/>
      <c r="F61" s="12"/>
      <c r="G61" s="12"/>
      <c r="H61" s="88"/>
      <c r="I61" s="23">
        <v>15.4</v>
      </c>
      <c r="J61" s="13">
        <v>2400</v>
      </c>
      <c r="K61" s="12">
        <f t="shared" si="1"/>
        <v>155.84415584415584</v>
      </c>
      <c r="L61" s="23">
        <v>15.4</v>
      </c>
      <c r="M61" s="13">
        <f>AVERAGE(M56:M60)</f>
        <v>2302.5672646664602</v>
      </c>
      <c r="N61" s="12">
        <f t="shared" si="3"/>
        <v>149.51735484847143</v>
      </c>
      <c r="O61" s="14">
        <f t="shared" si="4"/>
        <v>0</v>
      </c>
      <c r="P61" s="15">
        <f t="shared" si="5"/>
        <v>-6.3268009956844082</v>
      </c>
      <c r="Q61" s="91">
        <f t="shared" si="6"/>
        <v>0.95940302694435842</v>
      </c>
      <c r="R61" s="177"/>
      <c r="S61" s="21"/>
      <c r="T61" s="21"/>
      <c r="U61" s="12"/>
      <c r="V61" s="30"/>
      <c r="W61" s="12"/>
      <c r="X61" s="12"/>
      <c r="Y61" s="24">
        <f>SUM(Y56:Y60)</f>
        <v>0</v>
      </c>
      <c r="Z61" s="24">
        <f>SUM(Z56:Z60)</f>
        <v>0</v>
      </c>
      <c r="AA61" s="167"/>
      <c r="AB61" s="167"/>
      <c r="AC61" s="24">
        <v>5</v>
      </c>
      <c r="AD61" s="24">
        <f>SUM(AD56:AD60)</f>
        <v>0</v>
      </c>
      <c r="AE61" s="14">
        <f t="shared" si="43"/>
        <v>-97.432735333539767</v>
      </c>
      <c r="AF61" s="91">
        <f t="shared" si="9"/>
        <v>0.95940302694435842</v>
      </c>
      <c r="AG61" s="177"/>
    </row>
    <row r="62" spans="1:33">
      <c r="D62" s="87"/>
      <c r="E62" s="87"/>
    </row>
  </sheetData>
  <mergeCells count="175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A17:A23"/>
    <mergeCell ref="C17:D17"/>
    <mergeCell ref="R17:R23"/>
    <mergeCell ref="AA17:AB17"/>
    <mergeCell ref="AG17:AG23"/>
    <mergeCell ref="C18:D18"/>
    <mergeCell ref="AA18:AB18"/>
    <mergeCell ref="C19:D19"/>
    <mergeCell ref="AA19:AB19"/>
    <mergeCell ref="A13:A16"/>
    <mergeCell ref="C13:D13"/>
    <mergeCell ref="R13:R16"/>
    <mergeCell ref="AA13:AB13"/>
    <mergeCell ref="AG13:AG16"/>
    <mergeCell ref="C14:D14"/>
    <mergeCell ref="AA14:AB14"/>
    <mergeCell ref="C15:D15"/>
    <mergeCell ref="AA15:AB15"/>
    <mergeCell ref="C16:D16"/>
    <mergeCell ref="C23:D23"/>
    <mergeCell ref="AA23:AB23"/>
    <mergeCell ref="A24:A29"/>
    <mergeCell ref="C24:D24"/>
    <mergeCell ref="R24:R29"/>
    <mergeCell ref="AA24:AB24"/>
    <mergeCell ref="AA29:AB29"/>
    <mergeCell ref="C20:D20"/>
    <mergeCell ref="AA20:AB20"/>
    <mergeCell ref="C21:D21"/>
    <mergeCell ref="AA21:AB21"/>
    <mergeCell ref="C22:D22"/>
    <mergeCell ref="AA22:AB22"/>
    <mergeCell ref="AG30:AG35"/>
    <mergeCell ref="C31:D31"/>
    <mergeCell ref="AA31:AB31"/>
    <mergeCell ref="C32:D32"/>
    <mergeCell ref="AA32:AB32"/>
    <mergeCell ref="C33:D33"/>
    <mergeCell ref="AG24:AG29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AA33:AB33"/>
    <mergeCell ref="C34:D34"/>
    <mergeCell ref="AA34:AB34"/>
    <mergeCell ref="C35:D35"/>
    <mergeCell ref="AA35:AB35"/>
    <mergeCell ref="A36:A41"/>
    <mergeCell ref="C36:D36"/>
    <mergeCell ref="R36:R41"/>
    <mergeCell ref="AA36:AB36"/>
    <mergeCell ref="AA41:AB41"/>
    <mergeCell ref="A30:A35"/>
    <mergeCell ref="C30:D30"/>
    <mergeCell ref="R30:R35"/>
    <mergeCell ref="AA30:AB30"/>
    <mergeCell ref="AG36:AG41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42:A49"/>
    <mergeCell ref="C42:D42"/>
    <mergeCell ref="R42:R49"/>
    <mergeCell ref="AA42:AB42"/>
    <mergeCell ref="AG42:AG49"/>
    <mergeCell ref="C43:D43"/>
    <mergeCell ref="AA43:AB43"/>
    <mergeCell ref="C44:D44"/>
    <mergeCell ref="AA44:AB44"/>
    <mergeCell ref="AA45:AB45"/>
    <mergeCell ref="AG50:AG55"/>
    <mergeCell ref="C51:D51"/>
    <mergeCell ref="AA51:AB51"/>
    <mergeCell ref="C52:D52"/>
    <mergeCell ref="AA52:AB52"/>
    <mergeCell ref="C53:D53"/>
    <mergeCell ref="AA46:AB46"/>
    <mergeCell ref="C47:D47"/>
    <mergeCell ref="AA47:AB47"/>
    <mergeCell ref="C48:D48"/>
    <mergeCell ref="AA48:AB48"/>
    <mergeCell ref="C49:D49"/>
    <mergeCell ref="AA49:AB49"/>
    <mergeCell ref="AA53:AB53"/>
    <mergeCell ref="C54:D54"/>
    <mergeCell ref="AA54:AB54"/>
    <mergeCell ref="C55:D55"/>
    <mergeCell ref="AA55:AB55"/>
    <mergeCell ref="A56:A61"/>
    <mergeCell ref="C56:D56"/>
    <mergeCell ref="R56:R61"/>
    <mergeCell ref="AA56:AB56"/>
    <mergeCell ref="AA61:AB61"/>
    <mergeCell ref="A50:A55"/>
    <mergeCell ref="C50:D50"/>
    <mergeCell ref="R50:R55"/>
    <mergeCell ref="AA50:AB50"/>
    <mergeCell ref="AG56:AG61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</mergeCells>
  <phoneticPr fontId="3" type="noConversion"/>
  <conditionalFormatting sqref="O5:O61">
    <cfRule type="cellIs" dxfId="30" priority="9" operator="greaterThan">
      <formula>0</formula>
    </cfRule>
  </conditionalFormatting>
  <conditionalFormatting sqref="P5:P61">
    <cfRule type="cellIs" dxfId="29" priority="1" operator="lessThan">
      <formula>0</formula>
    </cfRule>
  </conditionalFormatting>
  <conditionalFormatting sqref="Q5:Q61 AF5:AF61">
    <cfRule type="cellIs" dxfId="28" priority="10" operator="greaterThan">
      <formula>1</formula>
    </cfRule>
    <cfRule type="cellIs" dxfId="27" priority="11" operator="lessThan">
      <formula>0.8</formula>
    </cfRule>
  </conditionalFormatting>
  <conditionalFormatting sqref="R5:R10 AG5:AG10">
    <cfRule type="cellIs" dxfId="26" priority="42" operator="lessThan">
      <formula>0.8</formula>
    </cfRule>
  </conditionalFormatting>
  <conditionalFormatting sqref="AE5:AE61">
    <cfRule type="cellIs" dxfId="25" priority="12" operator="lessThan">
      <formula>0</formula>
    </cfRule>
  </conditionalFormatting>
  <conditionalFormatting sqref="AG13:AG53 R13:R61">
    <cfRule type="cellIs" dxfId="24" priority="13" operator="lessThan">
      <formula>0.8</formula>
    </cfRule>
  </conditionalFormatting>
  <dataValidations count="1">
    <dataValidation type="list" allowBlank="1" showInputMessage="1" showErrorMessage="1" sqref="AB9 AA5:AB8 AB54 AB11:AB50 AA9:AA54 AA55:AB61" xr:uid="{00000000-0002-0000-35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B1:Q32"/>
  <sheetViews>
    <sheetView topLeftCell="B1" zoomScale="85" zoomScaleNormal="85" workbookViewId="0">
      <selection activeCell="K3" sqref="K3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283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284</v>
      </c>
      <c r="C3" s="154" t="str">
        <f>TEXT('0403 4度C'!A2,"yyyy.mm.ddaaaa")</f>
        <v>2026.04.03星期五</v>
      </c>
      <c r="D3" s="155"/>
      <c r="E3" s="33" t="s">
        <v>285</v>
      </c>
      <c r="F3" s="156">
        <f>'0403 4度C'!D1</f>
        <v>119215</v>
      </c>
      <c r="G3" s="157"/>
      <c r="H3" s="33" t="s">
        <v>286</v>
      </c>
      <c r="I3" s="158">
        <f>'0403 4度C'!F1</f>
        <v>4040444.4199999995</v>
      </c>
      <c r="J3" s="159"/>
      <c r="K3" s="34"/>
      <c r="L3" s="35"/>
      <c r="M3" s="35"/>
      <c r="N3" s="35"/>
    </row>
    <row r="4" spans="2:17" ht="28.5" customHeight="1">
      <c r="B4" s="160" t="s">
        <v>287</v>
      </c>
      <c r="C4" s="146" t="s">
        <v>288</v>
      </c>
      <c r="D4" s="147"/>
      <c r="E4" s="163" t="s">
        <v>289</v>
      </c>
      <c r="F4" s="164"/>
      <c r="G4" s="163" t="s">
        <v>290</v>
      </c>
      <c r="H4" s="164"/>
      <c r="I4" s="163" t="s">
        <v>83</v>
      </c>
      <c r="J4" s="164"/>
      <c r="K4" s="144" t="s">
        <v>291</v>
      </c>
      <c r="L4" s="145"/>
      <c r="M4" s="145" t="s">
        <v>292</v>
      </c>
      <c r="N4" s="145"/>
    </row>
    <row r="5" spans="2:17" ht="28.5" customHeight="1">
      <c r="B5" s="161"/>
      <c r="C5" s="146" t="s">
        <v>293</v>
      </c>
      <c r="D5" s="147"/>
      <c r="E5" s="146" t="s">
        <v>294</v>
      </c>
      <c r="F5" s="147"/>
      <c r="G5" s="148" t="s">
        <v>295</v>
      </c>
      <c r="H5" s="149"/>
      <c r="I5" s="150" t="s">
        <v>296</v>
      </c>
      <c r="J5" s="151"/>
      <c r="K5" s="36" t="s">
        <v>297</v>
      </c>
      <c r="L5" s="37" t="s">
        <v>298</v>
      </c>
      <c r="M5" s="36" t="s">
        <v>299</v>
      </c>
      <c r="N5" s="37" t="s">
        <v>300</v>
      </c>
    </row>
    <row r="6" spans="2:17" ht="28.5" customHeight="1">
      <c r="B6" s="161"/>
      <c r="C6" s="146" t="s">
        <v>54</v>
      </c>
      <c r="D6" s="147"/>
      <c r="E6" s="138">
        <f>AVERAGE(D13:M13)</f>
        <v>154.61928549457156</v>
      </c>
      <c r="F6" s="139">
        <f>AVERAGE(D31:O31,D13:J13)</f>
        <v>160.50718287560395</v>
      </c>
      <c r="G6" s="140">
        <f>AVERAGE(D13:J13)</f>
        <v>160.50718287560395</v>
      </c>
      <c r="H6" s="141"/>
      <c r="I6" s="140">
        <f>AVERAGE(K13:M13)</f>
        <v>140.88085827216261</v>
      </c>
      <c r="J6" s="141"/>
      <c r="K6" s="142">
        <f>'0403 4度C'!Y2</f>
        <v>0</v>
      </c>
      <c r="L6" s="127">
        <f>'0403 4度C'!Z2</f>
        <v>0</v>
      </c>
      <c r="M6" s="143">
        <f>'0403 4度C'!AC2</f>
        <v>47</v>
      </c>
      <c r="N6" s="127">
        <f>'0403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148.33144466480454</v>
      </c>
      <c r="F7" s="131">
        <f>AVERAGE(D32:O32,D14:J14)</f>
        <v>154.17061695798429</v>
      </c>
      <c r="G7" s="132">
        <f>AVERAGE(D14:J14)</f>
        <v>154.17061695798429</v>
      </c>
      <c r="H7" s="133"/>
      <c r="I7" s="132">
        <f>AVERAGE(K14:M14)</f>
        <v>134.70670931405178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0.95846104977763247</v>
      </c>
      <c r="F8" s="135">
        <f>AVERAGE(D15:J15,D33:O33)</f>
        <v>0.95946869237614973</v>
      </c>
      <c r="G8" s="136">
        <f>AVERAGE(D15:J15)</f>
        <v>0.95946869237614973</v>
      </c>
      <c r="H8" s="137"/>
      <c r="I8" s="136">
        <f>AVERAGE(K15:M15)</f>
        <v>0.95610988371442496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301</v>
      </c>
      <c r="N9" s="35"/>
      <c r="O9" s="35"/>
      <c r="P9" s="35"/>
      <c r="Q9" s="35"/>
    </row>
    <row r="10" spans="2:17" ht="30" customHeight="1">
      <c r="B10" s="110" t="s">
        <v>302</v>
      </c>
      <c r="C10" s="111"/>
      <c r="D10" s="112" t="s">
        <v>94</v>
      </c>
      <c r="E10" s="113"/>
      <c r="F10" s="113"/>
      <c r="G10" s="113"/>
      <c r="H10" s="113"/>
      <c r="I10" s="113"/>
      <c r="J10" s="114"/>
      <c r="K10" s="115" t="s">
        <v>303</v>
      </c>
      <c r="L10" s="116"/>
      <c r="M10" s="117"/>
      <c r="P10" s="41"/>
      <c r="Q10" s="41"/>
    </row>
    <row r="11" spans="2:17" ht="17.25" customHeight="1">
      <c r="B11" s="118" t="s">
        <v>304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305</v>
      </c>
      <c r="C13" s="48" t="s">
        <v>306</v>
      </c>
      <c r="D13" s="49">
        <f>SUMIFS('0403 4度C'!$K:$K,'0403 4度C'!$A:$A,"新豐6線",'0403 4度C'!$B:$B,"平均")</f>
        <v>111.11111111111111</v>
      </c>
      <c r="E13" s="50">
        <f>SUMIFS('0403 4度C'!$K:$K,'0403 4度C'!$A:$A,"新豐2線",'0403 4度C'!$B:$B,"平均")</f>
        <v>83.333333333333329</v>
      </c>
      <c r="F13" s="51">
        <f>SUMIFS('0403 4度C'!$K:$K,'0403 4度C'!$A:$A,"新豐5線",'0403 4度C'!$B:$B,"平均")</f>
        <v>96.491228070175438</v>
      </c>
      <c r="G13" s="51">
        <f>SUMIFS('0403 4度C'!$K:$K,'0403 4度C'!$A:$A,"新豐7線",'0403 4度C'!$B:$B,"平均")</f>
        <v>127.77777777777779</v>
      </c>
      <c r="H13" s="51">
        <f>SUMIFS('0403 4度C'!$K:$K,'0403 4度C'!$A:$A,"新豐3線",'0403 4度C'!$B:$B,"平均")</f>
        <v>333.33333333333331</v>
      </c>
      <c r="I13" s="51">
        <f>SUMIFS('0403 4度C'!$K:$K,'0403 4度C'!$A:$A,"新豐1線",'0403 4度C'!$B:$B,"平均")</f>
        <v>102.27272727272728</v>
      </c>
      <c r="J13" s="52">
        <f>SUMIFS('0403 4度C'!$K:$K,'0403 4度C'!$A:$A,"新豐10線",'0403 4度C'!$B:$B,"平均")</f>
        <v>269.23076923076923</v>
      </c>
      <c r="K13" s="53">
        <f>SUMIFS('0403 4度C'!$K:$K,'0403 4度C'!$A:$A,"新豐8線",'0403 4度C'!$B:$B,"平均")</f>
        <v>130.43478260869566</v>
      </c>
      <c r="L13" s="54">
        <f>SUMIFS('0403 4度C'!$K:$K,'0403 4度C'!$A:$A,"新豐9線",'0403 4度C'!$B:$B,"平均")</f>
        <v>136.36363636363635</v>
      </c>
      <c r="M13" s="52">
        <f>SUMIFS('0403 4度C'!$K:$K,'0403 4度C'!$A:$A,"新豐4線",'0403 4度C'!$B:$B,"平均")</f>
        <v>155.84415584415584</v>
      </c>
    </row>
    <row r="14" spans="2:17" ht="39.6" customHeight="1">
      <c r="B14" s="123"/>
      <c r="C14" s="55" t="s">
        <v>307</v>
      </c>
      <c r="D14" s="56">
        <f>SUMIFS('0403 4度C'!$N:$N,'0403 4度C'!$A:$A,"新豐6線",'0403 4度C'!$B:$B,"平均")</f>
        <v>105.51919934640566</v>
      </c>
      <c r="E14" s="57">
        <f>SUMIFS('0403 4度C'!$N:$N,'0403 4度C'!$A:$A,"新豐2線",'0403 4度C'!$B:$B,"平均")</f>
        <v>79.462227912932121</v>
      </c>
      <c r="F14" s="57">
        <f>SUMIFS('0403 4度C'!$N:$N,'0403 4度C'!$A:$A,"新豐5線",'0403 4度C'!$B:$B,"平均")</f>
        <v>92.68035000903167</v>
      </c>
      <c r="G14" s="57">
        <f>SUMIFS('0403 4度C'!$N:$N,'0403 4度C'!$A:$A,"新豐7線",'0403 4度C'!$B:$B,"平均")</f>
        <v>122.58939690902596</v>
      </c>
      <c r="H14" s="57">
        <f>SUMIFS('0403 4度C'!$N:$N,'0403 4度C'!$A:$A,"新豐3線",'0403 4度C'!$B:$B,"平均")</f>
        <v>319.92532131928209</v>
      </c>
      <c r="I14" s="57">
        <f>SUMIFS('0403 4度C'!$N:$N,'0403 4度C'!$A:$A,"新豐1線",'0403 4度C'!$B:$B,"平均")</f>
        <v>98.93471446736018</v>
      </c>
      <c r="J14" s="58">
        <f>SUMIFS('0403 4度C'!$N:$N,'0403 4度C'!$A:$A,"新豐10線",'0403 4度C'!$B:$B,"平均")</f>
        <v>260.0831087418523</v>
      </c>
      <c r="K14" s="59">
        <f>SUMIFS('0403 4度C'!$N:$N,'0403 4度C'!$A:$A,"新豐8線",'0403 4度C'!$B:$B,"平均")</f>
        <v>124.47336231912712</v>
      </c>
      <c r="L14" s="60">
        <f>SUMIFS('0403 4度C'!$N:$N,'0403 4度C'!$A:$A,"新豐9線",'0403 4度C'!$B:$B,"平均")</f>
        <v>130.50959339876658</v>
      </c>
      <c r="M14" s="58">
        <f>SUMIFS('0403 4度C'!$N:$N,'0403 4度C'!$A:$A,"新豐4線",'0403 4度C'!$B:$B,"平均")</f>
        <v>149.1371722242616</v>
      </c>
    </row>
    <row r="15" spans="2:17" ht="40.15" customHeight="1">
      <c r="B15" s="124"/>
      <c r="C15" s="61" t="s">
        <v>308</v>
      </c>
      <c r="D15" s="62">
        <f t="shared" ref="D15:M15" si="0">D14/D13</f>
        <v>0.94967279411765093</v>
      </c>
      <c r="E15" s="63">
        <f t="shared" si="0"/>
        <v>0.95354673495518549</v>
      </c>
      <c r="F15" s="63">
        <f t="shared" si="0"/>
        <v>0.96050544554814643</v>
      </c>
      <c r="G15" s="63">
        <f t="shared" si="0"/>
        <v>0.95939528015759445</v>
      </c>
      <c r="H15" s="63">
        <f t="shared" si="0"/>
        <v>0.95977596395784637</v>
      </c>
      <c r="I15" s="63">
        <f t="shared" si="0"/>
        <v>0.96736165256974394</v>
      </c>
      <c r="J15" s="64">
        <f t="shared" si="0"/>
        <v>0.96602297532687997</v>
      </c>
      <c r="K15" s="62">
        <f t="shared" si="0"/>
        <v>0.95429577777997454</v>
      </c>
      <c r="L15" s="63">
        <f t="shared" si="0"/>
        <v>0.9570703515909551</v>
      </c>
      <c r="M15" s="64">
        <f t="shared" si="0"/>
        <v>0.95696352177234534</v>
      </c>
    </row>
    <row r="16" spans="2:17" ht="17.25" customHeight="1">
      <c r="B16" s="125" t="s">
        <v>309</v>
      </c>
      <c r="C16" s="65" t="s">
        <v>102</v>
      </c>
      <c r="D16" s="66">
        <f>VLOOKUP("新豐6線",'0403 4度C'!$A:$T,19,0)</f>
        <v>0.70833333333333337</v>
      </c>
      <c r="E16" s="67">
        <f>VLOOKUP("新豐2線",'0403 4度C'!$A:$T,19,0)</f>
        <v>0.20833333333333334</v>
      </c>
      <c r="F16" s="67">
        <f>VLOOKUP("新豐5線",'0403 4度C'!$A:$T,19,0)</f>
        <v>0.20833333333333334</v>
      </c>
      <c r="G16" s="67">
        <f>VLOOKUP("新豐7線",'0403 4度C'!$A:$T,19,0)</f>
        <v>0.20833333333333334</v>
      </c>
      <c r="H16" s="67">
        <f>VLOOKUP("新豐3線",'0403 4度C'!$A:$T,19,0)</f>
        <v>8.3333333333333329E-2</v>
      </c>
      <c r="I16" s="67">
        <f>VLOOKUP("新豐1線",'0403 4度C'!$A:$T,19,0)</f>
        <v>0.20833333333333334</v>
      </c>
      <c r="J16" s="68">
        <f>VLOOKUP("新豐10線",'0403 4度C'!$A:$T,19,0)</f>
        <v>0.20833333333333334</v>
      </c>
      <c r="K16" s="69">
        <f>VLOOKUP("新豐8線",'0403 4度C'!$A:$T,19,0)</f>
        <v>8.3333333333333329E-2</v>
      </c>
      <c r="L16" s="70">
        <f>VLOOKUP("新豐9線",'0403 4度C'!$A:$T,19,0)</f>
        <v>8.3333333333333329E-2</v>
      </c>
      <c r="M16" s="71">
        <f>VLOOKUP("新豐4線",'0403 4度C'!$A:$T,19,0)</f>
        <v>8.3333333333333329E-2</v>
      </c>
    </row>
    <row r="17" spans="2:13" ht="17.25" customHeight="1">
      <c r="B17" s="126"/>
      <c r="C17" s="65" t="s">
        <v>310</v>
      </c>
      <c r="D17" s="69">
        <f>LOOKUP(2,1/(('0403 4度C'!$A:$A="新豐6線")*('0403 4度C'!$T:$T&lt;&gt;"")),'0403 4度C'!$T:$T)</f>
        <v>0.80972222222222223</v>
      </c>
      <c r="E17" s="67">
        <f>LOOKUP(2,1/(('0403 4度C'!$A:$A="新豐2線")*('0403 4度C'!$T:$T&lt;&gt;"")),'0403 4度C'!$T:$T)</f>
        <v>0.46666666666666667</v>
      </c>
      <c r="F17" s="67">
        <f>LOOKUP(2,1/(('0403 4度C'!$A:$A="新豐5線")*('0403 4度C'!$T:$T&lt;&gt;"")),'0403 4度C'!$T:$T)</f>
        <v>0.80555555555555558</v>
      </c>
      <c r="G17" s="67">
        <f>LOOKUP(2,1/(('0403 4度C'!$A:$A="新豐7線")*('0403 4度C'!$T:$T&lt;&gt;"")),'0403 4度C'!$T:$T)</f>
        <v>0.82361111111111107</v>
      </c>
      <c r="H17" s="67">
        <f>LOOKUP(2,1/(('0403 4度C'!$A:$A="新豐3線")*('0403 4度C'!$T:$T&lt;&gt;"")),'0403 4度C'!$T:$T)</f>
        <v>0.35347222222222219</v>
      </c>
      <c r="I17" s="67">
        <f>LOOKUP(2,1/(('0403 4度C'!$A:$A="新豐1線")*('0403 4度C'!$T:$T&lt;&gt;"")),'0403 4度C'!$T:$T)</f>
        <v>0.83819444444444446</v>
      </c>
      <c r="J17" s="68">
        <f>LOOKUP(2,1/(('0403 4度C'!$A:$A="新豐10線")*('0403 4度C'!$T:$T&lt;&gt;"")),'0403 4度C'!$T:$T)</f>
        <v>0.37777777777777777</v>
      </c>
      <c r="K17" s="66">
        <f>LOOKUP(2,1/(('0403 4度C'!$A:$A="新豐8線")*('0403 4度C'!$T:$T&lt;&gt;"")),'0403 4度C'!$T:$T)</f>
        <v>0.43888888888888883</v>
      </c>
      <c r="L17" s="67">
        <f>LOOKUP(2,1/(('0403 4度C'!$A:$A="新豐9線")*('0403 4度C'!$T:$T&lt;&gt;"")),'0403 4度C'!$T:$T)</f>
        <v>0.44444444444444442</v>
      </c>
      <c r="M17" s="68">
        <f>LOOKUP(2,1/(('0403 4度C'!$A:$A="新豐4線")*('0403 4度C'!$T:$T&lt;&gt;"")),'0403 4度C'!$T:$T)</f>
        <v>0.44236111111111109</v>
      </c>
    </row>
    <row r="18" spans="2:13" ht="17.25" customHeight="1">
      <c r="B18" s="104" t="s">
        <v>104</v>
      </c>
      <c r="C18" s="72" t="s">
        <v>105</v>
      </c>
      <c r="D18" s="73">
        <f>SUMIFS('0403 4度C'!$Y:$Y,'0403 4度C'!$A:$A,"新豐6線",'0403 4度C'!$B:$B,"平均")</f>
        <v>0</v>
      </c>
      <c r="E18" s="74">
        <f>SUMIFS('0403 4度C'!$Y:$Y,'0403 4度C'!$A:$A,"新豐2線",'0403 4度C'!$B:$B,"平均")</f>
        <v>0</v>
      </c>
      <c r="F18" s="74">
        <f>SUMIFS('0403 4度C'!$Y:$Y,'0403 4度C'!$A:$A,"新豐5線",'0403 4度C'!$B:$B,"平均")</f>
        <v>0</v>
      </c>
      <c r="G18" s="74">
        <f>SUMIFS('0403 4度C'!$Y:$Y,'0403 4度C'!$A:$A,"新豐7線",'0403 4度C'!$B:$B,"平均")</f>
        <v>0</v>
      </c>
      <c r="H18" s="74">
        <f>SUMIFS('0403 4度C'!$Y:$Y,'0403 4度C'!$A:$A,"新豐3線",'0403 4度C'!$B:$B,"平均")</f>
        <v>0</v>
      </c>
      <c r="I18" s="74">
        <f>SUMIFS('0403 4度C'!$Y:$Y,'0403 4度C'!$A:$A,"新豐1線",'0403 4度C'!$B:$B,"平均")</f>
        <v>0</v>
      </c>
      <c r="J18" s="75">
        <f>SUMIFS('0403 4度C'!$Y:$Y,'0403 4度C'!$A:$A,"新豐10線",'0403 4度C'!$B:$B,"平均")</f>
        <v>0</v>
      </c>
      <c r="K18" s="76">
        <f>SUMIFS('0403 4度C'!$Y:$Y,'0403 4度C'!$A:$A,"新豐8線",'0403 4度C'!$B:$B,"平均")</f>
        <v>0</v>
      </c>
      <c r="L18" s="74">
        <f>SUMIFS('0403 4度C'!$Y:$Y,'0403 4度C'!$A:$A,"新豐9線",'0403 4度C'!$B:$B,"平均")</f>
        <v>0</v>
      </c>
      <c r="M18" s="75">
        <f>SUMIFS('0403 4度C'!$Y:$Y,'0403 4度C'!$A:$A,"新豐4線",'0403 4度C'!$B:$B,"平均")</f>
        <v>0</v>
      </c>
    </row>
    <row r="19" spans="2:13" ht="17.25" customHeight="1">
      <c r="B19" s="105"/>
      <c r="C19" s="72" t="s">
        <v>311</v>
      </c>
      <c r="D19" s="73">
        <f>SUMIFS('0403 4度C'!$Z:$Z,'0403 4度C'!$A:$A,"新豐6線",'0403 4度C'!$B:$B,"平均")</f>
        <v>0</v>
      </c>
      <c r="E19" s="74">
        <f>SUMIFS('0403 4度C'!$Z:$Z,'0403 4度C'!$A:$A,"新豐2線",'0403 4度C'!$B:$B,"平均")</f>
        <v>0</v>
      </c>
      <c r="F19" s="74">
        <f>SUMIFS('0403 4度C'!$Z:$Z,'0403 4度C'!$A:$A,"新豐5線",'0403 4度C'!$B:$B,"平均")</f>
        <v>0</v>
      </c>
      <c r="G19" s="74">
        <f>SUMIFS('0403 4度C'!$Z:$Z,'0403 4度C'!$A:$A,"新豐7線",'0403 4度C'!$B:$B,"平均")</f>
        <v>0</v>
      </c>
      <c r="H19" s="74">
        <f>SUMIFS('0403 4度C'!$Z:$Z,'0403 4度C'!$A:$A,"新豐3線",'0403 4度C'!$B:$B,"平均")</f>
        <v>0</v>
      </c>
      <c r="I19" s="74">
        <f>SUMIFS('0403 4度C'!$Z:$Z,'0403 4度C'!$A:$A,"新豐1線",'0403 4度C'!$B:$B,"平均")</f>
        <v>0</v>
      </c>
      <c r="J19" s="75">
        <f>SUMIFS('0403 4度C'!$Z:$Z,'0403 4度C'!$A:$A,"新豐10線",'0403 4度C'!$B:$B,"平均")</f>
        <v>0</v>
      </c>
      <c r="K19" s="76">
        <f>SUMIFS('0403 4度C'!$Z:$Z,'0403 4度C'!$A:$A,"新豐8線",'0403 4度C'!$B:$B,"平均")</f>
        <v>0</v>
      </c>
      <c r="L19" s="74">
        <f>SUMIFS('0403 4度C'!$Z:$Z,'0403 4度C'!$A:$A,"新豐9線",'0403 4度C'!$B:$B,"平均")</f>
        <v>0</v>
      </c>
      <c r="M19" s="75">
        <f>SUMIFS('0403 4度C'!$Z:$Z,'0403 4度C'!$A:$A,"新豐4線",'0403 4度C'!$B:$B,"平均")</f>
        <v>0</v>
      </c>
    </row>
    <row r="20" spans="2:13" ht="17.25" customHeight="1">
      <c r="B20" s="104" t="s">
        <v>312</v>
      </c>
      <c r="C20" s="72" t="s">
        <v>313</v>
      </c>
      <c r="D20" s="73">
        <f>SUMIFS('0403 4度C'!$AC:$AC,'0403 4度C'!$A:$A,"新豐6線",'0403 4度C'!$B:$B,"平均")</f>
        <v>4</v>
      </c>
      <c r="E20" s="74">
        <f>SUMIFS('0403 4度C'!$AC:$AC,'0403 4度C'!$A:$A,"新豐2線",'0403 4度C'!$B:$B,"平均")</f>
        <v>2</v>
      </c>
      <c r="F20" s="74">
        <f>SUMIFS('0403 4度C'!$AC:$AC,'0403 4度C'!$A:$A,"新豐5線",'0403 4度C'!$B:$B,"平均")</f>
        <v>3</v>
      </c>
      <c r="G20" s="74">
        <f>SUMIFS('0403 4度C'!$AC:$AC,'0403 4度C'!$A:$A,"新豐7線",'0403 4度C'!$B:$B,"平均")</f>
        <v>6</v>
      </c>
      <c r="H20" s="74">
        <f>SUMIFS('0403 4度C'!$AC:$AC,'0403 4度C'!$A:$A,"新豐3線",'0403 4度C'!$B:$B,"平均")</f>
        <v>5</v>
      </c>
      <c r="I20" s="74">
        <f>SUMIFS('0403 4度C'!$AC:$AC,'0403 4度C'!$A:$A,"新豐1線",'0403 4度C'!$B:$B,"平均")</f>
        <v>7</v>
      </c>
      <c r="J20" s="75">
        <f>SUMIFS('0403 4度C'!$AC:$AC,'0403 4度C'!$A:$A,"新豐10線",'0403 4度C'!$B:$B,"平均")</f>
        <v>5</v>
      </c>
      <c r="K20" s="76">
        <f>SUMIFS('0403 4度C'!$AC:$AC,'0403 4度C'!$A:$A,"新豐8線",'0403 4度C'!$B:$B,"平均")</f>
        <v>5</v>
      </c>
      <c r="L20" s="74">
        <f>SUMIFS('0403 4度C'!$AC:$AC,'0403 4度C'!$A:$A,"新豐9線",'0403 4度C'!$B:$B,"平均")</f>
        <v>5</v>
      </c>
      <c r="M20" s="75">
        <f>SUMIFS('0403 4度C'!$AC:$AC,'0403 4度C'!$A:$A,"新豐4線",'0403 4度C'!$B:$B,"平均")</f>
        <v>5</v>
      </c>
    </row>
    <row r="21" spans="2:13" ht="17.25" customHeight="1">
      <c r="B21" s="105"/>
      <c r="C21" s="72" t="s">
        <v>314</v>
      </c>
      <c r="D21" s="73">
        <f>SUMIFS('0403 4度C'!$AD:$AD,'0403 4度C'!$A:$A,"新豐6線",'0403 4度C'!$B:$B,"平均")</f>
        <v>0</v>
      </c>
      <c r="E21" s="74">
        <f>SUMIFS('0403 4度C'!$AD:$AD,'0403 4度C'!$A:$A,"新豐2線",'0403 4度C'!$B:$B,"平均")</f>
        <v>0</v>
      </c>
      <c r="F21" s="74">
        <f>SUMIFS('0403 4度C'!$AD:$AD,'0403 4度C'!$A:$A,"新豐5線",'0403 4度C'!$B:$B,"平均")</f>
        <v>0</v>
      </c>
      <c r="G21" s="74">
        <f>SUMIFS('0403 4度C'!$AD:$AD,'0403 4度C'!$A:$A,"新豐7線",'0403 4度C'!$B:$B,"平均")</f>
        <v>0</v>
      </c>
      <c r="H21" s="74">
        <f>SUMIFS('0403 4度C'!$AD:$AD,'0403 4度C'!$A:$A,"新豐3線",'0403 4度C'!$B:$B,"平均")</f>
        <v>0</v>
      </c>
      <c r="I21" s="74">
        <f>SUMIFS('0403 4度C'!$AD:$AD,'0403 4度C'!$A:$A,"新豐1線",'0403 4度C'!$B:$B,"平均")</f>
        <v>0</v>
      </c>
      <c r="J21" s="75">
        <f>SUMIFS('0403 4度C'!$AD:$AD,'0403 4度C'!$A:$A,"新豐10線",'0403 4度C'!$B:$B,"平均")</f>
        <v>0</v>
      </c>
      <c r="K21" s="76">
        <f>SUMIFS('0403 4度C'!$AD:$AD,'0403 4度C'!$A:$A,"新豐8線",'0403 4度C'!$B:$B,"平均")</f>
        <v>0</v>
      </c>
      <c r="L21" s="74">
        <f>SUMIFS('0403 4度C'!$AD:$AD,'0403 4度C'!$A:$A,"新豐9線",'0403 4度C'!$B:$B,"平均")</f>
        <v>0</v>
      </c>
      <c r="M21" s="75">
        <f>SUMIFS('0403 4度C'!$AD:$AD,'0403 4度C'!$A:$A,"新豐4線",'0403 4度C'!$B:$B,"平均")</f>
        <v>0</v>
      </c>
    </row>
    <row r="22" spans="2:13" ht="17.25" customHeight="1">
      <c r="B22" s="106" t="s">
        <v>315</v>
      </c>
      <c r="C22" s="107"/>
      <c r="D22" s="77">
        <f>SUMIFS('0403 4度C'!$I:$I,'0403 4度C'!$A:$A,"新豐6線",'0403 4度C'!$B:$B,"平均")</f>
        <v>18</v>
      </c>
      <c r="E22" s="78">
        <f>SUMIFS('0403 4度C'!$I:$I,'0403 4度C'!$A:$A,"新豐2線",'0403 4度C'!$B:$B,"平均")</f>
        <v>18</v>
      </c>
      <c r="F22" s="78">
        <f>SUMIFS('0403 4度C'!$I:$I,'0403 4度C'!$A:$A,"新豐5線",'0403 4度C'!$B:$B,"平均")</f>
        <v>19</v>
      </c>
      <c r="G22" s="78">
        <f>SUMIFS('0403 4度C'!$I:$I,'0403 4度C'!$A:$A,"新豐7線",'0403 4度C'!$B:$B,"平均")</f>
        <v>15</v>
      </c>
      <c r="H22" s="78">
        <f>SUMIFS('0403 4度C'!$I:$I,'0403 4度C'!$A:$A,"新豐3線",'0403 4度C'!$B:$B,"平均")</f>
        <v>9</v>
      </c>
      <c r="I22" s="78">
        <f>SUMIFS('0403 4度C'!$I:$I,'0403 4度C'!$A:$A,"新豐1線",'0403 4度C'!$B:$B,"平均")</f>
        <v>18.857142857142858</v>
      </c>
      <c r="J22" s="79">
        <f>SUMIFS('0403 4度C'!$I:$I,'0403 4度C'!$A:$A,"新豐10線",'0403 4度C'!$B:$B,"平均")</f>
        <v>10.4</v>
      </c>
      <c r="K22" s="77">
        <f>SUMIFS('0403 4度C'!$I:$I,'0403 4度C'!$A:$A,"新豐8線",'0403 4度C'!$B:$B,"平均")</f>
        <v>18.399999999999999</v>
      </c>
      <c r="L22" s="78">
        <f>SUMIFS('0403 4度C'!$I:$I,'0403 4度C'!$A:$A,"新豐9線",'0403 4度C'!$B:$B,"平均")</f>
        <v>17.600000000000001</v>
      </c>
      <c r="M22" s="79">
        <f>SUMIFS('0403 4度C'!$I:$I,'0403 4度C'!$A:$A,"新豐4線",'0403 4度C'!$B:$B,"平均")</f>
        <v>15.4</v>
      </c>
    </row>
    <row r="23" spans="2:13" ht="17.25" customHeight="1">
      <c r="B23" s="106" t="s">
        <v>316</v>
      </c>
      <c r="C23" s="107"/>
      <c r="D23" s="80" t="s">
        <v>67</v>
      </c>
      <c r="E23" s="81" t="s">
        <v>68</v>
      </c>
      <c r="F23" s="81" t="s">
        <v>317</v>
      </c>
      <c r="G23" s="81" t="s">
        <v>317</v>
      </c>
      <c r="H23" s="81" t="s">
        <v>69</v>
      </c>
      <c r="I23" s="81" t="s">
        <v>67</v>
      </c>
      <c r="J23" s="82" t="s">
        <v>69</v>
      </c>
      <c r="K23" s="80" t="s">
        <v>318</v>
      </c>
      <c r="L23" s="81" t="s">
        <v>318</v>
      </c>
      <c r="M23" s="82" t="s">
        <v>318</v>
      </c>
    </row>
    <row r="24" spans="2:13" ht="17.25" customHeight="1">
      <c r="B24" s="106" t="s">
        <v>319</v>
      </c>
      <c r="C24" s="107"/>
      <c r="D24" s="80"/>
      <c r="E24" s="81"/>
      <c r="F24" s="81" t="s">
        <v>320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321</v>
      </c>
      <c r="C25" s="109"/>
      <c r="D25" s="83"/>
      <c r="E25" s="84" t="s">
        <v>322</v>
      </c>
      <c r="F25" s="102" t="s">
        <v>323</v>
      </c>
      <c r="G25" s="103"/>
      <c r="H25" s="84" t="s">
        <v>324</v>
      </c>
      <c r="I25" s="84" t="s">
        <v>222</v>
      </c>
      <c r="J25" s="85" t="s">
        <v>324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工作表13">
    <pageSetUpPr fitToPage="1"/>
  </sheetPr>
  <dimension ref="A1:AG62"/>
  <sheetViews>
    <sheetView zoomScale="80" zoomScaleNormal="80" workbookViewId="0">
      <pane ySplit="4" topLeftCell="A5" activePane="bottomLeft" state="frozen"/>
      <selection activeCell="K3" sqref="K3"/>
      <selection pane="bottomLeft" activeCell="K3" sqref="K3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325</v>
      </c>
      <c r="B1" s="1"/>
      <c r="C1" s="2" t="s">
        <v>224</v>
      </c>
      <c r="D1" s="3">
        <f>SUM(F5:F61)</f>
        <v>119215</v>
      </c>
      <c r="E1" s="88" t="s">
        <v>225</v>
      </c>
      <c r="F1" s="1">
        <f>SUM(G5:G61)</f>
        <v>4040444.4199999995</v>
      </c>
      <c r="G1" s="1" t="s">
        <v>326</v>
      </c>
      <c r="H1" s="4">
        <f>L9+L12+L41+L49+L16+L55+L29+L35+L23+L61</f>
        <v>159.65714285714287</v>
      </c>
      <c r="I1" s="215" t="s">
        <v>227</v>
      </c>
      <c r="J1" s="215"/>
      <c r="K1" s="215"/>
      <c r="L1" s="215" t="s">
        <v>228</v>
      </c>
      <c r="M1" s="215"/>
      <c r="N1" s="215"/>
      <c r="O1" s="215" t="s">
        <v>327</v>
      </c>
      <c r="P1" s="215"/>
      <c r="Q1" s="215"/>
      <c r="R1" s="215"/>
      <c r="S1" s="215" t="s">
        <v>328</v>
      </c>
      <c r="T1" s="215"/>
      <c r="U1" s="215"/>
      <c r="V1" s="215"/>
      <c r="W1" s="215"/>
      <c r="X1" s="215"/>
      <c r="Y1" s="5" t="s">
        <v>231</v>
      </c>
      <c r="Z1" s="6" t="s">
        <v>232</v>
      </c>
      <c r="AA1" s="216" t="s">
        <v>130</v>
      </c>
      <c r="AB1" s="216"/>
      <c r="AC1" s="97" t="s">
        <v>231</v>
      </c>
      <c r="AD1" s="6" t="s">
        <v>329</v>
      </c>
      <c r="AE1" s="215" t="s">
        <v>235</v>
      </c>
      <c r="AF1" s="217"/>
      <c r="AG1" s="217"/>
    </row>
    <row r="2" spans="1:33" ht="26.25" customHeight="1">
      <c r="A2" s="26">
        <v>46115</v>
      </c>
      <c r="B2" s="27" t="s">
        <v>330</v>
      </c>
      <c r="C2" s="2" t="s">
        <v>97</v>
      </c>
      <c r="D2" s="8">
        <f>AVERAGE(N9,N12,N41,N49,N16,N55,N23,N29,N35,N61)</f>
        <v>148.33144466480454</v>
      </c>
      <c r="E2" s="9" t="s">
        <v>0</v>
      </c>
      <c r="F2" s="10">
        <f>F1/D1</f>
        <v>33.892080862307594</v>
      </c>
      <c r="G2" s="1" t="s">
        <v>237</v>
      </c>
      <c r="H2" s="96">
        <f>COUNT(H5:H61)</f>
        <v>0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SUM(Y9+Y12+Y16+Y23+Y29+Y35+Y41+Y49+Y55+Y61)</f>
        <v>0</v>
      </c>
      <c r="Z2" s="11">
        <f>SUM(Z9+Z12+Z16+Z23+Z29+Z35+Z41+Z49+Z55+Z61)</f>
        <v>0</v>
      </c>
      <c r="AA2" s="216"/>
      <c r="AB2" s="216"/>
      <c r="AC2" s="11">
        <v>47</v>
      </c>
      <c r="AD2" s="11">
        <f>SUM(AD9+AD12+AD16+AD23+AD29+AD35+AD41+AD49+AD55+AD61)</f>
        <v>0</v>
      </c>
      <c r="AE2" s="217"/>
      <c r="AF2" s="217"/>
      <c r="AG2" s="217"/>
    </row>
    <row r="3" spans="1:33" ht="40.5" customHeight="1">
      <c r="A3" s="168" t="s">
        <v>331</v>
      </c>
      <c r="B3" s="168" t="s">
        <v>332</v>
      </c>
      <c r="C3" s="168" t="s">
        <v>240</v>
      </c>
      <c r="D3" s="168"/>
      <c r="E3" s="213" t="s">
        <v>333</v>
      </c>
      <c r="F3" s="168" t="s">
        <v>334</v>
      </c>
      <c r="G3" s="213" t="s">
        <v>243</v>
      </c>
      <c r="H3" s="207" t="s">
        <v>335</v>
      </c>
      <c r="I3" s="205" t="s">
        <v>336</v>
      </c>
      <c r="J3" s="202" t="s">
        <v>337</v>
      </c>
      <c r="K3" s="212" t="s">
        <v>97</v>
      </c>
      <c r="L3" s="205" t="s">
        <v>142</v>
      </c>
      <c r="M3" s="202" t="s">
        <v>143</v>
      </c>
      <c r="N3" s="212" t="s">
        <v>305</v>
      </c>
      <c r="O3" s="205" t="s">
        <v>142</v>
      </c>
      <c r="P3" s="212" t="s">
        <v>97</v>
      </c>
      <c r="Q3" s="203" t="s">
        <v>247</v>
      </c>
      <c r="R3" s="181" t="s">
        <v>338</v>
      </c>
      <c r="S3" s="168" t="s">
        <v>1</v>
      </c>
      <c r="T3" s="168"/>
      <c r="U3" s="207" t="s">
        <v>2</v>
      </c>
      <c r="V3" s="207" t="s">
        <v>339</v>
      </c>
      <c r="W3" s="168" t="s">
        <v>250</v>
      </c>
      <c r="X3" s="168"/>
      <c r="Y3" s="208" t="s">
        <v>251</v>
      </c>
      <c r="Z3" s="167"/>
      <c r="AA3" s="209" t="s">
        <v>340</v>
      </c>
      <c r="AB3" s="210"/>
      <c r="AC3" s="208" t="s">
        <v>341</v>
      </c>
      <c r="AD3" s="167"/>
      <c r="AE3" s="202" t="s">
        <v>342</v>
      </c>
      <c r="AF3" s="203" t="s">
        <v>247</v>
      </c>
      <c r="AG3" s="181" t="s">
        <v>343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344</v>
      </c>
      <c r="X4" s="88" t="s">
        <v>255</v>
      </c>
      <c r="Y4" s="90" t="s">
        <v>345</v>
      </c>
      <c r="Z4" s="90" t="s">
        <v>346</v>
      </c>
      <c r="AA4" s="211"/>
      <c r="AB4" s="210"/>
      <c r="AC4" s="90" t="s">
        <v>347</v>
      </c>
      <c r="AD4" s="90" t="s">
        <v>348</v>
      </c>
      <c r="AE4" s="202"/>
      <c r="AF4" s="203"/>
      <c r="AG4" s="181"/>
    </row>
    <row r="5" spans="1:33">
      <c r="A5" s="204" t="s">
        <v>349</v>
      </c>
      <c r="B5" s="28" t="s">
        <v>5</v>
      </c>
      <c r="C5" s="206" t="s">
        <v>6</v>
      </c>
      <c r="D5" s="206"/>
      <c r="E5" s="28">
        <v>50.67</v>
      </c>
      <c r="F5" s="88">
        <v>1337</v>
      </c>
      <c r="G5" s="88">
        <f t="shared" ref="G5:G8" si="0">E5*F5</f>
        <v>67745.790000000008</v>
      </c>
      <c r="H5" s="30" t="s">
        <v>53</v>
      </c>
      <c r="I5" s="95">
        <v>17</v>
      </c>
      <c r="J5" s="13">
        <v>2000</v>
      </c>
      <c r="K5" s="12">
        <f t="shared" ref="K5:K61" si="1">J5/I5</f>
        <v>117.64705882352941</v>
      </c>
      <c r="L5" s="95">
        <v>17</v>
      </c>
      <c r="M5" s="13">
        <f t="shared" ref="M5:M8" si="2">F5/V5*60</f>
        <v>1909.9999999999993</v>
      </c>
      <c r="N5" s="12">
        <f t="shared" ref="N5:N61" si="3">M5/L5</f>
        <v>112.35294117647055</v>
      </c>
      <c r="O5" s="14">
        <f t="shared" ref="O5:O61" si="4">L5-I5</f>
        <v>0</v>
      </c>
      <c r="P5" s="15">
        <f t="shared" ref="P5:P61" si="5">N5-K5</f>
        <v>-5.2941176470588545</v>
      </c>
      <c r="Q5" s="91">
        <f t="shared" ref="Q5:Q61" si="6">N5/K5</f>
        <v>0.95499999999999974</v>
      </c>
      <c r="R5" s="177">
        <f>Q9</f>
        <v>0.94967279411765093</v>
      </c>
      <c r="S5" s="21">
        <v>0.70833333333333337</v>
      </c>
      <c r="T5" s="21">
        <v>0.73750000000000004</v>
      </c>
      <c r="U5" s="88"/>
      <c r="V5" s="30">
        <f t="shared" ref="V5:V8" si="7">(T5-S5)*24*60</f>
        <v>42.000000000000014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48" si="8">M5-J5</f>
        <v>-90.000000000000682</v>
      </c>
      <c r="AF5" s="91">
        <f t="shared" ref="AF5:AF61" si="9">M5/J5</f>
        <v>0.95499999999999963</v>
      </c>
      <c r="AG5" s="177">
        <f>AF9</f>
        <v>0.94967279411765093</v>
      </c>
    </row>
    <row r="6" spans="1:33">
      <c r="A6" s="205" t="s">
        <v>349</v>
      </c>
      <c r="B6" s="28" t="s">
        <v>5</v>
      </c>
      <c r="C6" s="206" t="s">
        <v>7</v>
      </c>
      <c r="D6" s="206"/>
      <c r="E6" s="28">
        <v>54.09</v>
      </c>
      <c r="F6" s="88">
        <v>1097</v>
      </c>
      <c r="G6" s="88">
        <f t="shared" si="0"/>
        <v>59336.73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1935.8823529411738</v>
      </c>
      <c r="N6" s="12">
        <f t="shared" si="3"/>
        <v>101.88854489164073</v>
      </c>
      <c r="O6" s="14">
        <f t="shared" si="4"/>
        <v>0</v>
      </c>
      <c r="P6" s="15">
        <f t="shared" si="5"/>
        <v>-3.3746130030961012</v>
      </c>
      <c r="Q6" s="91">
        <f t="shared" si="6"/>
        <v>0.96794117647058708</v>
      </c>
      <c r="R6" s="177"/>
      <c r="S6" s="21">
        <v>0.74236111111111114</v>
      </c>
      <c r="T6" s="21">
        <v>0.76597222222222228</v>
      </c>
      <c r="U6" s="88">
        <f t="shared" ref="U6:U8" si="10">IF(S6=TIME(17,0,0),"",(S6-T5)*24*60)</f>
        <v>6.9999999999999751</v>
      </c>
      <c r="V6" s="30">
        <f t="shared" si="7"/>
        <v>34.000000000000043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-64.117647058826151</v>
      </c>
      <c r="AF6" s="91">
        <f t="shared" si="9"/>
        <v>0.96794117647058697</v>
      </c>
      <c r="AG6" s="177"/>
    </row>
    <row r="7" spans="1:33">
      <c r="A7" s="205" t="s">
        <v>259</v>
      </c>
      <c r="B7" s="28" t="s">
        <v>5</v>
      </c>
      <c r="C7" s="200" t="s">
        <v>8</v>
      </c>
      <c r="D7" s="201"/>
      <c r="E7" s="28">
        <v>50.67</v>
      </c>
      <c r="F7" s="88">
        <v>302</v>
      </c>
      <c r="G7" s="88">
        <f t="shared" si="0"/>
        <v>15302.34</v>
      </c>
      <c r="H7" s="30" t="s">
        <v>53</v>
      </c>
      <c r="I7" s="95">
        <v>21</v>
      </c>
      <c r="J7" s="13">
        <v>2000</v>
      </c>
      <c r="K7" s="12">
        <f t="shared" si="1"/>
        <v>95.238095238095241</v>
      </c>
      <c r="L7" s="95">
        <v>21</v>
      </c>
      <c r="M7" s="13">
        <f t="shared" si="2"/>
        <v>1812.0000000000352</v>
      </c>
      <c r="N7" s="12">
        <f t="shared" si="3"/>
        <v>86.285714285715969</v>
      </c>
      <c r="O7" s="14">
        <f t="shared" si="4"/>
        <v>0</v>
      </c>
      <c r="P7" s="15">
        <f t="shared" si="5"/>
        <v>-8.9523809523792721</v>
      </c>
      <c r="Q7" s="91">
        <f t="shared" si="6"/>
        <v>0.90600000000001768</v>
      </c>
      <c r="R7" s="177"/>
      <c r="S7" s="21">
        <v>0.77013888888888893</v>
      </c>
      <c r="T7" s="21">
        <v>0.77708333333333324</v>
      </c>
      <c r="U7" s="88">
        <f t="shared" si="10"/>
        <v>5.9999999999999787</v>
      </c>
      <c r="V7" s="30">
        <f t="shared" si="7"/>
        <v>9.9999999999998046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-187.99999999996476</v>
      </c>
      <c r="AF7" s="91">
        <f t="shared" si="9"/>
        <v>0.90600000000001757</v>
      </c>
      <c r="AG7" s="177"/>
    </row>
    <row r="8" spans="1:33">
      <c r="A8" s="205" t="s">
        <v>259</v>
      </c>
      <c r="B8" s="28" t="s">
        <v>5</v>
      </c>
      <c r="C8" s="200" t="s">
        <v>16</v>
      </c>
      <c r="D8" s="201"/>
      <c r="E8" s="28">
        <v>50.67</v>
      </c>
      <c r="F8" s="88">
        <v>1293</v>
      </c>
      <c r="G8" s="88">
        <f t="shared" si="0"/>
        <v>65516.310000000005</v>
      </c>
      <c r="H8" s="30" t="s">
        <v>53</v>
      </c>
      <c r="I8" s="95">
        <v>15</v>
      </c>
      <c r="J8" s="13">
        <v>2000</v>
      </c>
      <c r="K8" s="12">
        <f t="shared" si="1"/>
        <v>133.33333333333334</v>
      </c>
      <c r="L8" s="95">
        <v>15</v>
      </c>
      <c r="M8" s="13">
        <f t="shared" si="2"/>
        <v>1939.4999999999993</v>
      </c>
      <c r="N8" s="12">
        <f t="shared" si="3"/>
        <v>129.29999999999995</v>
      </c>
      <c r="O8" s="14">
        <f t="shared" si="4"/>
        <v>0</v>
      </c>
      <c r="P8" s="15">
        <f t="shared" si="5"/>
        <v>-4.0333333333333883</v>
      </c>
      <c r="Q8" s="91">
        <f t="shared" si="6"/>
        <v>0.96974999999999956</v>
      </c>
      <c r="R8" s="177"/>
      <c r="S8" s="21">
        <v>0.78194444444444444</v>
      </c>
      <c r="T8" s="21">
        <v>0.80972222222222223</v>
      </c>
      <c r="U8" s="88">
        <f t="shared" si="10"/>
        <v>7.000000000000135</v>
      </c>
      <c r="V8" s="30">
        <f t="shared" si="7"/>
        <v>40.000000000000014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-60.500000000000682</v>
      </c>
      <c r="AF8" s="91">
        <f t="shared" si="9"/>
        <v>0.96974999999999967</v>
      </c>
      <c r="AG8" s="177"/>
    </row>
    <row r="9" spans="1:33">
      <c r="A9" s="205" t="s">
        <v>259</v>
      </c>
      <c r="B9" s="28" t="s">
        <v>261</v>
      </c>
      <c r="C9" s="178"/>
      <c r="D9" s="178"/>
      <c r="E9" s="92"/>
      <c r="F9" s="12"/>
      <c r="G9" s="12"/>
      <c r="H9" s="88"/>
      <c r="I9" s="23">
        <v>18</v>
      </c>
      <c r="J9" s="13">
        <v>2000</v>
      </c>
      <c r="K9" s="12">
        <f t="shared" si="1"/>
        <v>111.11111111111111</v>
      </c>
      <c r="L9" s="23">
        <v>18</v>
      </c>
      <c r="M9" s="13">
        <f>AVERAGE(M5:M8)</f>
        <v>1899.3455882353019</v>
      </c>
      <c r="N9" s="12">
        <f t="shared" si="3"/>
        <v>105.51919934640566</v>
      </c>
      <c r="O9" s="14">
        <f t="shared" si="4"/>
        <v>0</v>
      </c>
      <c r="P9" s="15">
        <f t="shared" si="5"/>
        <v>-5.5919117647054577</v>
      </c>
      <c r="Q9" s="91">
        <f t="shared" si="6"/>
        <v>0.94967279411765093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v>4</v>
      </c>
      <c r="AD9" s="24">
        <f>SUM(AD5:AD8)</f>
        <v>0</v>
      </c>
      <c r="AE9" s="14">
        <f t="shared" si="8"/>
        <v>-100.65441176469812</v>
      </c>
      <c r="AF9" s="91">
        <f t="shared" si="9"/>
        <v>0.94967279411765093</v>
      </c>
      <c r="AG9" s="177"/>
    </row>
    <row r="10" spans="1:33" ht="15.75" customHeight="1">
      <c r="A10" s="199" t="s">
        <v>350</v>
      </c>
      <c r="B10" s="28" t="s">
        <v>9</v>
      </c>
      <c r="C10" s="200" t="s">
        <v>10</v>
      </c>
      <c r="D10" s="201"/>
      <c r="E10" s="28">
        <v>39.619999999999997</v>
      </c>
      <c r="F10" s="88">
        <v>3668</v>
      </c>
      <c r="G10" s="88">
        <f t="shared" ref="G10:G11" si="11">E10*F10</f>
        <v>145326.16</v>
      </c>
      <c r="H10" s="30" t="s">
        <v>53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1" si="12">F10/V10*60</f>
        <v>1429.090909090909</v>
      </c>
      <c r="N10" s="12">
        <f t="shared" si="3"/>
        <v>75.215311004784681</v>
      </c>
      <c r="O10" s="14">
        <f t="shared" si="4"/>
        <v>0</v>
      </c>
      <c r="P10" s="15">
        <f t="shared" si="5"/>
        <v>-3.7320574162679492</v>
      </c>
      <c r="Q10" s="91">
        <f t="shared" si="6"/>
        <v>0.95272727272727264</v>
      </c>
      <c r="R10" s="177">
        <f>Q12</f>
        <v>0.95354673495518549</v>
      </c>
      <c r="S10" s="21">
        <v>0.20833333333333334</v>
      </c>
      <c r="T10" s="21">
        <v>0.31527777777777777</v>
      </c>
      <c r="U10" s="88"/>
      <c r="V10" s="30">
        <f t="shared" ref="V10:V11" si="13">(T10-S10)*24*60</f>
        <v>154</v>
      </c>
      <c r="W10" s="16"/>
      <c r="X10" s="16"/>
      <c r="Y10" s="16"/>
      <c r="Z10" s="16"/>
      <c r="AA10" s="168"/>
      <c r="AB10" s="168"/>
      <c r="AC10" s="18">
        <v>2</v>
      </c>
      <c r="AD10" s="18"/>
      <c r="AE10" s="14">
        <f t="shared" si="8"/>
        <v>-70.909090909090992</v>
      </c>
      <c r="AF10" s="91">
        <f t="shared" si="9"/>
        <v>0.95272727272727264</v>
      </c>
      <c r="AG10" s="177">
        <f>AF12</f>
        <v>0.95354673495518549</v>
      </c>
    </row>
    <row r="11" spans="1:33" ht="15.75" customHeight="1">
      <c r="A11" s="199" t="s">
        <v>263</v>
      </c>
      <c r="B11" s="28" t="s">
        <v>9</v>
      </c>
      <c r="C11" s="200" t="s">
        <v>11</v>
      </c>
      <c r="D11" s="201"/>
      <c r="E11" s="28">
        <v>39.799999999999997</v>
      </c>
      <c r="F11" s="88">
        <v>5082</v>
      </c>
      <c r="G11" s="88">
        <f t="shared" si="11"/>
        <v>202263.59999999998</v>
      </c>
      <c r="H11" s="30" t="s">
        <v>53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1431.5492957746474</v>
      </c>
      <c r="N11" s="12">
        <f t="shared" si="3"/>
        <v>84.20878210439102</v>
      </c>
      <c r="O11" s="14">
        <f t="shared" si="4"/>
        <v>0</v>
      </c>
      <c r="P11" s="15">
        <f t="shared" si="5"/>
        <v>-4.0265120132560384</v>
      </c>
      <c r="Q11" s="91">
        <f t="shared" si="6"/>
        <v>0.95436619718309823</v>
      </c>
      <c r="R11" s="177"/>
      <c r="S11" s="21">
        <v>0.31874999999999998</v>
      </c>
      <c r="T11" s="21">
        <v>0.46666666666666667</v>
      </c>
      <c r="U11" s="88">
        <f t="shared" ref="U11" si="14">IF(S11=TIME(17,0,0),"",(S11-T10)*24*60)</f>
        <v>4.9999999999999822</v>
      </c>
      <c r="V11" s="30">
        <f t="shared" si="13"/>
        <v>213.00000000000006</v>
      </c>
      <c r="W11" s="16"/>
      <c r="X11" s="16"/>
      <c r="Y11" s="16"/>
      <c r="Z11" s="16"/>
      <c r="AA11" s="168"/>
      <c r="AB11" s="168"/>
      <c r="AC11" s="18"/>
      <c r="AD11" s="18"/>
      <c r="AE11" s="14">
        <f t="shared" si="8"/>
        <v>-68.450704225352638</v>
      </c>
      <c r="AF11" s="91">
        <f t="shared" si="9"/>
        <v>0.95436619718309823</v>
      </c>
      <c r="AG11" s="177"/>
    </row>
    <row r="12" spans="1:33" ht="16.5" customHeight="1">
      <c r="A12" s="199" t="s">
        <v>263</v>
      </c>
      <c r="B12" s="28" t="s">
        <v>351</v>
      </c>
      <c r="C12" s="178"/>
      <c r="D12" s="178"/>
      <c r="E12" s="92"/>
      <c r="F12" s="13"/>
      <c r="G12" s="13"/>
      <c r="H12" s="88"/>
      <c r="I12" s="23">
        <v>18</v>
      </c>
      <c r="J12" s="13">
        <v>1500</v>
      </c>
      <c r="K12" s="12">
        <f t="shared" si="1"/>
        <v>83.333333333333329</v>
      </c>
      <c r="L12" s="23">
        <v>18</v>
      </c>
      <c r="M12" s="13">
        <f>AVERAGE(M10:M11)</f>
        <v>1430.3201024327782</v>
      </c>
      <c r="N12" s="12">
        <f t="shared" si="3"/>
        <v>79.462227912932121</v>
      </c>
      <c r="O12" s="14">
        <f t="shared" si="4"/>
        <v>0</v>
      </c>
      <c r="P12" s="15">
        <f t="shared" si="5"/>
        <v>-3.8711054204012072</v>
      </c>
      <c r="Q12" s="91">
        <f t="shared" si="6"/>
        <v>0.95354673495518549</v>
      </c>
      <c r="R12" s="177"/>
      <c r="S12" s="21"/>
      <c r="T12" s="21"/>
      <c r="U12" s="12"/>
      <c r="V12" s="30"/>
      <c r="W12" s="12"/>
      <c r="X12" s="12"/>
      <c r="Y12" s="24">
        <f>SUM(Y10:Y11)</f>
        <v>0</v>
      </c>
      <c r="Z12" s="24">
        <f>SUM(Z10:Z11)</f>
        <v>0</v>
      </c>
      <c r="AA12" s="167"/>
      <c r="AB12" s="167"/>
      <c r="AC12" s="24">
        <v>2</v>
      </c>
      <c r="AD12" s="24">
        <f>SUM(AD10:AD11)</f>
        <v>0</v>
      </c>
      <c r="AE12" s="14">
        <f t="shared" si="8"/>
        <v>-69.679897567221815</v>
      </c>
      <c r="AF12" s="91">
        <f t="shared" si="9"/>
        <v>0.95354673495518549</v>
      </c>
      <c r="AG12" s="177"/>
    </row>
    <row r="13" spans="1:33" ht="16.5" customHeight="1">
      <c r="A13" s="197" t="s">
        <v>352</v>
      </c>
      <c r="B13" s="88" t="s">
        <v>12</v>
      </c>
      <c r="C13" s="193" t="s">
        <v>13</v>
      </c>
      <c r="D13" s="193"/>
      <c r="E13" s="28">
        <v>41</v>
      </c>
      <c r="F13" s="88">
        <v>2442</v>
      </c>
      <c r="G13" s="88">
        <f t="shared" ref="G13:G15" si="15">E13*F13</f>
        <v>100122</v>
      </c>
      <c r="H13" s="30" t="s">
        <v>53</v>
      </c>
      <c r="I13" s="95">
        <v>26</v>
      </c>
      <c r="J13" s="13">
        <v>1500</v>
      </c>
      <c r="K13" s="12">
        <f t="shared" si="1"/>
        <v>57.692307692307693</v>
      </c>
      <c r="L13" s="95">
        <v>26</v>
      </c>
      <c r="M13" s="13">
        <f t="shared" ref="M13:M15" si="16">F13/V13*60</f>
        <v>1436.4705882352941</v>
      </c>
      <c r="N13" s="12">
        <f t="shared" si="3"/>
        <v>55.248868778280546</v>
      </c>
      <c r="O13" s="14">
        <f t="shared" si="4"/>
        <v>0</v>
      </c>
      <c r="P13" s="15">
        <f t="shared" si="5"/>
        <v>-2.4434389140271477</v>
      </c>
      <c r="Q13" s="91">
        <f t="shared" si="6"/>
        <v>0.95764705882352941</v>
      </c>
      <c r="R13" s="177">
        <f>Q16</f>
        <v>0.96050544554814643</v>
      </c>
      <c r="S13" s="21">
        <v>0.20833333333333334</v>
      </c>
      <c r="T13" s="21">
        <v>0.27916666666666667</v>
      </c>
      <c r="U13" s="88"/>
      <c r="V13" s="30">
        <f t="shared" ref="V13:V15" si="17">(T13-S13)*24*60</f>
        <v>102</v>
      </c>
      <c r="W13" s="21"/>
      <c r="X13" s="21"/>
      <c r="Y13" s="21"/>
      <c r="Z13" s="21"/>
      <c r="AA13" s="168"/>
      <c r="AB13" s="168"/>
      <c r="AC13" s="18">
        <v>3</v>
      </c>
      <c r="AD13" s="18"/>
      <c r="AE13" s="14">
        <f t="shared" si="8"/>
        <v>-63.529411764705856</v>
      </c>
      <c r="AF13" s="91">
        <f t="shared" si="9"/>
        <v>0.95764705882352941</v>
      </c>
      <c r="AG13" s="177">
        <f>AF16</f>
        <v>0.96050544554814643</v>
      </c>
    </row>
    <row r="14" spans="1:33" ht="16.5" customHeight="1">
      <c r="A14" s="198" t="s">
        <v>353</v>
      </c>
      <c r="B14" s="88" t="s">
        <v>5</v>
      </c>
      <c r="C14" s="193" t="s">
        <v>14</v>
      </c>
      <c r="D14" s="193"/>
      <c r="E14" s="28">
        <v>50.98</v>
      </c>
      <c r="F14" s="88">
        <v>2148</v>
      </c>
      <c r="G14" s="88">
        <f t="shared" si="15"/>
        <v>109505.04</v>
      </c>
      <c r="H14" s="30" t="s">
        <v>53</v>
      </c>
      <c r="I14" s="95">
        <v>16</v>
      </c>
      <c r="J14" s="13">
        <v>2000</v>
      </c>
      <c r="K14" s="12">
        <f t="shared" si="1"/>
        <v>125</v>
      </c>
      <c r="L14" s="95">
        <v>16</v>
      </c>
      <c r="M14" s="13">
        <f t="shared" si="16"/>
        <v>1923.5820895522363</v>
      </c>
      <c r="N14" s="12">
        <f t="shared" si="3"/>
        <v>120.22388059701477</v>
      </c>
      <c r="O14" s="14">
        <f t="shared" si="4"/>
        <v>0</v>
      </c>
      <c r="P14" s="15">
        <f t="shared" si="5"/>
        <v>-4.7761194029852305</v>
      </c>
      <c r="Q14" s="91">
        <f t="shared" si="6"/>
        <v>0.96179104477611821</v>
      </c>
      <c r="R14" s="177"/>
      <c r="S14" s="21">
        <v>0.70833333333333337</v>
      </c>
      <c r="T14" s="21">
        <v>0.7548611111111112</v>
      </c>
      <c r="U14" s="88" t="str">
        <f t="shared" ref="U14:U15" si="18">IF(S14=TIME(17,0,0),"",(S14-T13)*24*60)</f>
        <v/>
      </c>
      <c r="V14" s="30">
        <f t="shared" si="17"/>
        <v>67.000000000000085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8"/>
        <v>-76.417910447763688</v>
      </c>
      <c r="AF14" s="91">
        <f t="shared" si="9"/>
        <v>0.96179104477611821</v>
      </c>
      <c r="AG14" s="177"/>
    </row>
    <row r="15" spans="1:33" ht="16.5" customHeight="1">
      <c r="A15" s="198" t="s">
        <v>265</v>
      </c>
      <c r="B15" s="88" t="s">
        <v>5</v>
      </c>
      <c r="C15" s="193" t="s">
        <v>15</v>
      </c>
      <c r="D15" s="193"/>
      <c r="E15" s="28">
        <v>50.92</v>
      </c>
      <c r="F15" s="88">
        <v>2115</v>
      </c>
      <c r="G15" s="88">
        <f t="shared" si="15"/>
        <v>107695.8</v>
      </c>
      <c r="H15" s="30" t="s">
        <v>53</v>
      </c>
      <c r="I15" s="95">
        <v>15</v>
      </c>
      <c r="J15" s="13">
        <v>2000</v>
      </c>
      <c r="K15" s="12">
        <f t="shared" si="1"/>
        <v>133.33333333333334</v>
      </c>
      <c r="L15" s="95">
        <v>15</v>
      </c>
      <c r="M15" s="13">
        <f t="shared" si="16"/>
        <v>1922.727272727275</v>
      </c>
      <c r="N15" s="12">
        <f t="shared" si="3"/>
        <v>128.18181818181833</v>
      </c>
      <c r="O15" s="14">
        <f t="shared" si="4"/>
        <v>0</v>
      </c>
      <c r="P15" s="15">
        <f t="shared" si="5"/>
        <v>-5.1515151515150137</v>
      </c>
      <c r="Q15" s="91">
        <f t="shared" si="6"/>
        <v>0.96136363636363742</v>
      </c>
      <c r="R15" s="177"/>
      <c r="S15" s="21">
        <v>0.7597222222222223</v>
      </c>
      <c r="T15" s="21">
        <v>0.80555555555555558</v>
      </c>
      <c r="U15" s="88">
        <f t="shared" si="18"/>
        <v>6.9999999999999751</v>
      </c>
      <c r="V15" s="30">
        <f t="shared" si="17"/>
        <v>65.999999999999929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-77.272727272724978</v>
      </c>
      <c r="AF15" s="91">
        <f t="shared" si="9"/>
        <v>0.96136363636363753</v>
      </c>
      <c r="AG15" s="177"/>
    </row>
    <row r="16" spans="1:33" ht="16.5" customHeight="1">
      <c r="A16" s="198" t="s">
        <v>354</v>
      </c>
      <c r="B16" s="28" t="s">
        <v>261</v>
      </c>
      <c r="C16" s="178"/>
      <c r="D16" s="178"/>
      <c r="E16" s="92"/>
      <c r="F16" s="12"/>
      <c r="G16" s="12"/>
      <c r="H16" s="88"/>
      <c r="I16" s="23">
        <v>19</v>
      </c>
      <c r="J16" s="13">
        <v>1833.3333333333333</v>
      </c>
      <c r="K16" s="12">
        <f t="shared" si="1"/>
        <v>96.491228070175438</v>
      </c>
      <c r="L16" s="23">
        <v>19</v>
      </c>
      <c r="M16" s="13">
        <f>AVERAGE(M13:M15)</f>
        <v>1760.9266501716018</v>
      </c>
      <c r="N16" s="12">
        <f t="shared" si="3"/>
        <v>92.68035000903167</v>
      </c>
      <c r="O16" s="14">
        <f t="shared" si="4"/>
        <v>0</v>
      </c>
      <c r="P16" s="15">
        <f t="shared" si="5"/>
        <v>-3.810878061143768</v>
      </c>
      <c r="Q16" s="91">
        <f t="shared" si="6"/>
        <v>0.96050544554814643</v>
      </c>
      <c r="R16" s="177"/>
      <c r="S16" s="21"/>
      <c r="T16" s="21"/>
      <c r="U16" s="88"/>
      <c r="V16" s="30"/>
      <c r="W16" s="12"/>
      <c r="X16" s="12"/>
      <c r="Y16" s="24">
        <f>SUM(Y13:Y15)</f>
        <v>0</v>
      </c>
      <c r="Z16" s="24">
        <f>SUM(Z13:Z15)</f>
        <v>0</v>
      </c>
      <c r="AA16" s="167"/>
      <c r="AB16" s="167"/>
      <c r="AC16" s="24">
        <v>3</v>
      </c>
      <c r="AD16" s="24">
        <f>SUM(AD13:AD15)</f>
        <v>0</v>
      </c>
      <c r="AE16" s="14">
        <f t="shared" si="8"/>
        <v>-72.406683161731507</v>
      </c>
      <c r="AF16" s="91">
        <f t="shared" si="9"/>
        <v>0.96050544554814643</v>
      </c>
      <c r="AG16" s="177"/>
    </row>
    <row r="17" spans="1:33" ht="15.75" customHeight="1">
      <c r="A17" s="195" t="s">
        <v>266</v>
      </c>
      <c r="B17" s="28" t="s">
        <v>5</v>
      </c>
      <c r="C17" s="193" t="s">
        <v>17</v>
      </c>
      <c r="D17" s="193"/>
      <c r="E17" s="28">
        <v>57.73</v>
      </c>
      <c r="F17" s="88">
        <v>2093</v>
      </c>
      <c r="G17" s="88">
        <f t="shared" ref="G17:G22" si="19">E17*F17</f>
        <v>120828.89</v>
      </c>
      <c r="H17" s="30" t="s">
        <v>53</v>
      </c>
      <c r="I17" s="95">
        <v>14</v>
      </c>
      <c r="J17" s="13">
        <v>2000</v>
      </c>
      <c r="K17" s="12">
        <f t="shared" si="1"/>
        <v>142.85714285714286</v>
      </c>
      <c r="L17" s="95">
        <v>14</v>
      </c>
      <c r="M17" s="13">
        <f t="shared" ref="M17:M22" si="20">F17/V17*60</f>
        <v>1902.7272727272734</v>
      </c>
      <c r="N17" s="12">
        <f t="shared" si="3"/>
        <v>135.90909090909096</v>
      </c>
      <c r="O17" s="14">
        <f t="shared" si="4"/>
        <v>0</v>
      </c>
      <c r="P17" s="15">
        <f t="shared" si="5"/>
        <v>-6.9480519480518979</v>
      </c>
      <c r="Q17" s="91">
        <f t="shared" si="6"/>
        <v>0.95136363636363674</v>
      </c>
      <c r="R17" s="177">
        <f>Q23</f>
        <v>0.95939528015759445</v>
      </c>
      <c r="S17" s="21">
        <v>0.20833333333333334</v>
      </c>
      <c r="T17" s="21">
        <v>0.25416666666666665</v>
      </c>
      <c r="U17" s="88"/>
      <c r="V17" s="30">
        <f t="shared" ref="V17:V22" si="21">(T17-S17)*24*60</f>
        <v>65.999999999999972</v>
      </c>
      <c r="W17" s="21"/>
      <c r="X17" s="21"/>
      <c r="Y17" s="21"/>
      <c r="Z17" s="21"/>
      <c r="AA17" s="168"/>
      <c r="AB17" s="168"/>
      <c r="AC17" s="18">
        <v>6</v>
      </c>
      <c r="AD17" s="18"/>
      <c r="AE17" s="14">
        <f t="shared" si="8"/>
        <v>-97.27272727272657</v>
      </c>
      <c r="AF17" s="91">
        <f t="shared" si="9"/>
        <v>0.95136363636363674</v>
      </c>
      <c r="AG17" s="177">
        <f>AF23</f>
        <v>0.95939528015759445</v>
      </c>
    </row>
    <row r="18" spans="1:33" ht="15.75" customHeight="1">
      <c r="A18" s="196" t="s">
        <v>355</v>
      </c>
      <c r="B18" s="28" t="s">
        <v>5</v>
      </c>
      <c r="C18" s="193" t="s">
        <v>18</v>
      </c>
      <c r="D18" s="193"/>
      <c r="E18" s="28">
        <v>53.68</v>
      </c>
      <c r="F18" s="88">
        <v>1022</v>
      </c>
      <c r="G18" s="88">
        <f t="shared" si="19"/>
        <v>54860.959999999999</v>
      </c>
      <c r="H18" s="30" t="s">
        <v>53</v>
      </c>
      <c r="I18" s="95">
        <v>16</v>
      </c>
      <c r="J18" s="13">
        <v>2000</v>
      </c>
      <c r="K18" s="12">
        <f t="shared" si="1"/>
        <v>125</v>
      </c>
      <c r="L18" s="95">
        <v>16</v>
      </c>
      <c r="M18" s="13">
        <f t="shared" si="20"/>
        <v>1916.250000000002</v>
      </c>
      <c r="N18" s="12">
        <f t="shared" si="3"/>
        <v>119.76562500000013</v>
      </c>
      <c r="O18" s="14">
        <f t="shared" si="4"/>
        <v>0</v>
      </c>
      <c r="P18" s="15">
        <f t="shared" si="5"/>
        <v>-5.2343749999998721</v>
      </c>
      <c r="Q18" s="91">
        <f t="shared" si="6"/>
        <v>0.958125000000001</v>
      </c>
      <c r="R18" s="177"/>
      <c r="S18" s="21">
        <v>0.25902777777777775</v>
      </c>
      <c r="T18" s="21">
        <v>0.28124999999999994</v>
      </c>
      <c r="U18" s="88">
        <f t="shared" ref="U18:U22" si="22">IF(S18=TIME(17,0,0),"",(S18-T17)*24*60)</f>
        <v>6.9999999999999751</v>
      </c>
      <c r="V18" s="30">
        <f t="shared" si="21"/>
        <v>31.999999999999964</v>
      </c>
      <c r="W18" s="16"/>
      <c r="X18" s="88"/>
      <c r="Y18" s="88"/>
      <c r="Z18" s="88"/>
      <c r="AA18" s="168"/>
      <c r="AB18" s="168"/>
      <c r="AC18" s="18"/>
      <c r="AD18" s="18"/>
      <c r="AE18" s="14">
        <f t="shared" si="8"/>
        <v>-83.749999999997954</v>
      </c>
      <c r="AF18" s="91">
        <f t="shared" si="9"/>
        <v>0.958125000000001</v>
      </c>
      <c r="AG18" s="177"/>
    </row>
    <row r="19" spans="1:33" ht="15.75" customHeight="1">
      <c r="A19" s="196" t="s">
        <v>356</v>
      </c>
      <c r="B19" s="28" t="s">
        <v>5</v>
      </c>
      <c r="C19" s="193" t="s">
        <v>73</v>
      </c>
      <c r="D19" s="193"/>
      <c r="E19" s="28">
        <v>50.67</v>
      </c>
      <c r="F19" s="88">
        <v>3135</v>
      </c>
      <c r="G19" s="88">
        <f t="shared" si="19"/>
        <v>158850.45000000001</v>
      </c>
      <c r="H19" s="30" t="s">
        <v>53</v>
      </c>
      <c r="I19" s="95">
        <v>16</v>
      </c>
      <c r="J19" s="13">
        <v>2000</v>
      </c>
      <c r="K19" s="12">
        <f t="shared" si="1"/>
        <v>125</v>
      </c>
      <c r="L19" s="95">
        <v>16</v>
      </c>
      <c r="M19" s="13">
        <f t="shared" si="20"/>
        <v>1919.3877551020414</v>
      </c>
      <c r="N19" s="12">
        <f t="shared" si="3"/>
        <v>119.96173469387759</v>
      </c>
      <c r="O19" s="14">
        <f t="shared" si="4"/>
        <v>0</v>
      </c>
      <c r="P19" s="15">
        <f t="shared" si="5"/>
        <v>-5.0382653061224119</v>
      </c>
      <c r="Q19" s="91">
        <f t="shared" si="6"/>
        <v>0.95969387755102076</v>
      </c>
      <c r="R19" s="177"/>
      <c r="S19" s="21">
        <v>0.28472222222222215</v>
      </c>
      <c r="T19" s="21">
        <v>0.35277777777777769</v>
      </c>
      <c r="U19" s="88">
        <f t="shared" si="22"/>
        <v>4.9999999999999822</v>
      </c>
      <c r="V19" s="30">
        <f t="shared" si="21"/>
        <v>97.999999999999972</v>
      </c>
      <c r="W19" s="16"/>
      <c r="X19" s="88"/>
      <c r="Y19" s="88"/>
      <c r="Z19" s="88"/>
      <c r="AA19" s="168"/>
      <c r="AB19" s="168"/>
      <c r="AC19" s="18"/>
      <c r="AD19" s="18"/>
      <c r="AE19" s="14">
        <f t="shared" si="8"/>
        <v>-80.61224489795859</v>
      </c>
      <c r="AF19" s="91">
        <f t="shared" si="9"/>
        <v>0.95969387755102076</v>
      </c>
      <c r="AG19" s="177"/>
    </row>
    <row r="20" spans="1:33" ht="15.75" customHeight="1">
      <c r="A20" s="196" t="s">
        <v>357</v>
      </c>
      <c r="B20" s="28" t="s">
        <v>5</v>
      </c>
      <c r="C20" s="193" t="s">
        <v>21</v>
      </c>
      <c r="D20" s="193"/>
      <c r="E20" s="28">
        <v>57.3</v>
      </c>
      <c r="F20" s="88">
        <v>1388</v>
      </c>
      <c r="G20" s="88">
        <f t="shared" si="19"/>
        <v>79532.399999999994</v>
      </c>
      <c r="H20" s="30" t="s">
        <v>53</v>
      </c>
      <c r="I20" s="95">
        <v>13</v>
      </c>
      <c r="J20" s="13">
        <v>2000</v>
      </c>
      <c r="K20" s="12">
        <f t="shared" si="1"/>
        <v>153.84615384615384</v>
      </c>
      <c r="L20" s="95">
        <v>13</v>
      </c>
      <c r="M20" s="13">
        <f t="shared" si="20"/>
        <v>1936.7441860465112</v>
      </c>
      <c r="N20" s="12">
        <f t="shared" si="3"/>
        <v>148.98032200357778</v>
      </c>
      <c r="O20" s="14">
        <f t="shared" si="4"/>
        <v>0</v>
      </c>
      <c r="P20" s="15">
        <f t="shared" si="5"/>
        <v>-4.8658318425760569</v>
      </c>
      <c r="Q20" s="91">
        <f t="shared" si="6"/>
        <v>0.96837209302325566</v>
      </c>
      <c r="R20" s="177"/>
      <c r="S20" s="21">
        <v>0.70833333333333337</v>
      </c>
      <c r="T20" s="21">
        <v>0.73819444444444449</v>
      </c>
      <c r="U20" s="88" t="str">
        <f t="shared" si="22"/>
        <v/>
      </c>
      <c r="V20" s="30">
        <f t="shared" si="21"/>
        <v>43.000000000000007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-63.255813953488769</v>
      </c>
      <c r="AF20" s="91">
        <f t="shared" si="9"/>
        <v>0.96837209302325566</v>
      </c>
      <c r="AG20" s="177"/>
    </row>
    <row r="21" spans="1:33" ht="15.75" customHeight="1">
      <c r="A21" s="196" t="s">
        <v>358</v>
      </c>
      <c r="B21" s="28" t="s">
        <v>5</v>
      </c>
      <c r="C21" s="193" t="s">
        <v>20</v>
      </c>
      <c r="D21" s="193"/>
      <c r="E21" s="28">
        <v>53.68</v>
      </c>
      <c r="F21" s="88">
        <v>1298</v>
      </c>
      <c r="G21" s="88">
        <f t="shared" si="19"/>
        <v>69676.639999999999</v>
      </c>
      <c r="H21" s="30" t="s">
        <v>53</v>
      </c>
      <c r="I21" s="95">
        <v>16</v>
      </c>
      <c r="J21" s="13">
        <v>1500</v>
      </c>
      <c r="K21" s="12">
        <f t="shared" si="1"/>
        <v>93.75</v>
      </c>
      <c r="L21" s="95">
        <v>16</v>
      </c>
      <c r="M21" s="13">
        <f t="shared" si="20"/>
        <v>1442.2222222222229</v>
      </c>
      <c r="N21" s="12">
        <f t="shared" si="3"/>
        <v>90.138888888888928</v>
      </c>
      <c r="O21" s="14">
        <f t="shared" si="4"/>
        <v>0</v>
      </c>
      <c r="P21" s="15">
        <f t="shared" si="5"/>
        <v>-3.6111111111110716</v>
      </c>
      <c r="Q21" s="91">
        <f t="shared" si="6"/>
        <v>0.96148148148148194</v>
      </c>
      <c r="R21" s="177"/>
      <c r="S21" s="21">
        <v>0.7416666666666667</v>
      </c>
      <c r="T21" s="21">
        <v>0.77916666666666667</v>
      </c>
      <c r="U21" s="88">
        <f t="shared" si="22"/>
        <v>4.9999999999999822</v>
      </c>
      <c r="V21" s="30">
        <f t="shared" si="21"/>
        <v>53.999999999999972</v>
      </c>
      <c r="W21" s="16"/>
      <c r="X21" s="16"/>
      <c r="Y21" s="88"/>
      <c r="Z21" s="88"/>
      <c r="AA21" s="168"/>
      <c r="AB21" s="168"/>
      <c r="AC21" s="18"/>
      <c r="AD21" s="18"/>
      <c r="AE21" s="14">
        <f t="shared" si="8"/>
        <v>-57.777777777777146</v>
      </c>
      <c r="AF21" s="91">
        <f t="shared" si="9"/>
        <v>0.96148148148148194</v>
      </c>
      <c r="AG21" s="177"/>
    </row>
    <row r="22" spans="1:33" ht="15.75" customHeight="1">
      <c r="A22" s="196" t="s">
        <v>359</v>
      </c>
      <c r="B22" s="28" t="s">
        <v>5</v>
      </c>
      <c r="C22" s="193" t="s">
        <v>19</v>
      </c>
      <c r="D22" s="193"/>
      <c r="E22" s="28">
        <v>50.49</v>
      </c>
      <c r="F22" s="88">
        <v>1788</v>
      </c>
      <c r="G22" s="88">
        <f t="shared" si="19"/>
        <v>90276.12000000001</v>
      </c>
      <c r="H22" s="30" t="s">
        <v>53</v>
      </c>
      <c r="I22" s="95">
        <v>15</v>
      </c>
      <c r="J22" s="13">
        <v>2000</v>
      </c>
      <c r="K22" s="12">
        <f t="shared" si="1"/>
        <v>133.33333333333334</v>
      </c>
      <c r="L22" s="95">
        <v>15</v>
      </c>
      <c r="M22" s="13">
        <f t="shared" si="20"/>
        <v>1915.7142857142871</v>
      </c>
      <c r="N22" s="12">
        <f t="shared" si="3"/>
        <v>127.71428571428581</v>
      </c>
      <c r="O22" s="14">
        <f t="shared" si="4"/>
        <v>0</v>
      </c>
      <c r="P22" s="15">
        <f t="shared" si="5"/>
        <v>-5.6190476190475351</v>
      </c>
      <c r="Q22" s="91">
        <f t="shared" si="6"/>
        <v>0.95785714285714352</v>
      </c>
      <c r="R22" s="177"/>
      <c r="S22" s="21">
        <v>0.78472222222222221</v>
      </c>
      <c r="T22" s="21">
        <v>0.82361111111111107</v>
      </c>
      <c r="U22" s="88">
        <f t="shared" si="22"/>
        <v>7.9999999999999716</v>
      </c>
      <c r="V22" s="30">
        <f t="shared" si="21"/>
        <v>55.999999999999957</v>
      </c>
      <c r="W22" s="16"/>
      <c r="X22" s="21"/>
      <c r="Y22" s="21"/>
      <c r="Z22" s="21"/>
      <c r="AA22" s="168"/>
      <c r="AB22" s="168"/>
      <c r="AC22" s="18"/>
      <c r="AD22" s="18"/>
      <c r="AE22" s="14">
        <f t="shared" si="8"/>
        <v>-84.285714285712857</v>
      </c>
      <c r="AF22" s="91">
        <f t="shared" si="9"/>
        <v>0.95785714285714352</v>
      </c>
      <c r="AG22" s="177"/>
    </row>
    <row r="23" spans="1:33" ht="15.75" customHeight="1">
      <c r="A23" s="196" t="s">
        <v>266</v>
      </c>
      <c r="B23" s="28" t="s">
        <v>360</v>
      </c>
      <c r="C23" s="178"/>
      <c r="D23" s="178"/>
      <c r="E23" s="92"/>
      <c r="F23" s="88"/>
      <c r="G23" s="88"/>
      <c r="H23" s="88"/>
      <c r="I23" s="23">
        <v>15</v>
      </c>
      <c r="J23" s="13">
        <v>1916.6666666666667</v>
      </c>
      <c r="K23" s="12">
        <f t="shared" si="1"/>
        <v>127.77777777777779</v>
      </c>
      <c r="L23" s="23">
        <v>15</v>
      </c>
      <c r="M23" s="13">
        <f>AVERAGE(M17:M22)</f>
        <v>1838.8409536353895</v>
      </c>
      <c r="N23" s="12">
        <f t="shared" si="3"/>
        <v>122.58939690902596</v>
      </c>
      <c r="O23" s="14">
        <f t="shared" si="4"/>
        <v>0</v>
      </c>
      <c r="P23" s="15">
        <f t="shared" si="5"/>
        <v>-5.1883808687518211</v>
      </c>
      <c r="Q23" s="91">
        <f t="shared" si="6"/>
        <v>0.95939528015759445</v>
      </c>
      <c r="R23" s="177"/>
      <c r="S23" s="21"/>
      <c r="T23" s="21"/>
      <c r="U23" s="12"/>
      <c r="V23" s="30"/>
      <c r="W23" s="12"/>
      <c r="X23" s="12"/>
      <c r="Y23" s="24">
        <f>SUM(Y17:Y22)</f>
        <v>0</v>
      </c>
      <c r="Z23" s="24">
        <f>SUM(Z17:Z22)</f>
        <v>0</v>
      </c>
      <c r="AA23" s="167"/>
      <c r="AB23" s="167"/>
      <c r="AC23" s="24">
        <v>6</v>
      </c>
      <c r="AD23" s="24">
        <f>SUM(AD17:AD22)</f>
        <v>0</v>
      </c>
      <c r="AE23" s="14">
        <f t="shared" si="8"/>
        <v>-77.825713031277246</v>
      </c>
      <c r="AF23" s="91">
        <f t="shared" si="9"/>
        <v>0.95939528015759445</v>
      </c>
      <c r="AG23" s="177"/>
    </row>
    <row r="24" spans="1:33" ht="15.75" customHeight="1">
      <c r="A24" s="194" t="s">
        <v>267</v>
      </c>
      <c r="B24" s="28" t="s">
        <v>22</v>
      </c>
      <c r="C24" s="193" t="s">
        <v>23</v>
      </c>
      <c r="D24" s="193"/>
      <c r="E24" s="28">
        <v>31.29</v>
      </c>
      <c r="F24" s="88">
        <v>6898</v>
      </c>
      <c r="G24" s="88">
        <f t="shared" ref="G24:G28" si="23">E24*F24</f>
        <v>215838.41999999998</v>
      </c>
      <c r="H24" s="30" t="s">
        <v>53</v>
      </c>
      <c r="I24" s="95">
        <v>18</v>
      </c>
      <c r="J24" s="13">
        <v>2400</v>
      </c>
      <c r="K24" s="12">
        <f t="shared" si="1"/>
        <v>133.33333333333334</v>
      </c>
      <c r="L24" s="95">
        <v>18</v>
      </c>
      <c r="M24" s="13">
        <f t="shared" ref="M24:M28" si="24">F24/V24*60</f>
        <v>2286.629834254144</v>
      </c>
      <c r="N24" s="12">
        <f t="shared" si="3"/>
        <v>127.03499079189689</v>
      </c>
      <c r="O24" s="14">
        <f t="shared" si="4"/>
        <v>0</v>
      </c>
      <c r="P24" s="15">
        <f t="shared" si="5"/>
        <v>-6.2983425414364547</v>
      </c>
      <c r="Q24" s="91">
        <f t="shared" si="6"/>
        <v>0.95276243093922663</v>
      </c>
      <c r="R24" s="177">
        <f>Q29</f>
        <v>0.95429577777997454</v>
      </c>
      <c r="S24" s="21">
        <v>8.3333333333333329E-2</v>
      </c>
      <c r="T24" s="21">
        <v>0.20902777777777776</v>
      </c>
      <c r="U24" s="88"/>
      <c r="V24" s="30">
        <f t="shared" ref="V24:V28" si="25">(T24-S24)*24*60</f>
        <v>181</v>
      </c>
      <c r="W24" s="16">
        <f>T24</f>
        <v>0.20902777777777776</v>
      </c>
      <c r="X24" s="16">
        <f>S25</f>
        <v>0.22916666666666666</v>
      </c>
      <c r="Y24" s="16"/>
      <c r="Z24" s="16"/>
      <c r="AA24" s="168"/>
      <c r="AB24" s="168"/>
      <c r="AC24" s="18">
        <v>5</v>
      </c>
      <c r="AD24" s="18"/>
      <c r="AE24" s="14">
        <f t="shared" si="8"/>
        <v>-113.37016574585596</v>
      </c>
      <c r="AF24" s="91">
        <f t="shared" si="9"/>
        <v>0.95276243093922663</v>
      </c>
      <c r="AG24" s="177">
        <f>AF29</f>
        <v>0.95429577777997454</v>
      </c>
    </row>
    <row r="25" spans="1:33" ht="15.75" customHeight="1">
      <c r="A25" s="194" t="s">
        <v>267</v>
      </c>
      <c r="B25" s="28" t="s">
        <v>22</v>
      </c>
      <c r="C25" s="193" t="s">
        <v>24</v>
      </c>
      <c r="D25" s="193"/>
      <c r="E25" s="28">
        <v>25.98</v>
      </c>
      <c r="F25" s="88">
        <v>2438</v>
      </c>
      <c r="G25" s="88">
        <f t="shared" si="23"/>
        <v>63339.24</v>
      </c>
      <c r="H25" s="30" t="s">
        <v>53</v>
      </c>
      <c r="I25" s="95">
        <v>21</v>
      </c>
      <c r="J25" s="13">
        <v>2400</v>
      </c>
      <c r="K25" s="12">
        <f t="shared" si="1"/>
        <v>114.28571428571429</v>
      </c>
      <c r="L25" s="95">
        <v>21</v>
      </c>
      <c r="M25" s="13">
        <f t="shared" si="24"/>
        <v>2285.6250000000009</v>
      </c>
      <c r="N25" s="12">
        <f t="shared" si="3"/>
        <v>108.83928571428575</v>
      </c>
      <c r="O25" s="14">
        <f t="shared" si="4"/>
        <v>0</v>
      </c>
      <c r="P25" s="15">
        <f t="shared" si="5"/>
        <v>-5.446428571428541</v>
      </c>
      <c r="Q25" s="91">
        <f t="shared" si="6"/>
        <v>0.95234375000000027</v>
      </c>
      <c r="R25" s="177"/>
      <c r="S25" s="21">
        <v>0.22916666666666666</v>
      </c>
      <c r="T25" s="21">
        <v>0.27361111111111108</v>
      </c>
      <c r="U25" s="88">
        <f t="shared" ref="U25:U28" si="26">(S25-T24)*24*60</f>
        <v>29.000000000000018</v>
      </c>
      <c r="V25" s="30">
        <f t="shared" si="25"/>
        <v>63.999999999999972</v>
      </c>
      <c r="W25" s="16"/>
      <c r="X25" s="16"/>
      <c r="Y25" s="16"/>
      <c r="Z25" s="16"/>
      <c r="AA25" s="168"/>
      <c r="AB25" s="168"/>
      <c r="AC25" s="18"/>
      <c r="AD25" s="18"/>
      <c r="AE25" s="14">
        <f t="shared" si="8"/>
        <v>-114.37499999999909</v>
      </c>
      <c r="AF25" s="91">
        <f t="shared" si="9"/>
        <v>0.95234375000000038</v>
      </c>
      <c r="AG25" s="177"/>
    </row>
    <row r="26" spans="1:33" ht="15.75" customHeight="1">
      <c r="A26" s="194" t="s">
        <v>361</v>
      </c>
      <c r="B26" s="28" t="s">
        <v>22</v>
      </c>
      <c r="C26" s="193" t="s">
        <v>25</v>
      </c>
      <c r="D26" s="193"/>
      <c r="E26" s="28">
        <v>26.2</v>
      </c>
      <c r="F26" s="88">
        <v>3957</v>
      </c>
      <c r="G26" s="88">
        <f t="shared" si="23"/>
        <v>103673.4</v>
      </c>
      <c r="H26" s="30" t="s">
        <v>53</v>
      </c>
      <c r="I26" s="95">
        <v>20</v>
      </c>
      <c r="J26" s="13">
        <v>2400</v>
      </c>
      <c r="K26" s="12">
        <f t="shared" si="1"/>
        <v>120</v>
      </c>
      <c r="L26" s="95">
        <v>20</v>
      </c>
      <c r="M26" s="13">
        <f t="shared" si="24"/>
        <v>2282.8846153846148</v>
      </c>
      <c r="N26" s="12">
        <f t="shared" si="3"/>
        <v>114.14423076923075</v>
      </c>
      <c r="O26" s="14">
        <f t="shared" si="4"/>
        <v>0</v>
      </c>
      <c r="P26" s="15">
        <f t="shared" si="5"/>
        <v>-5.8557692307692548</v>
      </c>
      <c r="Q26" s="91">
        <f t="shared" si="6"/>
        <v>0.95120192307692286</v>
      </c>
      <c r="R26" s="177"/>
      <c r="S26" s="21">
        <v>0.27708333333333329</v>
      </c>
      <c r="T26" s="21">
        <v>0.34930555555555554</v>
      </c>
      <c r="U26" s="88">
        <f t="shared" si="26"/>
        <v>4.9999999999999822</v>
      </c>
      <c r="V26" s="30">
        <f t="shared" si="25"/>
        <v>104.00000000000003</v>
      </c>
      <c r="W26" s="16"/>
      <c r="X26" s="16"/>
      <c r="Y26" s="16"/>
      <c r="Z26" s="16"/>
      <c r="AA26" s="168"/>
      <c r="AB26" s="168"/>
      <c r="AC26" s="18"/>
      <c r="AD26" s="18"/>
      <c r="AE26" s="14">
        <f t="shared" si="8"/>
        <v>-117.11538461538521</v>
      </c>
      <c r="AF26" s="91">
        <f t="shared" si="9"/>
        <v>0.95120192307692286</v>
      </c>
      <c r="AG26" s="177"/>
    </row>
    <row r="27" spans="1:33" ht="15.75" customHeight="1">
      <c r="A27" s="194" t="s">
        <v>267</v>
      </c>
      <c r="B27" s="28" t="s">
        <v>22</v>
      </c>
      <c r="C27" s="193" t="s">
        <v>26</v>
      </c>
      <c r="D27" s="193"/>
      <c r="E27" s="28">
        <v>25.99</v>
      </c>
      <c r="F27" s="88">
        <v>3296</v>
      </c>
      <c r="G27" s="88">
        <f t="shared" si="23"/>
        <v>85663.039999999994</v>
      </c>
      <c r="H27" s="30" t="s">
        <v>53</v>
      </c>
      <c r="I27" s="95">
        <v>14</v>
      </c>
      <c r="J27" s="13">
        <v>2400</v>
      </c>
      <c r="K27" s="12">
        <f t="shared" si="1"/>
        <v>171.42857142857142</v>
      </c>
      <c r="L27" s="95">
        <v>14</v>
      </c>
      <c r="M27" s="13">
        <f t="shared" si="24"/>
        <v>2299.5348837209299</v>
      </c>
      <c r="N27" s="12">
        <f t="shared" si="3"/>
        <v>164.25249169435213</v>
      </c>
      <c r="O27" s="14">
        <f t="shared" si="4"/>
        <v>0</v>
      </c>
      <c r="P27" s="15">
        <f t="shared" si="5"/>
        <v>-7.1760797342192859</v>
      </c>
      <c r="Q27" s="91">
        <f t="shared" si="6"/>
        <v>0.95813953488372083</v>
      </c>
      <c r="R27" s="177"/>
      <c r="S27" s="21">
        <v>0.35277777777777775</v>
      </c>
      <c r="T27" s="21">
        <v>0.41249999999999998</v>
      </c>
      <c r="U27" s="88">
        <f t="shared" si="26"/>
        <v>4.9999999999999822</v>
      </c>
      <c r="V27" s="30">
        <f t="shared" si="25"/>
        <v>86.000000000000014</v>
      </c>
      <c r="W27" s="16"/>
      <c r="X27" s="16"/>
      <c r="Y27" s="16"/>
      <c r="Z27" s="16"/>
      <c r="AA27" s="168"/>
      <c r="AB27" s="168"/>
      <c r="AC27" s="18"/>
      <c r="AD27" s="18"/>
      <c r="AE27" s="14">
        <f t="shared" si="8"/>
        <v>-100.46511627907012</v>
      </c>
      <c r="AF27" s="91">
        <f t="shared" si="9"/>
        <v>0.95813953488372083</v>
      </c>
      <c r="AG27" s="177"/>
    </row>
    <row r="28" spans="1:33" ht="15.75" customHeight="1">
      <c r="A28" s="194" t="s">
        <v>362</v>
      </c>
      <c r="B28" s="28" t="s">
        <v>22</v>
      </c>
      <c r="C28" s="193" t="s">
        <v>27</v>
      </c>
      <c r="D28" s="193"/>
      <c r="E28" s="28">
        <v>26.18</v>
      </c>
      <c r="F28" s="88">
        <v>1225</v>
      </c>
      <c r="G28" s="88">
        <f t="shared" si="23"/>
        <v>32070.5</v>
      </c>
      <c r="H28" s="30" t="s">
        <v>53</v>
      </c>
      <c r="I28" s="95">
        <v>19</v>
      </c>
      <c r="J28" s="13">
        <v>2400</v>
      </c>
      <c r="K28" s="12">
        <f t="shared" si="1"/>
        <v>126.31578947368421</v>
      </c>
      <c r="L28" s="95">
        <v>19</v>
      </c>
      <c r="M28" s="13">
        <f t="shared" si="24"/>
        <v>2296.8750000000027</v>
      </c>
      <c r="N28" s="12">
        <f t="shared" si="3"/>
        <v>120.88815789473699</v>
      </c>
      <c r="O28" s="14">
        <f t="shared" si="4"/>
        <v>0</v>
      </c>
      <c r="P28" s="15">
        <f t="shared" si="5"/>
        <v>-5.4276315789472136</v>
      </c>
      <c r="Q28" s="91">
        <f t="shared" si="6"/>
        <v>0.95703125000000122</v>
      </c>
      <c r="R28" s="177"/>
      <c r="S28" s="21">
        <v>0.41666666666666663</v>
      </c>
      <c r="T28" s="21">
        <v>0.43888888888888883</v>
      </c>
      <c r="U28" s="88">
        <f t="shared" si="26"/>
        <v>5.9999999999999787</v>
      </c>
      <c r="V28" s="30">
        <f t="shared" si="25"/>
        <v>31.999999999999964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-103.12499999999727</v>
      </c>
      <c r="AF28" s="91">
        <f t="shared" si="9"/>
        <v>0.95703125000000111</v>
      </c>
      <c r="AG28" s="177"/>
    </row>
    <row r="29" spans="1:33" ht="15.75" customHeight="1">
      <c r="A29" s="194" t="s">
        <v>267</v>
      </c>
      <c r="B29" s="28" t="s">
        <v>261</v>
      </c>
      <c r="C29" s="178"/>
      <c r="D29" s="178"/>
      <c r="E29" s="92"/>
      <c r="F29" s="88"/>
      <c r="G29" s="88"/>
      <c r="H29" s="88"/>
      <c r="I29" s="23">
        <v>18.399999999999999</v>
      </c>
      <c r="J29" s="13">
        <v>2400</v>
      </c>
      <c r="K29" s="12">
        <f t="shared" si="1"/>
        <v>130.43478260869566</v>
      </c>
      <c r="L29" s="23">
        <v>18.399999999999999</v>
      </c>
      <c r="M29" s="13">
        <f>AVERAGE(M24:M28)</f>
        <v>2290.3098666719388</v>
      </c>
      <c r="N29" s="12">
        <f t="shared" si="3"/>
        <v>124.47336231912712</v>
      </c>
      <c r="O29" s="14">
        <f t="shared" si="4"/>
        <v>0</v>
      </c>
      <c r="P29" s="15">
        <f t="shared" si="5"/>
        <v>-5.9614202895685366</v>
      </c>
      <c r="Q29" s="91">
        <f t="shared" si="6"/>
        <v>0.95429577777997454</v>
      </c>
      <c r="R29" s="177"/>
      <c r="S29" s="21"/>
      <c r="T29" s="21"/>
      <c r="U29" s="88"/>
      <c r="V29" s="30"/>
      <c r="W29" s="88"/>
      <c r="X29" s="88"/>
      <c r="Y29" s="24">
        <f>SUM(Y24:Y28)</f>
        <v>0</v>
      </c>
      <c r="Z29" s="24">
        <f>SUM(Z24:Z28)</f>
        <v>0</v>
      </c>
      <c r="AA29" s="167"/>
      <c r="AB29" s="167"/>
      <c r="AC29" s="24">
        <v>5</v>
      </c>
      <c r="AD29" s="24">
        <f>SUM(AD24:AD28)</f>
        <v>0</v>
      </c>
      <c r="AE29" s="14">
        <f t="shared" si="8"/>
        <v>-109.69013332806117</v>
      </c>
      <c r="AF29" s="91">
        <f t="shared" si="9"/>
        <v>0.95429577777997454</v>
      </c>
      <c r="AG29" s="177"/>
    </row>
    <row r="30" spans="1:33" ht="15.75" customHeight="1">
      <c r="A30" s="191" t="s">
        <v>268</v>
      </c>
      <c r="B30" s="28" t="s">
        <v>22</v>
      </c>
      <c r="C30" s="169" t="s">
        <v>28</v>
      </c>
      <c r="D30" s="169"/>
      <c r="E30" s="28">
        <v>26.2</v>
      </c>
      <c r="F30" s="88">
        <v>4851</v>
      </c>
      <c r="G30" s="88">
        <f t="shared" ref="G30:G34" si="27">E30*F30</f>
        <v>127096.2</v>
      </c>
      <c r="H30" s="30" t="s">
        <v>53</v>
      </c>
      <c r="I30" s="95">
        <v>18</v>
      </c>
      <c r="J30" s="13">
        <v>2400</v>
      </c>
      <c r="K30" s="12">
        <f t="shared" si="1"/>
        <v>133.33333333333334</v>
      </c>
      <c r="L30" s="95">
        <v>18</v>
      </c>
      <c r="M30" s="13">
        <f t="shared" ref="M30:M34" si="28">F30/V30*60</f>
        <v>2291.8110236220473</v>
      </c>
      <c r="N30" s="12">
        <f t="shared" si="3"/>
        <v>127.32283464566929</v>
      </c>
      <c r="O30" s="14">
        <f t="shared" si="4"/>
        <v>0</v>
      </c>
      <c r="P30" s="15">
        <f t="shared" si="5"/>
        <v>-6.0104986876640538</v>
      </c>
      <c r="Q30" s="91">
        <f t="shared" si="6"/>
        <v>0.95492125984251963</v>
      </c>
      <c r="R30" s="177">
        <f>Q35</f>
        <v>0.9570703515909551</v>
      </c>
      <c r="S30" s="21">
        <v>8.3333333333333329E-2</v>
      </c>
      <c r="T30" s="21">
        <v>0.17152777777777778</v>
      </c>
      <c r="U30" s="88"/>
      <c r="V30" s="30">
        <f t="shared" ref="V30:V34" si="29">(T30-S30)*24*60</f>
        <v>127</v>
      </c>
      <c r="W30" s="21">
        <f>T30</f>
        <v>0.17152777777777778</v>
      </c>
      <c r="X30" s="21">
        <f>S31</f>
        <v>0.19305555555555556</v>
      </c>
      <c r="Y30" s="21"/>
      <c r="Z30" s="21"/>
      <c r="AA30" s="168"/>
      <c r="AB30" s="168"/>
      <c r="AC30" s="18">
        <v>5</v>
      </c>
      <c r="AD30" s="18"/>
      <c r="AE30" s="14">
        <f t="shared" si="8"/>
        <v>-108.18897637795271</v>
      </c>
      <c r="AF30" s="91">
        <f t="shared" si="9"/>
        <v>0.95492125984251974</v>
      </c>
      <c r="AG30" s="177">
        <f>AF35</f>
        <v>0.95707035159095499</v>
      </c>
    </row>
    <row r="31" spans="1:33" ht="15.75" customHeight="1">
      <c r="A31" s="191" t="s">
        <v>363</v>
      </c>
      <c r="B31" s="28" t="s">
        <v>22</v>
      </c>
      <c r="C31" s="169" t="s">
        <v>29</v>
      </c>
      <c r="D31" s="169"/>
      <c r="E31" s="28">
        <v>20.52</v>
      </c>
      <c r="F31" s="88">
        <v>2913</v>
      </c>
      <c r="G31" s="88">
        <f t="shared" si="27"/>
        <v>59774.76</v>
      </c>
      <c r="H31" s="30" t="s">
        <v>53</v>
      </c>
      <c r="I31" s="95">
        <v>18</v>
      </c>
      <c r="J31" s="13">
        <v>2400</v>
      </c>
      <c r="K31" s="12">
        <f t="shared" si="1"/>
        <v>133.33333333333334</v>
      </c>
      <c r="L31" s="95">
        <v>18</v>
      </c>
      <c r="M31" s="13">
        <f t="shared" si="28"/>
        <v>2299.7368421052629</v>
      </c>
      <c r="N31" s="12">
        <f t="shared" si="3"/>
        <v>127.76315789473682</v>
      </c>
      <c r="O31" s="14">
        <f t="shared" si="4"/>
        <v>0</v>
      </c>
      <c r="P31" s="15">
        <f t="shared" si="5"/>
        <v>-5.5701754385965216</v>
      </c>
      <c r="Q31" s="91">
        <f t="shared" si="6"/>
        <v>0.95822368421052606</v>
      </c>
      <c r="R31" s="177"/>
      <c r="S31" s="21">
        <v>0.19305555555555556</v>
      </c>
      <c r="T31" s="21">
        <v>0.24583333333333335</v>
      </c>
      <c r="U31" s="88">
        <f t="shared" ref="U31:U34" si="30">(S31-T30)*24*60</f>
        <v>31.000000000000011</v>
      </c>
      <c r="V31" s="30">
        <f t="shared" si="29"/>
        <v>76.000000000000014</v>
      </c>
      <c r="W31" s="88"/>
      <c r="X31" s="88"/>
      <c r="Y31" s="88"/>
      <c r="Z31" s="88"/>
      <c r="AA31" s="168"/>
      <c r="AB31" s="168"/>
      <c r="AC31" s="18"/>
      <c r="AD31" s="18"/>
      <c r="AE31" s="14">
        <f t="shared" si="8"/>
        <v>-100.26315789473711</v>
      </c>
      <c r="AF31" s="91">
        <f t="shared" si="9"/>
        <v>0.95822368421052617</v>
      </c>
      <c r="AG31" s="177"/>
    </row>
    <row r="32" spans="1:33">
      <c r="A32" s="192" t="s">
        <v>268</v>
      </c>
      <c r="B32" s="28" t="s">
        <v>22</v>
      </c>
      <c r="C32" s="169" t="s">
        <v>30</v>
      </c>
      <c r="D32" s="169"/>
      <c r="E32" s="28">
        <v>26.39</v>
      </c>
      <c r="F32" s="88">
        <v>4204</v>
      </c>
      <c r="G32" s="88">
        <f t="shared" si="27"/>
        <v>110943.56</v>
      </c>
      <c r="H32" s="30" t="s">
        <v>53</v>
      </c>
      <c r="I32" s="95">
        <v>19</v>
      </c>
      <c r="J32" s="13">
        <v>2400</v>
      </c>
      <c r="K32" s="12">
        <f t="shared" si="1"/>
        <v>126.31578947368421</v>
      </c>
      <c r="L32" s="95">
        <v>19</v>
      </c>
      <c r="M32" s="13">
        <f t="shared" si="28"/>
        <v>2293.0909090909086</v>
      </c>
      <c r="N32" s="12">
        <f t="shared" si="3"/>
        <v>120.68899521531098</v>
      </c>
      <c r="O32" s="14">
        <f t="shared" si="4"/>
        <v>0</v>
      </c>
      <c r="P32" s="15">
        <f t="shared" si="5"/>
        <v>-5.6267942583732236</v>
      </c>
      <c r="Q32" s="91">
        <f t="shared" si="6"/>
        <v>0.95545454545454533</v>
      </c>
      <c r="R32" s="177"/>
      <c r="S32" s="21">
        <v>0.24930555555555556</v>
      </c>
      <c r="T32" s="21">
        <v>0.32569444444444445</v>
      </c>
      <c r="U32" s="88">
        <f t="shared" si="30"/>
        <v>4.9999999999999822</v>
      </c>
      <c r="V32" s="30">
        <f t="shared" si="29"/>
        <v>110.00000000000001</v>
      </c>
      <c r="W32" s="88"/>
      <c r="X32" s="88"/>
      <c r="Y32" s="88"/>
      <c r="Z32" s="88"/>
      <c r="AA32" s="168"/>
      <c r="AB32" s="168"/>
      <c r="AC32" s="18"/>
      <c r="AD32" s="18"/>
      <c r="AE32" s="14">
        <f t="shared" si="8"/>
        <v>-106.90909090909145</v>
      </c>
      <c r="AF32" s="91">
        <f t="shared" si="9"/>
        <v>0.95545454545454522</v>
      </c>
      <c r="AG32" s="177"/>
    </row>
    <row r="33" spans="1:33">
      <c r="A33" s="192" t="s">
        <v>364</v>
      </c>
      <c r="B33" s="28" t="s">
        <v>22</v>
      </c>
      <c r="C33" s="169" t="s">
        <v>32</v>
      </c>
      <c r="D33" s="169"/>
      <c r="E33" s="28">
        <v>20.52</v>
      </c>
      <c r="F33" s="88">
        <v>2272</v>
      </c>
      <c r="G33" s="88">
        <f t="shared" si="27"/>
        <v>46621.440000000002</v>
      </c>
      <c r="H33" s="30" t="s">
        <v>53</v>
      </c>
      <c r="I33" s="95">
        <v>18</v>
      </c>
      <c r="J33" s="13">
        <v>2400</v>
      </c>
      <c r="K33" s="12">
        <f t="shared" si="1"/>
        <v>133.33333333333334</v>
      </c>
      <c r="L33" s="95">
        <v>18</v>
      </c>
      <c r="M33" s="13">
        <f t="shared" si="28"/>
        <v>2310.5084745762701</v>
      </c>
      <c r="N33" s="12">
        <f t="shared" si="3"/>
        <v>128.36158192090389</v>
      </c>
      <c r="O33" s="14">
        <f t="shared" si="4"/>
        <v>0</v>
      </c>
      <c r="P33" s="15">
        <f t="shared" si="5"/>
        <v>-4.9717514124294553</v>
      </c>
      <c r="Q33" s="91">
        <f t="shared" si="6"/>
        <v>0.96271186440677914</v>
      </c>
      <c r="R33" s="177"/>
      <c r="S33" s="21">
        <v>0.33055555555555555</v>
      </c>
      <c r="T33" s="21">
        <v>0.37152777777777779</v>
      </c>
      <c r="U33" s="88">
        <f t="shared" si="30"/>
        <v>6.9999999999999751</v>
      </c>
      <c r="V33" s="30">
        <f t="shared" si="29"/>
        <v>59.000000000000028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-89.491525423729854</v>
      </c>
      <c r="AF33" s="91">
        <f t="shared" si="9"/>
        <v>0.96271186440677925</v>
      </c>
      <c r="AG33" s="177"/>
    </row>
    <row r="34" spans="1:33">
      <c r="A34" s="192" t="s">
        <v>365</v>
      </c>
      <c r="B34" s="28" t="s">
        <v>22</v>
      </c>
      <c r="C34" s="169" t="s">
        <v>70</v>
      </c>
      <c r="D34" s="169"/>
      <c r="E34" s="28">
        <v>22.69</v>
      </c>
      <c r="F34" s="88">
        <v>3778</v>
      </c>
      <c r="G34" s="88">
        <f t="shared" si="27"/>
        <v>85722.82</v>
      </c>
      <c r="H34" s="30" t="s">
        <v>53</v>
      </c>
      <c r="I34" s="95">
        <v>15</v>
      </c>
      <c r="J34" s="13">
        <v>2400</v>
      </c>
      <c r="K34" s="12">
        <f t="shared" si="1"/>
        <v>160</v>
      </c>
      <c r="L34" s="95">
        <v>15</v>
      </c>
      <c r="M34" s="13">
        <f t="shared" si="28"/>
        <v>2289.6969696969704</v>
      </c>
      <c r="N34" s="12">
        <f t="shared" si="3"/>
        <v>152.64646464646469</v>
      </c>
      <c r="O34" s="14">
        <f t="shared" si="4"/>
        <v>0</v>
      </c>
      <c r="P34" s="15">
        <f t="shared" si="5"/>
        <v>-7.3535353535353067</v>
      </c>
      <c r="Q34" s="91">
        <f t="shared" si="6"/>
        <v>0.95404040404040436</v>
      </c>
      <c r="R34" s="177"/>
      <c r="S34" s="21">
        <v>0.37569444444444444</v>
      </c>
      <c r="T34" s="21">
        <v>0.44444444444444442</v>
      </c>
      <c r="U34" s="88">
        <f t="shared" si="30"/>
        <v>5.9999999999999787</v>
      </c>
      <c r="V34" s="30">
        <f t="shared" si="29"/>
        <v>98.999999999999972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8"/>
        <v>-110.30303030302957</v>
      </c>
      <c r="AF34" s="91">
        <f t="shared" si="9"/>
        <v>0.95404040404040436</v>
      </c>
      <c r="AG34" s="177"/>
    </row>
    <row r="35" spans="1:33">
      <c r="A35" s="192" t="s">
        <v>366</v>
      </c>
      <c r="B35" s="12" t="s">
        <v>261</v>
      </c>
      <c r="C35" s="178"/>
      <c r="D35" s="178"/>
      <c r="E35" s="92"/>
      <c r="F35" s="12"/>
      <c r="G35" s="12"/>
      <c r="H35" s="88"/>
      <c r="I35" s="23">
        <v>17.600000000000001</v>
      </c>
      <c r="J35" s="13">
        <v>2400</v>
      </c>
      <c r="K35" s="12">
        <f t="shared" si="1"/>
        <v>136.36363636363635</v>
      </c>
      <c r="L35" s="23">
        <v>17.600000000000001</v>
      </c>
      <c r="M35" s="13">
        <f>AVERAGE(M30:M34)</f>
        <v>2296.968843818292</v>
      </c>
      <c r="N35" s="12">
        <f t="shared" si="3"/>
        <v>130.50959339876658</v>
      </c>
      <c r="O35" s="14">
        <f t="shared" si="4"/>
        <v>0</v>
      </c>
      <c r="P35" s="15">
        <f t="shared" si="5"/>
        <v>-5.8540429648697625</v>
      </c>
      <c r="Q35" s="91">
        <f t="shared" si="6"/>
        <v>0.9570703515909551</v>
      </c>
      <c r="R35" s="177"/>
      <c r="S35" s="21"/>
      <c r="T35" s="21"/>
      <c r="U35" s="12"/>
      <c r="V35" s="30"/>
      <c r="W35" s="12"/>
      <c r="X35" s="12"/>
      <c r="Y35" s="24">
        <f>SUM(Y30:Y34)</f>
        <v>0</v>
      </c>
      <c r="Z35" s="24">
        <f>SUM(Z30:Z34)</f>
        <v>0</v>
      </c>
      <c r="AA35" s="167"/>
      <c r="AB35" s="167"/>
      <c r="AC35" s="24">
        <v>5</v>
      </c>
      <c r="AD35" s="24">
        <f>SUM(AD30:AD34)</f>
        <v>0</v>
      </c>
      <c r="AE35" s="14">
        <f t="shared" si="8"/>
        <v>-103.03115618170796</v>
      </c>
      <c r="AF35" s="91">
        <f t="shared" si="9"/>
        <v>0.95707035159095499</v>
      </c>
      <c r="AG35" s="177"/>
    </row>
    <row r="36" spans="1:33" ht="15.75" customHeight="1">
      <c r="A36" s="188" t="s">
        <v>367</v>
      </c>
      <c r="B36" s="28" t="s">
        <v>33</v>
      </c>
      <c r="C36" s="170" t="s">
        <v>72</v>
      </c>
      <c r="D36" s="171"/>
      <c r="E36" s="28">
        <v>34.35</v>
      </c>
      <c r="F36" s="88">
        <v>2338</v>
      </c>
      <c r="G36" s="88">
        <f t="shared" ref="G36:G40" si="31">E36*F36</f>
        <v>80310.3</v>
      </c>
      <c r="H36" s="30" t="s">
        <v>53</v>
      </c>
      <c r="I36" s="95">
        <v>8</v>
      </c>
      <c r="J36" s="13">
        <v>3000</v>
      </c>
      <c r="K36" s="12">
        <f t="shared" si="1"/>
        <v>375</v>
      </c>
      <c r="L36" s="95">
        <v>8</v>
      </c>
      <c r="M36" s="13">
        <f t="shared" ref="M36:M40" si="32">F36/V36*60</f>
        <v>2862.8571428571427</v>
      </c>
      <c r="N36" s="13">
        <f t="shared" si="3"/>
        <v>357.85714285714283</v>
      </c>
      <c r="O36" s="14">
        <f t="shared" si="4"/>
        <v>0</v>
      </c>
      <c r="P36" s="15">
        <f t="shared" si="5"/>
        <v>-17.142857142857167</v>
      </c>
      <c r="Q36" s="91">
        <f t="shared" si="6"/>
        <v>0.95428571428571418</v>
      </c>
      <c r="R36" s="183">
        <f>Q41</f>
        <v>0.95977596395784637</v>
      </c>
      <c r="S36" s="21">
        <v>8.3333333333333329E-2</v>
      </c>
      <c r="T36" s="21">
        <v>0.11736111111111111</v>
      </c>
      <c r="U36" s="21"/>
      <c r="V36" s="30">
        <f t="shared" ref="V36:V40" si="33">(T36-S36)*24*60</f>
        <v>49.000000000000007</v>
      </c>
      <c r="W36" s="16">
        <f>T36</f>
        <v>0.11736111111111111</v>
      </c>
      <c r="X36" s="16">
        <f>S37</f>
        <v>0.1388888888888889</v>
      </c>
      <c r="Y36" s="19"/>
      <c r="Z36" s="19"/>
      <c r="AA36" s="172"/>
      <c r="AB36" s="173"/>
      <c r="AC36" s="18">
        <v>5</v>
      </c>
      <c r="AD36" s="18"/>
      <c r="AE36" s="14">
        <f t="shared" si="8"/>
        <v>-137.14285714285734</v>
      </c>
      <c r="AF36" s="91">
        <f t="shared" si="9"/>
        <v>0.95428571428571418</v>
      </c>
      <c r="AG36" s="183">
        <f>AF41</f>
        <v>0.95977596395784626</v>
      </c>
    </row>
    <row r="37" spans="1:33" ht="15.75" customHeight="1">
      <c r="A37" s="189" t="s">
        <v>368</v>
      </c>
      <c r="B37" s="28" t="s">
        <v>33</v>
      </c>
      <c r="C37" s="170" t="s">
        <v>36</v>
      </c>
      <c r="D37" s="171"/>
      <c r="E37" s="28">
        <v>21.13</v>
      </c>
      <c r="F37" s="88">
        <v>4252</v>
      </c>
      <c r="G37" s="88">
        <f t="shared" si="31"/>
        <v>89844.76</v>
      </c>
      <c r="H37" s="30" t="s">
        <v>53</v>
      </c>
      <c r="I37" s="95">
        <v>10</v>
      </c>
      <c r="J37" s="13">
        <v>3000</v>
      </c>
      <c r="K37" s="12">
        <f t="shared" si="1"/>
        <v>300</v>
      </c>
      <c r="L37" s="95">
        <v>10</v>
      </c>
      <c r="M37" s="13">
        <f t="shared" si="32"/>
        <v>2866.5168539325841</v>
      </c>
      <c r="N37" s="13">
        <f t="shared" si="3"/>
        <v>286.65168539325839</v>
      </c>
      <c r="O37" s="14">
        <f t="shared" si="4"/>
        <v>0</v>
      </c>
      <c r="P37" s="15">
        <f t="shared" si="5"/>
        <v>-13.34831460674161</v>
      </c>
      <c r="Q37" s="91">
        <f t="shared" si="6"/>
        <v>0.95550561797752798</v>
      </c>
      <c r="R37" s="184"/>
      <c r="S37" s="21">
        <v>0.1388888888888889</v>
      </c>
      <c r="T37" s="21">
        <v>0.20069444444444445</v>
      </c>
      <c r="U37" s="88">
        <f t="shared" ref="U37:U40" si="34">(S37-T36)*24*60</f>
        <v>31.000000000000011</v>
      </c>
      <c r="V37" s="30">
        <f t="shared" si="33"/>
        <v>89</v>
      </c>
      <c r="W37" s="16"/>
      <c r="X37" s="16"/>
      <c r="Y37" s="19"/>
      <c r="Z37" s="19"/>
      <c r="AA37" s="172"/>
      <c r="AB37" s="173"/>
      <c r="AC37" s="18"/>
      <c r="AD37" s="18"/>
      <c r="AE37" s="14">
        <f t="shared" si="8"/>
        <v>-133.48314606741587</v>
      </c>
      <c r="AF37" s="91">
        <f t="shared" si="9"/>
        <v>0.95550561797752809</v>
      </c>
      <c r="AG37" s="184"/>
    </row>
    <row r="38" spans="1:33" ht="15.75" customHeight="1">
      <c r="A38" s="189" t="s">
        <v>271</v>
      </c>
      <c r="B38" s="28" t="s">
        <v>33</v>
      </c>
      <c r="C38" s="170" t="s">
        <v>37</v>
      </c>
      <c r="D38" s="171"/>
      <c r="E38" s="28">
        <v>27.17</v>
      </c>
      <c r="F38" s="88">
        <v>5310</v>
      </c>
      <c r="G38" s="88">
        <f t="shared" si="31"/>
        <v>144272.70000000001</v>
      </c>
      <c r="H38" s="30" t="s">
        <v>53</v>
      </c>
      <c r="I38" s="95">
        <v>10</v>
      </c>
      <c r="J38" s="13">
        <v>3000</v>
      </c>
      <c r="K38" s="12">
        <f t="shared" si="1"/>
        <v>300</v>
      </c>
      <c r="L38" s="95">
        <v>10</v>
      </c>
      <c r="M38" s="13">
        <f t="shared" si="32"/>
        <v>2870.2702702702713</v>
      </c>
      <c r="N38" s="13">
        <f t="shared" si="3"/>
        <v>287.02702702702715</v>
      </c>
      <c r="O38" s="14">
        <f t="shared" si="4"/>
        <v>0</v>
      </c>
      <c r="P38" s="15">
        <f t="shared" si="5"/>
        <v>-12.972972972972855</v>
      </c>
      <c r="Q38" s="91">
        <f t="shared" si="6"/>
        <v>0.9567567567567572</v>
      </c>
      <c r="R38" s="184"/>
      <c r="S38" s="21">
        <v>0.20555555555555557</v>
      </c>
      <c r="T38" s="21">
        <v>0.28263888888888888</v>
      </c>
      <c r="U38" s="88">
        <f t="shared" si="34"/>
        <v>7.0000000000000151</v>
      </c>
      <c r="V38" s="30">
        <f t="shared" si="33"/>
        <v>110.99999999999997</v>
      </c>
      <c r="W38" s="16"/>
      <c r="X38" s="16"/>
      <c r="Y38" s="19"/>
      <c r="Z38" s="19"/>
      <c r="AA38" s="172"/>
      <c r="AB38" s="173"/>
      <c r="AC38" s="18"/>
      <c r="AD38" s="18"/>
      <c r="AE38" s="14">
        <f t="shared" si="8"/>
        <v>-129.72972972972866</v>
      </c>
      <c r="AF38" s="91">
        <f t="shared" si="9"/>
        <v>0.95675675675675709</v>
      </c>
      <c r="AG38" s="184"/>
    </row>
    <row r="39" spans="1:33" ht="15.75" customHeight="1">
      <c r="A39" s="189" t="s">
        <v>368</v>
      </c>
      <c r="B39" s="28" t="s">
        <v>33</v>
      </c>
      <c r="C39" s="170" t="s">
        <v>71</v>
      </c>
      <c r="D39" s="171"/>
      <c r="E39" s="28">
        <v>28.3</v>
      </c>
      <c r="F39" s="88">
        <v>1262</v>
      </c>
      <c r="G39" s="88">
        <f t="shared" si="31"/>
        <v>35714.6</v>
      </c>
      <c r="H39" s="30" t="s">
        <v>53</v>
      </c>
      <c r="I39" s="95">
        <v>8</v>
      </c>
      <c r="J39" s="13">
        <v>3000</v>
      </c>
      <c r="K39" s="12">
        <f t="shared" si="1"/>
        <v>375</v>
      </c>
      <c r="L39" s="95">
        <v>8</v>
      </c>
      <c r="M39" s="13">
        <f t="shared" si="32"/>
        <v>2912.3076923076942</v>
      </c>
      <c r="N39" s="13">
        <f t="shared" si="3"/>
        <v>364.03846153846177</v>
      </c>
      <c r="O39" s="14">
        <f t="shared" si="4"/>
        <v>0</v>
      </c>
      <c r="P39" s="15">
        <f t="shared" si="5"/>
        <v>-10.961538461538225</v>
      </c>
      <c r="Q39" s="91">
        <f t="shared" si="6"/>
        <v>0.97076923076923138</v>
      </c>
      <c r="R39" s="184"/>
      <c r="S39" s="21">
        <v>0.28611111111111109</v>
      </c>
      <c r="T39" s="21">
        <v>0.30416666666666664</v>
      </c>
      <c r="U39" s="88">
        <f t="shared" si="34"/>
        <v>4.9999999999999822</v>
      </c>
      <c r="V39" s="30">
        <f t="shared" si="33"/>
        <v>25.999999999999986</v>
      </c>
      <c r="W39" s="16"/>
      <c r="X39" s="16"/>
      <c r="Y39" s="19"/>
      <c r="Z39" s="19"/>
      <c r="AA39" s="172"/>
      <c r="AB39" s="173"/>
      <c r="AC39" s="18"/>
      <c r="AD39" s="18"/>
      <c r="AE39" s="14">
        <f t="shared" si="8"/>
        <v>-87.692307692305803</v>
      </c>
      <c r="AF39" s="91">
        <f t="shared" si="9"/>
        <v>0.97076923076923138</v>
      </c>
      <c r="AG39" s="184"/>
    </row>
    <row r="40" spans="1:33" ht="15.75" customHeight="1">
      <c r="A40" s="189" t="s">
        <v>369</v>
      </c>
      <c r="B40" s="28" t="s">
        <v>33</v>
      </c>
      <c r="C40" s="170" t="s">
        <v>38</v>
      </c>
      <c r="D40" s="171"/>
      <c r="E40" s="28">
        <v>35.869999999999997</v>
      </c>
      <c r="F40" s="88">
        <v>3077</v>
      </c>
      <c r="G40" s="88">
        <f t="shared" si="31"/>
        <v>110371.98999999999</v>
      </c>
      <c r="H40" s="30" t="s">
        <v>53</v>
      </c>
      <c r="I40" s="95">
        <v>9</v>
      </c>
      <c r="J40" s="13">
        <v>3000</v>
      </c>
      <c r="K40" s="12">
        <f t="shared" si="1"/>
        <v>333.33333333333331</v>
      </c>
      <c r="L40" s="95">
        <v>9</v>
      </c>
      <c r="M40" s="13">
        <f t="shared" si="32"/>
        <v>2884.6874999999991</v>
      </c>
      <c r="N40" s="13">
        <f t="shared" si="3"/>
        <v>320.52083333333326</v>
      </c>
      <c r="O40" s="14">
        <f t="shared" si="4"/>
        <v>0</v>
      </c>
      <c r="P40" s="15">
        <f t="shared" si="5"/>
        <v>-12.812500000000057</v>
      </c>
      <c r="Q40" s="91">
        <f t="shared" si="6"/>
        <v>0.96156249999999988</v>
      </c>
      <c r="R40" s="184"/>
      <c r="S40" s="21">
        <v>0.30902777777777773</v>
      </c>
      <c r="T40" s="21">
        <v>0.35347222222222219</v>
      </c>
      <c r="U40" s="88">
        <f t="shared" si="34"/>
        <v>6.9999999999999751</v>
      </c>
      <c r="V40" s="30">
        <f t="shared" si="33"/>
        <v>64.000000000000014</v>
      </c>
      <c r="W40" s="16"/>
      <c r="X40" s="16"/>
      <c r="Y40" s="19"/>
      <c r="Z40" s="19"/>
      <c r="AA40" s="172"/>
      <c r="AB40" s="173"/>
      <c r="AC40" s="18"/>
      <c r="AD40" s="18"/>
      <c r="AE40" s="14">
        <f t="shared" si="8"/>
        <v>-115.31250000000091</v>
      </c>
      <c r="AF40" s="91">
        <f t="shared" si="9"/>
        <v>0.96156249999999965</v>
      </c>
      <c r="AG40" s="184"/>
    </row>
    <row r="41" spans="1:33" ht="15.75" customHeight="1">
      <c r="A41" s="190" t="s">
        <v>271</v>
      </c>
      <c r="B41" s="28" t="s">
        <v>370</v>
      </c>
      <c r="C41" s="165"/>
      <c r="D41" s="166"/>
      <c r="E41" s="89"/>
      <c r="F41" s="88"/>
      <c r="G41" s="88"/>
      <c r="H41" s="88"/>
      <c r="I41" s="23">
        <v>9</v>
      </c>
      <c r="J41" s="13">
        <v>3000</v>
      </c>
      <c r="K41" s="12">
        <f t="shared" si="1"/>
        <v>333.33333333333331</v>
      </c>
      <c r="L41" s="23">
        <v>9</v>
      </c>
      <c r="M41" s="13">
        <f>AVERAGE(M36:M40)</f>
        <v>2879.3278918735386</v>
      </c>
      <c r="N41" s="12">
        <f t="shared" si="3"/>
        <v>319.92532131928209</v>
      </c>
      <c r="O41" s="14">
        <f t="shared" si="4"/>
        <v>0</v>
      </c>
      <c r="P41" s="15">
        <f t="shared" si="5"/>
        <v>-13.408012014051224</v>
      </c>
      <c r="Q41" s="91">
        <f t="shared" si="6"/>
        <v>0.95977596395784637</v>
      </c>
      <c r="R41" s="185"/>
      <c r="S41" s="21"/>
      <c r="T41" s="21"/>
      <c r="U41" s="88"/>
      <c r="V41" s="30"/>
      <c r="W41" s="16"/>
      <c r="X41" s="16"/>
      <c r="Y41" s="24">
        <f>SUM(Y36:Y40)</f>
        <v>0</v>
      </c>
      <c r="Z41" s="24">
        <f>SUM(Z36:Z40)</f>
        <v>0</v>
      </c>
      <c r="AA41" s="186"/>
      <c r="AB41" s="187"/>
      <c r="AC41" s="24">
        <v>5</v>
      </c>
      <c r="AD41" s="24">
        <f>SUM(AD36:AD40)</f>
        <v>0</v>
      </c>
      <c r="AE41" s="14">
        <f t="shared" si="8"/>
        <v>-120.67210812646135</v>
      </c>
      <c r="AF41" s="91">
        <f t="shared" si="9"/>
        <v>0.95977596395784626</v>
      </c>
      <c r="AG41" s="185"/>
    </row>
    <row r="42" spans="1:33" ht="15.75" customHeight="1">
      <c r="A42" s="181" t="s">
        <v>371</v>
      </c>
      <c r="B42" s="28" t="s">
        <v>9</v>
      </c>
      <c r="C42" s="169" t="s">
        <v>39</v>
      </c>
      <c r="D42" s="169"/>
      <c r="E42" s="28">
        <v>46</v>
      </c>
      <c r="F42" s="29">
        <v>1934</v>
      </c>
      <c r="G42" s="88">
        <f t="shared" ref="G42:G48" si="35">E42*F42</f>
        <v>88964</v>
      </c>
      <c r="H42" s="30" t="s">
        <v>53</v>
      </c>
      <c r="I42" s="95">
        <v>17</v>
      </c>
      <c r="J42" s="13">
        <v>2000</v>
      </c>
      <c r="K42" s="12">
        <f t="shared" si="1"/>
        <v>117.64705882352941</v>
      </c>
      <c r="L42" s="95">
        <v>17</v>
      </c>
      <c r="M42" s="13">
        <f t="shared" ref="M42" si="36">F42/V42*60</f>
        <v>1934.0000000000005</v>
      </c>
      <c r="N42" s="13">
        <f t="shared" si="3"/>
        <v>113.76470588235297</v>
      </c>
      <c r="O42" s="14">
        <f t="shared" si="4"/>
        <v>0</v>
      </c>
      <c r="P42" s="15">
        <f t="shared" si="5"/>
        <v>-3.8823529411764355</v>
      </c>
      <c r="Q42" s="91">
        <f t="shared" si="6"/>
        <v>0.9670000000000003</v>
      </c>
      <c r="R42" s="177">
        <f>Q49</f>
        <v>0.96736165256974394</v>
      </c>
      <c r="S42" s="21">
        <v>0.20833333333333334</v>
      </c>
      <c r="T42" s="21">
        <v>0.25</v>
      </c>
      <c r="U42" s="21"/>
      <c r="V42" s="30">
        <f t="shared" ref="V42:V48" si="37">(T42-S42)*24*60</f>
        <v>59.999999999999986</v>
      </c>
      <c r="W42" s="21"/>
      <c r="X42" s="21"/>
      <c r="Y42" s="21"/>
      <c r="Z42" s="21"/>
      <c r="AA42" s="168"/>
      <c r="AB42" s="168"/>
      <c r="AC42" s="18">
        <v>7</v>
      </c>
      <c r="AD42" s="18"/>
      <c r="AE42" s="14">
        <f t="shared" si="8"/>
        <v>-65.999999999999545</v>
      </c>
      <c r="AF42" s="91">
        <f t="shared" si="9"/>
        <v>0.96700000000000019</v>
      </c>
      <c r="AG42" s="177">
        <f>AF49</f>
        <v>0.96736165256974394</v>
      </c>
    </row>
    <row r="43" spans="1:33" ht="15.75" customHeight="1">
      <c r="A43" s="181" t="s">
        <v>275</v>
      </c>
      <c r="B43" s="28" t="s">
        <v>5</v>
      </c>
      <c r="C43" s="169" t="s">
        <v>40</v>
      </c>
      <c r="D43" s="169"/>
      <c r="E43" s="28">
        <v>56.43</v>
      </c>
      <c r="F43" s="29">
        <v>1217</v>
      </c>
      <c r="G43" s="88">
        <f t="shared" si="35"/>
        <v>68675.31</v>
      </c>
      <c r="H43" s="30" t="s">
        <v>53</v>
      </c>
      <c r="I43" s="95">
        <v>22</v>
      </c>
      <c r="J43" s="13">
        <v>2000</v>
      </c>
      <c r="K43" s="12">
        <f t="shared" si="1"/>
        <v>90.909090909090907</v>
      </c>
      <c r="L43" s="95">
        <v>22</v>
      </c>
      <c r="M43" s="13">
        <f>F43/V43*60</f>
        <v>1921.5789473684199</v>
      </c>
      <c r="N43" s="13">
        <f t="shared" si="3"/>
        <v>87.344497607655455</v>
      </c>
      <c r="O43" s="14">
        <f t="shared" si="4"/>
        <v>0</v>
      </c>
      <c r="P43" s="15">
        <f t="shared" si="5"/>
        <v>-3.5645933014354512</v>
      </c>
      <c r="Q43" s="91">
        <f t="shared" si="6"/>
        <v>0.96078947368421008</v>
      </c>
      <c r="R43" s="177"/>
      <c r="S43" s="21">
        <v>0.25416666666666665</v>
      </c>
      <c r="T43" s="21">
        <v>0.28055555555555556</v>
      </c>
      <c r="U43" s="88">
        <f t="shared" ref="U43:U48" si="38">IF(S43=TIME(17,0,0),"",(S43-T42)*24*60)</f>
        <v>5.9999999999999787</v>
      </c>
      <c r="V43" s="30">
        <f t="shared" si="37"/>
        <v>38.000000000000028</v>
      </c>
      <c r="W43" s="16"/>
      <c r="X43" s="16"/>
      <c r="Y43" s="16"/>
      <c r="Z43" s="16"/>
      <c r="AA43" s="168"/>
      <c r="AB43" s="168"/>
      <c r="AC43" s="18"/>
      <c r="AD43" s="18"/>
      <c r="AE43" s="14">
        <f t="shared" si="8"/>
        <v>-78.421052631580096</v>
      </c>
      <c r="AF43" s="91">
        <f t="shared" si="9"/>
        <v>0.96078947368420997</v>
      </c>
      <c r="AG43" s="177"/>
    </row>
    <row r="44" spans="1:33" ht="15.75" customHeight="1">
      <c r="A44" s="181" t="s">
        <v>372</v>
      </c>
      <c r="B44" s="28" t="s">
        <v>5</v>
      </c>
      <c r="C44" s="170" t="s">
        <v>41</v>
      </c>
      <c r="D44" s="171"/>
      <c r="E44" s="28">
        <v>51.75</v>
      </c>
      <c r="F44" s="29">
        <v>840</v>
      </c>
      <c r="G44" s="88">
        <f t="shared" si="35"/>
        <v>43470</v>
      </c>
      <c r="H44" s="30" t="s">
        <v>53</v>
      </c>
      <c r="I44" s="95">
        <v>25</v>
      </c>
      <c r="J44" s="13">
        <v>2000</v>
      </c>
      <c r="K44" s="12">
        <f t="shared" si="1"/>
        <v>80</v>
      </c>
      <c r="L44" s="95">
        <v>25</v>
      </c>
      <c r="M44" s="13">
        <f t="shared" ref="M44:M48" si="39">F44/V44*60</f>
        <v>1938.4615384615397</v>
      </c>
      <c r="N44" s="13">
        <f t="shared" si="3"/>
        <v>77.53846153846159</v>
      </c>
      <c r="O44" s="14">
        <f t="shared" si="4"/>
        <v>0</v>
      </c>
      <c r="P44" s="15">
        <f t="shared" si="5"/>
        <v>-2.4615384615384102</v>
      </c>
      <c r="Q44" s="91">
        <f t="shared" si="6"/>
        <v>0.9692307692307699</v>
      </c>
      <c r="R44" s="177"/>
      <c r="S44" s="21">
        <v>0.28541666666666665</v>
      </c>
      <c r="T44" s="21">
        <v>0.3034722222222222</v>
      </c>
      <c r="U44" s="88">
        <f t="shared" si="38"/>
        <v>6.9999999999999751</v>
      </c>
      <c r="V44" s="30">
        <f t="shared" si="37"/>
        <v>25.999999999999986</v>
      </c>
      <c r="W44" s="16"/>
      <c r="X44" s="16"/>
      <c r="Y44" s="19"/>
      <c r="Z44" s="19"/>
      <c r="AA44" s="168"/>
      <c r="AB44" s="168"/>
      <c r="AC44" s="18"/>
      <c r="AD44" s="18"/>
      <c r="AE44" s="14">
        <f t="shared" si="8"/>
        <v>-61.538461538460297</v>
      </c>
      <c r="AF44" s="91">
        <f t="shared" si="9"/>
        <v>0.9692307692307699</v>
      </c>
      <c r="AG44" s="177"/>
    </row>
    <row r="45" spans="1:33" ht="15.75" customHeight="1">
      <c r="A45" s="181" t="s">
        <v>373</v>
      </c>
      <c r="B45" s="28" t="s">
        <v>5</v>
      </c>
      <c r="C45" s="93" t="s">
        <v>42</v>
      </c>
      <c r="D45" s="94"/>
      <c r="E45" s="28">
        <v>57.73</v>
      </c>
      <c r="F45" s="29">
        <v>988</v>
      </c>
      <c r="G45" s="88">
        <f t="shared" si="35"/>
        <v>57037.24</v>
      </c>
      <c r="H45" s="30" t="s">
        <v>53</v>
      </c>
      <c r="I45" s="95">
        <v>16</v>
      </c>
      <c r="J45" s="13">
        <v>1500</v>
      </c>
      <c r="K45" s="12">
        <f t="shared" si="1"/>
        <v>93.75</v>
      </c>
      <c r="L45" s="95">
        <v>16</v>
      </c>
      <c r="M45" s="13">
        <f t="shared" si="39"/>
        <v>1445.853658536585</v>
      </c>
      <c r="N45" s="13">
        <f t="shared" si="3"/>
        <v>90.365853658536565</v>
      </c>
      <c r="O45" s="14">
        <f t="shared" si="4"/>
        <v>0</v>
      </c>
      <c r="P45" s="15">
        <f t="shared" si="5"/>
        <v>-3.3841463414634347</v>
      </c>
      <c r="Q45" s="91">
        <f t="shared" si="6"/>
        <v>0.96390243902438999</v>
      </c>
      <c r="R45" s="177"/>
      <c r="S45" s="21">
        <v>0.70833333333333337</v>
      </c>
      <c r="T45" s="21">
        <v>0.7368055555555556</v>
      </c>
      <c r="U45" s="88" t="str">
        <f t="shared" si="38"/>
        <v/>
      </c>
      <c r="V45" s="30">
        <f t="shared" si="37"/>
        <v>41.000000000000014</v>
      </c>
      <c r="W45" s="16"/>
      <c r="X45" s="16"/>
      <c r="Y45" s="19"/>
      <c r="Z45" s="19"/>
      <c r="AA45" s="168"/>
      <c r="AB45" s="168"/>
      <c r="AC45" s="18"/>
      <c r="AD45" s="18"/>
      <c r="AE45" s="14">
        <f t="shared" si="8"/>
        <v>-54.146341463414956</v>
      </c>
      <c r="AF45" s="91">
        <f t="shared" si="9"/>
        <v>0.96390243902438999</v>
      </c>
      <c r="AG45" s="177"/>
    </row>
    <row r="46" spans="1:33" ht="15.75" customHeight="1">
      <c r="A46" s="181" t="s">
        <v>275</v>
      </c>
      <c r="B46" s="28" t="s">
        <v>5</v>
      </c>
      <c r="C46" s="93" t="s">
        <v>43</v>
      </c>
      <c r="D46" s="94"/>
      <c r="E46" s="28">
        <v>54.29</v>
      </c>
      <c r="F46" s="29">
        <v>942</v>
      </c>
      <c r="G46" s="88">
        <f t="shared" si="35"/>
        <v>51141.18</v>
      </c>
      <c r="H46" s="30" t="s">
        <v>53</v>
      </c>
      <c r="I46" s="95">
        <v>20</v>
      </c>
      <c r="J46" s="13">
        <v>2000</v>
      </c>
      <c r="K46" s="12">
        <f t="shared" si="1"/>
        <v>100</v>
      </c>
      <c r="L46" s="95">
        <v>20</v>
      </c>
      <c r="M46" s="13">
        <f t="shared" si="39"/>
        <v>1948.9655172413757</v>
      </c>
      <c r="N46" s="13">
        <f t="shared" si="3"/>
        <v>97.448275862068783</v>
      </c>
      <c r="O46" s="14">
        <f t="shared" si="4"/>
        <v>0</v>
      </c>
      <c r="P46" s="15">
        <f t="shared" si="5"/>
        <v>-2.5517241379312168</v>
      </c>
      <c r="Q46" s="91">
        <f t="shared" si="6"/>
        <v>0.97448275862068778</v>
      </c>
      <c r="R46" s="177"/>
      <c r="S46" s="21">
        <v>0.74236111111111114</v>
      </c>
      <c r="T46" s="21">
        <v>0.76250000000000007</v>
      </c>
      <c r="U46" s="88">
        <f t="shared" si="38"/>
        <v>7.9999999999999716</v>
      </c>
      <c r="V46" s="30">
        <f t="shared" si="37"/>
        <v>29.000000000000057</v>
      </c>
      <c r="W46" s="16"/>
      <c r="X46" s="16"/>
      <c r="Y46" s="19"/>
      <c r="Z46" s="19"/>
      <c r="AA46" s="168"/>
      <c r="AB46" s="168"/>
      <c r="AC46" s="18"/>
      <c r="AD46" s="18"/>
      <c r="AE46" s="14">
        <f t="shared" si="8"/>
        <v>-51.034482758624335</v>
      </c>
      <c r="AF46" s="91">
        <f t="shared" si="9"/>
        <v>0.97448275862068778</v>
      </c>
      <c r="AG46" s="177"/>
    </row>
    <row r="47" spans="1:33" ht="15.75" customHeight="1">
      <c r="A47" s="181" t="s">
        <v>374</v>
      </c>
      <c r="B47" s="28" t="s">
        <v>5</v>
      </c>
      <c r="C47" s="170" t="s">
        <v>44</v>
      </c>
      <c r="D47" s="171"/>
      <c r="E47" s="28">
        <v>55.56</v>
      </c>
      <c r="F47" s="29">
        <v>1800</v>
      </c>
      <c r="G47" s="88">
        <f t="shared" si="35"/>
        <v>100008</v>
      </c>
      <c r="H47" s="30" t="s">
        <v>53</v>
      </c>
      <c r="I47" s="95">
        <v>17</v>
      </c>
      <c r="J47" s="13">
        <v>2000</v>
      </c>
      <c r="K47" s="12">
        <f t="shared" si="1"/>
        <v>117.64705882352941</v>
      </c>
      <c r="L47" s="95">
        <v>17</v>
      </c>
      <c r="M47" s="13">
        <f t="shared" si="39"/>
        <v>1928.57142857143</v>
      </c>
      <c r="N47" s="13">
        <f t="shared" si="3"/>
        <v>113.44537815126058</v>
      </c>
      <c r="O47" s="14">
        <f t="shared" si="4"/>
        <v>0</v>
      </c>
      <c r="P47" s="15">
        <f t="shared" si="5"/>
        <v>-4.2016806722688216</v>
      </c>
      <c r="Q47" s="91">
        <f t="shared" si="6"/>
        <v>0.96428571428571497</v>
      </c>
      <c r="R47" s="177"/>
      <c r="S47" s="21">
        <v>0.76597222222222228</v>
      </c>
      <c r="T47" s="21">
        <v>0.80486111111111114</v>
      </c>
      <c r="U47" s="88">
        <f t="shared" si="38"/>
        <v>4.9999999999999822</v>
      </c>
      <c r="V47" s="30">
        <f t="shared" si="37"/>
        <v>55.999999999999957</v>
      </c>
      <c r="W47" s="16"/>
      <c r="X47" s="16"/>
      <c r="Y47" s="19"/>
      <c r="Z47" s="19"/>
      <c r="AA47" s="172"/>
      <c r="AB47" s="173"/>
      <c r="AC47" s="18"/>
      <c r="AD47" s="18"/>
      <c r="AE47" s="14">
        <f t="shared" si="8"/>
        <v>-71.428571428569967</v>
      </c>
      <c r="AF47" s="91">
        <f t="shared" si="9"/>
        <v>0.96428571428571497</v>
      </c>
      <c r="AG47" s="177"/>
    </row>
    <row r="48" spans="1:33" ht="15.75" customHeight="1">
      <c r="A48" s="181" t="s">
        <v>275</v>
      </c>
      <c r="B48" s="28" t="s">
        <v>5</v>
      </c>
      <c r="C48" s="170" t="s">
        <v>45</v>
      </c>
      <c r="D48" s="171"/>
      <c r="E48" s="28">
        <v>55.32</v>
      </c>
      <c r="F48" s="29">
        <v>1327</v>
      </c>
      <c r="G48" s="88">
        <f t="shared" si="35"/>
        <v>73409.64</v>
      </c>
      <c r="H48" s="30" t="s">
        <v>53</v>
      </c>
      <c r="I48" s="95">
        <v>15</v>
      </c>
      <c r="J48" s="13">
        <v>2000</v>
      </c>
      <c r="K48" s="12">
        <f t="shared" si="1"/>
        <v>133.33333333333334</v>
      </c>
      <c r="L48" s="95">
        <v>15</v>
      </c>
      <c r="M48" s="13">
        <f t="shared" si="39"/>
        <v>1941.9512195121943</v>
      </c>
      <c r="N48" s="13">
        <f t="shared" si="3"/>
        <v>129.46341463414629</v>
      </c>
      <c r="O48" s="14">
        <f t="shared" si="4"/>
        <v>0</v>
      </c>
      <c r="P48" s="15">
        <f t="shared" si="5"/>
        <v>-3.8699186991870533</v>
      </c>
      <c r="Q48" s="91">
        <f t="shared" si="6"/>
        <v>0.97097560975609709</v>
      </c>
      <c r="R48" s="177"/>
      <c r="S48" s="21">
        <v>0.80972222222222223</v>
      </c>
      <c r="T48" s="21">
        <v>0.83819444444444446</v>
      </c>
      <c r="U48" s="88">
        <f t="shared" si="38"/>
        <v>6.9999999999999751</v>
      </c>
      <c r="V48" s="30">
        <f t="shared" si="37"/>
        <v>41.000000000000014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-58.048780487805743</v>
      </c>
      <c r="AF48" s="91">
        <f t="shared" si="9"/>
        <v>0.97097560975609709</v>
      </c>
      <c r="AG48" s="177"/>
    </row>
    <row r="49" spans="1:33">
      <c r="A49" s="182" t="s">
        <v>275</v>
      </c>
      <c r="B49" s="28" t="s">
        <v>370</v>
      </c>
      <c r="C49" s="178"/>
      <c r="D49" s="178"/>
      <c r="E49" s="92"/>
      <c r="F49" s="12"/>
      <c r="G49" s="12"/>
      <c r="H49" s="88"/>
      <c r="I49" s="23">
        <v>18.857142857142858</v>
      </c>
      <c r="J49" s="13">
        <v>1928.5714285714287</v>
      </c>
      <c r="K49" s="12">
        <f t="shared" si="1"/>
        <v>102.27272727272728</v>
      </c>
      <c r="L49" s="23">
        <v>18.857142857142858</v>
      </c>
      <c r="M49" s="13">
        <f>AVERAGE(M42:M48)</f>
        <v>1865.6260442416492</v>
      </c>
      <c r="N49" s="12">
        <f t="shared" si="3"/>
        <v>98.93471446736018</v>
      </c>
      <c r="O49" s="14">
        <f t="shared" si="4"/>
        <v>0</v>
      </c>
      <c r="P49" s="15">
        <f t="shared" si="5"/>
        <v>-3.3380128053671001</v>
      </c>
      <c r="Q49" s="91">
        <f t="shared" si="6"/>
        <v>0.96736165256974394</v>
      </c>
      <c r="R49" s="177"/>
      <c r="S49" s="21"/>
      <c r="T49" s="21"/>
      <c r="U49" s="88"/>
      <c r="V49" s="30"/>
      <c r="W49" s="12"/>
      <c r="X49" s="12"/>
      <c r="Y49" s="24">
        <f>SUM(Y42:Y48)</f>
        <v>0</v>
      </c>
      <c r="Z49" s="24">
        <f>SUM(Z42:Z48)</f>
        <v>0</v>
      </c>
      <c r="AA49" s="167"/>
      <c r="AB49" s="167"/>
      <c r="AC49" s="24">
        <v>7</v>
      </c>
      <c r="AD49" s="24">
        <f>SUM(AD42:AD48)</f>
        <v>0</v>
      </c>
      <c r="AE49" s="14">
        <f>M49-J49</f>
        <v>-62.945384329779472</v>
      </c>
      <c r="AF49" s="91">
        <f t="shared" si="9"/>
        <v>0.96736165256974394</v>
      </c>
      <c r="AG49" s="177"/>
    </row>
    <row r="50" spans="1:33" ht="15.75" customHeight="1">
      <c r="A50" s="179" t="s">
        <v>278</v>
      </c>
      <c r="B50" s="88" t="s">
        <v>33</v>
      </c>
      <c r="C50" s="169" t="s">
        <v>46</v>
      </c>
      <c r="D50" s="169"/>
      <c r="E50" s="28">
        <v>37.85</v>
      </c>
      <c r="F50" s="29">
        <v>1006</v>
      </c>
      <c r="G50" s="88">
        <f t="shared" ref="G50:G54" si="40">E50*F50</f>
        <v>38077.1</v>
      </c>
      <c r="H50" s="30" t="s">
        <v>53</v>
      </c>
      <c r="I50" s="95">
        <v>12</v>
      </c>
      <c r="J50" s="13">
        <v>2000</v>
      </c>
      <c r="K50" s="12">
        <f t="shared" si="1"/>
        <v>166.66666666666666</v>
      </c>
      <c r="L50" s="95">
        <v>12</v>
      </c>
      <c r="M50" s="13">
        <f t="shared" ref="M50:M54" si="41">F50/V50*60</f>
        <v>1947.0967741935476</v>
      </c>
      <c r="N50" s="12">
        <f t="shared" si="3"/>
        <v>162.25806451612897</v>
      </c>
      <c r="O50" s="14">
        <f t="shared" si="4"/>
        <v>0</v>
      </c>
      <c r="P50" s="15">
        <f t="shared" si="5"/>
        <v>-4.4086021505376891</v>
      </c>
      <c r="Q50" s="91">
        <f t="shared" si="6"/>
        <v>0.97354838709677383</v>
      </c>
      <c r="R50" s="177">
        <f>Q55</f>
        <v>0.96602297532687997</v>
      </c>
      <c r="S50" s="21">
        <v>0.20833333333333334</v>
      </c>
      <c r="T50" s="21">
        <v>0.22986111111111113</v>
      </c>
      <c r="U50" s="88"/>
      <c r="V50" s="30">
        <f t="shared" ref="V50:V54" si="42">(T50-S50)*24*60</f>
        <v>31.000000000000011</v>
      </c>
      <c r="W50" s="21"/>
      <c r="X50" s="21"/>
      <c r="Y50" s="21"/>
      <c r="Z50" s="21"/>
      <c r="AA50" s="168"/>
      <c r="AB50" s="168"/>
      <c r="AC50" s="18">
        <v>5</v>
      </c>
      <c r="AD50" s="18"/>
      <c r="AE50" s="14">
        <f t="shared" ref="AE50:AE61" si="43">M50-J50</f>
        <v>-52.903225806452383</v>
      </c>
      <c r="AF50" s="91">
        <f t="shared" si="9"/>
        <v>0.97354838709677383</v>
      </c>
      <c r="AG50" s="177">
        <f>AF55</f>
        <v>0.96602297532687997</v>
      </c>
    </row>
    <row r="51" spans="1:33" ht="15.75" customHeight="1">
      <c r="A51" s="179" t="s">
        <v>375</v>
      </c>
      <c r="B51" s="88" t="s">
        <v>33</v>
      </c>
      <c r="C51" s="169" t="s">
        <v>47</v>
      </c>
      <c r="D51" s="169"/>
      <c r="E51" s="28">
        <v>34.36</v>
      </c>
      <c r="F51" s="29">
        <v>1851</v>
      </c>
      <c r="G51" s="88">
        <f t="shared" si="40"/>
        <v>63600.36</v>
      </c>
      <c r="H51" s="30" t="s">
        <v>53</v>
      </c>
      <c r="I51" s="95">
        <v>10</v>
      </c>
      <c r="J51" s="13">
        <v>3000</v>
      </c>
      <c r="K51" s="12">
        <f t="shared" si="1"/>
        <v>300</v>
      </c>
      <c r="L51" s="95">
        <v>10</v>
      </c>
      <c r="M51" s="13">
        <f t="shared" si="41"/>
        <v>2922.6315789473661</v>
      </c>
      <c r="N51" s="12">
        <f t="shared" si="3"/>
        <v>292.26315789473659</v>
      </c>
      <c r="O51" s="14">
        <f t="shared" si="4"/>
        <v>0</v>
      </c>
      <c r="P51" s="15">
        <f t="shared" si="5"/>
        <v>-7.7368421052634062</v>
      </c>
      <c r="Q51" s="91">
        <f t="shared" si="6"/>
        <v>0.97421052631578864</v>
      </c>
      <c r="R51" s="177"/>
      <c r="S51" s="21">
        <v>0.23333333333333334</v>
      </c>
      <c r="T51" s="21">
        <v>0.25972222222222224</v>
      </c>
      <c r="U51" s="88">
        <f t="shared" ref="U51:U54" si="44">(S51-T50)*24*60</f>
        <v>4.9999999999999822</v>
      </c>
      <c r="V51" s="30">
        <f t="shared" si="42"/>
        <v>38.000000000000028</v>
      </c>
      <c r="W51" s="88"/>
      <c r="X51" s="88"/>
      <c r="Y51" s="88"/>
      <c r="Z51" s="88"/>
      <c r="AA51" s="168"/>
      <c r="AB51" s="168"/>
      <c r="AC51" s="18"/>
      <c r="AD51" s="18"/>
      <c r="AE51" s="14">
        <f t="shared" si="43"/>
        <v>-77.368421052633948</v>
      </c>
      <c r="AF51" s="91">
        <f t="shared" si="9"/>
        <v>0.97421052631578864</v>
      </c>
      <c r="AG51" s="177"/>
    </row>
    <row r="52" spans="1:33" ht="15.75" customHeight="1">
      <c r="A52" s="179" t="s">
        <v>278</v>
      </c>
      <c r="B52" s="88" t="s">
        <v>33</v>
      </c>
      <c r="C52" s="169" t="s">
        <v>48</v>
      </c>
      <c r="D52" s="169"/>
      <c r="E52" s="28">
        <v>35.119999999999997</v>
      </c>
      <c r="F52" s="29">
        <v>4196</v>
      </c>
      <c r="G52" s="88">
        <f t="shared" si="40"/>
        <v>147363.51999999999</v>
      </c>
      <c r="H52" s="30" t="s">
        <v>53</v>
      </c>
      <c r="I52" s="95">
        <v>10</v>
      </c>
      <c r="J52" s="13">
        <v>3000</v>
      </c>
      <c r="K52" s="12">
        <f t="shared" si="1"/>
        <v>300</v>
      </c>
      <c r="L52" s="95">
        <v>10</v>
      </c>
      <c r="M52" s="13">
        <f t="shared" si="41"/>
        <v>2860.909090909091</v>
      </c>
      <c r="N52" s="12">
        <f t="shared" si="3"/>
        <v>286.09090909090912</v>
      </c>
      <c r="O52" s="14">
        <f t="shared" si="4"/>
        <v>0</v>
      </c>
      <c r="P52" s="15">
        <f t="shared" si="5"/>
        <v>-13.909090909090878</v>
      </c>
      <c r="Q52" s="91">
        <f t="shared" si="6"/>
        <v>0.95363636363636373</v>
      </c>
      <c r="R52" s="177"/>
      <c r="S52" s="21">
        <v>0.26458333333333334</v>
      </c>
      <c r="T52" s="21">
        <v>0.32569444444444445</v>
      </c>
      <c r="U52" s="88">
        <f t="shared" si="44"/>
        <v>6.9999999999999751</v>
      </c>
      <c r="V52" s="30">
        <f t="shared" si="42"/>
        <v>88</v>
      </c>
      <c r="W52" s="88"/>
      <c r="X52" s="88"/>
      <c r="Y52" s="88"/>
      <c r="Z52" s="88"/>
      <c r="AA52" s="168"/>
      <c r="AB52" s="168"/>
      <c r="AC52" s="18"/>
      <c r="AD52" s="18"/>
      <c r="AE52" s="14">
        <f t="shared" si="43"/>
        <v>-139.09090909090901</v>
      </c>
      <c r="AF52" s="91">
        <f t="shared" si="9"/>
        <v>0.95363636363636362</v>
      </c>
      <c r="AG52" s="177"/>
    </row>
    <row r="53" spans="1:33" ht="15.75" customHeight="1">
      <c r="A53" s="179" t="s">
        <v>278</v>
      </c>
      <c r="B53" s="88" t="s">
        <v>33</v>
      </c>
      <c r="C53" s="169" t="s">
        <v>34</v>
      </c>
      <c r="D53" s="169"/>
      <c r="E53" s="28">
        <v>34.36</v>
      </c>
      <c r="F53" s="29">
        <v>1168</v>
      </c>
      <c r="G53" s="88">
        <f t="shared" si="40"/>
        <v>40132.479999999996</v>
      </c>
      <c r="H53" s="30" t="s">
        <v>53</v>
      </c>
      <c r="I53" s="95">
        <v>10</v>
      </c>
      <c r="J53" s="13">
        <v>3000</v>
      </c>
      <c r="K53" s="12">
        <f t="shared" si="1"/>
        <v>300</v>
      </c>
      <c r="L53" s="95">
        <v>10</v>
      </c>
      <c r="M53" s="13">
        <f t="shared" si="41"/>
        <v>2920.0000000000009</v>
      </c>
      <c r="N53" s="12">
        <f t="shared" si="3"/>
        <v>292.00000000000011</v>
      </c>
      <c r="O53" s="14">
        <f t="shared" si="4"/>
        <v>0</v>
      </c>
      <c r="P53" s="15">
        <f t="shared" si="5"/>
        <v>-7.9999999999998863</v>
      </c>
      <c r="Q53" s="91">
        <f t="shared" si="6"/>
        <v>0.97333333333333372</v>
      </c>
      <c r="R53" s="177"/>
      <c r="S53" s="21">
        <v>0.32916666666666666</v>
      </c>
      <c r="T53" s="21">
        <v>0.34583333333333333</v>
      </c>
      <c r="U53" s="88">
        <f t="shared" si="44"/>
        <v>4.9999999999999822</v>
      </c>
      <c r="V53" s="30">
        <f t="shared" si="42"/>
        <v>23.999999999999993</v>
      </c>
      <c r="W53" s="88"/>
      <c r="X53" s="88"/>
      <c r="Y53" s="88"/>
      <c r="Z53" s="88"/>
      <c r="AA53" s="168"/>
      <c r="AB53" s="168"/>
      <c r="AC53" s="18"/>
      <c r="AD53" s="18"/>
      <c r="AE53" s="14">
        <f t="shared" si="43"/>
        <v>-79.999999999999091</v>
      </c>
      <c r="AF53" s="91">
        <f t="shared" si="9"/>
        <v>0.97333333333333361</v>
      </c>
      <c r="AG53" s="177"/>
    </row>
    <row r="54" spans="1:33">
      <c r="A54" s="180" t="s">
        <v>376</v>
      </c>
      <c r="B54" s="88" t="s">
        <v>33</v>
      </c>
      <c r="C54" s="169" t="s">
        <v>35</v>
      </c>
      <c r="D54" s="169"/>
      <c r="E54" s="28">
        <v>26.78</v>
      </c>
      <c r="F54" s="29">
        <v>1820</v>
      </c>
      <c r="G54" s="88">
        <f t="shared" si="40"/>
        <v>48739.6</v>
      </c>
      <c r="H54" s="30" t="s">
        <v>53</v>
      </c>
      <c r="I54" s="95">
        <v>10</v>
      </c>
      <c r="J54" s="13">
        <v>3000</v>
      </c>
      <c r="K54" s="12">
        <f t="shared" si="1"/>
        <v>300</v>
      </c>
      <c r="L54" s="95">
        <v>10</v>
      </c>
      <c r="M54" s="13">
        <f t="shared" si="41"/>
        <v>2873.6842105263136</v>
      </c>
      <c r="N54" s="12">
        <f t="shared" si="3"/>
        <v>287.36842105263133</v>
      </c>
      <c r="O54" s="14">
        <f t="shared" si="4"/>
        <v>0</v>
      </c>
      <c r="P54" s="15">
        <f t="shared" si="5"/>
        <v>-12.631578947368666</v>
      </c>
      <c r="Q54" s="91">
        <f t="shared" si="6"/>
        <v>0.95789473684210447</v>
      </c>
      <c r="R54" s="177"/>
      <c r="S54" s="21">
        <v>0.35138888888888886</v>
      </c>
      <c r="T54" s="21">
        <v>0.37777777777777777</v>
      </c>
      <c r="U54" s="88">
        <f t="shared" si="44"/>
        <v>7.9999999999999716</v>
      </c>
      <c r="V54" s="30">
        <f t="shared" si="42"/>
        <v>38.000000000000028</v>
      </c>
      <c r="W54" s="16"/>
      <c r="X54" s="16"/>
      <c r="Y54" s="16"/>
      <c r="Z54" s="16"/>
      <c r="AA54" s="168"/>
      <c r="AB54" s="168"/>
      <c r="AC54" s="18"/>
      <c r="AD54" s="18"/>
      <c r="AE54" s="14">
        <f t="shared" si="43"/>
        <v>-126.31578947368644</v>
      </c>
      <c r="AF54" s="91">
        <f t="shared" si="9"/>
        <v>0.95789473684210447</v>
      </c>
      <c r="AG54" s="177"/>
    </row>
    <row r="55" spans="1:33">
      <c r="A55" s="180" t="s">
        <v>375</v>
      </c>
      <c r="B55" s="28" t="s">
        <v>261</v>
      </c>
      <c r="C55" s="178"/>
      <c r="D55" s="178"/>
      <c r="E55" s="92"/>
      <c r="F55" s="12"/>
      <c r="G55" s="12"/>
      <c r="H55" s="88"/>
      <c r="I55" s="23">
        <v>10.4</v>
      </c>
      <c r="J55" s="13">
        <v>2800</v>
      </c>
      <c r="K55" s="12">
        <f t="shared" si="1"/>
        <v>269.23076923076923</v>
      </c>
      <c r="L55" s="23">
        <v>10.4</v>
      </c>
      <c r="M55" s="13">
        <f>AVERAGE(M50:M54)</f>
        <v>2704.864330915264</v>
      </c>
      <c r="N55" s="12">
        <f t="shared" si="3"/>
        <v>260.0831087418523</v>
      </c>
      <c r="O55" s="14">
        <f t="shared" si="4"/>
        <v>0</v>
      </c>
      <c r="P55" s="15">
        <f t="shared" si="5"/>
        <v>-9.1476604889169266</v>
      </c>
      <c r="Q55" s="91">
        <f t="shared" si="6"/>
        <v>0.96602297532687997</v>
      </c>
      <c r="R55" s="177"/>
      <c r="S55" s="21"/>
      <c r="T55" s="21"/>
      <c r="U55" s="12"/>
      <c r="V55" s="30"/>
      <c r="W55" s="12"/>
      <c r="X55" s="12"/>
      <c r="Y55" s="24">
        <f>SUM(Y50:Y54)</f>
        <v>0</v>
      </c>
      <c r="Z55" s="24">
        <f>SUM(Z50:Z54)</f>
        <v>0</v>
      </c>
      <c r="AA55" s="167"/>
      <c r="AB55" s="167"/>
      <c r="AC55" s="24">
        <v>5</v>
      </c>
      <c r="AD55" s="24">
        <f>SUM(AD50:AD54)</f>
        <v>0</v>
      </c>
      <c r="AE55" s="14">
        <f t="shared" si="43"/>
        <v>-95.135669084736037</v>
      </c>
      <c r="AF55" s="91">
        <f t="shared" si="9"/>
        <v>0.96602297532687997</v>
      </c>
      <c r="AG55" s="177"/>
    </row>
    <row r="56" spans="1:33" ht="15.75" customHeight="1">
      <c r="A56" s="174" t="s">
        <v>281</v>
      </c>
      <c r="B56" s="88" t="s">
        <v>22</v>
      </c>
      <c r="C56" s="169" t="s">
        <v>49</v>
      </c>
      <c r="D56" s="169"/>
      <c r="E56" s="28">
        <v>20.2</v>
      </c>
      <c r="F56" s="88">
        <v>1534</v>
      </c>
      <c r="G56" s="88">
        <f t="shared" ref="G56:G60" si="45">E56*F56</f>
        <v>30986.799999999999</v>
      </c>
      <c r="H56" s="30" t="s">
        <v>53</v>
      </c>
      <c r="I56" s="95">
        <v>15</v>
      </c>
      <c r="J56" s="13">
        <v>2400</v>
      </c>
      <c r="K56" s="12">
        <f t="shared" si="1"/>
        <v>160</v>
      </c>
      <c r="L56" s="95">
        <v>15</v>
      </c>
      <c r="M56" s="13">
        <f t="shared" ref="M56:M60" si="46">F56/V56*60</f>
        <v>2301</v>
      </c>
      <c r="N56" s="12">
        <f t="shared" si="3"/>
        <v>153.4</v>
      </c>
      <c r="O56" s="14">
        <f t="shared" si="4"/>
        <v>0</v>
      </c>
      <c r="P56" s="15">
        <f t="shared" si="5"/>
        <v>-6.5999999999999943</v>
      </c>
      <c r="Q56" s="91">
        <f t="shared" si="6"/>
        <v>0.95874999999999999</v>
      </c>
      <c r="R56" s="177">
        <f>Q61</f>
        <v>0.95696352177234534</v>
      </c>
      <c r="S56" s="21">
        <v>8.3333333333333329E-2</v>
      </c>
      <c r="T56" s="21">
        <v>0.1111111111111111</v>
      </c>
      <c r="U56" s="21"/>
      <c r="V56" s="30">
        <f t="shared" ref="V56:V60" si="47">(T56-S56)*24*60</f>
        <v>40</v>
      </c>
      <c r="W56" s="16">
        <f>T56</f>
        <v>0.1111111111111111</v>
      </c>
      <c r="X56" s="16">
        <f>S57</f>
        <v>0.13055555555555554</v>
      </c>
      <c r="Y56" s="16"/>
      <c r="Z56" s="16"/>
      <c r="AA56" s="168"/>
      <c r="AB56" s="168"/>
      <c r="AC56" s="18">
        <v>5</v>
      </c>
      <c r="AD56" s="18"/>
      <c r="AE56" s="14">
        <f t="shared" si="43"/>
        <v>-99</v>
      </c>
      <c r="AF56" s="91">
        <f t="shared" si="9"/>
        <v>0.95874999999999999</v>
      </c>
      <c r="AG56" s="177">
        <f>AF61</f>
        <v>0.95696352177234534</v>
      </c>
    </row>
    <row r="57" spans="1:33" ht="15.75" customHeight="1">
      <c r="A57" s="175" t="s">
        <v>281</v>
      </c>
      <c r="B57" s="88" t="s">
        <v>22</v>
      </c>
      <c r="C57" s="169" t="s">
        <v>50</v>
      </c>
      <c r="D57" s="169"/>
      <c r="E57" s="28">
        <v>24.45</v>
      </c>
      <c r="F57" s="88">
        <v>1905</v>
      </c>
      <c r="G57" s="88">
        <f t="shared" si="45"/>
        <v>46577.25</v>
      </c>
      <c r="H57" s="30" t="s">
        <v>53</v>
      </c>
      <c r="I57" s="95">
        <v>19</v>
      </c>
      <c r="J57" s="13">
        <v>2400</v>
      </c>
      <c r="K57" s="12">
        <f t="shared" si="1"/>
        <v>126.31578947368421</v>
      </c>
      <c r="L57" s="95">
        <v>19</v>
      </c>
      <c r="M57" s="13">
        <f t="shared" si="46"/>
        <v>2286.0000000000005</v>
      </c>
      <c r="N57" s="12">
        <f t="shared" si="3"/>
        <v>120.31578947368423</v>
      </c>
      <c r="O57" s="14">
        <f t="shared" si="4"/>
        <v>0</v>
      </c>
      <c r="P57" s="15">
        <f t="shared" si="5"/>
        <v>-5.9999999999999716</v>
      </c>
      <c r="Q57" s="91">
        <f t="shared" si="6"/>
        <v>0.95250000000000024</v>
      </c>
      <c r="R57" s="177"/>
      <c r="S57" s="21">
        <v>0.13055555555555554</v>
      </c>
      <c r="T57" s="21">
        <v>0.16527777777777775</v>
      </c>
      <c r="U57" s="88">
        <f t="shared" ref="U57:U60" si="48">(S57-T56)*24*60</f>
        <v>27.999999999999979</v>
      </c>
      <c r="V57" s="30">
        <f t="shared" si="47"/>
        <v>49.999999999999986</v>
      </c>
      <c r="W57" s="16"/>
      <c r="X57" s="16"/>
      <c r="Y57" s="16"/>
      <c r="Z57" s="16"/>
      <c r="AA57" s="168"/>
      <c r="AB57" s="168"/>
      <c r="AC57" s="18"/>
      <c r="AD57" s="18"/>
      <c r="AE57" s="14">
        <f t="shared" si="43"/>
        <v>-113.99999999999955</v>
      </c>
      <c r="AF57" s="91">
        <f t="shared" si="9"/>
        <v>0.95250000000000024</v>
      </c>
      <c r="AG57" s="177"/>
    </row>
    <row r="58" spans="1:33" ht="15.75" customHeight="1">
      <c r="A58" s="175" t="s">
        <v>281</v>
      </c>
      <c r="B58" s="88" t="s">
        <v>22</v>
      </c>
      <c r="C58" s="169" t="s">
        <v>31</v>
      </c>
      <c r="D58" s="169"/>
      <c r="E58" s="28">
        <v>20.21</v>
      </c>
      <c r="F58" s="88">
        <v>2202</v>
      </c>
      <c r="G58" s="88">
        <f t="shared" si="45"/>
        <v>44502.42</v>
      </c>
      <c r="H58" s="30" t="s">
        <v>53</v>
      </c>
      <c r="I58" s="95">
        <v>15</v>
      </c>
      <c r="J58" s="13">
        <v>2400</v>
      </c>
      <c r="K58" s="12">
        <f t="shared" si="1"/>
        <v>160</v>
      </c>
      <c r="L58" s="95">
        <v>15</v>
      </c>
      <c r="M58" s="13">
        <f t="shared" si="46"/>
        <v>2317.894736842105</v>
      </c>
      <c r="N58" s="12">
        <f t="shared" si="3"/>
        <v>154.52631578947367</v>
      </c>
      <c r="O58" s="14">
        <f t="shared" si="4"/>
        <v>0</v>
      </c>
      <c r="P58" s="15">
        <f t="shared" si="5"/>
        <v>-5.4736842105263293</v>
      </c>
      <c r="Q58" s="91">
        <f t="shared" si="6"/>
        <v>0.96578947368421042</v>
      </c>
      <c r="R58" s="177"/>
      <c r="S58" s="21">
        <v>0.17083333333333331</v>
      </c>
      <c r="T58" s="21">
        <v>0.21041666666666664</v>
      </c>
      <c r="U58" s="88">
        <f t="shared" si="48"/>
        <v>8.0000000000000107</v>
      </c>
      <c r="V58" s="30">
        <f t="shared" si="47"/>
        <v>57</v>
      </c>
      <c r="W58" s="16"/>
      <c r="X58" s="16"/>
      <c r="Y58" s="16"/>
      <c r="Z58" s="16"/>
      <c r="AA58" s="168"/>
      <c r="AB58" s="168"/>
      <c r="AC58" s="18"/>
      <c r="AD58" s="18"/>
      <c r="AE58" s="14">
        <f t="shared" si="43"/>
        <v>-82.105263157895024</v>
      </c>
      <c r="AF58" s="91">
        <f t="shared" si="9"/>
        <v>0.96578947368421042</v>
      </c>
      <c r="AG58" s="177"/>
    </row>
    <row r="59" spans="1:33" ht="15.75" customHeight="1">
      <c r="A59" s="175" t="s">
        <v>281</v>
      </c>
      <c r="B59" s="88" t="s">
        <v>22</v>
      </c>
      <c r="C59" s="169" t="s">
        <v>51</v>
      </c>
      <c r="D59" s="169"/>
      <c r="E59" s="28">
        <v>24.43</v>
      </c>
      <c r="F59" s="88">
        <v>5084</v>
      </c>
      <c r="G59" s="88">
        <f t="shared" si="45"/>
        <v>124202.12</v>
      </c>
      <c r="H59" s="30" t="s">
        <v>53</v>
      </c>
      <c r="I59" s="95">
        <v>14</v>
      </c>
      <c r="J59" s="13">
        <v>2400</v>
      </c>
      <c r="K59" s="12">
        <f t="shared" si="1"/>
        <v>171.42857142857142</v>
      </c>
      <c r="L59" s="95">
        <v>14</v>
      </c>
      <c r="M59" s="13">
        <f t="shared" si="46"/>
        <v>2293.5338345864652</v>
      </c>
      <c r="N59" s="12">
        <f t="shared" si="3"/>
        <v>163.82384532760466</v>
      </c>
      <c r="O59" s="14">
        <f t="shared" si="4"/>
        <v>0</v>
      </c>
      <c r="P59" s="15">
        <f t="shared" si="5"/>
        <v>-7.6047261009667579</v>
      </c>
      <c r="Q59" s="91">
        <f t="shared" si="6"/>
        <v>0.95563909774436062</v>
      </c>
      <c r="R59" s="177"/>
      <c r="S59" s="21">
        <v>0.21527777777777776</v>
      </c>
      <c r="T59" s="21">
        <v>0.30763888888888891</v>
      </c>
      <c r="U59" s="88">
        <f t="shared" si="48"/>
        <v>7.0000000000000151</v>
      </c>
      <c r="V59" s="30">
        <f t="shared" si="47"/>
        <v>133.00000000000006</v>
      </c>
      <c r="W59" s="16"/>
      <c r="X59" s="16"/>
      <c r="Y59" s="16"/>
      <c r="Z59" s="16"/>
      <c r="AA59" s="168"/>
      <c r="AB59" s="168"/>
      <c r="AC59" s="18"/>
      <c r="AD59" s="18"/>
      <c r="AE59" s="14">
        <f t="shared" si="43"/>
        <v>-106.46616541353478</v>
      </c>
      <c r="AF59" s="91">
        <f t="shared" si="9"/>
        <v>0.95563909774436051</v>
      </c>
      <c r="AG59" s="177"/>
    </row>
    <row r="60" spans="1:33" ht="15.75" customHeight="1">
      <c r="A60" s="175" t="s">
        <v>281</v>
      </c>
      <c r="B60" s="88" t="s">
        <v>22</v>
      </c>
      <c r="C60" s="169" t="s">
        <v>52</v>
      </c>
      <c r="D60" s="169"/>
      <c r="E60" s="28">
        <v>19.02</v>
      </c>
      <c r="F60" s="88">
        <v>7122</v>
      </c>
      <c r="G60" s="88">
        <f t="shared" si="45"/>
        <v>135460.44</v>
      </c>
      <c r="H60" s="30" t="s">
        <v>53</v>
      </c>
      <c r="I60" s="95">
        <v>14</v>
      </c>
      <c r="J60" s="13">
        <v>2400</v>
      </c>
      <c r="K60" s="12">
        <f t="shared" si="1"/>
        <v>171.42857142857142</v>
      </c>
      <c r="L60" s="95">
        <v>14</v>
      </c>
      <c r="M60" s="13">
        <f t="shared" si="46"/>
        <v>2285.1336898395725</v>
      </c>
      <c r="N60" s="12">
        <f t="shared" si="3"/>
        <v>163.22383498854089</v>
      </c>
      <c r="O60" s="14">
        <f t="shared" si="4"/>
        <v>0</v>
      </c>
      <c r="P60" s="15">
        <f t="shared" si="5"/>
        <v>-8.2047364400305298</v>
      </c>
      <c r="Q60" s="91">
        <f t="shared" si="6"/>
        <v>0.9521390374331552</v>
      </c>
      <c r="R60" s="177"/>
      <c r="S60" s="21">
        <v>0.3125</v>
      </c>
      <c r="T60" s="21">
        <v>0.44236111111111109</v>
      </c>
      <c r="U60" s="88">
        <f t="shared" si="48"/>
        <v>6.9999999999999751</v>
      </c>
      <c r="V60" s="30">
        <f t="shared" si="47"/>
        <v>186.99999999999997</v>
      </c>
      <c r="W60" s="16"/>
      <c r="X60" s="16"/>
      <c r="Y60" s="16"/>
      <c r="Z60" s="16"/>
      <c r="AA60" s="168"/>
      <c r="AB60" s="168"/>
      <c r="AC60" s="18"/>
      <c r="AD60" s="18"/>
      <c r="AE60" s="14">
        <f t="shared" si="43"/>
        <v>-114.86631016042747</v>
      </c>
      <c r="AF60" s="91">
        <f t="shared" si="9"/>
        <v>0.9521390374331552</v>
      </c>
      <c r="AG60" s="177"/>
    </row>
    <row r="61" spans="1:33" ht="16.5" customHeight="1">
      <c r="A61" s="176" t="s">
        <v>377</v>
      </c>
      <c r="B61" s="28" t="s">
        <v>261</v>
      </c>
      <c r="C61" s="165"/>
      <c r="D61" s="166"/>
      <c r="E61" s="92"/>
      <c r="F61" s="12"/>
      <c r="G61" s="12"/>
      <c r="H61" s="88"/>
      <c r="I61" s="23">
        <v>15.4</v>
      </c>
      <c r="J61" s="13">
        <v>2400</v>
      </c>
      <c r="K61" s="12">
        <f t="shared" si="1"/>
        <v>155.84415584415584</v>
      </c>
      <c r="L61" s="23">
        <v>15.4</v>
      </c>
      <c r="M61" s="13">
        <f>AVERAGE(M56:M60)</f>
        <v>2296.7124522536287</v>
      </c>
      <c r="N61" s="12">
        <f t="shared" si="3"/>
        <v>149.1371722242616</v>
      </c>
      <c r="O61" s="14">
        <f t="shared" si="4"/>
        <v>0</v>
      </c>
      <c r="P61" s="15">
        <f t="shared" si="5"/>
        <v>-6.7069836198942312</v>
      </c>
      <c r="Q61" s="91">
        <f t="shared" si="6"/>
        <v>0.95696352177234534</v>
      </c>
      <c r="R61" s="177"/>
      <c r="S61" s="21"/>
      <c r="T61" s="21"/>
      <c r="U61" s="12"/>
      <c r="V61" s="30"/>
      <c r="W61" s="12"/>
      <c r="X61" s="12"/>
      <c r="Y61" s="24">
        <f>SUM(Y56:Y60)</f>
        <v>0</v>
      </c>
      <c r="Z61" s="24">
        <f>SUM(Z56:Z60)</f>
        <v>0</v>
      </c>
      <c r="AA61" s="167"/>
      <c r="AB61" s="167"/>
      <c r="AC61" s="24">
        <v>5</v>
      </c>
      <c r="AD61" s="24">
        <f>SUM(AD56:AD60)</f>
        <v>0</v>
      </c>
      <c r="AE61" s="14">
        <f t="shared" si="43"/>
        <v>-103.28754774637127</v>
      </c>
      <c r="AF61" s="91">
        <f t="shared" si="9"/>
        <v>0.95696352177234534</v>
      </c>
      <c r="AG61" s="177"/>
    </row>
    <row r="62" spans="1:33">
      <c r="D62" s="87"/>
      <c r="E62" s="87"/>
    </row>
  </sheetData>
  <mergeCells count="175">
    <mergeCell ref="AG56:AG61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56:A61"/>
    <mergeCell ref="C56:D56"/>
    <mergeCell ref="R56:R61"/>
    <mergeCell ref="AA56:AB56"/>
    <mergeCell ref="AA61:AB61"/>
    <mergeCell ref="A50:A55"/>
    <mergeCell ref="C50:D50"/>
    <mergeCell ref="R50:R55"/>
    <mergeCell ref="AA50:AB50"/>
    <mergeCell ref="AG50:AG55"/>
    <mergeCell ref="C51:D51"/>
    <mergeCell ref="AA51:AB51"/>
    <mergeCell ref="C52:D52"/>
    <mergeCell ref="AA52:AB52"/>
    <mergeCell ref="C53:D53"/>
    <mergeCell ref="AA46:AB46"/>
    <mergeCell ref="C47:D47"/>
    <mergeCell ref="AA47:AB47"/>
    <mergeCell ref="C48:D48"/>
    <mergeCell ref="AA48:AB48"/>
    <mergeCell ref="C49:D49"/>
    <mergeCell ref="AA49:AB49"/>
    <mergeCell ref="AA53:AB53"/>
    <mergeCell ref="C54:D54"/>
    <mergeCell ref="AA54:AB54"/>
    <mergeCell ref="C55:D55"/>
    <mergeCell ref="AA55:AB55"/>
    <mergeCell ref="A42:A49"/>
    <mergeCell ref="C42:D42"/>
    <mergeCell ref="R42:R49"/>
    <mergeCell ref="AA42:AB42"/>
    <mergeCell ref="AG42:AG49"/>
    <mergeCell ref="C43:D43"/>
    <mergeCell ref="AA43:AB43"/>
    <mergeCell ref="C44:D44"/>
    <mergeCell ref="AA44:AB44"/>
    <mergeCell ref="AA45:AB45"/>
    <mergeCell ref="AG36:AG41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36:A41"/>
    <mergeCell ref="C36:D36"/>
    <mergeCell ref="R36:R41"/>
    <mergeCell ref="AA36:AB36"/>
    <mergeCell ref="AA41:AB41"/>
    <mergeCell ref="A30:A35"/>
    <mergeCell ref="C30:D30"/>
    <mergeCell ref="R30:R35"/>
    <mergeCell ref="AA30:AB30"/>
    <mergeCell ref="AG30:AG35"/>
    <mergeCell ref="C31:D31"/>
    <mergeCell ref="AA31:AB31"/>
    <mergeCell ref="C32:D32"/>
    <mergeCell ref="AA32:AB32"/>
    <mergeCell ref="C33:D33"/>
    <mergeCell ref="AG24:AG29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AA33:AB33"/>
    <mergeCell ref="C34:D34"/>
    <mergeCell ref="AA34:AB34"/>
    <mergeCell ref="C35:D35"/>
    <mergeCell ref="AA35:AB35"/>
    <mergeCell ref="A24:A29"/>
    <mergeCell ref="C24:D24"/>
    <mergeCell ref="R24:R29"/>
    <mergeCell ref="AA24:AB24"/>
    <mergeCell ref="AA29:AB29"/>
    <mergeCell ref="C20:D20"/>
    <mergeCell ref="AA20:AB20"/>
    <mergeCell ref="C21:D21"/>
    <mergeCell ref="AA21:AB21"/>
    <mergeCell ref="C22:D22"/>
    <mergeCell ref="AA22:AB22"/>
    <mergeCell ref="AA16:AB16"/>
    <mergeCell ref="A17:A23"/>
    <mergeCell ref="C17:D17"/>
    <mergeCell ref="R17:R23"/>
    <mergeCell ref="AA17:AB17"/>
    <mergeCell ref="AG17:AG23"/>
    <mergeCell ref="C18:D18"/>
    <mergeCell ref="AA18:AB18"/>
    <mergeCell ref="C19:D19"/>
    <mergeCell ref="AA19:AB19"/>
    <mergeCell ref="A13:A16"/>
    <mergeCell ref="C13:D13"/>
    <mergeCell ref="R13:R16"/>
    <mergeCell ref="AA13:AB13"/>
    <mergeCell ref="AG13:AG16"/>
    <mergeCell ref="C14:D14"/>
    <mergeCell ref="AA14:AB14"/>
    <mergeCell ref="C15:D15"/>
    <mergeCell ref="AA15:AB15"/>
    <mergeCell ref="C16:D16"/>
    <mergeCell ref="C23:D23"/>
    <mergeCell ref="AA23:AB23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:O61">
    <cfRule type="cellIs" dxfId="22" priority="9" operator="greaterThan">
      <formula>0</formula>
    </cfRule>
  </conditionalFormatting>
  <conditionalFormatting sqref="P5:P61">
    <cfRule type="cellIs" dxfId="21" priority="1" operator="lessThan">
      <formula>0</formula>
    </cfRule>
  </conditionalFormatting>
  <conditionalFormatting sqref="Q5:Q61 AF5:AF61">
    <cfRule type="cellIs" dxfId="20" priority="10" operator="greaterThan">
      <formula>1</formula>
    </cfRule>
    <cfRule type="cellIs" dxfId="19" priority="11" operator="lessThan">
      <formula>0.8</formula>
    </cfRule>
  </conditionalFormatting>
  <conditionalFormatting sqref="R5:R10 AG5:AG10">
    <cfRule type="cellIs" dxfId="18" priority="42" operator="lessThan">
      <formula>0.8</formula>
    </cfRule>
  </conditionalFormatting>
  <conditionalFormatting sqref="AE5:AE61">
    <cfRule type="cellIs" dxfId="17" priority="12" operator="lessThan">
      <formula>0</formula>
    </cfRule>
  </conditionalFormatting>
  <conditionalFormatting sqref="AG13:AG53 R13:R61">
    <cfRule type="cellIs" dxfId="16" priority="13" operator="lessThan">
      <formula>0.8</formula>
    </cfRule>
  </conditionalFormatting>
  <dataValidations count="1">
    <dataValidation type="list" allowBlank="1" showInputMessage="1" showErrorMessage="1" sqref="AB9 AA5:AB8 AB54 AA9:AA54 AB11:AB50 AA55:AB61" xr:uid="{00000000-0002-0000-37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B1:Q32"/>
  <sheetViews>
    <sheetView zoomScale="85" zoomScaleNormal="85" workbookViewId="0">
      <selection activeCell="O14" sqref="O14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177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76</v>
      </c>
      <c r="C3" s="154" t="str">
        <f>TEXT('0402 4度C'!A2,"yyyy.mm.ddaaaa")</f>
        <v>2026.04.02星期四</v>
      </c>
      <c r="D3" s="155"/>
      <c r="E3" s="33" t="s">
        <v>178</v>
      </c>
      <c r="F3" s="156">
        <f>'0402 4度C'!D1</f>
        <v>121313</v>
      </c>
      <c r="G3" s="157"/>
      <c r="H3" s="33" t="s">
        <v>179</v>
      </c>
      <c r="I3" s="158">
        <f>'0402 4度C'!F1</f>
        <v>4014898.8799999985</v>
      </c>
      <c r="J3" s="159"/>
      <c r="K3" s="34"/>
      <c r="L3" s="35"/>
      <c r="M3" s="35"/>
      <c r="N3" s="35"/>
    </row>
    <row r="4" spans="2:17" ht="28.5" customHeight="1">
      <c r="B4" s="160" t="s">
        <v>180</v>
      </c>
      <c r="C4" s="146" t="s">
        <v>181</v>
      </c>
      <c r="D4" s="147"/>
      <c r="E4" s="163" t="s">
        <v>182</v>
      </c>
      <c r="F4" s="164"/>
      <c r="G4" s="163" t="s">
        <v>183</v>
      </c>
      <c r="H4" s="164"/>
      <c r="I4" s="163" t="s">
        <v>184</v>
      </c>
      <c r="J4" s="164"/>
      <c r="K4" s="144" t="s">
        <v>185</v>
      </c>
      <c r="L4" s="145"/>
      <c r="M4" s="145" t="s">
        <v>186</v>
      </c>
      <c r="N4" s="145"/>
    </row>
    <row r="5" spans="2:17" ht="28.5" customHeight="1">
      <c r="B5" s="161"/>
      <c r="C5" s="146" t="s">
        <v>187</v>
      </c>
      <c r="D5" s="147"/>
      <c r="E5" s="146" t="s">
        <v>188</v>
      </c>
      <c r="F5" s="147"/>
      <c r="G5" s="148" t="s">
        <v>189</v>
      </c>
      <c r="H5" s="149"/>
      <c r="I5" s="150" t="s">
        <v>190</v>
      </c>
      <c r="J5" s="151"/>
      <c r="K5" s="36" t="s">
        <v>191</v>
      </c>
      <c r="L5" s="37" t="s">
        <v>192</v>
      </c>
      <c r="M5" s="36" t="s">
        <v>193</v>
      </c>
      <c r="N5" s="37" t="s">
        <v>194</v>
      </c>
    </row>
    <row r="6" spans="2:17" ht="28.5" customHeight="1">
      <c r="B6" s="161"/>
      <c r="C6" s="146" t="s">
        <v>54</v>
      </c>
      <c r="D6" s="147"/>
      <c r="E6" s="138">
        <f>AVERAGE(D13:M13)</f>
        <v>154.61928549457156</v>
      </c>
      <c r="F6" s="139">
        <f>AVERAGE(D31:O31,D13:J13)</f>
        <v>160.50718287560395</v>
      </c>
      <c r="G6" s="140">
        <f>AVERAGE(D13:J13)</f>
        <v>160.50718287560395</v>
      </c>
      <c r="H6" s="141"/>
      <c r="I6" s="140">
        <f>AVERAGE(K13:M13)</f>
        <v>140.88085827216261</v>
      </c>
      <c r="J6" s="141"/>
      <c r="K6" s="142">
        <f>'0402 4度C'!Y2</f>
        <v>0</v>
      </c>
      <c r="L6" s="127">
        <f>'0402 4度C'!Z2</f>
        <v>0</v>
      </c>
      <c r="M6" s="143">
        <f>'0402 4度C'!AC2</f>
        <v>47</v>
      </c>
      <c r="N6" s="127">
        <f>'0402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148.31899211604468</v>
      </c>
      <c r="F7" s="131">
        <f>AVERAGE(D32:O32,D14:J14)</f>
        <v>154.09319429775732</v>
      </c>
      <c r="G7" s="132">
        <f>AVERAGE(D14:J14)</f>
        <v>154.09319429775732</v>
      </c>
      <c r="H7" s="133"/>
      <c r="I7" s="132">
        <f>AVERAGE(K14:M14)</f>
        <v>134.84585369204851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0.9576593919328642</v>
      </c>
      <c r="F8" s="135">
        <f>AVERAGE(D15:J15,D33:O33)</f>
        <v>0.95792074305704322</v>
      </c>
      <c r="G8" s="136">
        <f>AVERAGE(D15:J15)</f>
        <v>0.95792074305704322</v>
      </c>
      <c r="H8" s="137"/>
      <c r="I8" s="136">
        <f>AVERAGE(K15:M15)</f>
        <v>0.95704957264311308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195</v>
      </c>
      <c r="N9" s="35"/>
      <c r="O9" s="35"/>
      <c r="P9" s="35"/>
      <c r="Q9" s="35"/>
    </row>
    <row r="10" spans="2:17" ht="30" customHeight="1">
      <c r="B10" s="110" t="s">
        <v>196</v>
      </c>
      <c r="C10" s="111"/>
      <c r="D10" s="112" t="s">
        <v>197</v>
      </c>
      <c r="E10" s="113"/>
      <c r="F10" s="113"/>
      <c r="G10" s="113"/>
      <c r="H10" s="113"/>
      <c r="I10" s="113"/>
      <c r="J10" s="114"/>
      <c r="K10" s="115" t="s">
        <v>198</v>
      </c>
      <c r="L10" s="116"/>
      <c r="M10" s="117"/>
      <c r="P10" s="41"/>
      <c r="Q10" s="41"/>
    </row>
    <row r="11" spans="2:17" ht="17.25" customHeight="1">
      <c r="B11" s="118" t="s">
        <v>199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200</v>
      </c>
      <c r="C13" s="48" t="s">
        <v>201</v>
      </c>
      <c r="D13" s="49">
        <f>SUMIFS('0402 4度C'!$K:$K,'0402 4度C'!$A:$A,"新豐6線",'0402 4度C'!$B:$B,"平均")</f>
        <v>111.11111111111111</v>
      </c>
      <c r="E13" s="50">
        <f>SUMIFS('0402 4度C'!$K:$K,'0402 4度C'!$A:$A,"新豐2線",'0402 4度C'!$B:$B,"平均")</f>
        <v>83.333333333333329</v>
      </c>
      <c r="F13" s="51">
        <f>SUMIFS('0402 4度C'!$K:$K,'0402 4度C'!$A:$A,"新豐5線",'0402 4度C'!$B:$B,"平均")</f>
        <v>96.491228070175438</v>
      </c>
      <c r="G13" s="51">
        <f>SUMIFS('0402 4度C'!$K:$K,'0402 4度C'!$A:$A,"新豐7線",'0402 4度C'!$B:$B,"平均")</f>
        <v>127.77777777777779</v>
      </c>
      <c r="H13" s="51">
        <f>SUMIFS('0402 4度C'!$K:$K,'0402 4度C'!$A:$A,"新豐3線",'0402 4度C'!$B:$B,"平均")</f>
        <v>333.33333333333331</v>
      </c>
      <c r="I13" s="51">
        <f>SUMIFS('0402 4度C'!$K:$K,'0402 4度C'!$A:$A,"新豐1線",'0402 4度C'!$B:$B,"平均")</f>
        <v>102.27272727272728</v>
      </c>
      <c r="J13" s="52">
        <f>SUMIFS('0402 4度C'!$K:$K,'0402 4度C'!$A:$A,"新豐10線",'0402 4度C'!$B:$B,"平均")</f>
        <v>269.23076923076923</v>
      </c>
      <c r="K13" s="53">
        <f>SUMIFS('0402 4度C'!$K:$K,'0402 4度C'!$A:$A,"新豐8線",'0402 4度C'!$B:$B,"平均")</f>
        <v>130.43478260869566</v>
      </c>
      <c r="L13" s="54">
        <f>SUMIFS('0402 4度C'!$K:$K,'0402 4度C'!$A:$A,"新豐9線",'0402 4度C'!$B:$B,"平均")</f>
        <v>136.36363636363635</v>
      </c>
      <c r="M13" s="52">
        <f>SUMIFS('0402 4度C'!$K:$K,'0402 4度C'!$A:$A,"新豐4線",'0402 4度C'!$B:$B,"平均")</f>
        <v>155.84415584415584</v>
      </c>
    </row>
    <row r="14" spans="2:17" ht="39.6" customHeight="1">
      <c r="B14" s="123"/>
      <c r="C14" s="55" t="s">
        <v>202</v>
      </c>
      <c r="D14" s="56">
        <f>SUMIFS('0402 4度C'!$N:$N,'0402 4度C'!$A:$A,"新豐6線",'0402 4度C'!$B:$B,"平均")</f>
        <v>104.36799719887951</v>
      </c>
      <c r="E14" s="57">
        <f>SUMIFS('0402 4度C'!$N:$N,'0402 4度C'!$A:$A,"新豐2線",'0402 4度C'!$B:$B,"平均")</f>
        <v>79.421301395007347</v>
      </c>
      <c r="F14" s="57">
        <f>SUMIFS('0402 4度C'!$N:$N,'0402 4度C'!$A:$A,"新豐5線",'0402 4度C'!$B:$B,"平均")</f>
        <v>92.159034465510459</v>
      </c>
      <c r="G14" s="57">
        <f>SUMIFS('0402 4度C'!$N:$N,'0402 4度C'!$A:$A,"新豐7線",'0402 4度C'!$B:$B,"平均")</f>
        <v>122.86702944634325</v>
      </c>
      <c r="H14" s="57">
        <f>SUMIFS('0402 4度C'!$N:$N,'0402 4度C'!$A:$A,"新豐3線",'0402 4度C'!$B:$B,"平均")</f>
        <v>320.36591677440924</v>
      </c>
      <c r="I14" s="57">
        <f>SUMIFS('0402 4度C'!$N:$N,'0402 4度C'!$A:$A,"新豐1線",'0402 4度C'!$B:$B,"平均")</f>
        <v>98.974448349448295</v>
      </c>
      <c r="J14" s="58">
        <f>SUMIFS('0402 4度C'!$N:$N,'0402 4度C'!$A:$A,"新豐10線",'0402 4度C'!$B:$B,"平均")</f>
        <v>260.49663245470322</v>
      </c>
      <c r="K14" s="59">
        <f>SUMIFS('0402 4度C'!$N:$N,'0402 4度C'!$A:$A,"新豐8線",'0402 4度C'!$B:$B,"平均")</f>
        <v>124.65503216366275</v>
      </c>
      <c r="L14" s="60">
        <f>SUMIFS('0402 4度C'!$N:$N,'0402 4度C'!$A:$A,"新豐9線",'0402 4度C'!$B:$B,"平均")</f>
        <v>130.4151754394473</v>
      </c>
      <c r="M14" s="58">
        <f>SUMIFS('0402 4度C'!$N:$N,'0402 4度C'!$A:$A,"新豐4線",'0402 4度C'!$B:$B,"平均")</f>
        <v>149.4673534730355</v>
      </c>
    </row>
    <row r="15" spans="2:17" ht="40.15" customHeight="1">
      <c r="B15" s="124"/>
      <c r="C15" s="61" t="s">
        <v>203</v>
      </c>
      <c r="D15" s="62">
        <f t="shared" ref="D15:M15" si="0">D14/D13</f>
        <v>0.93931197478991557</v>
      </c>
      <c r="E15" s="63">
        <f t="shared" si="0"/>
        <v>0.95305561674008821</v>
      </c>
      <c r="F15" s="63">
        <f t="shared" si="0"/>
        <v>0.95510272082438108</v>
      </c>
      <c r="G15" s="63">
        <f t="shared" si="0"/>
        <v>0.96156805653659927</v>
      </c>
      <c r="H15" s="63">
        <f t="shared" si="0"/>
        <v>0.96109775032322775</v>
      </c>
      <c r="I15" s="63">
        <f t="shared" si="0"/>
        <v>0.96775016163904992</v>
      </c>
      <c r="J15" s="64">
        <f t="shared" si="0"/>
        <v>0.96755892054604054</v>
      </c>
      <c r="K15" s="62">
        <f t="shared" si="0"/>
        <v>0.95568857992141443</v>
      </c>
      <c r="L15" s="63">
        <f t="shared" si="0"/>
        <v>0.95637795322261365</v>
      </c>
      <c r="M15" s="64">
        <f t="shared" si="0"/>
        <v>0.95908218478531115</v>
      </c>
    </row>
    <row r="16" spans="2:17" ht="17.25" customHeight="1">
      <c r="B16" s="125" t="s">
        <v>204</v>
      </c>
      <c r="C16" s="65" t="s">
        <v>205</v>
      </c>
      <c r="D16" s="66">
        <f>VLOOKUP("新豐6線",'0402 4度C'!$A:$T,19,0)</f>
        <v>0.70833333333333337</v>
      </c>
      <c r="E16" s="67">
        <f>VLOOKUP("新豐2線",'0402 4度C'!$A:$T,19,0)</f>
        <v>0.20833333333333334</v>
      </c>
      <c r="F16" s="67">
        <f>VLOOKUP("新豐5線",'0402 4度C'!$A:$T,19,0)</f>
        <v>0.20833333333333334</v>
      </c>
      <c r="G16" s="67">
        <f>VLOOKUP("新豐7線",'0402 4度C'!$A:$T,19,0)</f>
        <v>0.20833333333333334</v>
      </c>
      <c r="H16" s="67">
        <f>VLOOKUP("新豐3線",'0402 4度C'!$A:$T,19,0)</f>
        <v>8.3333333333333329E-2</v>
      </c>
      <c r="I16" s="67">
        <f>VLOOKUP("新豐1線",'0402 4度C'!$A:$T,19,0)</f>
        <v>0.20833333333333334</v>
      </c>
      <c r="J16" s="68">
        <f>VLOOKUP("新豐10線",'0402 4度C'!$A:$T,19,0)</f>
        <v>0.20833333333333334</v>
      </c>
      <c r="K16" s="69">
        <f>VLOOKUP("新豐8線",'0402 4度C'!$A:$T,19,0)</f>
        <v>8.3333333333333329E-2</v>
      </c>
      <c r="L16" s="70">
        <f>VLOOKUP("新豐9線",'0402 4度C'!$A:$T,19,0)</f>
        <v>8.3333333333333329E-2</v>
      </c>
      <c r="M16" s="71">
        <f>VLOOKUP("新豐4線",'0402 4度C'!$A:$T,19,0)</f>
        <v>8.3333333333333329E-2</v>
      </c>
    </row>
    <row r="17" spans="2:13" ht="17.25" customHeight="1">
      <c r="B17" s="126"/>
      <c r="C17" s="65" t="s">
        <v>206</v>
      </c>
      <c r="D17" s="69">
        <f>LOOKUP(2,1/(('0402 4度C'!$A:$A="新豐6線")*('0402 4度C'!$T:$T&lt;&gt;"")),'0402 4度C'!$T:$T)</f>
        <v>0.79166666666666674</v>
      </c>
      <c r="E17" s="67">
        <f>LOOKUP(2,1/(('0402 4度C'!$A:$A="新豐2線")*('0402 4度C'!$T:$T&lt;&gt;"")),'0402 4度C'!$T:$T)</f>
        <v>0.48055555555555551</v>
      </c>
      <c r="F17" s="67">
        <f>LOOKUP(2,1/(('0402 4度C'!$A:$A="新豐5線")*('0402 4度C'!$T:$T&lt;&gt;"")),'0402 4度C'!$T:$T)</f>
        <v>0.79305555555555551</v>
      </c>
      <c r="G17" s="67">
        <f>LOOKUP(2,1/(('0402 4度C'!$A:$A="新豐7線")*('0402 4度C'!$T:$T&lt;&gt;"")),'0402 4度C'!$T:$T)</f>
        <v>0.81527777777777777</v>
      </c>
      <c r="H17" s="67">
        <f>LOOKUP(2,1/(('0402 4度C'!$A:$A="新豐3線")*('0402 4度C'!$T:$T&lt;&gt;"")),'0402 4度C'!$T:$T)</f>
        <v>0.36180555555555549</v>
      </c>
      <c r="I17" s="67">
        <f>LOOKUP(2,1/(('0402 4度C'!$A:$A="新豐1線")*('0402 4度C'!$T:$T&lt;&gt;"")),'0402 4度C'!$T:$T)</f>
        <v>0.82152777777777786</v>
      </c>
      <c r="J17" s="68">
        <f>LOOKUP(2,1/(('0402 4度C'!$A:$A="新豐10線")*('0402 4度C'!$T:$T&lt;&gt;"")),'0402 4度C'!$T:$T)</f>
        <v>0.38611111111111107</v>
      </c>
      <c r="K17" s="66">
        <f>LOOKUP(2,1/(('0402 4度C'!$A:$A="新豐8線")*('0402 4度C'!$T:$T&lt;&gt;"")),'0402 4度C'!$T:$T)</f>
        <v>0.45833333333333326</v>
      </c>
      <c r="L17" s="67">
        <f>LOOKUP(2,1/(('0402 4度C'!$A:$A="新豐9線")*('0402 4度C'!$T:$T&lt;&gt;"")),'0402 4度C'!$T:$T)</f>
        <v>0.46874999999999989</v>
      </c>
      <c r="M17" s="68">
        <f>LOOKUP(2,1/(('0402 4度C'!$A:$A="新豐4線")*('0402 4度C'!$T:$T&lt;&gt;"")),'0402 4度C'!$T:$T)</f>
        <v>0.46180555555555552</v>
      </c>
    </row>
    <row r="18" spans="2:13" ht="17.25" customHeight="1">
      <c r="B18" s="104" t="s">
        <v>207</v>
      </c>
      <c r="C18" s="72" t="s">
        <v>208</v>
      </c>
      <c r="D18" s="73">
        <f>SUMIFS('0402 4度C'!$Y:$Y,'0402 4度C'!$A:$A,"新豐6線",'0402 4度C'!$B:$B,"平均")</f>
        <v>0</v>
      </c>
      <c r="E18" s="74">
        <f>SUMIFS('0402 4度C'!$Y:$Y,'0402 4度C'!$A:$A,"新豐2線",'0402 4度C'!$B:$B,"平均")</f>
        <v>0</v>
      </c>
      <c r="F18" s="74">
        <f>SUMIFS('0402 4度C'!$Y:$Y,'0402 4度C'!$A:$A,"新豐5線",'0402 4度C'!$B:$B,"平均")</f>
        <v>0</v>
      </c>
      <c r="G18" s="74">
        <f>SUMIFS('0402 4度C'!$Y:$Y,'0402 4度C'!$A:$A,"新豐7線",'0402 4度C'!$B:$B,"平均")</f>
        <v>0</v>
      </c>
      <c r="H18" s="74">
        <f>SUMIFS('0402 4度C'!$Y:$Y,'0402 4度C'!$A:$A,"新豐3線",'0402 4度C'!$B:$B,"平均")</f>
        <v>0</v>
      </c>
      <c r="I18" s="74">
        <f>SUMIFS('0402 4度C'!$Y:$Y,'0402 4度C'!$A:$A,"新豐1線",'0402 4度C'!$B:$B,"平均")</f>
        <v>0</v>
      </c>
      <c r="J18" s="75">
        <f>SUMIFS('0402 4度C'!$Y:$Y,'0402 4度C'!$A:$A,"新豐10線",'0402 4度C'!$B:$B,"平均")</f>
        <v>0</v>
      </c>
      <c r="K18" s="76">
        <f>SUMIFS('0402 4度C'!$Y:$Y,'0402 4度C'!$A:$A,"新豐8線",'0402 4度C'!$B:$B,"平均")</f>
        <v>0</v>
      </c>
      <c r="L18" s="74">
        <f>SUMIFS('0402 4度C'!$Y:$Y,'0402 4度C'!$A:$A,"新豐9線",'0402 4度C'!$B:$B,"平均")</f>
        <v>0</v>
      </c>
      <c r="M18" s="75">
        <f>SUMIFS('0402 4度C'!$Y:$Y,'0402 4度C'!$A:$A,"新豐4線",'0402 4度C'!$B:$B,"平均")</f>
        <v>0</v>
      </c>
    </row>
    <row r="19" spans="2:13" ht="17.25" customHeight="1">
      <c r="B19" s="105"/>
      <c r="C19" s="72" t="s">
        <v>209</v>
      </c>
      <c r="D19" s="73">
        <f>SUMIFS('0402 4度C'!$Z:$Z,'0402 4度C'!$A:$A,"新豐6線",'0402 4度C'!$B:$B,"平均")</f>
        <v>0</v>
      </c>
      <c r="E19" s="74">
        <f>SUMIFS('0402 4度C'!$Z:$Z,'0402 4度C'!$A:$A,"新豐2線",'0402 4度C'!$B:$B,"平均")</f>
        <v>0</v>
      </c>
      <c r="F19" s="74">
        <f>SUMIFS('0402 4度C'!$Z:$Z,'0402 4度C'!$A:$A,"新豐5線",'0402 4度C'!$B:$B,"平均")</f>
        <v>0</v>
      </c>
      <c r="G19" s="74">
        <f>SUMIFS('0402 4度C'!$Z:$Z,'0402 4度C'!$A:$A,"新豐7線",'0402 4度C'!$B:$B,"平均")</f>
        <v>0</v>
      </c>
      <c r="H19" s="74">
        <f>SUMIFS('0402 4度C'!$Z:$Z,'0402 4度C'!$A:$A,"新豐3線",'0402 4度C'!$B:$B,"平均")</f>
        <v>0</v>
      </c>
      <c r="I19" s="74">
        <f>SUMIFS('0402 4度C'!$Z:$Z,'0402 4度C'!$A:$A,"新豐1線",'0402 4度C'!$B:$B,"平均")</f>
        <v>0</v>
      </c>
      <c r="J19" s="75">
        <f>SUMIFS('0402 4度C'!$Z:$Z,'0402 4度C'!$A:$A,"新豐10線",'0402 4度C'!$B:$B,"平均")</f>
        <v>0</v>
      </c>
      <c r="K19" s="76">
        <f>SUMIFS('0402 4度C'!$Z:$Z,'0402 4度C'!$A:$A,"新豐8線",'0402 4度C'!$B:$B,"平均")</f>
        <v>0</v>
      </c>
      <c r="L19" s="74">
        <f>SUMIFS('0402 4度C'!$Z:$Z,'0402 4度C'!$A:$A,"新豐9線",'0402 4度C'!$B:$B,"平均")</f>
        <v>0</v>
      </c>
      <c r="M19" s="75">
        <f>SUMIFS('0402 4度C'!$Z:$Z,'0402 4度C'!$A:$A,"新豐4線",'0402 4度C'!$B:$B,"平均")</f>
        <v>0</v>
      </c>
    </row>
    <row r="20" spans="2:13" ht="17.25" customHeight="1">
      <c r="B20" s="104" t="s">
        <v>210</v>
      </c>
      <c r="C20" s="72" t="s">
        <v>208</v>
      </c>
      <c r="D20" s="73">
        <f>SUMIFS('0402 4度C'!$AC:$AC,'0402 4度C'!$A:$A,"新豐6線",'0402 4度C'!$B:$B,"平均")</f>
        <v>4</v>
      </c>
      <c r="E20" s="74">
        <f>SUMIFS('0402 4度C'!$AC:$AC,'0402 4度C'!$A:$A,"新豐2線",'0402 4度C'!$B:$B,"平均")</f>
        <v>2</v>
      </c>
      <c r="F20" s="74">
        <f>SUMIFS('0402 4度C'!$AC:$AC,'0402 4度C'!$A:$A,"新豐5線",'0402 4度C'!$B:$B,"平均")</f>
        <v>3</v>
      </c>
      <c r="G20" s="74">
        <f>SUMIFS('0402 4度C'!$AC:$AC,'0402 4度C'!$A:$A,"新豐7線",'0402 4度C'!$B:$B,"平均")</f>
        <v>6</v>
      </c>
      <c r="H20" s="74">
        <f>SUMIFS('0402 4度C'!$AC:$AC,'0402 4度C'!$A:$A,"新豐3線",'0402 4度C'!$B:$B,"平均")</f>
        <v>5</v>
      </c>
      <c r="I20" s="74">
        <f>SUMIFS('0402 4度C'!$AC:$AC,'0402 4度C'!$A:$A,"新豐1線",'0402 4度C'!$B:$B,"平均")</f>
        <v>7</v>
      </c>
      <c r="J20" s="75">
        <f>SUMIFS('0402 4度C'!$AC:$AC,'0402 4度C'!$A:$A,"新豐10線",'0402 4度C'!$B:$B,"平均")</f>
        <v>5</v>
      </c>
      <c r="K20" s="76">
        <f>SUMIFS('0402 4度C'!$AC:$AC,'0402 4度C'!$A:$A,"新豐8線",'0402 4度C'!$B:$B,"平均")</f>
        <v>5</v>
      </c>
      <c r="L20" s="74">
        <f>SUMIFS('0402 4度C'!$AC:$AC,'0402 4度C'!$A:$A,"新豐9線",'0402 4度C'!$B:$B,"平均")</f>
        <v>5</v>
      </c>
      <c r="M20" s="75">
        <f>SUMIFS('0402 4度C'!$AC:$AC,'0402 4度C'!$A:$A,"新豐4線",'0402 4度C'!$B:$B,"平均")</f>
        <v>5</v>
      </c>
    </row>
    <row r="21" spans="2:13" ht="17.25" customHeight="1">
      <c r="B21" s="105"/>
      <c r="C21" s="72" t="s">
        <v>211</v>
      </c>
      <c r="D21" s="73">
        <f>SUMIFS('0402 4度C'!$AD:$AD,'0402 4度C'!$A:$A,"新豐6線",'0402 4度C'!$B:$B,"平均")</f>
        <v>0</v>
      </c>
      <c r="E21" s="74">
        <f>SUMIFS('0402 4度C'!$AD:$AD,'0402 4度C'!$A:$A,"新豐2線",'0402 4度C'!$B:$B,"平均")</f>
        <v>0</v>
      </c>
      <c r="F21" s="74">
        <f>SUMIFS('0402 4度C'!$AD:$AD,'0402 4度C'!$A:$A,"新豐5線",'0402 4度C'!$B:$B,"平均")</f>
        <v>0</v>
      </c>
      <c r="G21" s="74">
        <f>SUMIFS('0402 4度C'!$AD:$AD,'0402 4度C'!$A:$A,"新豐7線",'0402 4度C'!$B:$B,"平均")</f>
        <v>0</v>
      </c>
      <c r="H21" s="74">
        <f>SUMIFS('0402 4度C'!$AD:$AD,'0402 4度C'!$A:$A,"新豐3線",'0402 4度C'!$B:$B,"平均")</f>
        <v>0</v>
      </c>
      <c r="I21" s="74">
        <f>SUMIFS('0402 4度C'!$AD:$AD,'0402 4度C'!$A:$A,"新豐1線",'0402 4度C'!$B:$B,"平均")</f>
        <v>0</v>
      </c>
      <c r="J21" s="75">
        <f>SUMIFS('0402 4度C'!$AD:$AD,'0402 4度C'!$A:$A,"新豐10線",'0402 4度C'!$B:$B,"平均")</f>
        <v>0</v>
      </c>
      <c r="K21" s="76">
        <f>SUMIFS('0402 4度C'!$AD:$AD,'0402 4度C'!$A:$A,"新豐8線",'0402 4度C'!$B:$B,"平均")</f>
        <v>0</v>
      </c>
      <c r="L21" s="74">
        <f>SUMIFS('0402 4度C'!$AD:$AD,'0402 4度C'!$A:$A,"新豐9線",'0402 4度C'!$B:$B,"平均")</f>
        <v>0</v>
      </c>
      <c r="M21" s="75">
        <f>SUMIFS('0402 4度C'!$AD:$AD,'0402 4度C'!$A:$A,"新豐4線",'0402 4度C'!$B:$B,"平均")</f>
        <v>0</v>
      </c>
    </row>
    <row r="22" spans="2:13" ht="17.25" customHeight="1">
      <c r="B22" s="106" t="s">
        <v>212</v>
      </c>
      <c r="C22" s="107"/>
      <c r="D22" s="77">
        <f>SUMIFS('0402 4度C'!$I:$I,'0402 4度C'!$A:$A,"新豐6線",'0402 4度C'!$B:$B,"平均")</f>
        <v>18</v>
      </c>
      <c r="E22" s="78">
        <f>SUMIFS('0402 4度C'!$I:$I,'0402 4度C'!$A:$A,"新豐2線",'0402 4度C'!$B:$B,"平均")</f>
        <v>18</v>
      </c>
      <c r="F22" s="78">
        <f>SUMIFS('0402 4度C'!$I:$I,'0402 4度C'!$A:$A,"新豐5線",'0402 4度C'!$B:$B,"平均")</f>
        <v>19</v>
      </c>
      <c r="G22" s="78">
        <f>SUMIFS('0402 4度C'!$I:$I,'0402 4度C'!$A:$A,"新豐7線",'0402 4度C'!$B:$B,"平均")</f>
        <v>15</v>
      </c>
      <c r="H22" s="78">
        <f>SUMIFS('0402 4度C'!$I:$I,'0402 4度C'!$A:$A,"新豐3線",'0402 4度C'!$B:$B,"平均")</f>
        <v>9</v>
      </c>
      <c r="I22" s="78">
        <f>SUMIFS('0402 4度C'!$I:$I,'0402 4度C'!$A:$A,"新豐1線",'0402 4度C'!$B:$B,"平均")</f>
        <v>18.857142857142858</v>
      </c>
      <c r="J22" s="79">
        <f>SUMIFS('0402 4度C'!$I:$I,'0402 4度C'!$A:$A,"新豐10線",'0402 4度C'!$B:$B,"平均")</f>
        <v>10.4</v>
      </c>
      <c r="K22" s="77">
        <f>SUMIFS('0402 4度C'!$I:$I,'0402 4度C'!$A:$A,"新豐8線",'0402 4度C'!$B:$B,"平均")</f>
        <v>18.399999999999999</v>
      </c>
      <c r="L22" s="78">
        <f>SUMIFS('0402 4度C'!$I:$I,'0402 4度C'!$A:$A,"新豐9線",'0402 4度C'!$B:$B,"平均")</f>
        <v>17.600000000000001</v>
      </c>
      <c r="M22" s="79">
        <f>SUMIFS('0402 4度C'!$I:$I,'0402 4度C'!$A:$A,"新豐4線",'0402 4度C'!$B:$B,"平均")</f>
        <v>15.4</v>
      </c>
    </row>
    <row r="23" spans="2:13" ht="17.25" customHeight="1">
      <c r="B23" s="106" t="s">
        <v>213</v>
      </c>
      <c r="C23" s="107"/>
      <c r="D23" s="80" t="s">
        <v>67</v>
      </c>
      <c r="E23" s="81" t="s">
        <v>68</v>
      </c>
      <c r="F23" s="81" t="s">
        <v>214</v>
      </c>
      <c r="G23" s="81" t="s">
        <v>214</v>
      </c>
      <c r="H23" s="81" t="s">
        <v>69</v>
      </c>
      <c r="I23" s="81" t="s">
        <v>67</v>
      </c>
      <c r="J23" s="82" t="s">
        <v>69</v>
      </c>
      <c r="K23" s="80" t="s">
        <v>215</v>
      </c>
      <c r="L23" s="81" t="s">
        <v>215</v>
      </c>
      <c r="M23" s="82" t="s">
        <v>215</v>
      </c>
    </row>
    <row r="24" spans="2:13" ht="17.25" customHeight="1">
      <c r="B24" s="106" t="s">
        <v>216</v>
      </c>
      <c r="C24" s="107"/>
      <c r="D24" s="80"/>
      <c r="E24" s="81"/>
      <c r="F24" s="81" t="s">
        <v>217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218</v>
      </c>
      <c r="C25" s="109"/>
      <c r="D25" s="83"/>
      <c r="E25" s="84" t="s">
        <v>219</v>
      </c>
      <c r="F25" s="102" t="s">
        <v>220</v>
      </c>
      <c r="G25" s="103"/>
      <c r="H25" s="84" t="s">
        <v>221</v>
      </c>
      <c r="I25" s="84" t="s">
        <v>222</v>
      </c>
      <c r="J25" s="85" t="s">
        <v>221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工作表13">
    <pageSetUpPr fitToPage="1"/>
  </sheetPr>
  <dimension ref="A1:AG62"/>
  <sheetViews>
    <sheetView zoomScale="80" zoomScaleNormal="80" workbookViewId="0">
      <pane ySplit="4" topLeftCell="A5" activePane="bottomLeft" state="frozen"/>
      <selection activeCell="A10" sqref="A10"/>
      <selection pane="bottomLeft" activeCell="A10" sqref="A10:A12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223</v>
      </c>
      <c r="B1" s="1"/>
      <c r="C1" s="2" t="s">
        <v>224</v>
      </c>
      <c r="D1" s="3">
        <f>SUM(F5:F61)</f>
        <v>121313</v>
      </c>
      <c r="E1" s="88" t="s">
        <v>225</v>
      </c>
      <c r="F1" s="1">
        <f>SUM(G5:G61)</f>
        <v>4014898.8799999985</v>
      </c>
      <c r="G1" s="1" t="s">
        <v>226</v>
      </c>
      <c r="H1" s="4">
        <f>L9+L12+L41+L49+L16+L55+L29+L35+L23+L61</f>
        <v>159.65714285714287</v>
      </c>
      <c r="I1" s="215" t="s">
        <v>227</v>
      </c>
      <c r="J1" s="215"/>
      <c r="K1" s="215"/>
      <c r="L1" s="215" t="s">
        <v>228</v>
      </c>
      <c r="M1" s="215"/>
      <c r="N1" s="215"/>
      <c r="O1" s="215" t="s">
        <v>229</v>
      </c>
      <c r="P1" s="215"/>
      <c r="Q1" s="215"/>
      <c r="R1" s="215"/>
      <c r="S1" s="215" t="s">
        <v>230</v>
      </c>
      <c r="T1" s="215"/>
      <c r="U1" s="215"/>
      <c r="V1" s="215"/>
      <c r="W1" s="215"/>
      <c r="X1" s="215"/>
      <c r="Y1" s="5" t="s">
        <v>231</v>
      </c>
      <c r="Z1" s="6" t="s">
        <v>232</v>
      </c>
      <c r="AA1" s="216" t="s">
        <v>233</v>
      </c>
      <c r="AB1" s="216"/>
      <c r="AC1" s="97" t="s">
        <v>231</v>
      </c>
      <c r="AD1" s="6" t="s">
        <v>234</v>
      </c>
      <c r="AE1" s="215" t="s">
        <v>235</v>
      </c>
      <c r="AF1" s="217"/>
      <c r="AG1" s="217"/>
    </row>
    <row r="2" spans="1:33" ht="26.25" customHeight="1">
      <c r="A2" s="26">
        <v>46114</v>
      </c>
      <c r="B2" s="27" t="s">
        <v>236</v>
      </c>
      <c r="C2" s="2" t="s">
        <v>200</v>
      </c>
      <c r="D2" s="8">
        <f>AVERAGE(N9,N12,N41,N49,N16,N55,N23,N29,N35,N61)</f>
        <v>148.31899211604468</v>
      </c>
      <c r="E2" s="9" t="s">
        <v>0</v>
      </c>
      <c r="F2" s="10">
        <f>F1/D1</f>
        <v>33.095372136539353</v>
      </c>
      <c r="G2" s="1" t="s">
        <v>237</v>
      </c>
      <c r="H2" s="96">
        <f>COUNT(H5:H61)</f>
        <v>0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SUM(Y9+Y12+Y16+Y23+Y29+Y35+Y41+Y49+Y55+Y61)</f>
        <v>0</v>
      </c>
      <c r="Z2" s="11">
        <f>SUM(Z9+Z12+Z16+Z23+Z29+Z35+Z41+Z49+Z55+Z61)</f>
        <v>0</v>
      </c>
      <c r="AA2" s="216"/>
      <c r="AB2" s="216"/>
      <c r="AC2" s="11">
        <v>47</v>
      </c>
      <c r="AD2" s="11">
        <f>SUM(AD9+AD12+AD16+AD23+AD29+AD35+AD41+AD49+AD55+AD61)</f>
        <v>0</v>
      </c>
      <c r="AE2" s="217"/>
      <c r="AF2" s="217"/>
      <c r="AG2" s="217"/>
    </row>
    <row r="3" spans="1:33" ht="40.5" customHeight="1">
      <c r="A3" s="168" t="s">
        <v>238</v>
      </c>
      <c r="B3" s="168" t="s">
        <v>239</v>
      </c>
      <c r="C3" s="168" t="s">
        <v>240</v>
      </c>
      <c r="D3" s="168"/>
      <c r="E3" s="213" t="s">
        <v>241</v>
      </c>
      <c r="F3" s="168" t="s">
        <v>242</v>
      </c>
      <c r="G3" s="213" t="s">
        <v>243</v>
      </c>
      <c r="H3" s="207" t="s">
        <v>244</v>
      </c>
      <c r="I3" s="205" t="s">
        <v>245</v>
      </c>
      <c r="J3" s="202" t="s">
        <v>246</v>
      </c>
      <c r="K3" s="212" t="s">
        <v>200</v>
      </c>
      <c r="L3" s="205" t="s">
        <v>245</v>
      </c>
      <c r="M3" s="202" t="s">
        <v>246</v>
      </c>
      <c r="N3" s="212" t="s">
        <v>200</v>
      </c>
      <c r="O3" s="205" t="s">
        <v>245</v>
      </c>
      <c r="P3" s="212" t="s">
        <v>200</v>
      </c>
      <c r="Q3" s="203" t="s">
        <v>247</v>
      </c>
      <c r="R3" s="181" t="s">
        <v>248</v>
      </c>
      <c r="S3" s="168" t="s">
        <v>1</v>
      </c>
      <c r="T3" s="168"/>
      <c r="U3" s="207" t="s">
        <v>2</v>
      </c>
      <c r="V3" s="207" t="s">
        <v>249</v>
      </c>
      <c r="W3" s="168" t="s">
        <v>250</v>
      </c>
      <c r="X3" s="168"/>
      <c r="Y3" s="208" t="s">
        <v>251</v>
      </c>
      <c r="Z3" s="167"/>
      <c r="AA3" s="209" t="s">
        <v>252</v>
      </c>
      <c r="AB3" s="210"/>
      <c r="AC3" s="208" t="s">
        <v>253</v>
      </c>
      <c r="AD3" s="167"/>
      <c r="AE3" s="202" t="s">
        <v>246</v>
      </c>
      <c r="AF3" s="203" t="s">
        <v>247</v>
      </c>
      <c r="AG3" s="181" t="s">
        <v>248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254</v>
      </c>
      <c r="X4" s="88" t="s">
        <v>255</v>
      </c>
      <c r="Y4" s="90" t="s">
        <v>256</v>
      </c>
      <c r="Z4" s="90" t="s">
        <v>209</v>
      </c>
      <c r="AA4" s="211"/>
      <c r="AB4" s="210"/>
      <c r="AC4" s="90" t="s">
        <v>257</v>
      </c>
      <c r="AD4" s="90" t="s">
        <v>258</v>
      </c>
      <c r="AE4" s="202"/>
      <c r="AF4" s="203"/>
      <c r="AG4" s="181"/>
    </row>
    <row r="5" spans="1:33">
      <c r="A5" s="204" t="s">
        <v>259</v>
      </c>
      <c r="B5" s="28" t="s">
        <v>5</v>
      </c>
      <c r="C5" s="206" t="s">
        <v>6</v>
      </c>
      <c r="D5" s="206"/>
      <c r="E5" s="28">
        <v>50.67</v>
      </c>
      <c r="F5" s="88">
        <v>1095</v>
      </c>
      <c r="G5" s="88">
        <f t="shared" ref="G5:G8" si="0">E5*F5</f>
        <v>55483.65</v>
      </c>
      <c r="H5" s="30" t="s">
        <v>53</v>
      </c>
      <c r="I5" s="95">
        <v>17</v>
      </c>
      <c r="J5" s="13">
        <v>2000</v>
      </c>
      <c r="K5" s="12">
        <f t="shared" ref="K5:K61" si="1">J5/I5</f>
        <v>117.64705882352941</v>
      </c>
      <c r="L5" s="95">
        <v>17</v>
      </c>
      <c r="M5" s="13">
        <f t="shared" ref="M5:M8" si="2">F5/V5*60</f>
        <v>1932.3529411764682</v>
      </c>
      <c r="N5" s="12">
        <f t="shared" ref="N5:N61" si="3">M5/L5</f>
        <v>113.66782006920401</v>
      </c>
      <c r="O5" s="14">
        <f t="shared" ref="O5:O61" si="4">L5-I5</f>
        <v>0</v>
      </c>
      <c r="P5" s="15">
        <f t="shared" ref="P5:P61" si="5">N5-K5</f>
        <v>-3.9792387543253938</v>
      </c>
      <c r="Q5" s="91">
        <f t="shared" ref="Q5:Q61" si="6">N5/K5</f>
        <v>0.96617647058823419</v>
      </c>
      <c r="R5" s="177">
        <f>Q9</f>
        <v>0.93931197478991557</v>
      </c>
      <c r="S5" s="21">
        <v>0.70833333333333337</v>
      </c>
      <c r="T5" s="21">
        <v>0.73194444444444451</v>
      </c>
      <c r="U5" s="88"/>
      <c r="V5" s="30">
        <f t="shared" ref="V5:V8" si="7">(T5-S5)*24*60</f>
        <v>34.000000000000043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48" si="8">M5-J5</f>
        <v>-67.647058823531779</v>
      </c>
      <c r="AF5" s="91">
        <f t="shared" ref="AF5:AF61" si="9">M5/J5</f>
        <v>0.96617647058823408</v>
      </c>
      <c r="AG5" s="177">
        <f>AF9</f>
        <v>0.93931197478991557</v>
      </c>
    </row>
    <row r="6" spans="1:33">
      <c r="A6" s="205" t="s">
        <v>259</v>
      </c>
      <c r="B6" s="28" t="s">
        <v>5</v>
      </c>
      <c r="C6" s="206" t="s">
        <v>7</v>
      </c>
      <c r="D6" s="206"/>
      <c r="E6" s="28">
        <v>54.09</v>
      </c>
      <c r="F6" s="88">
        <v>897</v>
      </c>
      <c r="G6" s="88">
        <f t="shared" si="0"/>
        <v>48518.73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1922.1428571428528</v>
      </c>
      <c r="N6" s="12">
        <f t="shared" si="3"/>
        <v>101.16541353383435</v>
      </c>
      <c r="O6" s="14">
        <f t="shared" si="4"/>
        <v>0</v>
      </c>
      <c r="P6" s="15">
        <f t="shared" si="5"/>
        <v>-4.0977443609024817</v>
      </c>
      <c r="Q6" s="91">
        <f t="shared" si="6"/>
        <v>0.96107142857142647</v>
      </c>
      <c r="R6" s="177"/>
      <c r="S6" s="21">
        <v>0.7368055555555556</v>
      </c>
      <c r="T6" s="21">
        <v>0.75625000000000009</v>
      </c>
      <c r="U6" s="88">
        <f t="shared" ref="U6:U8" si="10">IF(S6=TIME(17,0,0),"",(S6-T5)*24*60)</f>
        <v>6.9999999999999751</v>
      </c>
      <c r="V6" s="30">
        <f t="shared" si="7"/>
        <v>28.00000000000006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-77.85714285714721</v>
      </c>
      <c r="AF6" s="91">
        <f t="shared" si="9"/>
        <v>0.96107142857142636</v>
      </c>
      <c r="AG6" s="177"/>
    </row>
    <row r="7" spans="1:33">
      <c r="A7" s="205" t="s">
        <v>259</v>
      </c>
      <c r="B7" s="28" t="s">
        <v>5</v>
      </c>
      <c r="C7" s="200" t="s">
        <v>8</v>
      </c>
      <c r="D7" s="201"/>
      <c r="E7" s="28">
        <v>50.67</v>
      </c>
      <c r="F7" s="88">
        <v>174</v>
      </c>
      <c r="G7" s="88">
        <f t="shared" si="0"/>
        <v>8816.58</v>
      </c>
      <c r="H7" s="30" t="s">
        <v>53</v>
      </c>
      <c r="I7" s="95">
        <v>21</v>
      </c>
      <c r="J7" s="13">
        <v>2000</v>
      </c>
      <c r="K7" s="12">
        <f t="shared" si="1"/>
        <v>95.238095238095241</v>
      </c>
      <c r="L7" s="95">
        <v>21</v>
      </c>
      <c r="M7" s="13">
        <f t="shared" si="2"/>
        <v>1740.0000000000061</v>
      </c>
      <c r="N7" s="12">
        <f t="shared" si="3"/>
        <v>82.857142857143145</v>
      </c>
      <c r="O7" s="14">
        <f t="shared" si="4"/>
        <v>0</v>
      </c>
      <c r="P7" s="15">
        <f t="shared" si="5"/>
        <v>-12.380952380952095</v>
      </c>
      <c r="Q7" s="91">
        <f t="shared" si="6"/>
        <v>0.87000000000000299</v>
      </c>
      <c r="R7" s="177"/>
      <c r="S7" s="21">
        <v>0.76041666666666674</v>
      </c>
      <c r="T7" s="21">
        <v>0.76458333333333339</v>
      </c>
      <c r="U7" s="88">
        <f t="shared" si="10"/>
        <v>5.9999999999999787</v>
      </c>
      <c r="V7" s="30">
        <f t="shared" si="7"/>
        <v>5.9999999999999787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-259.99999999999386</v>
      </c>
      <c r="AF7" s="91">
        <f t="shared" si="9"/>
        <v>0.8700000000000031</v>
      </c>
      <c r="AG7" s="177"/>
    </row>
    <row r="8" spans="1:33">
      <c r="A8" s="205" t="s">
        <v>260</v>
      </c>
      <c r="B8" s="28" t="s">
        <v>5</v>
      </c>
      <c r="C8" s="200" t="s">
        <v>16</v>
      </c>
      <c r="D8" s="201"/>
      <c r="E8" s="28">
        <v>50.67</v>
      </c>
      <c r="F8" s="88">
        <v>1056</v>
      </c>
      <c r="G8" s="88">
        <f t="shared" si="0"/>
        <v>53507.520000000004</v>
      </c>
      <c r="H8" s="30" t="s">
        <v>53</v>
      </c>
      <c r="I8" s="95">
        <v>15</v>
      </c>
      <c r="J8" s="13">
        <v>2000</v>
      </c>
      <c r="K8" s="12">
        <f t="shared" si="1"/>
        <v>133.33333333333334</v>
      </c>
      <c r="L8" s="95">
        <v>15</v>
      </c>
      <c r="M8" s="13">
        <f t="shared" si="2"/>
        <v>1919.9999999999975</v>
      </c>
      <c r="N8" s="12">
        <f t="shared" si="3"/>
        <v>127.99999999999983</v>
      </c>
      <c r="O8" s="14">
        <f t="shared" si="4"/>
        <v>0</v>
      </c>
      <c r="P8" s="15">
        <f t="shared" si="5"/>
        <v>-5.3333333333335133</v>
      </c>
      <c r="Q8" s="91">
        <f t="shared" si="6"/>
        <v>0.95999999999999863</v>
      </c>
      <c r="R8" s="177"/>
      <c r="S8" s="21">
        <v>0.76875000000000004</v>
      </c>
      <c r="T8" s="21">
        <v>0.79166666666666674</v>
      </c>
      <c r="U8" s="88">
        <f t="shared" si="10"/>
        <v>5.9999999999999787</v>
      </c>
      <c r="V8" s="30">
        <f t="shared" si="7"/>
        <v>33.000000000000043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-80.000000000002501</v>
      </c>
      <c r="AF8" s="91">
        <f t="shared" si="9"/>
        <v>0.95999999999999874</v>
      </c>
      <c r="AG8" s="177"/>
    </row>
    <row r="9" spans="1:33">
      <c r="A9" s="205" t="s">
        <v>260</v>
      </c>
      <c r="B9" s="28" t="s">
        <v>261</v>
      </c>
      <c r="C9" s="178"/>
      <c r="D9" s="178"/>
      <c r="E9" s="92"/>
      <c r="F9" s="12"/>
      <c r="G9" s="12"/>
      <c r="H9" s="88"/>
      <c r="I9" s="23">
        <v>18</v>
      </c>
      <c r="J9" s="13">
        <v>2000</v>
      </c>
      <c r="K9" s="12">
        <f t="shared" si="1"/>
        <v>111.11111111111111</v>
      </c>
      <c r="L9" s="23">
        <v>18</v>
      </c>
      <c r="M9" s="13">
        <f>AVERAGE(M5:M8)</f>
        <v>1878.6239495798311</v>
      </c>
      <c r="N9" s="12">
        <f t="shared" si="3"/>
        <v>104.36799719887951</v>
      </c>
      <c r="O9" s="14">
        <f t="shared" si="4"/>
        <v>0</v>
      </c>
      <c r="P9" s="15">
        <f t="shared" si="5"/>
        <v>-6.7431139122316068</v>
      </c>
      <c r="Q9" s="91">
        <f t="shared" si="6"/>
        <v>0.93931197478991557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v>4</v>
      </c>
      <c r="AD9" s="24">
        <f>SUM(AD5:AD8)</f>
        <v>0</v>
      </c>
      <c r="AE9" s="14">
        <f t="shared" si="8"/>
        <v>-121.37605042016889</v>
      </c>
      <c r="AF9" s="91">
        <f t="shared" si="9"/>
        <v>0.93931197478991557</v>
      </c>
      <c r="AG9" s="177"/>
    </row>
    <row r="10" spans="1:33" ht="15.75" customHeight="1">
      <c r="A10" s="199" t="s">
        <v>262</v>
      </c>
      <c r="B10" s="28" t="s">
        <v>9</v>
      </c>
      <c r="C10" s="200" t="s">
        <v>10</v>
      </c>
      <c r="D10" s="201"/>
      <c r="E10" s="28">
        <v>39.619999999999997</v>
      </c>
      <c r="F10" s="88">
        <v>3807</v>
      </c>
      <c r="G10" s="88">
        <f t="shared" ref="G10:G11" si="11">E10*F10</f>
        <v>150833.34</v>
      </c>
      <c r="H10" s="30" t="s">
        <v>53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1" si="12">F10/V10*60</f>
        <v>1427.6250000000002</v>
      </c>
      <c r="N10" s="12">
        <f t="shared" si="3"/>
        <v>75.13815789473685</v>
      </c>
      <c r="O10" s="14">
        <f t="shared" si="4"/>
        <v>0</v>
      </c>
      <c r="P10" s="15">
        <f t="shared" si="5"/>
        <v>-3.8092105263157805</v>
      </c>
      <c r="Q10" s="91">
        <f t="shared" si="6"/>
        <v>0.9517500000000001</v>
      </c>
      <c r="R10" s="177">
        <f>Q12</f>
        <v>0.95305561674008821</v>
      </c>
      <c r="S10" s="21">
        <v>0.20833333333333334</v>
      </c>
      <c r="T10" s="21">
        <v>0.31944444444444442</v>
      </c>
      <c r="U10" s="88"/>
      <c r="V10" s="30">
        <f t="shared" ref="V10:V11" si="13">(T10-S10)*24*60</f>
        <v>159.99999999999997</v>
      </c>
      <c r="W10" s="16"/>
      <c r="X10" s="16"/>
      <c r="Y10" s="16"/>
      <c r="Z10" s="16"/>
      <c r="AA10" s="168"/>
      <c r="AB10" s="168"/>
      <c r="AC10" s="18">
        <v>2</v>
      </c>
      <c r="AD10" s="18"/>
      <c r="AE10" s="14">
        <f t="shared" si="8"/>
        <v>-72.374999999999773</v>
      </c>
      <c r="AF10" s="91">
        <f t="shared" si="9"/>
        <v>0.95175000000000021</v>
      </c>
      <c r="AG10" s="177">
        <f>AF12</f>
        <v>0.95305561674008821</v>
      </c>
    </row>
    <row r="11" spans="1:33" ht="15.75" customHeight="1">
      <c r="A11" s="199" t="s">
        <v>263</v>
      </c>
      <c r="B11" s="28" t="s">
        <v>9</v>
      </c>
      <c r="C11" s="200" t="s">
        <v>11</v>
      </c>
      <c r="D11" s="201"/>
      <c r="E11" s="28">
        <v>39.799999999999997</v>
      </c>
      <c r="F11" s="88">
        <v>5416</v>
      </c>
      <c r="G11" s="88">
        <f t="shared" si="11"/>
        <v>215556.8</v>
      </c>
      <c r="H11" s="30" t="s">
        <v>53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1431.5418502202642</v>
      </c>
      <c r="N11" s="12">
        <f t="shared" si="3"/>
        <v>84.208344130603777</v>
      </c>
      <c r="O11" s="14">
        <f t="shared" si="4"/>
        <v>0</v>
      </c>
      <c r="P11" s="15">
        <f t="shared" si="5"/>
        <v>-4.026949987043281</v>
      </c>
      <c r="Q11" s="91">
        <f t="shared" si="6"/>
        <v>0.9543612334801761</v>
      </c>
      <c r="R11" s="177"/>
      <c r="S11" s="21">
        <v>0.32291666666666663</v>
      </c>
      <c r="T11" s="21">
        <v>0.48055555555555551</v>
      </c>
      <c r="U11" s="88">
        <f t="shared" ref="U11" si="14">IF(S11=TIME(17,0,0),"",(S11-T10)*24*60)</f>
        <v>4.9999999999999822</v>
      </c>
      <c r="V11" s="30">
        <f t="shared" si="13"/>
        <v>227</v>
      </c>
      <c r="W11" s="16"/>
      <c r="X11" s="16"/>
      <c r="Y11" s="16"/>
      <c r="Z11" s="16"/>
      <c r="AA11" s="168"/>
      <c r="AB11" s="168"/>
      <c r="AC11" s="18"/>
      <c r="AD11" s="18"/>
      <c r="AE11" s="14">
        <f t="shared" si="8"/>
        <v>-68.458149779735777</v>
      </c>
      <c r="AF11" s="91">
        <f t="shared" si="9"/>
        <v>0.9543612334801761</v>
      </c>
      <c r="AG11" s="177"/>
    </row>
    <row r="12" spans="1:33" ht="16.5" customHeight="1">
      <c r="A12" s="199" t="s">
        <v>263</v>
      </c>
      <c r="B12" s="28" t="s">
        <v>264</v>
      </c>
      <c r="C12" s="178"/>
      <c r="D12" s="178"/>
      <c r="E12" s="92"/>
      <c r="F12" s="13"/>
      <c r="G12" s="13"/>
      <c r="H12" s="88"/>
      <c r="I12" s="23">
        <v>18</v>
      </c>
      <c r="J12" s="13">
        <v>1500</v>
      </c>
      <c r="K12" s="12">
        <f t="shared" si="1"/>
        <v>83.333333333333329</v>
      </c>
      <c r="L12" s="23">
        <v>18</v>
      </c>
      <c r="M12" s="13">
        <f>AVERAGE(M10:M11)</f>
        <v>1429.5834251101323</v>
      </c>
      <c r="N12" s="12">
        <f t="shared" si="3"/>
        <v>79.421301395007347</v>
      </c>
      <c r="O12" s="14">
        <f t="shared" si="4"/>
        <v>0</v>
      </c>
      <c r="P12" s="15">
        <f t="shared" si="5"/>
        <v>-3.9120319383259812</v>
      </c>
      <c r="Q12" s="91">
        <f t="shared" si="6"/>
        <v>0.95305561674008821</v>
      </c>
      <c r="R12" s="177"/>
      <c r="S12" s="21"/>
      <c r="T12" s="21"/>
      <c r="U12" s="12"/>
      <c r="V12" s="30"/>
      <c r="W12" s="12"/>
      <c r="X12" s="12"/>
      <c r="Y12" s="24">
        <f>SUM(Y10:Y11)</f>
        <v>0</v>
      </c>
      <c r="Z12" s="24">
        <f>SUM(Z10:Z11)</f>
        <v>0</v>
      </c>
      <c r="AA12" s="167"/>
      <c r="AB12" s="167"/>
      <c r="AC12" s="24">
        <v>2</v>
      </c>
      <c r="AD12" s="24">
        <f>SUM(AD10:AD11)</f>
        <v>0</v>
      </c>
      <c r="AE12" s="14">
        <f t="shared" si="8"/>
        <v>-70.416574889867661</v>
      </c>
      <c r="AF12" s="91">
        <f t="shared" si="9"/>
        <v>0.95305561674008821</v>
      </c>
      <c r="AG12" s="177"/>
    </row>
    <row r="13" spans="1:33" ht="16.5" customHeight="1">
      <c r="A13" s="197" t="s">
        <v>265</v>
      </c>
      <c r="B13" s="88" t="s">
        <v>12</v>
      </c>
      <c r="C13" s="193" t="s">
        <v>13</v>
      </c>
      <c r="D13" s="193"/>
      <c r="E13" s="28">
        <v>41</v>
      </c>
      <c r="F13" s="88">
        <v>2454</v>
      </c>
      <c r="G13" s="88">
        <f t="shared" ref="G13:G15" si="15">E13*F13</f>
        <v>100614</v>
      </c>
      <c r="H13" s="30" t="s">
        <v>53</v>
      </c>
      <c r="I13" s="95">
        <v>26</v>
      </c>
      <c r="J13" s="13">
        <v>1500</v>
      </c>
      <c r="K13" s="12">
        <f t="shared" si="1"/>
        <v>57.692307692307693</v>
      </c>
      <c r="L13" s="95">
        <v>26</v>
      </c>
      <c r="M13" s="13">
        <f t="shared" ref="M13:M15" si="16">F13/V13*60</f>
        <v>1429.5145631067962</v>
      </c>
      <c r="N13" s="12">
        <f t="shared" si="3"/>
        <v>54.98132935026139</v>
      </c>
      <c r="O13" s="14">
        <f t="shared" si="4"/>
        <v>0</v>
      </c>
      <c r="P13" s="15">
        <f t="shared" si="5"/>
        <v>-2.7109783420463032</v>
      </c>
      <c r="Q13" s="91">
        <f t="shared" si="6"/>
        <v>0.95300970873786406</v>
      </c>
      <c r="R13" s="177">
        <f>Q16</f>
        <v>0.95510272082438108</v>
      </c>
      <c r="S13" s="21">
        <v>0.20833333333333334</v>
      </c>
      <c r="T13" s="21">
        <v>0.27986111111111112</v>
      </c>
      <c r="U13" s="88"/>
      <c r="V13" s="30">
        <f t="shared" ref="V13:V15" si="17">(T13-S13)*24*60</f>
        <v>103</v>
      </c>
      <c r="W13" s="21"/>
      <c r="X13" s="21"/>
      <c r="Y13" s="21"/>
      <c r="Z13" s="21"/>
      <c r="AA13" s="168"/>
      <c r="AB13" s="168"/>
      <c r="AC13" s="18">
        <v>3</v>
      </c>
      <c r="AD13" s="18"/>
      <c r="AE13" s="14">
        <f t="shared" si="8"/>
        <v>-70.485436893203769</v>
      </c>
      <c r="AF13" s="91">
        <f t="shared" si="9"/>
        <v>0.95300970873786417</v>
      </c>
      <c r="AG13" s="177">
        <f>AF16</f>
        <v>0.95510272082438119</v>
      </c>
    </row>
    <row r="14" spans="1:33" ht="16.5" customHeight="1">
      <c r="A14" s="198" t="s">
        <v>265</v>
      </c>
      <c r="B14" s="88" t="s">
        <v>5</v>
      </c>
      <c r="C14" s="193" t="s">
        <v>14</v>
      </c>
      <c r="D14" s="193"/>
      <c r="E14" s="28">
        <v>50.98</v>
      </c>
      <c r="F14" s="88">
        <v>1877</v>
      </c>
      <c r="G14" s="88">
        <f t="shared" si="15"/>
        <v>95689.459999999992</v>
      </c>
      <c r="H14" s="30" t="s">
        <v>53</v>
      </c>
      <c r="I14" s="95">
        <v>16</v>
      </c>
      <c r="J14" s="13">
        <v>2000</v>
      </c>
      <c r="K14" s="12">
        <f t="shared" si="1"/>
        <v>125</v>
      </c>
      <c r="L14" s="95">
        <v>16</v>
      </c>
      <c r="M14" s="13">
        <f t="shared" si="16"/>
        <v>1908.8135593220354</v>
      </c>
      <c r="N14" s="12">
        <f t="shared" si="3"/>
        <v>119.30084745762721</v>
      </c>
      <c r="O14" s="14">
        <f t="shared" si="4"/>
        <v>0</v>
      </c>
      <c r="P14" s="15">
        <f t="shared" si="5"/>
        <v>-5.6991525423727865</v>
      </c>
      <c r="Q14" s="91">
        <f t="shared" si="6"/>
        <v>0.95440677966101772</v>
      </c>
      <c r="R14" s="177"/>
      <c r="S14" s="21">
        <v>0.70833333333333337</v>
      </c>
      <c r="T14" s="21">
        <v>0.74930555555555556</v>
      </c>
      <c r="U14" s="88" t="str">
        <f t="shared" ref="U14:U15" si="18">IF(S14=TIME(17,0,0),"",(S14-T13)*24*60)</f>
        <v/>
      </c>
      <c r="V14" s="30">
        <f t="shared" si="17"/>
        <v>58.99999999999995</v>
      </c>
      <c r="W14" s="16"/>
      <c r="X14" s="16"/>
      <c r="Y14" s="16"/>
      <c r="Z14" s="16"/>
      <c r="AA14" s="168"/>
      <c r="AB14" s="168"/>
      <c r="AC14" s="18"/>
      <c r="AD14" s="18"/>
      <c r="AE14" s="14">
        <f t="shared" si="8"/>
        <v>-91.186440677964583</v>
      </c>
      <c r="AF14" s="91">
        <f t="shared" si="9"/>
        <v>0.95440677966101772</v>
      </c>
      <c r="AG14" s="177"/>
    </row>
    <row r="15" spans="1:33" ht="16.5" customHeight="1">
      <c r="A15" s="198" t="s">
        <v>265</v>
      </c>
      <c r="B15" s="88" t="s">
        <v>5</v>
      </c>
      <c r="C15" s="193" t="s">
        <v>15</v>
      </c>
      <c r="D15" s="193"/>
      <c r="E15" s="28">
        <v>50.92</v>
      </c>
      <c r="F15" s="88">
        <v>1819</v>
      </c>
      <c r="G15" s="88">
        <f t="shared" si="15"/>
        <v>92623.48</v>
      </c>
      <c r="H15" s="30" t="s">
        <v>53</v>
      </c>
      <c r="I15" s="95">
        <v>15</v>
      </c>
      <c r="J15" s="13">
        <v>2000</v>
      </c>
      <c r="K15" s="12">
        <f t="shared" si="1"/>
        <v>133.33333333333334</v>
      </c>
      <c r="L15" s="95">
        <v>15</v>
      </c>
      <c r="M15" s="13">
        <f t="shared" si="16"/>
        <v>1914.7368421052645</v>
      </c>
      <c r="N15" s="12">
        <f t="shared" si="3"/>
        <v>127.64912280701763</v>
      </c>
      <c r="O15" s="14">
        <f t="shared" si="4"/>
        <v>0</v>
      </c>
      <c r="P15" s="15">
        <f t="shared" si="5"/>
        <v>-5.6842105263157094</v>
      </c>
      <c r="Q15" s="91">
        <f t="shared" si="6"/>
        <v>0.9573684210526322</v>
      </c>
      <c r="R15" s="177"/>
      <c r="S15" s="21">
        <v>0.75347222222222221</v>
      </c>
      <c r="T15" s="21">
        <v>0.79305555555555551</v>
      </c>
      <c r="U15" s="88">
        <f t="shared" si="18"/>
        <v>5.9999999999999787</v>
      </c>
      <c r="V15" s="30">
        <f t="shared" si="17"/>
        <v>56.999999999999957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-85.263157894735514</v>
      </c>
      <c r="AF15" s="91">
        <f t="shared" si="9"/>
        <v>0.9573684210526322</v>
      </c>
      <c r="AG15" s="177"/>
    </row>
    <row r="16" spans="1:33" ht="16.5" customHeight="1">
      <c r="A16" s="198" t="s">
        <v>265</v>
      </c>
      <c r="B16" s="28" t="s">
        <v>264</v>
      </c>
      <c r="C16" s="178"/>
      <c r="D16" s="178"/>
      <c r="E16" s="92"/>
      <c r="F16" s="12"/>
      <c r="G16" s="12"/>
      <c r="H16" s="88"/>
      <c r="I16" s="23">
        <v>19</v>
      </c>
      <c r="J16" s="13">
        <v>1833.3333333333333</v>
      </c>
      <c r="K16" s="12">
        <f t="shared" si="1"/>
        <v>96.491228070175438</v>
      </c>
      <c r="L16" s="23">
        <v>19</v>
      </c>
      <c r="M16" s="13">
        <f>AVERAGE(M13:M15)</f>
        <v>1751.0216548446988</v>
      </c>
      <c r="N16" s="12">
        <f t="shared" si="3"/>
        <v>92.159034465510459</v>
      </c>
      <c r="O16" s="14">
        <f t="shared" si="4"/>
        <v>0</v>
      </c>
      <c r="P16" s="15">
        <f t="shared" si="5"/>
        <v>-4.3321936046649796</v>
      </c>
      <c r="Q16" s="91">
        <f t="shared" si="6"/>
        <v>0.95510272082438108</v>
      </c>
      <c r="R16" s="177"/>
      <c r="S16" s="21"/>
      <c r="T16" s="21"/>
      <c r="U16" s="88"/>
      <c r="V16" s="30"/>
      <c r="W16" s="12"/>
      <c r="X16" s="12"/>
      <c r="Y16" s="24">
        <f>SUM(Y13:Y15)</f>
        <v>0</v>
      </c>
      <c r="Z16" s="24">
        <f>SUM(Z13:Z15)</f>
        <v>0</v>
      </c>
      <c r="AA16" s="167"/>
      <c r="AB16" s="167"/>
      <c r="AC16" s="24">
        <v>3</v>
      </c>
      <c r="AD16" s="24">
        <f>SUM(AD13:AD15)</f>
        <v>0</v>
      </c>
      <c r="AE16" s="14">
        <f t="shared" si="8"/>
        <v>-82.31167848863447</v>
      </c>
      <c r="AF16" s="91">
        <f t="shared" si="9"/>
        <v>0.95510272082438119</v>
      </c>
      <c r="AG16" s="177"/>
    </row>
    <row r="17" spans="1:33" ht="15.75" customHeight="1">
      <c r="A17" s="195" t="s">
        <v>266</v>
      </c>
      <c r="B17" s="28" t="s">
        <v>5</v>
      </c>
      <c r="C17" s="193" t="s">
        <v>17</v>
      </c>
      <c r="D17" s="193"/>
      <c r="E17" s="28">
        <v>57.73</v>
      </c>
      <c r="F17" s="88">
        <v>1989</v>
      </c>
      <c r="G17" s="88">
        <f t="shared" ref="G17:G22" si="19">E17*F17</f>
        <v>114824.96999999999</v>
      </c>
      <c r="H17" s="30" t="s">
        <v>53</v>
      </c>
      <c r="I17" s="95">
        <v>14</v>
      </c>
      <c r="J17" s="13">
        <v>2000</v>
      </c>
      <c r="K17" s="12">
        <f t="shared" si="1"/>
        <v>142.85714285714286</v>
      </c>
      <c r="L17" s="95">
        <v>14</v>
      </c>
      <c r="M17" s="13">
        <f t="shared" ref="M17:M22" si="20">F17/V17*60</f>
        <v>1924.83870967742</v>
      </c>
      <c r="N17" s="12">
        <f t="shared" si="3"/>
        <v>137.48847926267285</v>
      </c>
      <c r="O17" s="14">
        <f t="shared" si="4"/>
        <v>0</v>
      </c>
      <c r="P17" s="15">
        <f t="shared" si="5"/>
        <v>-5.3686635944700072</v>
      </c>
      <c r="Q17" s="91">
        <f t="shared" si="6"/>
        <v>0.96241935483871</v>
      </c>
      <c r="R17" s="177">
        <f>Q23</f>
        <v>0.96156805653659927</v>
      </c>
      <c r="S17" s="21">
        <v>0.20833333333333334</v>
      </c>
      <c r="T17" s="21">
        <v>0.25138888888888888</v>
      </c>
      <c r="U17" s="88"/>
      <c r="V17" s="30">
        <f t="shared" ref="V17:V22" si="21">(T17-S17)*24*60</f>
        <v>61.999999999999979</v>
      </c>
      <c r="W17" s="21"/>
      <c r="X17" s="21"/>
      <c r="Y17" s="21"/>
      <c r="Z17" s="21"/>
      <c r="AA17" s="168"/>
      <c r="AB17" s="168"/>
      <c r="AC17" s="18">
        <v>6</v>
      </c>
      <c r="AD17" s="18"/>
      <c r="AE17" s="14">
        <f t="shared" si="8"/>
        <v>-75.161290322580044</v>
      </c>
      <c r="AF17" s="91">
        <f t="shared" si="9"/>
        <v>0.96241935483871</v>
      </c>
      <c r="AG17" s="177">
        <f>AF23</f>
        <v>0.96156805653659938</v>
      </c>
    </row>
    <row r="18" spans="1:33" ht="15.75" customHeight="1">
      <c r="A18" s="196" t="s">
        <v>266</v>
      </c>
      <c r="B18" s="28" t="s">
        <v>5</v>
      </c>
      <c r="C18" s="193" t="s">
        <v>18</v>
      </c>
      <c r="D18" s="193"/>
      <c r="E18" s="28">
        <v>53.68</v>
      </c>
      <c r="F18" s="88">
        <v>1029</v>
      </c>
      <c r="G18" s="88">
        <f t="shared" si="19"/>
        <v>55236.72</v>
      </c>
      <c r="H18" s="30" t="s">
        <v>53</v>
      </c>
      <c r="I18" s="95">
        <v>16</v>
      </c>
      <c r="J18" s="13">
        <v>2000</v>
      </c>
      <c r="K18" s="12">
        <f t="shared" si="1"/>
        <v>125</v>
      </c>
      <c r="L18" s="95">
        <v>16</v>
      </c>
      <c r="M18" s="13">
        <f t="shared" si="20"/>
        <v>1929.375000000002</v>
      </c>
      <c r="N18" s="12">
        <f t="shared" si="3"/>
        <v>120.58593750000013</v>
      </c>
      <c r="O18" s="14">
        <f t="shared" si="4"/>
        <v>0</v>
      </c>
      <c r="P18" s="15">
        <f t="shared" si="5"/>
        <v>-4.4140624999998721</v>
      </c>
      <c r="Q18" s="91">
        <f t="shared" si="6"/>
        <v>0.96468750000000103</v>
      </c>
      <c r="R18" s="177"/>
      <c r="S18" s="21">
        <v>0.25486111111111109</v>
      </c>
      <c r="T18" s="21">
        <v>0.27708333333333329</v>
      </c>
      <c r="U18" s="88">
        <f t="shared" ref="U18:U22" si="22">IF(S18=TIME(17,0,0),"",(S18-T17)*24*60)</f>
        <v>4.9999999999999822</v>
      </c>
      <c r="V18" s="30">
        <f t="shared" si="21"/>
        <v>31.999999999999964</v>
      </c>
      <c r="W18" s="16"/>
      <c r="X18" s="88"/>
      <c r="Y18" s="88"/>
      <c r="Z18" s="88"/>
      <c r="AA18" s="168"/>
      <c r="AB18" s="168"/>
      <c r="AC18" s="18"/>
      <c r="AD18" s="18"/>
      <c r="AE18" s="14">
        <f t="shared" si="8"/>
        <v>-70.624999999997954</v>
      </c>
      <c r="AF18" s="91">
        <f t="shared" si="9"/>
        <v>0.96468750000000103</v>
      </c>
      <c r="AG18" s="177"/>
    </row>
    <row r="19" spans="1:33" ht="15.75" customHeight="1">
      <c r="A19" s="196" t="s">
        <v>266</v>
      </c>
      <c r="B19" s="28" t="s">
        <v>5</v>
      </c>
      <c r="C19" s="193" t="s">
        <v>73</v>
      </c>
      <c r="D19" s="193"/>
      <c r="E19" s="28">
        <v>50.67</v>
      </c>
      <c r="F19" s="88">
        <v>2504</v>
      </c>
      <c r="G19" s="88">
        <f t="shared" si="19"/>
        <v>126877.68000000001</v>
      </c>
      <c r="H19" s="30" t="s">
        <v>53</v>
      </c>
      <c r="I19" s="95">
        <v>16</v>
      </c>
      <c r="J19" s="13">
        <v>2000</v>
      </c>
      <c r="K19" s="12">
        <f t="shared" si="1"/>
        <v>125</v>
      </c>
      <c r="L19" s="95">
        <v>16</v>
      </c>
      <c r="M19" s="13">
        <f t="shared" si="20"/>
        <v>1926.1538461538473</v>
      </c>
      <c r="N19" s="12">
        <f t="shared" si="3"/>
        <v>120.38461538461546</v>
      </c>
      <c r="O19" s="14">
        <f t="shared" si="4"/>
        <v>0</v>
      </c>
      <c r="P19" s="15">
        <f t="shared" si="5"/>
        <v>-4.6153846153845421</v>
      </c>
      <c r="Q19" s="91">
        <f t="shared" si="6"/>
        <v>0.96307692307692361</v>
      </c>
      <c r="R19" s="177"/>
      <c r="S19" s="21">
        <v>0.28194444444444439</v>
      </c>
      <c r="T19" s="21">
        <v>0.33611111111111103</v>
      </c>
      <c r="U19" s="88">
        <f t="shared" si="22"/>
        <v>6.9999999999999751</v>
      </c>
      <c r="V19" s="30">
        <f t="shared" si="21"/>
        <v>77.999999999999957</v>
      </c>
      <c r="W19" s="16"/>
      <c r="X19" s="88"/>
      <c r="Y19" s="88"/>
      <c r="Z19" s="88"/>
      <c r="AA19" s="168"/>
      <c r="AB19" s="168"/>
      <c r="AC19" s="18"/>
      <c r="AD19" s="18"/>
      <c r="AE19" s="14">
        <f t="shared" si="8"/>
        <v>-73.846153846152674</v>
      </c>
      <c r="AF19" s="91">
        <f t="shared" si="9"/>
        <v>0.96307692307692361</v>
      </c>
      <c r="AG19" s="177"/>
    </row>
    <row r="20" spans="1:33" ht="15.75" customHeight="1">
      <c r="A20" s="196" t="s">
        <v>266</v>
      </c>
      <c r="B20" s="28" t="s">
        <v>5</v>
      </c>
      <c r="C20" s="193" t="s">
        <v>21</v>
      </c>
      <c r="D20" s="193"/>
      <c r="E20" s="28">
        <v>57.3</v>
      </c>
      <c r="F20" s="88">
        <v>1248</v>
      </c>
      <c r="G20" s="88">
        <f t="shared" si="19"/>
        <v>71510.399999999994</v>
      </c>
      <c r="H20" s="30" t="s">
        <v>53</v>
      </c>
      <c r="I20" s="95">
        <v>13</v>
      </c>
      <c r="J20" s="13">
        <v>2000</v>
      </c>
      <c r="K20" s="12">
        <f t="shared" si="1"/>
        <v>153.84615384615384</v>
      </c>
      <c r="L20" s="95">
        <v>13</v>
      </c>
      <c r="M20" s="13">
        <f t="shared" si="20"/>
        <v>1919.9999999999989</v>
      </c>
      <c r="N20" s="12">
        <f t="shared" si="3"/>
        <v>147.69230769230759</v>
      </c>
      <c r="O20" s="14">
        <f t="shared" si="4"/>
        <v>0</v>
      </c>
      <c r="P20" s="15">
        <f t="shared" si="5"/>
        <v>-6.1538461538462457</v>
      </c>
      <c r="Q20" s="91">
        <f t="shared" si="6"/>
        <v>0.95999999999999941</v>
      </c>
      <c r="R20" s="177"/>
      <c r="S20" s="21">
        <v>0.70833333333333337</v>
      </c>
      <c r="T20" s="21">
        <v>0.73541666666666672</v>
      </c>
      <c r="U20" s="88" t="str">
        <f t="shared" si="22"/>
        <v/>
      </c>
      <c r="V20" s="30">
        <f t="shared" si="21"/>
        <v>39.000000000000021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-80.000000000001137</v>
      </c>
      <c r="AF20" s="91">
        <f t="shared" si="9"/>
        <v>0.95999999999999941</v>
      </c>
      <c r="AG20" s="177"/>
    </row>
    <row r="21" spans="1:33" ht="15.75" customHeight="1">
      <c r="A21" s="196" t="s">
        <v>266</v>
      </c>
      <c r="B21" s="28" t="s">
        <v>5</v>
      </c>
      <c r="C21" s="193" t="s">
        <v>20</v>
      </c>
      <c r="D21" s="193"/>
      <c r="E21" s="28">
        <v>53.68</v>
      </c>
      <c r="F21" s="88">
        <v>1161</v>
      </c>
      <c r="G21" s="88">
        <f t="shared" si="19"/>
        <v>62322.48</v>
      </c>
      <c r="H21" s="30" t="s">
        <v>53</v>
      </c>
      <c r="I21" s="95">
        <v>16</v>
      </c>
      <c r="J21" s="13">
        <v>1500</v>
      </c>
      <c r="K21" s="12">
        <f t="shared" si="1"/>
        <v>93.75</v>
      </c>
      <c r="L21" s="95">
        <v>16</v>
      </c>
      <c r="M21" s="13">
        <f t="shared" si="20"/>
        <v>1451.2500000000005</v>
      </c>
      <c r="N21" s="12">
        <f t="shared" si="3"/>
        <v>90.703125000000028</v>
      </c>
      <c r="O21" s="14">
        <f t="shared" si="4"/>
        <v>0</v>
      </c>
      <c r="P21" s="15">
        <f t="shared" si="5"/>
        <v>-3.0468749999999716</v>
      </c>
      <c r="Q21" s="91">
        <f t="shared" si="6"/>
        <v>0.96750000000000025</v>
      </c>
      <c r="R21" s="177"/>
      <c r="S21" s="21">
        <v>0.74027777777777781</v>
      </c>
      <c r="T21" s="21">
        <v>0.77361111111111114</v>
      </c>
      <c r="U21" s="88">
        <f t="shared" si="22"/>
        <v>6.9999999999999751</v>
      </c>
      <c r="V21" s="30">
        <f t="shared" si="21"/>
        <v>47.999999999999986</v>
      </c>
      <c r="W21" s="16"/>
      <c r="X21" s="16"/>
      <c r="Y21" s="88"/>
      <c r="Z21" s="88"/>
      <c r="AA21" s="168"/>
      <c r="AB21" s="168"/>
      <c r="AC21" s="18"/>
      <c r="AD21" s="18"/>
      <c r="AE21" s="14">
        <f t="shared" si="8"/>
        <v>-48.749999999999545</v>
      </c>
      <c r="AF21" s="91">
        <f t="shared" si="9"/>
        <v>0.96750000000000025</v>
      </c>
      <c r="AG21" s="177"/>
    </row>
    <row r="22" spans="1:33" ht="15.75" customHeight="1">
      <c r="A22" s="196" t="s">
        <v>266</v>
      </c>
      <c r="B22" s="28" t="s">
        <v>5</v>
      </c>
      <c r="C22" s="193" t="s">
        <v>19</v>
      </c>
      <c r="D22" s="193"/>
      <c r="E22" s="28">
        <v>50.49</v>
      </c>
      <c r="F22" s="88">
        <v>1684</v>
      </c>
      <c r="G22" s="88">
        <f t="shared" si="19"/>
        <v>85025.16</v>
      </c>
      <c r="H22" s="30" t="s">
        <v>53</v>
      </c>
      <c r="I22" s="95">
        <v>15</v>
      </c>
      <c r="J22" s="13">
        <v>2000</v>
      </c>
      <c r="K22" s="12">
        <f t="shared" si="1"/>
        <v>133.33333333333334</v>
      </c>
      <c r="L22" s="95">
        <v>15</v>
      </c>
      <c r="M22" s="13">
        <f t="shared" si="20"/>
        <v>1906.4150943396237</v>
      </c>
      <c r="N22" s="12">
        <f t="shared" si="3"/>
        <v>127.09433962264158</v>
      </c>
      <c r="O22" s="14">
        <f t="shared" si="4"/>
        <v>0</v>
      </c>
      <c r="P22" s="15">
        <f t="shared" si="5"/>
        <v>-6.2389937106917586</v>
      </c>
      <c r="Q22" s="91">
        <f t="shared" si="6"/>
        <v>0.95320754716981182</v>
      </c>
      <c r="R22" s="177"/>
      <c r="S22" s="21">
        <v>0.77847222222222223</v>
      </c>
      <c r="T22" s="21">
        <v>0.81527777777777777</v>
      </c>
      <c r="U22" s="88">
        <f t="shared" si="22"/>
        <v>6.9999999999999751</v>
      </c>
      <c r="V22" s="30">
        <f t="shared" si="21"/>
        <v>52.999999999999972</v>
      </c>
      <c r="W22" s="16"/>
      <c r="X22" s="21"/>
      <c r="Y22" s="21"/>
      <c r="Z22" s="21"/>
      <c r="AA22" s="168"/>
      <c r="AB22" s="168"/>
      <c r="AC22" s="18"/>
      <c r="AD22" s="18"/>
      <c r="AE22" s="14">
        <f t="shared" si="8"/>
        <v>-93.584905660376307</v>
      </c>
      <c r="AF22" s="91">
        <f t="shared" si="9"/>
        <v>0.95320754716981182</v>
      </c>
      <c r="AG22" s="177"/>
    </row>
    <row r="23" spans="1:33" ht="15.75" customHeight="1">
      <c r="A23" s="196" t="s">
        <v>266</v>
      </c>
      <c r="B23" s="28" t="s">
        <v>264</v>
      </c>
      <c r="C23" s="178"/>
      <c r="D23" s="178"/>
      <c r="E23" s="92"/>
      <c r="F23" s="88"/>
      <c r="G23" s="88"/>
      <c r="H23" s="88"/>
      <c r="I23" s="23">
        <v>15</v>
      </c>
      <c r="J23" s="13">
        <v>1916.6666666666667</v>
      </c>
      <c r="K23" s="12">
        <f t="shared" si="1"/>
        <v>127.77777777777779</v>
      </c>
      <c r="L23" s="23">
        <v>15</v>
      </c>
      <c r="M23" s="13">
        <f>AVERAGE(M17:M22)</f>
        <v>1843.0054416951489</v>
      </c>
      <c r="N23" s="12">
        <f t="shared" si="3"/>
        <v>122.86702944634325</v>
      </c>
      <c r="O23" s="14">
        <f t="shared" si="4"/>
        <v>0</v>
      </c>
      <c r="P23" s="15">
        <f t="shared" si="5"/>
        <v>-4.910748331434533</v>
      </c>
      <c r="Q23" s="91">
        <f t="shared" si="6"/>
        <v>0.96156805653659927</v>
      </c>
      <c r="R23" s="177"/>
      <c r="S23" s="21"/>
      <c r="T23" s="21"/>
      <c r="U23" s="12"/>
      <c r="V23" s="30"/>
      <c r="W23" s="12"/>
      <c r="X23" s="12"/>
      <c r="Y23" s="24">
        <f>SUM(Y17:Y22)</f>
        <v>0</v>
      </c>
      <c r="Z23" s="24">
        <f>SUM(Z17:Z22)</f>
        <v>0</v>
      </c>
      <c r="AA23" s="167"/>
      <c r="AB23" s="167"/>
      <c r="AC23" s="24">
        <v>6</v>
      </c>
      <c r="AD23" s="24">
        <f>SUM(AD17:AD22)</f>
        <v>0</v>
      </c>
      <c r="AE23" s="14">
        <f t="shared" si="8"/>
        <v>-73.661224971517868</v>
      </c>
      <c r="AF23" s="91">
        <f t="shared" si="9"/>
        <v>0.96156805653659938</v>
      </c>
      <c r="AG23" s="177"/>
    </row>
    <row r="24" spans="1:33" ht="15.75" customHeight="1">
      <c r="A24" s="194" t="s">
        <v>267</v>
      </c>
      <c r="B24" s="28" t="s">
        <v>22</v>
      </c>
      <c r="C24" s="193" t="s">
        <v>23</v>
      </c>
      <c r="D24" s="193"/>
      <c r="E24" s="28">
        <v>31.29</v>
      </c>
      <c r="F24" s="88">
        <v>7356</v>
      </c>
      <c r="G24" s="88">
        <f t="shared" ref="G24:G28" si="23">E24*F24</f>
        <v>230169.24</v>
      </c>
      <c r="H24" s="30" t="s">
        <v>53</v>
      </c>
      <c r="I24" s="95">
        <v>18</v>
      </c>
      <c r="J24" s="13">
        <v>2400</v>
      </c>
      <c r="K24" s="12">
        <f t="shared" si="1"/>
        <v>133.33333333333334</v>
      </c>
      <c r="L24" s="95">
        <v>18</v>
      </c>
      <c r="M24" s="13">
        <f t="shared" ref="M24:M28" si="24">F24/V24*60</f>
        <v>2286.8393782383414</v>
      </c>
      <c r="N24" s="12">
        <f t="shared" si="3"/>
        <v>127.0466321243523</v>
      </c>
      <c r="O24" s="14">
        <f t="shared" si="4"/>
        <v>0</v>
      </c>
      <c r="P24" s="15">
        <f t="shared" si="5"/>
        <v>-6.286701208981043</v>
      </c>
      <c r="Q24" s="91">
        <f t="shared" si="6"/>
        <v>0.95284974093264219</v>
      </c>
      <c r="R24" s="177">
        <f>Q29</f>
        <v>0.95568857992141443</v>
      </c>
      <c r="S24" s="21">
        <v>8.3333333333333329E-2</v>
      </c>
      <c r="T24" s="21">
        <v>0.21736111111111112</v>
      </c>
      <c r="U24" s="88"/>
      <c r="V24" s="30">
        <f t="shared" ref="V24:V28" si="25">(T24-S24)*24*60</f>
        <v>193.00000000000003</v>
      </c>
      <c r="W24" s="16">
        <f>T24</f>
        <v>0.21736111111111112</v>
      </c>
      <c r="X24" s="16">
        <f>S25</f>
        <v>0.23680555555555557</v>
      </c>
      <c r="Y24" s="16"/>
      <c r="Z24" s="16"/>
      <c r="AA24" s="168"/>
      <c r="AB24" s="168"/>
      <c r="AC24" s="18">
        <v>5</v>
      </c>
      <c r="AD24" s="18"/>
      <c r="AE24" s="14">
        <f t="shared" si="8"/>
        <v>-113.1606217616586</v>
      </c>
      <c r="AF24" s="91">
        <f t="shared" si="9"/>
        <v>0.9528497409326423</v>
      </c>
      <c r="AG24" s="177">
        <f>AF29</f>
        <v>0.95568857992141432</v>
      </c>
    </row>
    <row r="25" spans="1:33" ht="15.75" customHeight="1">
      <c r="A25" s="194" t="s">
        <v>267</v>
      </c>
      <c r="B25" s="28" t="s">
        <v>22</v>
      </c>
      <c r="C25" s="193" t="s">
        <v>24</v>
      </c>
      <c r="D25" s="193"/>
      <c r="E25" s="28">
        <v>25.98</v>
      </c>
      <c r="F25" s="88">
        <v>2646</v>
      </c>
      <c r="G25" s="88">
        <f t="shared" si="23"/>
        <v>68743.08</v>
      </c>
      <c r="H25" s="30" t="s">
        <v>53</v>
      </c>
      <c r="I25" s="95">
        <v>21</v>
      </c>
      <c r="J25" s="13">
        <v>2400</v>
      </c>
      <c r="K25" s="12">
        <f t="shared" si="1"/>
        <v>114.28571428571429</v>
      </c>
      <c r="L25" s="95">
        <v>21</v>
      </c>
      <c r="M25" s="13">
        <f t="shared" si="24"/>
        <v>2300.8695652173928</v>
      </c>
      <c r="N25" s="12">
        <f t="shared" si="3"/>
        <v>109.56521739130442</v>
      </c>
      <c r="O25" s="14">
        <f t="shared" si="4"/>
        <v>0</v>
      </c>
      <c r="P25" s="15">
        <f t="shared" si="5"/>
        <v>-4.7204968944098766</v>
      </c>
      <c r="Q25" s="91">
        <f t="shared" si="6"/>
        <v>0.95869565217391362</v>
      </c>
      <c r="R25" s="177"/>
      <c r="S25" s="21">
        <v>0.23680555555555557</v>
      </c>
      <c r="T25" s="21">
        <v>0.28472222222222221</v>
      </c>
      <c r="U25" s="88">
        <f t="shared" ref="U25:U28" si="26">(S25-T24)*24*60</f>
        <v>28.000000000000021</v>
      </c>
      <c r="V25" s="30">
        <f t="shared" si="25"/>
        <v>68.999999999999957</v>
      </c>
      <c r="W25" s="16"/>
      <c r="X25" s="16"/>
      <c r="Y25" s="16"/>
      <c r="Z25" s="16"/>
      <c r="AA25" s="168"/>
      <c r="AB25" s="168"/>
      <c r="AC25" s="18"/>
      <c r="AD25" s="18"/>
      <c r="AE25" s="14">
        <f t="shared" si="8"/>
        <v>-99.130434782607153</v>
      </c>
      <c r="AF25" s="91">
        <f t="shared" si="9"/>
        <v>0.95869565217391373</v>
      </c>
      <c r="AG25" s="177"/>
    </row>
    <row r="26" spans="1:33" ht="15.75" customHeight="1">
      <c r="A26" s="194" t="s">
        <v>267</v>
      </c>
      <c r="B26" s="28" t="s">
        <v>22</v>
      </c>
      <c r="C26" s="193" t="s">
        <v>25</v>
      </c>
      <c r="D26" s="193"/>
      <c r="E26" s="28">
        <v>26.2</v>
      </c>
      <c r="F26" s="88">
        <v>4156</v>
      </c>
      <c r="G26" s="88">
        <f t="shared" si="23"/>
        <v>108887.2</v>
      </c>
      <c r="H26" s="30" t="s">
        <v>53</v>
      </c>
      <c r="I26" s="95">
        <v>20</v>
      </c>
      <c r="J26" s="13">
        <v>2400</v>
      </c>
      <c r="K26" s="12">
        <f t="shared" si="1"/>
        <v>120</v>
      </c>
      <c r="L26" s="95">
        <v>20</v>
      </c>
      <c r="M26" s="13">
        <f t="shared" si="24"/>
        <v>2287.7064220183483</v>
      </c>
      <c r="N26" s="12">
        <f t="shared" si="3"/>
        <v>114.38532110091742</v>
      </c>
      <c r="O26" s="14">
        <f t="shared" si="4"/>
        <v>0</v>
      </c>
      <c r="P26" s="15">
        <f t="shared" si="5"/>
        <v>-5.6146788990825769</v>
      </c>
      <c r="Q26" s="91">
        <f t="shared" si="6"/>
        <v>0.9532110091743119</v>
      </c>
      <c r="R26" s="177"/>
      <c r="S26" s="21">
        <v>0.2895833333333333</v>
      </c>
      <c r="T26" s="21">
        <v>0.36527777777777776</v>
      </c>
      <c r="U26" s="88">
        <f t="shared" si="26"/>
        <v>6.9999999999999751</v>
      </c>
      <c r="V26" s="30">
        <f t="shared" si="25"/>
        <v>109.00000000000001</v>
      </c>
      <c r="W26" s="16"/>
      <c r="X26" s="16"/>
      <c r="Y26" s="16"/>
      <c r="Z26" s="16"/>
      <c r="AA26" s="168"/>
      <c r="AB26" s="168"/>
      <c r="AC26" s="18"/>
      <c r="AD26" s="18"/>
      <c r="AE26" s="14">
        <f t="shared" si="8"/>
        <v>-112.29357798165165</v>
      </c>
      <c r="AF26" s="91">
        <f t="shared" si="9"/>
        <v>0.95321100917431179</v>
      </c>
      <c r="AG26" s="177"/>
    </row>
    <row r="27" spans="1:33" ht="15.75" customHeight="1">
      <c r="A27" s="194" t="s">
        <v>267</v>
      </c>
      <c r="B27" s="28" t="s">
        <v>22</v>
      </c>
      <c r="C27" s="193" t="s">
        <v>26</v>
      </c>
      <c r="D27" s="193"/>
      <c r="E27" s="28">
        <v>25.99</v>
      </c>
      <c r="F27" s="88">
        <v>3387</v>
      </c>
      <c r="G27" s="88">
        <f t="shared" si="23"/>
        <v>88028.12999999999</v>
      </c>
      <c r="H27" s="30" t="s">
        <v>53</v>
      </c>
      <c r="I27" s="95">
        <v>14</v>
      </c>
      <c r="J27" s="13">
        <v>2400</v>
      </c>
      <c r="K27" s="12">
        <f t="shared" si="1"/>
        <v>171.42857142857142</v>
      </c>
      <c r="L27" s="95">
        <v>14</v>
      </c>
      <c r="M27" s="13">
        <f t="shared" si="24"/>
        <v>2309.318181818182</v>
      </c>
      <c r="N27" s="12">
        <f t="shared" si="3"/>
        <v>164.95129870129873</v>
      </c>
      <c r="O27" s="14">
        <f t="shared" si="4"/>
        <v>0</v>
      </c>
      <c r="P27" s="15">
        <f t="shared" si="5"/>
        <v>-6.4772727272726911</v>
      </c>
      <c r="Q27" s="91">
        <f t="shared" si="6"/>
        <v>0.96221590909090926</v>
      </c>
      <c r="R27" s="177"/>
      <c r="S27" s="21">
        <v>0.36944444444444441</v>
      </c>
      <c r="T27" s="21">
        <v>0.43055555555555552</v>
      </c>
      <c r="U27" s="88">
        <f t="shared" si="26"/>
        <v>5.9999999999999787</v>
      </c>
      <c r="V27" s="30">
        <f t="shared" si="25"/>
        <v>88</v>
      </c>
      <c r="W27" s="16"/>
      <c r="X27" s="16"/>
      <c r="Y27" s="16"/>
      <c r="Z27" s="16"/>
      <c r="AA27" s="168"/>
      <c r="AB27" s="168"/>
      <c r="AC27" s="18"/>
      <c r="AD27" s="18"/>
      <c r="AE27" s="14">
        <f t="shared" si="8"/>
        <v>-90.681818181818016</v>
      </c>
      <c r="AF27" s="91">
        <f t="shared" si="9"/>
        <v>0.96221590909090915</v>
      </c>
      <c r="AG27" s="177"/>
    </row>
    <row r="28" spans="1:33" ht="15.75" customHeight="1">
      <c r="A28" s="194" t="s">
        <v>267</v>
      </c>
      <c r="B28" s="28" t="s">
        <v>22</v>
      </c>
      <c r="C28" s="193" t="s">
        <v>27</v>
      </c>
      <c r="D28" s="193"/>
      <c r="E28" s="28">
        <v>26.18</v>
      </c>
      <c r="F28" s="88">
        <v>1294</v>
      </c>
      <c r="G28" s="88">
        <f t="shared" si="23"/>
        <v>33876.92</v>
      </c>
      <c r="H28" s="30" t="s">
        <v>53</v>
      </c>
      <c r="I28" s="95">
        <v>19</v>
      </c>
      <c r="J28" s="13">
        <v>2400</v>
      </c>
      <c r="K28" s="12">
        <f t="shared" si="1"/>
        <v>126.31578947368421</v>
      </c>
      <c r="L28" s="95">
        <v>19</v>
      </c>
      <c r="M28" s="13">
        <f t="shared" si="24"/>
        <v>2283.5294117647086</v>
      </c>
      <c r="N28" s="12">
        <f t="shared" si="3"/>
        <v>120.18575851393203</v>
      </c>
      <c r="O28" s="14">
        <f t="shared" si="4"/>
        <v>0</v>
      </c>
      <c r="P28" s="15">
        <f t="shared" si="5"/>
        <v>-6.130030959752176</v>
      </c>
      <c r="Q28" s="91">
        <f t="shared" si="6"/>
        <v>0.95147058823529529</v>
      </c>
      <c r="R28" s="177"/>
      <c r="S28" s="21">
        <v>0.43472222222222218</v>
      </c>
      <c r="T28" s="21">
        <v>0.45833333333333326</v>
      </c>
      <c r="U28" s="88">
        <f t="shared" si="26"/>
        <v>5.9999999999999787</v>
      </c>
      <c r="V28" s="30">
        <f t="shared" si="25"/>
        <v>33.999999999999957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-116.47058823529142</v>
      </c>
      <c r="AF28" s="91">
        <f t="shared" si="9"/>
        <v>0.95147058823529529</v>
      </c>
      <c r="AG28" s="177"/>
    </row>
    <row r="29" spans="1:33" ht="15.75" customHeight="1">
      <c r="A29" s="194" t="s">
        <v>267</v>
      </c>
      <c r="B29" s="28" t="s">
        <v>264</v>
      </c>
      <c r="C29" s="178"/>
      <c r="D29" s="178"/>
      <c r="E29" s="92"/>
      <c r="F29" s="88"/>
      <c r="G29" s="88"/>
      <c r="H29" s="88"/>
      <c r="I29" s="23">
        <v>18.399999999999999</v>
      </c>
      <c r="J29" s="13">
        <v>2400</v>
      </c>
      <c r="K29" s="12">
        <f t="shared" si="1"/>
        <v>130.43478260869566</v>
      </c>
      <c r="L29" s="23">
        <v>18.399999999999999</v>
      </c>
      <c r="M29" s="13">
        <f>AVERAGE(M24:M28)</f>
        <v>2293.6525918113944</v>
      </c>
      <c r="N29" s="12">
        <f t="shared" si="3"/>
        <v>124.65503216366275</v>
      </c>
      <c r="O29" s="14">
        <f t="shared" si="4"/>
        <v>0</v>
      </c>
      <c r="P29" s="15">
        <f t="shared" si="5"/>
        <v>-5.7797504450329029</v>
      </c>
      <c r="Q29" s="91">
        <f t="shared" si="6"/>
        <v>0.95568857992141443</v>
      </c>
      <c r="R29" s="177"/>
      <c r="S29" s="21"/>
      <c r="T29" s="21"/>
      <c r="U29" s="88"/>
      <c r="V29" s="30"/>
      <c r="W29" s="88"/>
      <c r="X29" s="88"/>
      <c r="Y29" s="24">
        <f>SUM(Y24:Y28)</f>
        <v>0</v>
      </c>
      <c r="Z29" s="24">
        <f>SUM(Z24:Z28)</f>
        <v>0</v>
      </c>
      <c r="AA29" s="167"/>
      <c r="AB29" s="167"/>
      <c r="AC29" s="24">
        <v>5</v>
      </c>
      <c r="AD29" s="24">
        <f>SUM(AD24:AD28)</f>
        <v>0</v>
      </c>
      <c r="AE29" s="14">
        <f t="shared" si="8"/>
        <v>-106.34740818860564</v>
      </c>
      <c r="AF29" s="91">
        <f t="shared" si="9"/>
        <v>0.95568857992141432</v>
      </c>
      <c r="AG29" s="177"/>
    </row>
    <row r="30" spans="1:33" ht="15.75" customHeight="1">
      <c r="A30" s="191" t="s">
        <v>268</v>
      </c>
      <c r="B30" s="28" t="s">
        <v>22</v>
      </c>
      <c r="C30" s="169" t="s">
        <v>28</v>
      </c>
      <c r="D30" s="169"/>
      <c r="E30" s="28">
        <v>26.2</v>
      </c>
      <c r="F30" s="88">
        <v>5157</v>
      </c>
      <c r="G30" s="88">
        <f t="shared" ref="G30:G34" si="27">E30*F30</f>
        <v>135113.4</v>
      </c>
      <c r="H30" s="30" t="s">
        <v>53</v>
      </c>
      <c r="I30" s="95">
        <v>18</v>
      </c>
      <c r="J30" s="13">
        <v>2400</v>
      </c>
      <c r="K30" s="12">
        <f t="shared" si="1"/>
        <v>133.33333333333334</v>
      </c>
      <c r="L30" s="95">
        <v>18</v>
      </c>
      <c r="M30" s="13">
        <f t="shared" ref="M30:M34" si="28">F30/V30*60</f>
        <v>2292.0000000000005</v>
      </c>
      <c r="N30" s="12">
        <f t="shared" si="3"/>
        <v>127.33333333333336</v>
      </c>
      <c r="O30" s="14">
        <f t="shared" si="4"/>
        <v>0</v>
      </c>
      <c r="P30" s="15">
        <f t="shared" si="5"/>
        <v>-5.9999999999999858</v>
      </c>
      <c r="Q30" s="91">
        <f t="shared" si="6"/>
        <v>0.95500000000000007</v>
      </c>
      <c r="R30" s="177">
        <f>Q35</f>
        <v>0.95637795322261365</v>
      </c>
      <c r="S30" s="21">
        <v>8.3333333333333329E-2</v>
      </c>
      <c r="T30" s="21">
        <v>0.17708333333333331</v>
      </c>
      <c r="U30" s="88"/>
      <c r="V30" s="30">
        <f t="shared" ref="V30:V34" si="29">(T30-S30)*24*60</f>
        <v>134.99999999999997</v>
      </c>
      <c r="W30" s="21">
        <f>T30</f>
        <v>0.17708333333333331</v>
      </c>
      <c r="X30" s="21">
        <f>S31</f>
        <v>0.19513888888888886</v>
      </c>
      <c r="Y30" s="21"/>
      <c r="Z30" s="21"/>
      <c r="AA30" s="168"/>
      <c r="AB30" s="168"/>
      <c r="AC30" s="18">
        <v>5</v>
      </c>
      <c r="AD30" s="18"/>
      <c r="AE30" s="14">
        <f t="shared" si="8"/>
        <v>-107.99999999999955</v>
      </c>
      <c r="AF30" s="91">
        <f t="shared" si="9"/>
        <v>0.95500000000000018</v>
      </c>
      <c r="AG30" s="177">
        <f>AF35</f>
        <v>0.95637795322261354</v>
      </c>
    </row>
    <row r="31" spans="1:33" ht="15.75" customHeight="1">
      <c r="A31" s="191" t="s">
        <v>268</v>
      </c>
      <c r="B31" s="28" t="s">
        <v>22</v>
      </c>
      <c r="C31" s="169" t="s">
        <v>29</v>
      </c>
      <c r="D31" s="169"/>
      <c r="E31" s="28">
        <v>20.52</v>
      </c>
      <c r="F31" s="88">
        <v>3212</v>
      </c>
      <c r="G31" s="88">
        <f t="shared" si="27"/>
        <v>65910.240000000005</v>
      </c>
      <c r="H31" s="30" t="s">
        <v>53</v>
      </c>
      <c r="I31" s="95">
        <v>18</v>
      </c>
      <c r="J31" s="13">
        <v>2400</v>
      </c>
      <c r="K31" s="12">
        <f t="shared" si="1"/>
        <v>133.33333333333334</v>
      </c>
      <c r="L31" s="95">
        <v>18</v>
      </c>
      <c r="M31" s="13">
        <f t="shared" si="28"/>
        <v>2294.2857142857138</v>
      </c>
      <c r="N31" s="12">
        <f t="shared" si="3"/>
        <v>127.46031746031743</v>
      </c>
      <c r="O31" s="14">
        <f t="shared" si="4"/>
        <v>0</v>
      </c>
      <c r="P31" s="15">
        <f t="shared" si="5"/>
        <v>-5.8730158730159161</v>
      </c>
      <c r="Q31" s="91">
        <f t="shared" si="6"/>
        <v>0.95595238095238066</v>
      </c>
      <c r="R31" s="177"/>
      <c r="S31" s="21">
        <v>0.19513888888888886</v>
      </c>
      <c r="T31" s="21">
        <v>0.25347222222222221</v>
      </c>
      <c r="U31" s="88">
        <f t="shared" ref="U31:U34" si="30">(S31-T30)*24*60</f>
        <v>25.999999999999986</v>
      </c>
      <c r="V31" s="30">
        <f t="shared" si="29"/>
        <v>84.000000000000028</v>
      </c>
      <c r="W31" s="88"/>
      <c r="X31" s="88"/>
      <c r="Y31" s="88"/>
      <c r="Z31" s="88"/>
      <c r="AA31" s="168"/>
      <c r="AB31" s="168"/>
      <c r="AC31" s="18"/>
      <c r="AD31" s="18"/>
      <c r="AE31" s="14">
        <f t="shared" si="8"/>
        <v>-105.71428571428623</v>
      </c>
      <c r="AF31" s="91">
        <f t="shared" si="9"/>
        <v>0.95595238095238078</v>
      </c>
      <c r="AG31" s="177"/>
    </row>
    <row r="32" spans="1:33">
      <c r="A32" s="192" t="s">
        <v>268</v>
      </c>
      <c r="B32" s="28" t="s">
        <v>22</v>
      </c>
      <c r="C32" s="169" t="s">
        <v>30</v>
      </c>
      <c r="D32" s="169"/>
      <c r="E32" s="28">
        <v>26.39</v>
      </c>
      <c r="F32" s="88">
        <v>4477</v>
      </c>
      <c r="G32" s="88">
        <f t="shared" si="27"/>
        <v>118148.03</v>
      </c>
      <c r="H32" s="30" t="s">
        <v>53</v>
      </c>
      <c r="I32" s="95">
        <v>19</v>
      </c>
      <c r="J32" s="13">
        <v>2400</v>
      </c>
      <c r="K32" s="12">
        <f t="shared" si="1"/>
        <v>126.31578947368421</v>
      </c>
      <c r="L32" s="95">
        <v>19</v>
      </c>
      <c r="M32" s="13">
        <f t="shared" si="28"/>
        <v>2295.897435897436</v>
      </c>
      <c r="N32" s="12">
        <f t="shared" si="3"/>
        <v>120.83670715249663</v>
      </c>
      <c r="O32" s="14">
        <f t="shared" si="4"/>
        <v>0</v>
      </c>
      <c r="P32" s="15">
        <f t="shared" si="5"/>
        <v>-5.4790823211875761</v>
      </c>
      <c r="Q32" s="91">
        <f t="shared" si="6"/>
        <v>0.95662393162393167</v>
      </c>
      <c r="R32" s="177"/>
      <c r="S32" s="21">
        <v>0.2583333333333333</v>
      </c>
      <c r="T32" s="21">
        <v>0.33958333333333329</v>
      </c>
      <c r="U32" s="88">
        <f t="shared" si="30"/>
        <v>6.9999999999999751</v>
      </c>
      <c r="V32" s="30">
        <f t="shared" si="29"/>
        <v>116.99999999999999</v>
      </c>
      <c r="W32" s="88"/>
      <c r="X32" s="88"/>
      <c r="Y32" s="88"/>
      <c r="Z32" s="88"/>
      <c r="AA32" s="168"/>
      <c r="AB32" s="168"/>
      <c r="AC32" s="18"/>
      <c r="AD32" s="18"/>
      <c r="AE32" s="14">
        <f t="shared" si="8"/>
        <v>-104.10256410256397</v>
      </c>
      <c r="AF32" s="91">
        <f t="shared" si="9"/>
        <v>0.95662393162393167</v>
      </c>
      <c r="AG32" s="177"/>
    </row>
    <row r="33" spans="1:33">
      <c r="A33" s="192" t="s">
        <v>268</v>
      </c>
      <c r="B33" s="28" t="s">
        <v>22</v>
      </c>
      <c r="C33" s="169" t="s">
        <v>32</v>
      </c>
      <c r="D33" s="169"/>
      <c r="E33" s="28">
        <v>20.52</v>
      </c>
      <c r="F33" s="88">
        <v>2696</v>
      </c>
      <c r="G33" s="88">
        <f t="shared" si="27"/>
        <v>55321.919999999998</v>
      </c>
      <c r="H33" s="30" t="s">
        <v>53</v>
      </c>
      <c r="I33" s="95">
        <v>18</v>
      </c>
      <c r="J33" s="13">
        <v>2400</v>
      </c>
      <c r="K33" s="12">
        <f t="shared" si="1"/>
        <v>133.33333333333334</v>
      </c>
      <c r="L33" s="95">
        <v>18</v>
      </c>
      <c r="M33" s="13">
        <f t="shared" si="28"/>
        <v>2310.8571428571431</v>
      </c>
      <c r="N33" s="12">
        <f t="shared" si="3"/>
        <v>128.38095238095241</v>
      </c>
      <c r="O33" s="14">
        <f t="shared" si="4"/>
        <v>0</v>
      </c>
      <c r="P33" s="15">
        <f t="shared" si="5"/>
        <v>-4.9523809523809348</v>
      </c>
      <c r="Q33" s="91">
        <f t="shared" si="6"/>
        <v>0.96285714285714297</v>
      </c>
      <c r="R33" s="177"/>
      <c r="S33" s="21">
        <v>0.34444444444444439</v>
      </c>
      <c r="T33" s="21">
        <v>0.39305555555555549</v>
      </c>
      <c r="U33" s="88">
        <f t="shared" si="30"/>
        <v>6.9999999999999751</v>
      </c>
      <c r="V33" s="30">
        <f t="shared" si="29"/>
        <v>69.999999999999986</v>
      </c>
      <c r="W33" s="16"/>
      <c r="X33" s="16"/>
      <c r="Y33" s="16"/>
      <c r="Z33" s="16"/>
      <c r="AA33" s="168"/>
      <c r="AB33" s="168"/>
      <c r="AC33" s="18"/>
      <c r="AD33" s="18"/>
      <c r="AE33" s="14">
        <f t="shared" si="8"/>
        <v>-89.142857142856883</v>
      </c>
      <c r="AF33" s="91">
        <f t="shared" si="9"/>
        <v>0.96285714285714297</v>
      </c>
      <c r="AG33" s="177"/>
    </row>
    <row r="34" spans="1:33">
      <c r="A34" s="192" t="s">
        <v>269</v>
      </c>
      <c r="B34" s="28" t="s">
        <v>22</v>
      </c>
      <c r="C34" s="169" t="s">
        <v>70</v>
      </c>
      <c r="D34" s="169"/>
      <c r="E34" s="28">
        <v>22.69</v>
      </c>
      <c r="F34" s="88">
        <v>3920</v>
      </c>
      <c r="G34" s="88">
        <f t="shared" si="27"/>
        <v>88944.8</v>
      </c>
      <c r="H34" s="30" t="s">
        <v>53</v>
      </c>
      <c r="I34" s="95">
        <v>15</v>
      </c>
      <c r="J34" s="13">
        <v>2400</v>
      </c>
      <c r="K34" s="12">
        <f t="shared" si="1"/>
        <v>160</v>
      </c>
      <c r="L34" s="95">
        <v>15</v>
      </c>
      <c r="M34" s="13">
        <f t="shared" si="28"/>
        <v>2283.4951456310691</v>
      </c>
      <c r="N34" s="12">
        <f t="shared" si="3"/>
        <v>152.23300970873794</v>
      </c>
      <c r="O34" s="14">
        <f t="shared" si="4"/>
        <v>0</v>
      </c>
      <c r="P34" s="15">
        <f t="shared" si="5"/>
        <v>-7.7669902912620614</v>
      </c>
      <c r="Q34" s="91">
        <f t="shared" si="6"/>
        <v>0.95145631067961212</v>
      </c>
      <c r="R34" s="177"/>
      <c r="S34" s="21">
        <v>0.39722222222222214</v>
      </c>
      <c r="T34" s="21">
        <v>0.46874999999999989</v>
      </c>
      <c r="U34" s="88">
        <f t="shared" si="30"/>
        <v>5.9999999999999787</v>
      </c>
      <c r="V34" s="30">
        <f t="shared" si="29"/>
        <v>102.99999999999996</v>
      </c>
      <c r="W34" s="16"/>
      <c r="X34" s="16"/>
      <c r="Y34" s="16"/>
      <c r="Z34" s="16"/>
      <c r="AA34" s="168"/>
      <c r="AB34" s="168"/>
      <c r="AC34" s="18"/>
      <c r="AD34" s="18"/>
      <c r="AE34" s="14">
        <f t="shared" si="8"/>
        <v>-116.50485436893086</v>
      </c>
      <c r="AF34" s="91">
        <f t="shared" si="9"/>
        <v>0.95145631067961212</v>
      </c>
      <c r="AG34" s="177"/>
    </row>
    <row r="35" spans="1:33">
      <c r="A35" s="192" t="s">
        <v>268</v>
      </c>
      <c r="B35" s="12" t="s">
        <v>270</v>
      </c>
      <c r="C35" s="178"/>
      <c r="D35" s="178"/>
      <c r="E35" s="92"/>
      <c r="F35" s="12"/>
      <c r="G35" s="12"/>
      <c r="H35" s="88"/>
      <c r="I35" s="23">
        <v>17.600000000000001</v>
      </c>
      <c r="J35" s="13">
        <v>2400</v>
      </c>
      <c r="K35" s="12">
        <f t="shared" si="1"/>
        <v>136.36363636363635</v>
      </c>
      <c r="L35" s="23">
        <v>17.600000000000001</v>
      </c>
      <c r="M35" s="13">
        <f>AVERAGE(M30:M34)</f>
        <v>2295.3070877342725</v>
      </c>
      <c r="N35" s="12">
        <f t="shared" si="3"/>
        <v>130.4151754394473</v>
      </c>
      <c r="O35" s="14">
        <f t="shared" si="4"/>
        <v>0</v>
      </c>
      <c r="P35" s="15">
        <f t="shared" si="5"/>
        <v>-5.9484609241890496</v>
      </c>
      <c r="Q35" s="91">
        <f t="shared" si="6"/>
        <v>0.95637795322261365</v>
      </c>
      <c r="R35" s="177"/>
      <c r="S35" s="21"/>
      <c r="T35" s="21"/>
      <c r="U35" s="12"/>
      <c r="V35" s="30"/>
      <c r="W35" s="12"/>
      <c r="X35" s="12"/>
      <c r="Y35" s="24">
        <f>SUM(Y30:Y34)</f>
        <v>0</v>
      </c>
      <c r="Z35" s="24">
        <f>SUM(Z30:Z34)</f>
        <v>0</v>
      </c>
      <c r="AA35" s="167"/>
      <c r="AB35" s="167"/>
      <c r="AC35" s="24">
        <v>5</v>
      </c>
      <c r="AD35" s="24">
        <f>SUM(AD30:AD34)</f>
        <v>0</v>
      </c>
      <c r="AE35" s="14">
        <f t="shared" si="8"/>
        <v>-104.6929122657275</v>
      </c>
      <c r="AF35" s="91">
        <f t="shared" si="9"/>
        <v>0.95637795322261354</v>
      </c>
      <c r="AG35" s="177"/>
    </row>
    <row r="36" spans="1:33" ht="15.75" customHeight="1">
      <c r="A36" s="188" t="s">
        <v>271</v>
      </c>
      <c r="B36" s="28" t="s">
        <v>33</v>
      </c>
      <c r="C36" s="170" t="s">
        <v>72</v>
      </c>
      <c r="D36" s="171"/>
      <c r="E36" s="28">
        <v>34.35</v>
      </c>
      <c r="F36" s="88">
        <v>2378</v>
      </c>
      <c r="G36" s="88">
        <f t="shared" ref="G36:G40" si="31">E36*F36</f>
        <v>81684.3</v>
      </c>
      <c r="H36" s="30" t="s">
        <v>53</v>
      </c>
      <c r="I36" s="95">
        <v>8</v>
      </c>
      <c r="J36" s="13">
        <v>3000</v>
      </c>
      <c r="K36" s="12">
        <f t="shared" si="1"/>
        <v>375</v>
      </c>
      <c r="L36" s="95">
        <v>8</v>
      </c>
      <c r="M36" s="13">
        <f t="shared" ref="M36:M40" si="32">F36/V36*60</f>
        <v>2911.8367346938771</v>
      </c>
      <c r="N36" s="13">
        <f t="shared" si="3"/>
        <v>363.97959183673464</v>
      </c>
      <c r="O36" s="14">
        <f t="shared" si="4"/>
        <v>0</v>
      </c>
      <c r="P36" s="15">
        <f t="shared" si="5"/>
        <v>-11.020408163265358</v>
      </c>
      <c r="Q36" s="91">
        <f t="shared" si="6"/>
        <v>0.97061224489795905</v>
      </c>
      <c r="R36" s="183">
        <f>Q41</f>
        <v>0.96109775032322775</v>
      </c>
      <c r="S36" s="21">
        <v>8.3333333333333329E-2</v>
      </c>
      <c r="T36" s="21">
        <v>0.11736111111111111</v>
      </c>
      <c r="U36" s="21"/>
      <c r="V36" s="30">
        <f t="shared" ref="V36:V40" si="33">(T36-S36)*24*60</f>
        <v>49.000000000000007</v>
      </c>
      <c r="W36" s="16">
        <f>T36</f>
        <v>0.11736111111111111</v>
      </c>
      <c r="X36" s="16">
        <f>S37</f>
        <v>0.13680555555555557</v>
      </c>
      <c r="Y36" s="19"/>
      <c r="Z36" s="19"/>
      <c r="AA36" s="172"/>
      <c r="AB36" s="173"/>
      <c r="AC36" s="18">
        <v>5</v>
      </c>
      <c r="AD36" s="18"/>
      <c r="AE36" s="14">
        <f t="shared" si="8"/>
        <v>-88.163265306122867</v>
      </c>
      <c r="AF36" s="91">
        <f t="shared" si="9"/>
        <v>0.97061224489795905</v>
      </c>
      <c r="AG36" s="183">
        <f>AF41</f>
        <v>0.96109775032322764</v>
      </c>
    </row>
    <row r="37" spans="1:33" ht="15.75" customHeight="1">
      <c r="A37" s="189" t="s">
        <v>272</v>
      </c>
      <c r="B37" s="28" t="s">
        <v>33</v>
      </c>
      <c r="C37" s="170" t="s">
        <v>36</v>
      </c>
      <c r="D37" s="171"/>
      <c r="E37" s="28">
        <v>21.13</v>
      </c>
      <c r="F37" s="88">
        <v>4425</v>
      </c>
      <c r="G37" s="88">
        <f t="shared" si="31"/>
        <v>93500.25</v>
      </c>
      <c r="H37" s="30" t="s">
        <v>53</v>
      </c>
      <c r="I37" s="95">
        <v>10</v>
      </c>
      <c r="J37" s="13">
        <v>3000</v>
      </c>
      <c r="K37" s="12">
        <f t="shared" si="1"/>
        <v>300</v>
      </c>
      <c r="L37" s="95">
        <v>10</v>
      </c>
      <c r="M37" s="13">
        <f t="shared" si="32"/>
        <v>2854.8387096774195</v>
      </c>
      <c r="N37" s="13">
        <f t="shared" si="3"/>
        <v>285.48387096774195</v>
      </c>
      <c r="O37" s="14">
        <f t="shared" si="4"/>
        <v>0</v>
      </c>
      <c r="P37" s="15">
        <f t="shared" si="5"/>
        <v>-14.51612903225805</v>
      </c>
      <c r="Q37" s="91">
        <f t="shared" si="6"/>
        <v>0.95161290322580649</v>
      </c>
      <c r="R37" s="184"/>
      <c r="S37" s="21">
        <v>0.13680555555555557</v>
      </c>
      <c r="T37" s="21">
        <v>0.2013888888888889</v>
      </c>
      <c r="U37" s="88">
        <f t="shared" ref="U37:U40" si="34">(S37-T36)*24*60</f>
        <v>28.000000000000021</v>
      </c>
      <c r="V37" s="30">
        <f t="shared" si="33"/>
        <v>92.999999999999986</v>
      </c>
      <c r="W37" s="16"/>
      <c r="X37" s="16"/>
      <c r="Y37" s="19"/>
      <c r="Z37" s="19"/>
      <c r="AA37" s="172"/>
      <c r="AB37" s="173"/>
      <c r="AC37" s="18"/>
      <c r="AD37" s="18"/>
      <c r="AE37" s="14">
        <f t="shared" si="8"/>
        <v>-145.1612903225805</v>
      </c>
      <c r="AF37" s="91">
        <f t="shared" si="9"/>
        <v>0.95161290322580649</v>
      </c>
      <c r="AG37" s="184"/>
    </row>
    <row r="38" spans="1:33" ht="15.75" customHeight="1">
      <c r="A38" s="189" t="s">
        <v>273</v>
      </c>
      <c r="B38" s="28" t="s">
        <v>33</v>
      </c>
      <c r="C38" s="170" t="s">
        <v>37</v>
      </c>
      <c r="D38" s="171"/>
      <c r="E38" s="28">
        <v>27.17</v>
      </c>
      <c r="F38" s="88">
        <v>5478</v>
      </c>
      <c r="G38" s="88">
        <f t="shared" si="31"/>
        <v>148837.26</v>
      </c>
      <c r="H38" s="30" t="s">
        <v>53</v>
      </c>
      <c r="I38" s="95">
        <v>10</v>
      </c>
      <c r="J38" s="13">
        <v>3000</v>
      </c>
      <c r="K38" s="12">
        <f t="shared" si="1"/>
        <v>300</v>
      </c>
      <c r="L38" s="95">
        <v>10</v>
      </c>
      <c r="M38" s="13">
        <f t="shared" si="32"/>
        <v>2858.0869565217395</v>
      </c>
      <c r="N38" s="13">
        <f t="shared" si="3"/>
        <v>285.80869565217392</v>
      </c>
      <c r="O38" s="14">
        <f t="shared" si="4"/>
        <v>0</v>
      </c>
      <c r="P38" s="15">
        <f t="shared" si="5"/>
        <v>-14.191304347826076</v>
      </c>
      <c r="Q38" s="91">
        <f t="shared" si="6"/>
        <v>0.95269565217391305</v>
      </c>
      <c r="R38" s="184"/>
      <c r="S38" s="21">
        <v>0.2048611111111111</v>
      </c>
      <c r="T38" s="21">
        <v>0.28472222222222221</v>
      </c>
      <c r="U38" s="88">
        <f t="shared" si="34"/>
        <v>4.9999999999999822</v>
      </c>
      <c r="V38" s="30">
        <f t="shared" si="33"/>
        <v>114.99999999999999</v>
      </c>
      <c r="W38" s="16"/>
      <c r="X38" s="16"/>
      <c r="Y38" s="19"/>
      <c r="Z38" s="19"/>
      <c r="AA38" s="172"/>
      <c r="AB38" s="173"/>
      <c r="AC38" s="18"/>
      <c r="AD38" s="18"/>
      <c r="AE38" s="14">
        <f t="shared" si="8"/>
        <v>-141.91304347826053</v>
      </c>
      <c r="AF38" s="91">
        <f t="shared" si="9"/>
        <v>0.95269565217391317</v>
      </c>
      <c r="AG38" s="184"/>
    </row>
    <row r="39" spans="1:33" ht="15.75" customHeight="1">
      <c r="A39" s="189" t="s">
        <v>272</v>
      </c>
      <c r="B39" s="28" t="s">
        <v>33</v>
      </c>
      <c r="C39" s="170" t="s">
        <v>71</v>
      </c>
      <c r="D39" s="171"/>
      <c r="E39" s="28">
        <v>28.3</v>
      </c>
      <c r="F39" s="88">
        <v>1415</v>
      </c>
      <c r="G39" s="88">
        <f t="shared" si="31"/>
        <v>40044.5</v>
      </c>
      <c r="H39" s="30" t="s">
        <v>53</v>
      </c>
      <c r="I39" s="95">
        <v>8</v>
      </c>
      <c r="J39" s="13">
        <v>3000</v>
      </c>
      <c r="K39" s="12">
        <f t="shared" si="1"/>
        <v>375</v>
      </c>
      <c r="L39" s="95">
        <v>8</v>
      </c>
      <c r="M39" s="13">
        <f t="shared" si="32"/>
        <v>2927.5862068965539</v>
      </c>
      <c r="N39" s="13">
        <f t="shared" si="3"/>
        <v>365.94827586206924</v>
      </c>
      <c r="O39" s="14">
        <f t="shared" si="4"/>
        <v>0</v>
      </c>
      <c r="P39" s="15">
        <f t="shared" si="5"/>
        <v>-9.051724137930762</v>
      </c>
      <c r="Q39" s="91">
        <f t="shared" si="6"/>
        <v>0.97586206896551797</v>
      </c>
      <c r="R39" s="184"/>
      <c r="S39" s="21">
        <v>0.28888888888888886</v>
      </c>
      <c r="T39" s="21">
        <v>0.30902777777777773</v>
      </c>
      <c r="U39" s="88">
        <f t="shared" si="34"/>
        <v>5.9999999999999787</v>
      </c>
      <c r="V39" s="30">
        <f t="shared" si="33"/>
        <v>28.999999999999979</v>
      </c>
      <c r="W39" s="16"/>
      <c r="X39" s="16"/>
      <c r="Y39" s="19"/>
      <c r="Z39" s="19"/>
      <c r="AA39" s="172"/>
      <c r="AB39" s="173"/>
      <c r="AC39" s="18"/>
      <c r="AD39" s="18"/>
      <c r="AE39" s="14">
        <f t="shared" si="8"/>
        <v>-72.413793103446096</v>
      </c>
      <c r="AF39" s="91">
        <f t="shared" si="9"/>
        <v>0.97586206896551797</v>
      </c>
      <c r="AG39" s="184"/>
    </row>
    <row r="40" spans="1:33" ht="15.75" customHeight="1">
      <c r="A40" s="189" t="s">
        <v>271</v>
      </c>
      <c r="B40" s="28" t="s">
        <v>33</v>
      </c>
      <c r="C40" s="170" t="s">
        <v>38</v>
      </c>
      <c r="D40" s="171"/>
      <c r="E40" s="28">
        <v>35.869999999999997</v>
      </c>
      <c r="F40" s="88">
        <v>3246</v>
      </c>
      <c r="G40" s="88">
        <f t="shared" si="31"/>
        <v>116434.01999999999</v>
      </c>
      <c r="H40" s="30" t="s">
        <v>53</v>
      </c>
      <c r="I40" s="95">
        <v>9</v>
      </c>
      <c r="J40" s="13">
        <v>3000</v>
      </c>
      <c r="K40" s="12">
        <f t="shared" si="1"/>
        <v>333.33333333333331</v>
      </c>
      <c r="L40" s="95">
        <v>9</v>
      </c>
      <c r="M40" s="13">
        <f t="shared" si="32"/>
        <v>2864.1176470588234</v>
      </c>
      <c r="N40" s="13">
        <f t="shared" si="3"/>
        <v>318.23529411764707</v>
      </c>
      <c r="O40" s="14">
        <f t="shared" si="4"/>
        <v>0</v>
      </c>
      <c r="P40" s="15">
        <f t="shared" si="5"/>
        <v>-15.098039215686242</v>
      </c>
      <c r="Q40" s="91">
        <f t="shared" si="6"/>
        <v>0.95470588235294129</v>
      </c>
      <c r="R40" s="184"/>
      <c r="S40" s="21">
        <v>0.31458333333333327</v>
      </c>
      <c r="T40" s="21">
        <v>0.36180555555555549</v>
      </c>
      <c r="U40" s="88">
        <f t="shared" si="34"/>
        <v>7.9999999999999716</v>
      </c>
      <c r="V40" s="30">
        <f t="shared" si="33"/>
        <v>68</v>
      </c>
      <c r="W40" s="16"/>
      <c r="X40" s="16"/>
      <c r="Y40" s="19"/>
      <c r="Z40" s="19"/>
      <c r="AA40" s="172"/>
      <c r="AB40" s="173"/>
      <c r="AC40" s="18"/>
      <c r="AD40" s="18"/>
      <c r="AE40" s="14">
        <f t="shared" si="8"/>
        <v>-135.88235294117658</v>
      </c>
      <c r="AF40" s="91">
        <f t="shared" si="9"/>
        <v>0.95470588235294118</v>
      </c>
      <c r="AG40" s="184"/>
    </row>
    <row r="41" spans="1:33" ht="15.75" customHeight="1">
      <c r="A41" s="190" t="s">
        <v>272</v>
      </c>
      <c r="B41" s="28" t="s">
        <v>274</v>
      </c>
      <c r="C41" s="165"/>
      <c r="D41" s="166"/>
      <c r="E41" s="89"/>
      <c r="F41" s="88"/>
      <c r="G41" s="88"/>
      <c r="H41" s="88"/>
      <c r="I41" s="23">
        <v>9</v>
      </c>
      <c r="J41" s="13">
        <v>3000</v>
      </c>
      <c r="K41" s="12">
        <f t="shared" si="1"/>
        <v>333.33333333333331</v>
      </c>
      <c r="L41" s="23">
        <v>9</v>
      </c>
      <c r="M41" s="13">
        <f>AVERAGE(M36:M40)</f>
        <v>2883.293250969683</v>
      </c>
      <c r="N41" s="12">
        <f t="shared" si="3"/>
        <v>320.36591677440924</v>
      </c>
      <c r="O41" s="14">
        <f t="shared" si="4"/>
        <v>0</v>
      </c>
      <c r="P41" s="15">
        <f t="shared" si="5"/>
        <v>-12.967416558924072</v>
      </c>
      <c r="Q41" s="91">
        <f t="shared" si="6"/>
        <v>0.96109775032322775</v>
      </c>
      <c r="R41" s="185"/>
      <c r="S41" s="21"/>
      <c r="T41" s="21"/>
      <c r="U41" s="88"/>
      <c r="V41" s="30"/>
      <c r="W41" s="16"/>
      <c r="X41" s="16"/>
      <c r="Y41" s="24">
        <f>SUM(Y36:Y40)</f>
        <v>0</v>
      </c>
      <c r="Z41" s="24">
        <f>SUM(Z36:Z40)</f>
        <v>0</v>
      </c>
      <c r="AA41" s="186"/>
      <c r="AB41" s="187"/>
      <c r="AC41" s="24">
        <v>5</v>
      </c>
      <c r="AD41" s="24">
        <f>SUM(AD36:AD40)</f>
        <v>0</v>
      </c>
      <c r="AE41" s="14">
        <f t="shared" si="8"/>
        <v>-116.70674903031704</v>
      </c>
      <c r="AF41" s="91">
        <f t="shared" si="9"/>
        <v>0.96109775032322764</v>
      </c>
      <c r="AG41" s="185"/>
    </row>
    <row r="42" spans="1:33" ht="15.75" customHeight="1">
      <c r="A42" s="181" t="s">
        <v>275</v>
      </c>
      <c r="B42" s="28" t="s">
        <v>9</v>
      </c>
      <c r="C42" s="169" t="s">
        <v>39</v>
      </c>
      <c r="D42" s="169"/>
      <c r="E42" s="28">
        <v>46</v>
      </c>
      <c r="F42" s="29">
        <v>1804</v>
      </c>
      <c r="G42" s="88">
        <f t="shared" ref="G42:G48" si="35">E42*F42</f>
        <v>82984</v>
      </c>
      <c r="H42" s="30" t="s">
        <v>53</v>
      </c>
      <c r="I42" s="95">
        <v>17</v>
      </c>
      <c r="J42" s="13">
        <v>2000</v>
      </c>
      <c r="K42" s="12">
        <f t="shared" si="1"/>
        <v>117.64705882352941</v>
      </c>
      <c r="L42" s="95">
        <v>17</v>
      </c>
      <c r="M42" s="13">
        <f t="shared" ref="M42" si="36">F42/V42*60</f>
        <v>1932.8571428571429</v>
      </c>
      <c r="N42" s="13">
        <f t="shared" si="3"/>
        <v>113.69747899159664</v>
      </c>
      <c r="O42" s="14">
        <f t="shared" si="4"/>
        <v>0</v>
      </c>
      <c r="P42" s="15">
        <f t="shared" si="5"/>
        <v>-3.9495798319327662</v>
      </c>
      <c r="Q42" s="91">
        <f t="shared" si="6"/>
        <v>0.96642857142857153</v>
      </c>
      <c r="R42" s="177">
        <f>Q49</f>
        <v>0.96775016163904992</v>
      </c>
      <c r="S42" s="21">
        <v>0.20833333333333334</v>
      </c>
      <c r="T42" s="21">
        <v>0.24722222222222223</v>
      </c>
      <c r="U42" s="21"/>
      <c r="V42" s="30">
        <f t="shared" ref="V42:V48" si="37">(T42-S42)*24*60</f>
        <v>56</v>
      </c>
      <c r="W42" s="21"/>
      <c r="X42" s="21"/>
      <c r="Y42" s="21"/>
      <c r="Z42" s="21"/>
      <c r="AA42" s="168"/>
      <c r="AB42" s="168"/>
      <c r="AC42" s="18">
        <v>7</v>
      </c>
      <c r="AD42" s="18"/>
      <c r="AE42" s="14">
        <f t="shared" si="8"/>
        <v>-67.14285714285711</v>
      </c>
      <c r="AF42" s="91">
        <f t="shared" si="9"/>
        <v>0.96642857142857141</v>
      </c>
      <c r="AG42" s="177">
        <f>AF49</f>
        <v>0.96775016163904992</v>
      </c>
    </row>
    <row r="43" spans="1:33" ht="15.75" customHeight="1">
      <c r="A43" s="181" t="s">
        <v>276</v>
      </c>
      <c r="B43" s="28" t="s">
        <v>5</v>
      </c>
      <c r="C43" s="169" t="s">
        <v>40</v>
      </c>
      <c r="D43" s="169"/>
      <c r="E43" s="28">
        <v>56.43</v>
      </c>
      <c r="F43" s="29">
        <v>1280</v>
      </c>
      <c r="G43" s="88">
        <f t="shared" si="35"/>
        <v>72230.399999999994</v>
      </c>
      <c r="H43" s="30" t="s">
        <v>53</v>
      </c>
      <c r="I43" s="95">
        <v>22</v>
      </c>
      <c r="J43" s="13">
        <v>2000</v>
      </c>
      <c r="K43" s="12">
        <f t="shared" si="1"/>
        <v>90.909090909090907</v>
      </c>
      <c r="L43" s="95">
        <v>22</v>
      </c>
      <c r="M43" s="13">
        <f>F43/V43*60</f>
        <v>1919.9999999999993</v>
      </c>
      <c r="N43" s="13">
        <f t="shared" si="3"/>
        <v>87.272727272727238</v>
      </c>
      <c r="O43" s="14">
        <f t="shared" si="4"/>
        <v>0</v>
      </c>
      <c r="P43" s="15">
        <f t="shared" si="5"/>
        <v>-3.6363636363636687</v>
      </c>
      <c r="Q43" s="91">
        <f t="shared" si="6"/>
        <v>0.95999999999999963</v>
      </c>
      <c r="R43" s="177"/>
      <c r="S43" s="21">
        <v>0.25277777777777777</v>
      </c>
      <c r="T43" s="21">
        <v>0.28055555555555556</v>
      </c>
      <c r="U43" s="88">
        <f t="shared" ref="U43:U48" si="38">IF(S43=TIME(17,0,0),"",(S43-T42)*24*60)</f>
        <v>7.9999999999999716</v>
      </c>
      <c r="V43" s="30">
        <f t="shared" si="37"/>
        <v>40.000000000000014</v>
      </c>
      <c r="W43" s="16"/>
      <c r="X43" s="16"/>
      <c r="Y43" s="16"/>
      <c r="Z43" s="16"/>
      <c r="AA43" s="168"/>
      <c r="AB43" s="168"/>
      <c r="AC43" s="18"/>
      <c r="AD43" s="18"/>
      <c r="AE43" s="14">
        <f t="shared" si="8"/>
        <v>-80.000000000000682</v>
      </c>
      <c r="AF43" s="91">
        <f t="shared" si="9"/>
        <v>0.95999999999999963</v>
      </c>
      <c r="AG43" s="177"/>
    </row>
    <row r="44" spans="1:33" ht="15.75" customHeight="1">
      <c r="A44" s="181" t="s">
        <v>277</v>
      </c>
      <c r="B44" s="28" t="s">
        <v>5</v>
      </c>
      <c r="C44" s="170" t="s">
        <v>41</v>
      </c>
      <c r="D44" s="171"/>
      <c r="E44" s="28">
        <v>51.75</v>
      </c>
      <c r="F44" s="29">
        <v>874</v>
      </c>
      <c r="G44" s="88">
        <f t="shared" si="35"/>
        <v>45229.5</v>
      </c>
      <c r="H44" s="30" t="s">
        <v>53</v>
      </c>
      <c r="I44" s="95">
        <v>25</v>
      </c>
      <c r="J44" s="13">
        <v>2000</v>
      </c>
      <c r="K44" s="12">
        <f t="shared" si="1"/>
        <v>80</v>
      </c>
      <c r="L44" s="95">
        <v>25</v>
      </c>
      <c r="M44" s="13">
        <f t="shared" ref="M44:M48" si="39">F44/V44*60</f>
        <v>1942.2222222222233</v>
      </c>
      <c r="N44" s="13">
        <f t="shared" si="3"/>
        <v>77.688888888888926</v>
      </c>
      <c r="O44" s="14">
        <f t="shared" si="4"/>
        <v>0</v>
      </c>
      <c r="P44" s="15">
        <f t="shared" si="5"/>
        <v>-2.3111111111110745</v>
      </c>
      <c r="Q44" s="91">
        <f t="shared" si="6"/>
        <v>0.97111111111111159</v>
      </c>
      <c r="R44" s="177"/>
      <c r="S44" s="21">
        <v>0.28472222222222221</v>
      </c>
      <c r="T44" s="21">
        <v>0.3034722222222222</v>
      </c>
      <c r="U44" s="88">
        <f t="shared" si="38"/>
        <v>5.9999999999999787</v>
      </c>
      <c r="V44" s="30">
        <f t="shared" si="37"/>
        <v>26.999999999999986</v>
      </c>
      <c r="W44" s="16"/>
      <c r="X44" s="16"/>
      <c r="Y44" s="19"/>
      <c r="Z44" s="19"/>
      <c r="AA44" s="168"/>
      <c r="AB44" s="168"/>
      <c r="AC44" s="18"/>
      <c r="AD44" s="18"/>
      <c r="AE44" s="14">
        <f t="shared" si="8"/>
        <v>-57.777777777776691</v>
      </c>
      <c r="AF44" s="91">
        <f t="shared" si="9"/>
        <v>0.9711111111111117</v>
      </c>
      <c r="AG44" s="177"/>
    </row>
    <row r="45" spans="1:33" ht="15.75" customHeight="1">
      <c r="A45" s="181" t="s">
        <v>277</v>
      </c>
      <c r="B45" s="28" t="s">
        <v>5</v>
      </c>
      <c r="C45" s="93" t="s">
        <v>42</v>
      </c>
      <c r="D45" s="94"/>
      <c r="E45" s="28">
        <v>57.73</v>
      </c>
      <c r="F45" s="29">
        <v>776</v>
      </c>
      <c r="G45" s="88">
        <f t="shared" si="35"/>
        <v>44798.479999999996</v>
      </c>
      <c r="H45" s="30" t="s">
        <v>53</v>
      </c>
      <c r="I45" s="95">
        <v>16</v>
      </c>
      <c r="J45" s="13">
        <v>1500</v>
      </c>
      <c r="K45" s="12">
        <f t="shared" si="1"/>
        <v>93.75</v>
      </c>
      <c r="L45" s="95">
        <v>16</v>
      </c>
      <c r="M45" s="13">
        <f t="shared" si="39"/>
        <v>1454.9999999999982</v>
      </c>
      <c r="N45" s="13">
        <f t="shared" si="3"/>
        <v>90.937499999999886</v>
      </c>
      <c r="O45" s="14">
        <f t="shared" si="4"/>
        <v>0</v>
      </c>
      <c r="P45" s="15">
        <f t="shared" si="5"/>
        <v>-2.8125000000001137</v>
      </c>
      <c r="Q45" s="91">
        <f t="shared" si="6"/>
        <v>0.96999999999999875</v>
      </c>
      <c r="R45" s="177"/>
      <c r="S45" s="21">
        <v>0.70833333333333337</v>
      </c>
      <c r="T45" s="21">
        <v>0.73055555555555562</v>
      </c>
      <c r="U45" s="88" t="str">
        <f t="shared" si="38"/>
        <v/>
      </c>
      <c r="V45" s="30">
        <f t="shared" si="37"/>
        <v>32.000000000000043</v>
      </c>
      <c r="W45" s="16"/>
      <c r="X45" s="16"/>
      <c r="Y45" s="19"/>
      <c r="Z45" s="19"/>
      <c r="AA45" s="168"/>
      <c r="AB45" s="168"/>
      <c r="AC45" s="18"/>
      <c r="AD45" s="18"/>
      <c r="AE45" s="14">
        <f t="shared" si="8"/>
        <v>-45.000000000001819</v>
      </c>
      <c r="AF45" s="91">
        <f t="shared" si="9"/>
        <v>0.96999999999999875</v>
      </c>
      <c r="AG45" s="177"/>
    </row>
    <row r="46" spans="1:33" ht="15.75" customHeight="1">
      <c r="A46" s="181" t="s">
        <v>276</v>
      </c>
      <c r="B46" s="28" t="s">
        <v>5</v>
      </c>
      <c r="C46" s="93" t="s">
        <v>43</v>
      </c>
      <c r="D46" s="94"/>
      <c r="E46" s="28">
        <v>54.29</v>
      </c>
      <c r="F46" s="29">
        <v>834</v>
      </c>
      <c r="G46" s="88">
        <f t="shared" si="35"/>
        <v>45277.86</v>
      </c>
      <c r="H46" s="30" t="s">
        <v>53</v>
      </c>
      <c r="I46" s="95">
        <v>20</v>
      </c>
      <c r="J46" s="13">
        <v>2000</v>
      </c>
      <c r="K46" s="12">
        <f t="shared" si="1"/>
        <v>100</v>
      </c>
      <c r="L46" s="95">
        <v>20</v>
      </c>
      <c r="M46" s="13">
        <f t="shared" si="39"/>
        <v>1924.6153846153798</v>
      </c>
      <c r="N46" s="13">
        <f t="shared" si="3"/>
        <v>96.230769230768985</v>
      </c>
      <c r="O46" s="14">
        <f t="shared" si="4"/>
        <v>0</v>
      </c>
      <c r="P46" s="15">
        <f t="shared" si="5"/>
        <v>-3.7692307692310152</v>
      </c>
      <c r="Q46" s="91">
        <f t="shared" si="6"/>
        <v>0.96230769230768987</v>
      </c>
      <c r="R46" s="177"/>
      <c r="S46" s="21">
        <v>0.73611111111111116</v>
      </c>
      <c r="T46" s="21">
        <v>0.75416666666666676</v>
      </c>
      <c r="U46" s="88">
        <f t="shared" si="38"/>
        <v>7.9999999999999716</v>
      </c>
      <c r="V46" s="30">
        <f t="shared" si="37"/>
        <v>26.000000000000068</v>
      </c>
      <c r="W46" s="16"/>
      <c r="X46" s="16"/>
      <c r="Y46" s="19"/>
      <c r="Z46" s="19"/>
      <c r="AA46" s="168"/>
      <c r="AB46" s="168"/>
      <c r="AC46" s="18"/>
      <c r="AD46" s="18"/>
      <c r="AE46" s="14">
        <f t="shared" si="8"/>
        <v>-75.384615384620247</v>
      </c>
      <c r="AF46" s="91">
        <f t="shared" si="9"/>
        <v>0.96230769230768987</v>
      </c>
      <c r="AG46" s="177"/>
    </row>
    <row r="47" spans="1:33" ht="15.75" customHeight="1">
      <c r="A47" s="181" t="s">
        <v>276</v>
      </c>
      <c r="B47" s="28" t="s">
        <v>5</v>
      </c>
      <c r="C47" s="170" t="s">
        <v>44</v>
      </c>
      <c r="D47" s="171"/>
      <c r="E47" s="28">
        <v>55.56</v>
      </c>
      <c r="F47" s="29">
        <v>1550</v>
      </c>
      <c r="G47" s="88">
        <f t="shared" si="35"/>
        <v>86118</v>
      </c>
      <c r="H47" s="30" t="s">
        <v>53</v>
      </c>
      <c r="I47" s="95">
        <v>17</v>
      </c>
      <c r="J47" s="13">
        <v>2000</v>
      </c>
      <c r="K47" s="12">
        <f t="shared" si="1"/>
        <v>117.64705882352941</v>
      </c>
      <c r="L47" s="95">
        <v>17</v>
      </c>
      <c r="M47" s="13">
        <f t="shared" si="39"/>
        <v>1937.5000000000007</v>
      </c>
      <c r="N47" s="13">
        <f t="shared" si="3"/>
        <v>113.97058823529416</v>
      </c>
      <c r="O47" s="14">
        <f t="shared" si="4"/>
        <v>0</v>
      </c>
      <c r="P47" s="15">
        <f t="shared" si="5"/>
        <v>-3.6764705882352473</v>
      </c>
      <c r="Q47" s="91">
        <f t="shared" si="6"/>
        <v>0.96875000000000044</v>
      </c>
      <c r="R47" s="177"/>
      <c r="S47" s="21">
        <v>0.75763888888888897</v>
      </c>
      <c r="T47" s="21">
        <v>0.7909722222222223</v>
      </c>
      <c r="U47" s="88">
        <f t="shared" si="38"/>
        <v>4.9999999999999822</v>
      </c>
      <c r="V47" s="30">
        <f t="shared" si="37"/>
        <v>47.999999999999986</v>
      </c>
      <c r="W47" s="16"/>
      <c r="X47" s="16"/>
      <c r="Y47" s="19"/>
      <c r="Z47" s="19"/>
      <c r="AA47" s="172"/>
      <c r="AB47" s="173"/>
      <c r="AC47" s="18"/>
      <c r="AD47" s="18"/>
      <c r="AE47" s="14">
        <f t="shared" si="8"/>
        <v>-62.499999999999318</v>
      </c>
      <c r="AF47" s="91">
        <f t="shared" si="9"/>
        <v>0.96875000000000033</v>
      </c>
      <c r="AG47" s="177"/>
    </row>
    <row r="48" spans="1:33" ht="15.75" customHeight="1">
      <c r="A48" s="181" t="s">
        <v>275</v>
      </c>
      <c r="B48" s="28" t="s">
        <v>5</v>
      </c>
      <c r="C48" s="170" t="s">
        <v>45</v>
      </c>
      <c r="D48" s="171"/>
      <c r="E48" s="28">
        <v>55.32</v>
      </c>
      <c r="F48" s="29">
        <v>1204</v>
      </c>
      <c r="G48" s="88">
        <f t="shared" si="35"/>
        <v>66605.279999999999</v>
      </c>
      <c r="H48" s="30" t="s">
        <v>53</v>
      </c>
      <c r="I48" s="95">
        <v>15</v>
      </c>
      <c r="J48" s="13">
        <v>2000</v>
      </c>
      <c r="K48" s="12">
        <f t="shared" si="1"/>
        <v>133.33333333333334</v>
      </c>
      <c r="L48" s="95">
        <v>15</v>
      </c>
      <c r="M48" s="13">
        <f t="shared" si="39"/>
        <v>1952.4324324324311</v>
      </c>
      <c r="N48" s="13">
        <f t="shared" si="3"/>
        <v>130.16216216216208</v>
      </c>
      <c r="O48" s="14">
        <f t="shared" si="4"/>
        <v>0</v>
      </c>
      <c r="P48" s="15">
        <f t="shared" si="5"/>
        <v>-3.1711711711712667</v>
      </c>
      <c r="Q48" s="91">
        <f t="shared" si="6"/>
        <v>0.97621621621621546</v>
      </c>
      <c r="R48" s="177"/>
      <c r="S48" s="21">
        <v>0.79583333333333339</v>
      </c>
      <c r="T48" s="21">
        <v>0.82152777777777786</v>
      </c>
      <c r="U48" s="88">
        <f t="shared" si="38"/>
        <v>6.9999999999999751</v>
      </c>
      <c r="V48" s="30">
        <f t="shared" si="37"/>
        <v>37.000000000000028</v>
      </c>
      <c r="W48" s="16"/>
      <c r="X48" s="16"/>
      <c r="Y48" s="19"/>
      <c r="Z48" s="19"/>
      <c r="AA48" s="172"/>
      <c r="AB48" s="173"/>
      <c r="AC48" s="18"/>
      <c r="AD48" s="18"/>
      <c r="AE48" s="14">
        <f t="shared" si="8"/>
        <v>-47.567567567568858</v>
      </c>
      <c r="AF48" s="91">
        <f t="shared" si="9"/>
        <v>0.97621621621621557</v>
      </c>
      <c r="AG48" s="177"/>
    </row>
    <row r="49" spans="1:33">
      <c r="A49" s="182" t="s">
        <v>276</v>
      </c>
      <c r="B49" s="28" t="s">
        <v>274</v>
      </c>
      <c r="C49" s="178"/>
      <c r="D49" s="178"/>
      <c r="E49" s="92"/>
      <c r="F49" s="12"/>
      <c r="G49" s="12"/>
      <c r="H49" s="88"/>
      <c r="I49" s="23">
        <v>18.857142857142858</v>
      </c>
      <c r="J49" s="13">
        <v>1928.5714285714287</v>
      </c>
      <c r="K49" s="12">
        <f t="shared" si="1"/>
        <v>102.27272727272728</v>
      </c>
      <c r="L49" s="23">
        <v>18.857142857142858</v>
      </c>
      <c r="M49" s="13">
        <f>AVERAGE(M42:M48)</f>
        <v>1866.3753117324536</v>
      </c>
      <c r="N49" s="12">
        <f t="shared" si="3"/>
        <v>98.974448349448295</v>
      </c>
      <c r="O49" s="14">
        <f t="shared" si="4"/>
        <v>0</v>
      </c>
      <c r="P49" s="15">
        <f t="shared" si="5"/>
        <v>-3.2982789232789855</v>
      </c>
      <c r="Q49" s="91">
        <f t="shared" si="6"/>
        <v>0.96775016163904992</v>
      </c>
      <c r="R49" s="177"/>
      <c r="S49" s="21"/>
      <c r="T49" s="21"/>
      <c r="U49" s="88"/>
      <c r="V49" s="30"/>
      <c r="W49" s="12"/>
      <c r="X49" s="12"/>
      <c r="Y49" s="24">
        <f>SUM(Y42:Y48)</f>
        <v>0</v>
      </c>
      <c r="Z49" s="24">
        <f>SUM(Z42:Z48)</f>
        <v>0</v>
      </c>
      <c r="AA49" s="167"/>
      <c r="AB49" s="167"/>
      <c r="AC49" s="24">
        <v>7</v>
      </c>
      <c r="AD49" s="24">
        <f>SUM(AD42:AD48)</f>
        <v>0</v>
      </c>
      <c r="AE49" s="14">
        <f>M49-J49</f>
        <v>-62.196116838975058</v>
      </c>
      <c r="AF49" s="91">
        <f t="shared" si="9"/>
        <v>0.96775016163904992</v>
      </c>
      <c r="AG49" s="177"/>
    </row>
    <row r="50" spans="1:33" ht="15.75" customHeight="1">
      <c r="A50" s="179" t="s">
        <v>278</v>
      </c>
      <c r="B50" s="88" t="s">
        <v>33</v>
      </c>
      <c r="C50" s="169" t="s">
        <v>46</v>
      </c>
      <c r="D50" s="169"/>
      <c r="E50" s="28">
        <v>37.85</v>
      </c>
      <c r="F50" s="29">
        <v>1181</v>
      </c>
      <c r="G50" s="88">
        <f t="shared" ref="G50:G54" si="40">E50*F50</f>
        <v>44700.85</v>
      </c>
      <c r="H50" s="30" t="s">
        <v>53</v>
      </c>
      <c r="I50" s="95">
        <v>12</v>
      </c>
      <c r="J50" s="13">
        <v>2000</v>
      </c>
      <c r="K50" s="12">
        <f t="shared" si="1"/>
        <v>166.66666666666666</v>
      </c>
      <c r="L50" s="95">
        <v>12</v>
      </c>
      <c r="M50" s="13">
        <f t="shared" ref="M50:M54" si="41">F50/V50*60</f>
        <v>1915.1351351351359</v>
      </c>
      <c r="N50" s="12">
        <f t="shared" si="3"/>
        <v>159.59459459459467</v>
      </c>
      <c r="O50" s="14">
        <f t="shared" si="4"/>
        <v>0</v>
      </c>
      <c r="P50" s="15">
        <f t="shared" si="5"/>
        <v>-7.0720720720719896</v>
      </c>
      <c r="Q50" s="91">
        <f t="shared" si="6"/>
        <v>0.95756756756756811</v>
      </c>
      <c r="R50" s="177">
        <f>Q55</f>
        <v>0.96755892054604054</v>
      </c>
      <c r="S50" s="21">
        <v>0.20833333333333334</v>
      </c>
      <c r="T50" s="21">
        <v>0.23402777777777778</v>
      </c>
      <c r="U50" s="88"/>
      <c r="V50" s="30">
        <f t="shared" ref="V50:V54" si="42">(T50-S50)*24*60</f>
        <v>36.999999999999986</v>
      </c>
      <c r="W50" s="21"/>
      <c r="X50" s="21"/>
      <c r="Y50" s="21"/>
      <c r="Z50" s="21"/>
      <c r="AA50" s="168"/>
      <c r="AB50" s="168"/>
      <c r="AC50" s="18">
        <v>5</v>
      </c>
      <c r="AD50" s="18"/>
      <c r="AE50" s="14">
        <f t="shared" ref="AE50:AE61" si="43">M50-J50</f>
        <v>-84.864864864864103</v>
      </c>
      <c r="AF50" s="91">
        <f t="shared" si="9"/>
        <v>0.957567567567568</v>
      </c>
      <c r="AG50" s="177">
        <f>AF55</f>
        <v>0.96755892054604054</v>
      </c>
    </row>
    <row r="51" spans="1:33" ht="15.75" customHeight="1">
      <c r="A51" s="179" t="s">
        <v>278</v>
      </c>
      <c r="B51" s="88" t="s">
        <v>33</v>
      </c>
      <c r="C51" s="169" t="s">
        <v>47</v>
      </c>
      <c r="D51" s="169"/>
      <c r="E51" s="28">
        <v>34.36</v>
      </c>
      <c r="F51" s="29">
        <v>1794</v>
      </c>
      <c r="G51" s="88">
        <f t="shared" si="40"/>
        <v>61641.84</v>
      </c>
      <c r="H51" s="30" t="s">
        <v>53</v>
      </c>
      <c r="I51" s="95">
        <v>10</v>
      </c>
      <c r="J51" s="13">
        <v>3000</v>
      </c>
      <c r="K51" s="12">
        <f t="shared" si="1"/>
        <v>300</v>
      </c>
      <c r="L51" s="95">
        <v>10</v>
      </c>
      <c r="M51" s="13">
        <f t="shared" si="41"/>
        <v>2909.1891891891905</v>
      </c>
      <c r="N51" s="12">
        <f t="shared" si="3"/>
        <v>290.91891891891908</v>
      </c>
      <c r="O51" s="14">
        <f t="shared" si="4"/>
        <v>0</v>
      </c>
      <c r="P51" s="15">
        <f t="shared" si="5"/>
        <v>-9.0810810810809244</v>
      </c>
      <c r="Q51" s="91">
        <f t="shared" si="6"/>
        <v>0.96972972972973026</v>
      </c>
      <c r="R51" s="177"/>
      <c r="S51" s="21">
        <v>0.23819444444444446</v>
      </c>
      <c r="T51" s="21">
        <v>0.2638888888888889</v>
      </c>
      <c r="U51" s="88">
        <f t="shared" ref="U51:U54" si="44">(S51-T50)*24*60</f>
        <v>6.0000000000000187</v>
      </c>
      <c r="V51" s="30">
        <f t="shared" si="42"/>
        <v>36.999999999999986</v>
      </c>
      <c r="W51" s="88"/>
      <c r="X51" s="88"/>
      <c r="Y51" s="88"/>
      <c r="Z51" s="88"/>
      <c r="AA51" s="168"/>
      <c r="AB51" s="168"/>
      <c r="AC51" s="18"/>
      <c r="AD51" s="18"/>
      <c r="AE51" s="14">
        <f t="shared" si="43"/>
        <v>-90.810810810809471</v>
      </c>
      <c r="AF51" s="91">
        <f t="shared" si="9"/>
        <v>0.96972972972973015</v>
      </c>
      <c r="AG51" s="177"/>
    </row>
    <row r="52" spans="1:33" ht="15.75" customHeight="1">
      <c r="A52" s="179" t="s">
        <v>278</v>
      </c>
      <c r="B52" s="88" t="s">
        <v>33</v>
      </c>
      <c r="C52" s="169" t="s">
        <v>48</v>
      </c>
      <c r="D52" s="169"/>
      <c r="E52" s="28">
        <v>35.119999999999997</v>
      </c>
      <c r="F52" s="29">
        <v>4269</v>
      </c>
      <c r="G52" s="88">
        <f t="shared" si="40"/>
        <v>149927.28</v>
      </c>
      <c r="H52" s="30" t="s">
        <v>53</v>
      </c>
      <c r="I52" s="95">
        <v>10</v>
      </c>
      <c r="J52" s="13">
        <v>3000</v>
      </c>
      <c r="K52" s="12">
        <f t="shared" si="1"/>
        <v>300</v>
      </c>
      <c r="L52" s="95">
        <v>10</v>
      </c>
      <c r="M52" s="13">
        <f t="shared" si="41"/>
        <v>2877.9775280898875</v>
      </c>
      <c r="N52" s="12">
        <f t="shared" si="3"/>
        <v>287.79775280898878</v>
      </c>
      <c r="O52" s="14">
        <f t="shared" si="4"/>
        <v>0</v>
      </c>
      <c r="P52" s="15">
        <f t="shared" si="5"/>
        <v>-12.202247191011224</v>
      </c>
      <c r="Q52" s="91">
        <f t="shared" si="6"/>
        <v>0.95932584269662924</v>
      </c>
      <c r="R52" s="177"/>
      <c r="S52" s="21">
        <v>0.26944444444444443</v>
      </c>
      <c r="T52" s="21">
        <v>0.33124999999999999</v>
      </c>
      <c r="U52" s="88">
        <f t="shared" si="44"/>
        <v>7.9999999999999716</v>
      </c>
      <c r="V52" s="30">
        <f t="shared" si="42"/>
        <v>89</v>
      </c>
      <c r="W52" s="88"/>
      <c r="X52" s="88"/>
      <c r="Y52" s="88"/>
      <c r="Z52" s="88"/>
      <c r="AA52" s="168"/>
      <c r="AB52" s="168"/>
      <c r="AC52" s="18"/>
      <c r="AD52" s="18"/>
      <c r="AE52" s="14">
        <f t="shared" si="43"/>
        <v>-122.02247191011247</v>
      </c>
      <c r="AF52" s="91">
        <f t="shared" si="9"/>
        <v>0.95932584269662913</v>
      </c>
      <c r="AG52" s="177"/>
    </row>
    <row r="53" spans="1:33" ht="15.75" customHeight="1">
      <c r="A53" s="179" t="s">
        <v>278</v>
      </c>
      <c r="B53" s="88" t="s">
        <v>33</v>
      </c>
      <c r="C53" s="169" t="s">
        <v>34</v>
      </c>
      <c r="D53" s="169"/>
      <c r="E53" s="28">
        <v>34.36</v>
      </c>
      <c r="F53" s="29">
        <v>1327</v>
      </c>
      <c r="G53" s="88">
        <f t="shared" si="40"/>
        <v>45595.72</v>
      </c>
      <c r="H53" s="30" t="s">
        <v>53</v>
      </c>
      <c r="I53" s="95">
        <v>10</v>
      </c>
      <c r="J53" s="13">
        <v>3000</v>
      </c>
      <c r="K53" s="12">
        <f t="shared" si="1"/>
        <v>300</v>
      </c>
      <c r="L53" s="95">
        <v>10</v>
      </c>
      <c r="M53" s="13">
        <f t="shared" si="41"/>
        <v>2948.8888888888905</v>
      </c>
      <c r="N53" s="12">
        <f t="shared" si="3"/>
        <v>294.88888888888903</v>
      </c>
      <c r="O53" s="14">
        <f t="shared" si="4"/>
        <v>0</v>
      </c>
      <c r="P53" s="15">
        <f t="shared" si="5"/>
        <v>-5.1111111111109722</v>
      </c>
      <c r="Q53" s="91">
        <f t="shared" si="6"/>
        <v>0.98296296296296337</v>
      </c>
      <c r="R53" s="177"/>
      <c r="S53" s="21">
        <v>0.3347222222222222</v>
      </c>
      <c r="T53" s="21">
        <v>0.35347222222222219</v>
      </c>
      <c r="U53" s="88">
        <f t="shared" si="44"/>
        <v>4.9999999999999822</v>
      </c>
      <c r="V53" s="30">
        <f t="shared" si="42"/>
        <v>26.999999999999986</v>
      </c>
      <c r="W53" s="88"/>
      <c r="X53" s="88"/>
      <c r="Y53" s="88"/>
      <c r="Z53" s="88"/>
      <c r="AA53" s="168"/>
      <c r="AB53" s="168"/>
      <c r="AC53" s="18"/>
      <c r="AD53" s="18"/>
      <c r="AE53" s="14">
        <f t="shared" si="43"/>
        <v>-51.111111111109494</v>
      </c>
      <c r="AF53" s="91">
        <f t="shared" si="9"/>
        <v>0.98296296296296348</v>
      </c>
      <c r="AG53" s="177"/>
    </row>
    <row r="54" spans="1:33">
      <c r="A54" s="180" t="s">
        <v>279</v>
      </c>
      <c r="B54" s="88" t="s">
        <v>33</v>
      </c>
      <c r="C54" s="169" t="s">
        <v>35</v>
      </c>
      <c r="D54" s="169"/>
      <c r="E54" s="28">
        <v>26.78</v>
      </c>
      <c r="F54" s="29">
        <v>1978</v>
      </c>
      <c r="G54" s="88">
        <f t="shared" si="40"/>
        <v>52970.840000000004</v>
      </c>
      <c r="H54" s="30" t="s">
        <v>53</v>
      </c>
      <c r="I54" s="95">
        <v>10</v>
      </c>
      <c r="J54" s="13">
        <v>3000</v>
      </c>
      <c r="K54" s="12">
        <f t="shared" si="1"/>
        <v>300</v>
      </c>
      <c r="L54" s="95">
        <v>10</v>
      </c>
      <c r="M54" s="13">
        <f t="shared" si="41"/>
        <v>2894.6341463414624</v>
      </c>
      <c r="N54" s="12">
        <f t="shared" si="3"/>
        <v>289.46341463414626</v>
      </c>
      <c r="O54" s="14">
        <f t="shared" si="4"/>
        <v>0</v>
      </c>
      <c r="P54" s="15">
        <f t="shared" si="5"/>
        <v>-10.536585365853739</v>
      </c>
      <c r="Q54" s="91">
        <f t="shared" si="6"/>
        <v>0.96487804878048755</v>
      </c>
      <c r="R54" s="177"/>
      <c r="S54" s="21">
        <v>0.35763888888888884</v>
      </c>
      <c r="T54" s="21">
        <v>0.38611111111111107</v>
      </c>
      <c r="U54" s="88">
        <f t="shared" si="44"/>
        <v>5.9999999999999787</v>
      </c>
      <c r="V54" s="30">
        <f t="shared" si="42"/>
        <v>41.000000000000014</v>
      </c>
      <c r="W54" s="16"/>
      <c r="X54" s="16"/>
      <c r="Y54" s="16"/>
      <c r="Z54" s="16"/>
      <c r="AA54" s="168"/>
      <c r="AB54" s="168"/>
      <c r="AC54" s="18"/>
      <c r="AD54" s="18"/>
      <c r="AE54" s="14">
        <f t="shared" si="43"/>
        <v>-105.36585365853762</v>
      </c>
      <c r="AF54" s="91">
        <f t="shared" si="9"/>
        <v>0.96487804878048744</v>
      </c>
      <c r="AG54" s="177"/>
    </row>
    <row r="55" spans="1:33">
      <c r="A55" s="180" t="s">
        <v>278</v>
      </c>
      <c r="B55" s="28" t="s">
        <v>280</v>
      </c>
      <c r="C55" s="178"/>
      <c r="D55" s="178"/>
      <c r="E55" s="92"/>
      <c r="F55" s="12"/>
      <c r="G55" s="12"/>
      <c r="H55" s="88"/>
      <c r="I55" s="23">
        <v>10.4</v>
      </c>
      <c r="J55" s="13">
        <v>2800</v>
      </c>
      <c r="K55" s="12">
        <f t="shared" si="1"/>
        <v>269.23076923076923</v>
      </c>
      <c r="L55" s="23">
        <v>10.4</v>
      </c>
      <c r="M55" s="13">
        <f>AVERAGE(M50:M54)</f>
        <v>2709.1649775289134</v>
      </c>
      <c r="N55" s="12">
        <f t="shared" si="3"/>
        <v>260.49663245470322</v>
      </c>
      <c r="O55" s="14">
        <f t="shared" si="4"/>
        <v>0</v>
      </c>
      <c r="P55" s="15">
        <f t="shared" si="5"/>
        <v>-8.7341367760660091</v>
      </c>
      <c r="Q55" s="91">
        <f t="shared" si="6"/>
        <v>0.96755892054604054</v>
      </c>
      <c r="R55" s="177"/>
      <c r="S55" s="21"/>
      <c r="T55" s="21"/>
      <c r="U55" s="12"/>
      <c r="V55" s="30"/>
      <c r="W55" s="12"/>
      <c r="X55" s="12"/>
      <c r="Y55" s="24">
        <f>SUM(Y50:Y54)</f>
        <v>0</v>
      </c>
      <c r="Z55" s="24">
        <f>SUM(Z50:Z54)</f>
        <v>0</v>
      </c>
      <c r="AA55" s="167"/>
      <c r="AB55" s="167"/>
      <c r="AC55" s="24">
        <v>5</v>
      </c>
      <c r="AD55" s="24">
        <f>SUM(AD50:AD54)</f>
        <v>0</v>
      </c>
      <c r="AE55" s="14">
        <f t="shared" si="43"/>
        <v>-90.835022471086631</v>
      </c>
      <c r="AF55" s="91">
        <f t="shared" si="9"/>
        <v>0.96755892054604054</v>
      </c>
      <c r="AG55" s="177"/>
    </row>
    <row r="56" spans="1:33" ht="15.75" customHeight="1">
      <c r="A56" s="174" t="s">
        <v>281</v>
      </c>
      <c r="B56" s="88" t="s">
        <v>22</v>
      </c>
      <c r="C56" s="169" t="s">
        <v>49</v>
      </c>
      <c r="D56" s="169"/>
      <c r="E56" s="28">
        <v>20.2</v>
      </c>
      <c r="F56" s="88">
        <v>1707</v>
      </c>
      <c r="G56" s="88">
        <f t="shared" ref="G56:G60" si="45">E56*F56</f>
        <v>34481.4</v>
      </c>
      <c r="H56" s="30" t="s">
        <v>53</v>
      </c>
      <c r="I56" s="95">
        <v>15</v>
      </c>
      <c r="J56" s="13">
        <v>2400</v>
      </c>
      <c r="K56" s="12">
        <f t="shared" si="1"/>
        <v>160</v>
      </c>
      <c r="L56" s="95">
        <v>15</v>
      </c>
      <c r="M56" s="13">
        <f t="shared" ref="M56:M60" si="46">F56/V56*60</f>
        <v>2327.727272727273</v>
      </c>
      <c r="N56" s="12">
        <f t="shared" si="3"/>
        <v>155.18181818181819</v>
      </c>
      <c r="O56" s="14">
        <f t="shared" si="4"/>
        <v>0</v>
      </c>
      <c r="P56" s="15">
        <f t="shared" si="5"/>
        <v>-4.818181818181813</v>
      </c>
      <c r="Q56" s="91">
        <f t="shared" si="6"/>
        <v>0.96988636363636371</v>
      </c>
      <c r="R56" s="177">
        <f>Q61</f>
        <v>0.95908218478531115</v>
      </c>
      <c r="S56" s="21">
        <v>8.3333333333333329E-2</v>
      </c>
      <c r="T56" s="21">
        <v>0.11388888888888889</v>
      </c>
      <c r="U56" s="21"/>
      <c r="V56" s="30">
        <f t="shared" ref="V56:V60" si="47">(T56-S56)*24*60</f>
        <v>44</v>
      </c>
      <c r="W56" s="16">
        <f>T56</f>
        <v>0.11388888888888889</v>
      </c>
      <c r="X56" s="16">
        <f>S57</f>
        <v>0.13333333333333333</v>
      </c>
      <c r="Y56" s="16"/>
      <c r="Z56" s="16"/>
      <c r="AA56" s="168"/>
      <c r="AB56" s="168"/>
      <c r="AC56" s="18">
        <v>5</v>
      </c>
      <c r="AD56" s="18"/>
      <c r="AE56" s="14">
        <f t="shared" si="43"/>
        <v>-72.272727272727025</v>
      </c>
      <c r="AF56" s="91">
        <f t="shared" si="9"/>
        <v>0.96988636363636371</v>
      </c>
      <c r="AG56" s="177">
        <f>AF61</f>
        <v>0.95908218478531104</v>
      </c>
    </row>
    <row r="57" spans="1:33" ht="15.75" customHeight="1">
      <c r="A57" s="175" t="s">
        <v>281</v>
      </c>
      <c r="B57" s="88" t="s">
        <v>22</v>
      </c>
      <c r="C57" s="169" t="s">
        <v>50</v>
      </c>
      <c r="D57" s="169"/>
      <c r="E57" s="28">
        <v>24.45</v>
      </c>
      <c r="F57" s="88">
        <v>1992</v>
      </c>
      <c r="G57" s="88">
        <f t="shared" si="45"/>
        <v>48704.4</v>
      </c>
      <c r="H57" s="30" t="s">
        <v>53</v>
      </c>
      <c r="I57" s="95">
        <v>19</v>
      </c>
      <c r="J57" s="13">
        <v>2400</v>
      </c>
      <c r="K57" s="12">
        <f t="shared" si="1"/>
        <v>126.31578947368421</v>
      </c>
      <c r="L57" s="95">
        <v>19</v>
      </c>
      <c r="M57" s="13">
        <f t="shared" si="46"/>
        <v>2298.4615384615381</v>
      </c>
      <c r="N57" s="12">
        <f t="shared" si="3"/>
        <v>120.97165991902833</v>
      </c>
      <c r="O57" s="14">
        <f t="shared" si="4"/>
        <v>0</v>
      </c>
      <c r="P57" s="15">
        <f t="shared" si="5"/>
        <v>-5.3441295546558791</v>
      </c>
      <c r="Q57" s="91">
        <f t="shared" si="6"/>
        <v>0.95769230769230762</v>
      </c>
      <c r="R57" s="177"/>
      <c r="S57" s="21">
        <v>0.13333333333333333</v>
      </c>
      <c r="T57" s="21">
        <v>0.16944444444444445</v>
      </c>
      <c r="U57" s="88">
        <f t="shared" ref="U57:U60" si="48">(S57-T56)*24*60</f>
        <v>28</v>
      </c>
      <c r="V57" s="30">
        <f t="shared" si="47"/>
        <v>52.000000000000014</v>
      </c>
      <c r="W57" s="16"/>
      <c r="X57" s="16"/>
      <c r="Y57" s="16"/>
      <c r="Z57" s="16"/>
      <c r="AA57" s="168"/>
      <c r="AB57" s="168"/>
      <c r="AC57" s="18"/>
      <c r="AD57" s="18"/>
      <c r="AE57" s="14">
        <f t="shared" si="43"/>
        <v>-101.53846153846189</v>
      </c>
      <c r="AF57" s="91">
        <f t="shared" si="9"/>
        <v>0.95769230769230751</v>
      </c>
      <c r="AG57" s="177"/>
    </row>
    <row r="58" spans="1:33" ht="15.75" customHeight="1">
      <c r="A58" s="175" t="s">
        <v>281</v>
      </c>
      <c r="B58" s="88" t="s">
        <v>22</v>
      </c>
      <c r="C58" s="169" t="s">
        <v>31</v>
      </c>
      <c r="D58" s="169"/>
      <c r="E58" s="28">
        <v>20.21</v>
      </c>
      <c r="F58" s="88">
        <v>2335</v>
      </c>
      <c r="G58" s="88">
        <f t="shared" si="45"/>
        <v>47190.35</v>
      </c>
      <c r="H58" s="30" t="s">
        <v>53</v>
      </c>
      <c r="I58" s="95">
        <v>15</v>
      </c>
      <c r="J58" s="13">
        <v>2400</v>
      </c>
      <c r="K58" s="12">
        <f t="shared" si="1"/>
        <v>160</v>
      </c>
      <c r="L58" s="95">
        <v>15</v>
      </c>
      <c r="M58" s="13">
        <f t="shared" si="46"/>
        <v>2296.7213114754104</v>
      </c>
      <c r="N58" s="12">
        <f t="shared" si="3"/>
        <v>153.11475409836069</v>
      </c>
      <c r="O58" s="14">
        <f t="shared" si="4"/>
        <v>0</v>
      </c>
      <c r="P58" s="15">
        <f t="shared" si="5"/>
        <v>-6.8852459016393084</v>
      </c>
      <c r="Q58" s="91">
        <f t="shared" si="6"/>
        <v>0.9569672131147543</v>
      </c>
      <c r="R58" s="177"/>
      <c r="S58" s="21">
        <v>0.17500000000000002</v>
      </c>
      <c r="T58" s="21">
        <v>0.21736111111111112</v>
      </c>
      <c r="U58" s="88">
        <f t="shared" si="48"/>
        <v>8.0000000000000107</v>
      </c>
      <c r="V58" s="30">
        <f t="shared" si="47"/>
        <v>60.999999999999986</v>
      </c>
      <c r="W58" s="16"/>
      <c r="X58" s="16"/>
      <c r="Y58" s="16"/>
      <c r="Z58" s="16"/>
      <c r="AA58" s="168"/>
      <c r="AB58" s="168"/>
      <c r="AC58" s="18"/>
      <c r="AD58" s="18"/>
      <c r="AE58" s="14">
        <f t="shared" si="43"/>
        <v>-103.2786885245896</v>
      </c>
      <c r="AF58" s="91">
        <f t="shared" si="9"/>
        <v>0.9569672131147543</v>
      </c>
      <c r="AG58" s="177"/>
    </row>
    <row r="59" spans="1:33" ht="15.75" customHeight="1">
      <c r="A59" s="175" t="s">
        <v>282</v>
      </c>
      <c r="B59" s="88" t="s">
        <v>22</v>
      </c>
      <c r="C59" s="169" t="s">
        <v>51</v>
      </c>
      <c r="D59" s="169"/>
      <c r="E59" s="28">
        <v>24.43</v>
      </c>
      <c r="F59" s="88">
        <v>5352</v>
      </c>
      <c r="G59" s="88">
        <f t="shared" si="45"/>
        <v>130749.36</v>
      </c>
      <c r="H59" s="30" t="s">
        <v>53</v>
      </c>
      <c r="I59" s="95">
        <v>14</v>
      </c>
      <c r="J59" s="13">
        <v>2400</v>
      </c>
      <c r="K59" s="12">
        <f t="shared" si="1"/>
        <v>171.42857142857142</v>
      </c>
      <c r="L59" s="95">
        <v>14</v>
      </c>
      <c r="M59" s="13">
        <f t="shared" si="46"/>
        <v>2293.7142857142862</v>
      </c>
      <c r="N59" s="12">
        <f t="shared" si="3"/>
        <v>163.83673469387759</v>
      </c>
      <c r="O59" s="14">
        <f t="shared" si="4"/>
        <v>0</v>
      </c>
      <c r="P59" s="15">
        <f t="shared" si="5"/>
        <v>-7.5918367346938282</v>
      </c>
      <c r="Q59" s="91">
        <f t="shared" si="6"/>
        <v>0.95571428571428596</v>
      </c>
      <c r="R59" s="177"/>
      <c r="S59" s="21">
        <v>0.22083333333333333</v>
      </c>
      <c r="T59" s="21">
        <v>0.31805555555555554</v>
      </c>
      <c r="U59" s="88">
        <f t="shared" si="48"/>
        <v>4.9999999999999822</v>
      </c>
      <c r="V59" s="30">
        <f t="shared" si="47"/>
        <v>139.99999999999997</v>
      </c>
      <c r="W59" s="16"/>
      <c r="X59" s="16"/>
      <c r="Y59" s="16"/>
      <c r="Z59" s="16"/>
      <c r="AA59" s="168"/>
      <c r="AB59" s="168"/>
      <c r="AC59" s="18"/>
      <c r="AD59" s="18"/>
      <c r="AE59" s="14">
        <f t="shared" si="43"/>
        <v>-106.28571428571377</v>
      </c>
      <c r="AF59" s="91">
        <f t="shared" si="9"/>
        <v>0.95571428571428596</v>
      </c>
      <c r="AG59" s="177"/>
    </row>
    <row r="60" spans="1:33" ht="15.75" customHeight="1">
      <c r="A60" s="175" t="s">
        <v>281</v>
      </c>
      <c r="B60" s="88" t="s">
        <v>22</v>
      </c>
      <c r="C60" s="169" t="s">
        <v>52</v>
      </c>
      <c r="D60" s="169"/>
      <c r="E60" s="28">
        <v>19.02</v>
      </c>
      <c r="F60" s="88">
        <v>7603</v>
      </c>
      <c r="G60" s="88">
        <f t="shared" si="45"/>
        <v>144609.06</v>
      </c>
      <c r="H60" s="30" t="s">
        <v>53</v>
      </c>
      <c r="I60" s="95">
        <v>14</v>
      </c>
      <c r="J60" s="13">
        <v>2400</v>
      </c>
      <c r="K60" s="12">
        <f t="shared" si="1"/>
        <v>171.42857142857142</v>
      </c>
      <c r="L60" s="95">
        <v>14</v>
      </c>
      <c r="M60" s="13">
        <f t="shared" si="46"/>
        <v>2292.361809045226</v>
      </c>
      <c r="N60" s="12">
        <f t="shared" si="3"/>
        <v>163.74012921751614</v>
      </c>
      <c r="O60" s="14">
        <f t="shared" si="4"/>
        <v>0</v>
      </c>
      <c r="P60" s="15">
        <f t="shared" si="5"/>
        <v>-7.6884422110552748</v>
      </c>
      <c r="Q60" s="91">
        <f t="shared" si="6"/>
        <v>0.95515075376884417</v>
      </c>
      <c r="R60" s="177"/>
      <c r="S60" s="21">
        <v>0.32361111111111107</v>
      </c>
      <c r="T60" s="21">
        <v>0.46180555555555552</v>
      </c>
      <c r="U60" s="88">
        <f t="shared" si="48"/>
        <v>7.9999999999999716</v>
      </c>
      <c r="V60" s="30">
        <f t="shared" si="47"/>
        <v>199</v>
      </c>
      <c r="W60" s="16"/>
      <c r="X60" s="16"/>
      <c r="Y60" s="16"/>
      <c r="Z60" s="16"/>
      <c r="AA60" s="168"/>
      <c r="AB60" s="168"/>
      <c r="AC60" s="18"/>
      <c r="AD60" s="18"/>
      <c r="AE60" s="14">
        <f t="shared" si="43"/>
        <v>-107.63819095477402</v>
      </c>
      <c r="AF60" s="91">
        <f t="shared" si="9"/>
        <v>0.95515075376884417</v>
      </c>
      <c r="AG60" s="177"/>
    </row>
    <row r="61" spans="1:33" ht="16.5" customHeight="1">
      <c r="A61" s="176" t="s">
        <v>281</v>
      </c>
      <c r="B61" s="28" t="s">
        <v>274</v>
      </c>
      <c r="C61" s="165"/>
      <c r="D61" s="166"/>
      <c r="E61" s="92"/>
      <c r="F61" s="12"/>
      <c r="G61" s="12"/>
      <c r="H61" s="88"/>
      <c r="I61" s="23">
        <v>15.4</v>
      </c>
      <c r="J61" s="13">
        <v>2400</v>
      </c>
      <c r="K61" s="12">
        <f t="shared" si="1"/>
        <v>155.84415584415584</v>
      </c>
      <c r="L61" s="23">
        <v>15.4</v>
      </c>
      <c r="M61" s="13">
        <f>AVERAGE(M56:M60)</f>
        <v>2301.7972434847466</v>
      </c>
      <c r="N61" s="12">
        <f t="shared" si="3"/>
        <v>149.4673534730355</v>
      </c>
      <c r="O61" s="14">
        <f t="shared" si="4"/>
        <v>0</v>
      </c>
      <c r="P61" s="15">
        <f t="shared" si="5"/>
        <v>-6.3768023711203341</v>
      </c>
      <c r="Q61" s="91">
        <f t="shared" si="6"/>
        <v>0.95908218478531115</v>
      </c>
      <c r="R61" s="177"/>
      <c r="S61" s="21"/>
      <c r="T61" s="21"/>
      <c r="U61" s="12"/>
      <c r="V61" s="30"/>
      <c r="W61" s="12"/>
      <c r="X61" s="12"/>
      <c r="Y61" s="24">
        <f>SUM(Y56:Y60)</f>
        <v>0</v>
      </c>
      <c r="Z61" s="24">
        <f>SUM(Z56:Z60)</f>
        <v>0</v>
      </c>
      <c r="AA61" s="167"/>
      <c r="AB61" s="167"/>
      <c r="AC61" s="24">
        <v>5</v>
      </c>
      <c r="AD61" s="24">
        <f>SUM(AD56:AD60)</f>
        <v>0</v>
      </c>
      <c r="AE61" s="14">
        <f t="shared" si="43"/>
        <v>-98.202756515253441</v>
      </c>
      <c r="AF61" s="91">
        <f t="shared" si="9"/>
        <v>0.95908218478531104</v>
      </c>
      <c r="AG61" s="177"/>
    </row>
    <row r="62" spans="1:33">
      <c r="D62" s="87"/>
      <c r="E62" s="87"/>
    </row>
  </sheetData>
  <mergeCells count="175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A17:A23"/>
    <mergeCell ref="C17:D17"/>
    <mergeCell ref="R17:R23"/>
    <mergeCell ref="AA17:AB17"/>
    <mergeCell ref="AG17:AG23"/>
    <mergeCell ref="C18:D18"/>
    <mergeCell ref="AA18:AB18"/>
    <mergeCell ref="C19:D19"/>
    <mergeCell ref="AA19:AB19"/>
    <mergeCell ref="A13:A16"/>
    <mergeCell ref="C13:D13"/>
    <mergeCell ref="R13:R16"/>
    <mergeCell ref="AA13:AB13"/>
    <mergeCell ref="AG13:AG16"/>
    <mergeCell ref="C14:D14"/>
    <mergeCell ref="AA14:AB14"/>
    <mergeCell ref="C15:D15"/>
    <mergeCell ref="AA15:AB15"/>
    <mergeCell ref="C16:D16"/>
    <mergeCell ref="C23:D23"/>
    <mergeCell ref="AA23:AB23"/>
    <mergeCell ref="A24:A29"/>
    <mergeCell ref="C24:D24"/>
    <mergeCell ref="R24:R29"/>
    <mergeCell ref="AA24:AB24"/>
    <mergeCell ref="AA29:AB29"/>
    <mergeCell ref="C20:D20"/>
    <mergeCell ref="AA20:AB20"/>
    <mergeCell ref="C21:D21"/>
    <mergeCell ref="AA21:AB21"/>
    <mergeCell ref="C22:D22"/>
    <mergeCell ref="AA22:AB22"/>
    <mergeCell ref="AG30:AG35"/>
    <mergeCell ref="C31:D31"/>
    <mergeCell ref="AA31:AB31"/>
    <mergeCell ref="C32:D32"/>
    <mergeCell ref="AA32:AB32"/>
    <mergeCell ref="C33:D33"/>
    <mergeCell ref="AG24:AG29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AA33:AB33"/>
    <mergeCell ref="C34:D34"/>
    <mergeCell ref="AA34:AB34"/>
    <mergeCell ref="C35:D35"/>
    <mergeCell ref="AA35:AB35"/>
    <mergeCell ref="A36:A41"/>
    <mergeCell ref="C36:D36"/>
    <mergeCell ref="R36:R41"/>
    <mergeCell ref="AA36:AB36"/>
    <mergeCell ref="AA41:AB41"/>
    <mergeCell ref="A30:A35"/>
    <mergeCell ref="C30:D30"/>
    <mergeCell ref="R30:R35"/>
    <mergeCell ref="AA30:AB30"/>
    <mergeCell ref="AG36:AG41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42:A49"/>
    <mergeCell ref="C42:D42"/>
    <mergeCell ref="R42:R49"/>
    <mergeCell ref="AA42:AB42"/>
    <mergeCell ref="AG42:AG49"/>
    <mergeCell ref="C43:D43"/>
    <mergeCell ref="AA43:AB43"/>
    <mergeCell ref="C44:D44"/>
    <mergeCell ref="AA44:AB44"/>
    <mergeCell ref="AA45:AB45"/>
    <mergeCell ref="AG50:AG55"/>
    <mergeCell ref="C51:D51"/>
    <mergeCell ref="AA51:AB51"/>
    <mergeCell ref="C52:D52"/>
    <mergeCell ref="AA52:AB52"/>
    <mergeCell ref="C53:D53"/>
    <mergeCell ref="AA46:AB46"/>
    <mergeCell ref="C47:D47"/>
    <mergeCell ref="AA47:AB47"/>
    <mergeCell ref="C48:D48"/>
    <mergeCell ref="AA48:AB48"/>
    <mergeCell ref="C49:D49"/>
    <mergeCell ref="AA49:AB49"/>
    <mergeCell ref="AA53:AB53"/>
    <mergeCell ref="C54:D54"/>
    <mergeCell ref="AA54:AB54"/>
    <mergeCell ref="C55:D55"/>
    <mergeCell ref="AA55:AB55"/>
    <mergeCell ref="A56:A61"/>
    <mergeCell ref="C56:D56"/>
    <mergeCell ref="R56:R61"/>
    <mergeCell ref="AA56:AB56"/>
    <mergeCell ref="AA61:AB61"/>
    <mergeCell ref="A50:A55"/>
    <mergeCell ref="C50:D50"/>
    <mergeCell ref="R50:R55"/>
    <mergeCell ref="AA50:AB50"/>
    <mergeCell ref="AG56:AG61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</mergeCells>
  <phoneticPr fontId="3" type="noConversion"/>
  <conditionalFormatting sqref="O5:O61">
    <cfRule type="cellIs" dxfId="14" priority="9" operator="greaterThan">
      <formula>0</formula>
    </cfRule>
  </conditionalFormatting>
  <conditionalFormatting sqref="P5:P61">
    <cfRule type="cellIs" dxfId="13" priority="1" operator="lessThan">
      <formula>0</formula>
    </cfRule>
  </conditionalFormatting>
  <conditionalFormatting sqref="Q5:Q61 AF5:AF61">
    <cfRule type="cellIs" dxfId="12" priority="10" operator="greaterThan">
      <formula>1</formula>
    </cfRule>
    <cfRule type="cellIs" dxfId="11" priority="11" operator="lessThan">
      <formula>0.8</formula>
    </cfRule>
  </conditionalFormatting>
  <conditionalFormatting sqref="R5:R10 AG5:AG10">
    <cfRule type="cellIs" dxfId="10" priority="42" operator="lessThan">
      <formula>0.8</formula>
    </cfRule>
  </conditionalFormatting>
  <conditionalFormatting sqref="AE5:AE61">
    <cfRule type="cellIs" dxfId="9" priority="12" operator="lessThan">
      <formula>0</formula>
    </cfRule>
  </conditionalFormatting>
  <conditionalFormatting sqref="AG13:AG53 R13:R61">
    <cfRule type="cellIs" dxfId="8" priority="13" operator="lessThan">
      <formula>0.8</formula>
    </cfRule>
  </conditionalFormatting>
  <dataValidations count="1">
    <dataValidation type="list" allowBlank="1" showInputMessage="1" showErrorMessage="1" sqref="AB9 AA5:AB8 AB54 AA9:AA54 AB11:AB50 AA55:AB61" xr:uid="{00000000-0002-0000-39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B1:Q32"/>
  <sheetViews>
    <sheetView zoomScale="85" zoomScaleNormal="85" workbookViewId="0">
      <selection activeCell="E15" sqref="E15"/>
    </sheetView>
  </sheetViews>
  <sheetFormatPr defaultColWidth="8.75" defaultRowHeight="15.75"/>
  <cols>
    <col min="1" max="1" width="8.75" style="32"/>
    <col min="2" max="2" width="17.875" style="32" customWidth="1"/>
    <col min="3" max="3" width="9.25" style="38" customWidth="1"/>
    <col min="4" max="13" width="12.625" style="32" customWidth="1"/>
    <col min="14" max="14" width="11" style="32" bestFit="1" customWidth="1"/>
    <col min="15" max="15" width="17.75" style="32" bestFit="1" customWidth="1"/>
    <col min="16" max="16" width="12.25" style="32" bestFit="1" customWidth="1"/>
    <col min="17" max="22" width="9.25" style="32" customWidth="1"/>
    <col min="23" max="23" width="10.75" style="32" customWidth="1"/>
    <col min="24" max="24" width="11" style="32" customWidth="1"/>
    <col min="25" max="16384" width="8.75" style="32"/>
  </cols>
  <sheetData>
    <row r="1" spans="2:17" ht="27.75" customHeight="1">
      <c r="B1" s="152" t="s">
        <v>75</v>
      </c>
      <c r="C1" s="152"/>
      <c r="D1" s="152"/>
      <c r="E1" s="152"/>
      <c r="F1" s="152"/>
      <c r="G1" s="152"/>
      <c r="H1" s="152"/>
      <c r="I1" s="152"/>
      <c r="J1" s="152"/>
      <c r="K1" s="31"/>
      <c r="L1" s="31"/>
      <c r="M1" s="31"/>
      <c r="N1" s="31"/>
      <c r="O1" s="31"/>
      <c r="P1" s="31"/>
    </row>
    <row r="2" spans="2:17" ht="27.75" customHeight="1">
      <c r="B2" s="153"/>
      <c r="C2" s="153"/>
      <c r="D2" s="153"/>
      <c r="E2" s="153"/>
      <c r="F2" s="153"/>
      <c r="G2" s="153"/>
      <c r="H2" s="153"/>
      <c r="I2" s="153"/>
      <c r="J2" s="153"/>
      <c r="K2" s="31"/>
      <c r="L2" s="31"/>
      <c r="M2" s="31"/>
      <c r="N2" s="31"/>
      <c r="O2" s="31"/>
      <c r="P2" s="31"/>
    </row>
    <row r="3" spans="2:17" ht="46.5" customHeight="1">
      <c r="B3" s="33" t="s">
        <v>76</v>
      </c>
      <c r="C3" s="154" t="str">
        <f>TEXT('0401 4度C'!A2,"yyyy.mm.ddaaaa")</f>
        <v>2026.04.01星期三</v>
      </c>
      <c r="D3" s="155"/>
      <c r="E3" s="33" t="s">
        <v>77</v>
      </c>
      <c r="F3" s="156">
        <f>'0401 4度C'!D1</f>
        <v>146540</v>
      </c>
      <c r="G3" s="157"/>
      <c r="H3" s="33" t="s">
        <v>78</v>
      </c>
      <c r="I3" s="158">
        <f>'0401 4度C'!F1</f>
        <v>4817871.0699999994</v>
      </c>
      <c r="J3" s="159"/>
      <c r="K3" s="34"/>
      <c r="L3" s="35"/>
      <c r="M3" s="35"/>
      <c r="N3" s="35"/>
    </row>
    <row r="4" spans="2:17" ht="28.5" customHeight="1">
      <c r="B4" s="160" t="s">
        <v>79</v>
      </c>
      <c r="C4" s="146" t="s">
        <v>80</v>
      </c>
      <c r="D4" s="147"/>
      <c r="E4" s="163" t="s">
        <v>81</v>
      </c>
      <c r="F4" s="164"/>
      <c r="G4" s="163" t="s">
        <v>82</v>
      </c>
      <c r="H4" s="164"/>
      <c r="I4" s="163" t="s">
        <v>83</v>
      </c>
      <c r="J4" s="164"/>
      <c r="K4" s="144" t="s">
        <v>84</v>
      </c>
      <c r="L4" s="145"/>
      <c r="M4" s="145" t="s">
        <v>85</v>
      </c>
      <c r="N4" s="145"/>
    </row>
    <row r="5" spans="2:17" ht="28.5" customHeight="1">
      <c r="B5" s="161"/>
      <c r="C5" s="146" t="s">
        <v>86</v>
      </c>
      <c r="D5" s="147"/>
      <c r="E5" s="146" t="s">
        <v>87</v>
      </c>
      <c r="F5" s="147"/>
      <c r="G5" s="148" t="s">
        <v>88</v>
      </c>
      <c r="H5" s="149"/>
      <c r="I5" s="150" t="s">
        <v>89</v>
      </c>
      <c r="J5" s="151"/>
      <c r="K5" s="36" t="s">
        <v>90</v>
      </c>
      <c r="L5" s="37" t="s">
        <v>91</v>
      </c>
      <c r="M5" s="36" t="s">
        <v>90</v>
      </c>
      <c r="N5" s="37" t="s">
        <v>92</v>
      </c>
    </row>
    <row r="6" spans="2:17" ht="28.5" customHeight="1">
      <c r="B6" s="161"/>
      <c r="C6" s="146" t="s">
        <v>54</v>
      </c>
      <c r="D6" s="147"/>
      <c r="E6" s="138">
        <f>AVERAGE(D13:M13)</f>
        <v>155.01225129278754</v>
      </c>
      <c r="F6" s="139">
        <f>AVERAGE(D31:O31,D13:J13)</f>
        <v>160.73180102475038</v>
      </c>
      <c r="G6" s="140">
        <f>AVERAGE(D13:J13)</f>
        <v>160.73180102475038</v>
      </c>
      <c r="H6" s="141"/>
      <c r="I6" s="140">
        <f>AVERAGE(K13:M13)</f>
        <v>141.6666352515409</v>
      </c>
      <c r="J6" s="141"/>
      <c r="K6" s="142">
        <f>'0401 4度C'!Y2</f>
        <v>0</v>
      </c>
      <c r="L6" s="127">
        <f>'0401 4度C'!Z2</f>
        <v>0</v>
      </c>
      <c r="M6" s="143">
        <f>'0401 4度C'!AC2</f>
        <v>51</v>
      </c>
      <c r="N6" s="127">
        <f>'0401 4度C'!AD2</f>
        <v>0</v>
      </c>
    </row>
    <row r="7" spans="2:17" ht="28.5" customHeight="1">
      <c r="B7" s="161"/>
      <c r="C7" s="128" t="s">
        <v>55</v>
      </c>
      <c r="D7" s="129"/>
      <c r="E7" s="130">
        <f>AVERAGE(D14:M14)</f>
        <v>148.32499290709461</v>
      </c>
      <c r="F7" s="131">
        <f>AVERAGE(D32:O32,D14:J14)</f>
        <v>153.90294701199332</v>
      </c>
      <c r="G7" s="132">
        <f>AVERAGE(D14:J14)</f>
        <v>153.90294701199332</v>
      </c>
      <c r="H7" s="133"/>
      <c r="I7" s="132">
        <f>AVERAGE(K14:M14)</f>
        <v>135.30976666233099</v>
      </c>
      <c r="J7" s="133"/>
      <c r="K7" s="142"/>
      <c r="L7" s="127"/>
      <c r="M7" s="143"/>
      <c r="N7" s="127"/>
    </row>
    <row r="8" spans="2:17" ht="28.5" customHeight="1">
      <c r="B8" s="162"/>
      <c r="C8" s="128" t="s">
        <v>56</v>
      </c>
      <c r="D8" s="129"/>
      <c r="E8" s="134">
        <f>AVERAGE(D15:M15)</f>
        <v>0.95622998251433311</v>
      </c>
      <c r="F8" s="135">
        <f>AVERAGE(D15:J15,D33:O33)</f>
        <v>0.95676371343474453</v>
      </c>
      <c r="G8" s="136">
        <f>AVERAGE(D15:J15)</f>
        <v>0.95676371343474453</v>
      </c>
      <c r="H8" s="137"/>
      <c r="I8" s="136">
        <f>AVERAGE(K15:M15)</f>
        <v>0.95498461036670645</v>
      </c>
      <c r="J8" s="137"/>
      <c r="K8" s="142"/>
      <c r="L8" s="127"/>
      <c r="M8" s="143"/>
      <c r="N8" s="127"/>
    </row>
    <row r="9" spans="2:17" ht="28.5" customHeight="1" thickBot="1">
      <c r="H9" s="39"/>
      <c r="K9" s="40" t="s">
        <v>93</v>
      </c>
      <c r="N9" s="35"/>
      <c r="O9" s="35"/>
      <c r="P9" s="35"/>
      <c r="Q9" s="35"/>
    </row>
    <row r="10" spans="2:17" ht="30" customHeight="1">
      <c r="B10" s="110" t="s">
        <v>74</v>
      </c>
      <c r="C10" s="111"/>
      <c r="D10" s="112" t="s">
        <v>94</v>
      </c>
      <c r="E10" s="113"/>
      <c r="F10" s="113"/>
      <c r="G10" s="113"/>
      <c r="H10" s="113"/>
      <c r="I10" s="113"/>
      <c r="J10" s="114"/>
      <c r="K10" s="115" t="s">
        <v>95</v>
      </c>
      <c r="L10" s="116"/>
      <c r="M10" s="117"/>
      <c r="P10" s="41"/>
      <c r="Q10" s="41"/>
    </row>
    <row r="11" spans="2:17" ht="17.25" customHeight="1">
      <c r="B11" s="118" t="s">
        <v>96</v>
      </c>
      <c r="C11" s="119"/>
      <c r="D11" s="42">
        <v>1</v>
      </c>
      <c r="E11" s="43">
        <v>2</v>
      </c>
      <c r="F11" s="43">
        <v>3</v>
      </c>
      <c r="G11" s="43">
        <v>4</v>
      </c>
      <c r="H11" s="43">
        <v>5</v>
      </c>
      <c r="I11" s="43">
        <v>6</v>
      </c>
      <c r="J11" s="44">
        <v>7</v>
      </c>
      <c r="K11" s="42">
        <v>1</v>
      </c>
      <c r="L11" s="43">
        <v>2</v>
      </c>
      <c r="M11" s="44">
        <v>3</v>
      </c>
      <c r="P11" s="41"/>
      <c r="Q11" s="41"/>
    </row>
    <row r="12" spans="2:17" ht="34.15" customHeight="1">
      <c r="B12" s="120"/>
      <c r="C12" s="121"/>
      <c r="D12" s="45" t="s">
        <v>57</v>
      </c>
      <c r="E12" s="46" t="s">
        <v>58</v>
      </c>
      <c r="F12" s="46" t="s">
        <v>59</v>
      </c>
      <c r="G12" s="46" t="s">
        <v>60</v>
      </c>
      <c r="H12" s="46" t="s">
        <v>61</v>
      </c>
      <c r="I12" s="46" t="s">
        <v>62</v>
      </c>
      <c r="J12" s="47" t="s">
        <v>63</v>
      </c>
      <c r="K12" s="45" t="s">
        <v>64</v>
      </c>
      <c r="L12" s="46" t="s">
        <v>65</v>
      </c>
      <c r="M12" s="47" t="s">
        <v>66</v>
      </c>
    </row>
    <row r="13" spans="2:17" ht="40.15" customHeight="1">
      <c r="B13" s="122" t="s">
        <v>97</v>
      </c>
      <c r="C13" s="48" t="s">
        <v>98</v>
      </c>
      <c r="D13" s="49">
        <f>SUMIFS('0401 4度C'!$K:$K,'0401 4度C'!$A:$A,"新豐6線",'0401 4度C'!$B:$B,"平均")</f>
        <v>111.11111111111111</v>
      </c>
      <c r="E13" s="50">
        <f>SUMIFS('0401 4度C'!$K:$K,'0401 4度C'!$A:$A,"新豐2線",'0401 4度C'!$B:$B,"平均")</f>
        <v>84.905660377358487</v>
      </c>
      <c r="F13" s="51">
        <f>SUMIFS('0401 4度C'!$K:$K,'0401 4度C'!$A:$A,"新豐5線",'0401 4度C'!$B:$B,"平均")</f>
        <v>96.491228070175438</v>
      </c>
      <c r="G13" s="51">
        <f>SUMIFS('0401 4度C'!$K:$K,'0401 4度C'!$A:$A,"新豐7線",'0401 4度C'!$B:$B,"平均")</f>
        <v>127.77777777777779</v>
      </c>
      <c r="H13" s="51">
        <f>SUMIFS('0401 4度C'!$K:$K,'0401 4度C'!$A:$A,"新豐3線",'0401 4度C'!$B:$B,"平均")</f>
        <v>333.33333333333331</v>
      </c>
      <c r="I13" s="51">
        <f>SUMIFS('0401 4度C'!$K:$K,'0401 4度C'!$A:$A,"新豐1線",'0401 4度C'!$B:$B,"平均")</f>
        <v>102.27272727272728</v>
      </c>
      <c r="J13" s="52">
        <f>SUMIFS('0401 4度C'!$K:$K,'0401 4度C'!$A:$A,"新豐10線",'0401 4度C'!$B:$B,"平均")</f>
        <v>269.23076923076923</v>
      </c>
      <c r="K13" s="53">
        <f>SUMIFS('0401 4度C'!$K:$K,'0401 4度C'!$A:$A,"新豐8線",'0401 4度C'!$B:$B,"平均")</f>
        <v>130.90909090909091</v>
      </c>
      <c r="L13" s="54">
        <f>SUMIFS('0401 4度C'!$K:$K,'0401 4度C'!$A:$A,"新豐9線",'0401 4度C'!$B:$B,"平均")</f>
        <v>135.84905660377356</v>
      </c>
      <c r="M13" s="52">
        <f>SUMIFS('0401 4度C'!$K:$K,'0401 4度C'!$A:$A,"新豐4線",'0401 4度C'!$B:$B,"平均")</f>
        <v>158.24175824175825</v>
      </c>
    </row>
    <row r="14" spans="2:17" ht="39.6" customHeight="1">
      <c r="B14" s="123"/>
      <c r="C14" s="55" t="s">
        <v>99</v>
      </c>
      <c r="D14" s="56">
        <f>SUMIFS('0401 4度C'!$N:$N,'0401 4度C'!$A:$A,"新豐6線",'0401 4度C'!$B:$B,"平均")</f>
        <v>105.63652366434441</v>
      </c>
      <c r="E14" s="57">
        <f>SUMIFS('0401 4度C'!$N:$N,'0401 4度C'!$A:$A,"新豐2線",'0401 4度C'!$B:$B,"平均")</f>
        <v>80.935034266122003</v>
      </c>
      <c r="F14" s="57">
        <f>SUMIFS('0401 4度C'!$N:$N,'0401 4度C'!$A:$A,"新豐5線",'0401 4度C'!$B:$B,"平均")</f>
        <v>92.165536450965462</v>
      </c>
      <c r="G14" s="57">
        <f>SUMIFS('0401 4度C'!$N:$N,'0401 4度C'!$A:$A,"新豐7線",'0401 4度C'!$B:$B,"平均")</f>
        <v>122.83452035248214</v>
      </c>
      <c r="H14" s="57">
        <f>SUMIFS('0401 4度C'!$N:$N,'0401 4度C'!$A:$A,"新豐3線",'0401 4度C'!$B:$B,"平均")</f>
        <v>318.669566018929</v>
      </c>
      <c r="I14" s="57">
        <f>SUMIFS('0401 4度C'!$N:$N,'0401 4度C'!$A:$A,"新豐1線",'0401 4度C'!$B:$B,"平均")</f>
        <v>98.06146233528078</v>
      </c>
      <c r="J14" s="58">
        <f>SUMIFS('0401 4度C'!$N:$N,'0401 4度C'!$A:$A,"新豐10線",'0401 4度C'!$B:$B,"平均")</f>
        <v>259.01798599582952</v>
      </c>
      <c r="K14" s="59">
        <f>SUMIFS('0401 4度C'!$N:$N,'0401 4度C'!$A:$A,"新豐8線",'0401 4度C'!$B:$B,"平均")</f>
        <v>124.90502626205466</v>
      </c>
      <c r="L14" s="60">
        <f>SUMIFS('0401 4度C'!$N:$N,'0401 4度C'!$A:$A,"新豐9線",'0401 4度C'!$B:$B,"平均")</f>
        <v>129.50489133642105</v>
      </c>
      <c r="M14" s="58">
        <f>SUMIFS('0401 4度C'!$N:$N,'0401 4度C'!$A:$A,"新豐4線",'0401 4度C'!$B:$B,"平均")</f>
        <v>151.5193823885173</v>
      </c>
    </row>
    <row r="15" spans="2:17" ht="40.15" customHeight="1">
      <c r="B15" s="124"/>
      <c r="C15" s="61" t="s">
        <v>100</v>
      </c>
      <c r="D15" s="62">
        <f t="shared" ref="D15:M15" si="0">D14/D13</f>
        <v>0.95072871297909967</v>
      </c>
      <c r="E15" s="63">
        <f t="shared" si="0"/>
        <v>0.95323484802321479</v>
      </c>
      <c r="F15" s="63">
        <f t="shared" si="0"/>
        <v>0.95517010503727839</v>
      </c>
      <c r="G15" s="63">
        <f t="shared" si="0"/>
        <v>0.9613136375411645</v>
      </c>
      <c r="H15" s="63">
        <f t="shared" si="0"/>
        <v>0.95600869805678712</v>
      </c>
      <c r="I15" s="63">
        <f t="shared" si="0"/>
        <v>0.95882318727830085</v>
      </c>
      <c r="J15" s="64">
        <f t="shared" si="0"/>
        <v>0.96206680512736675</v>
      </c>
      <c r="K15" s="62">
        <f t="shared" si="0"/>
        <v>0.95413561727958429</v>
      </c>
      <c r="L15" s="63">
        <f t="shared" si="0"/>
        <v>0.95329989455976627</v>
      </c>
      <c r="M15" s="64">
        <f t="shared" si="0"/>
        <v>0.95751831926076902</v>
      </c>
    </row>
    <row r="16" spans="2:17" ht="17.25" customHeight="1">
      <c r="B16" s="125" t="s">
        <v>101</v>
      </c>
      <c r="C16" s="65" t="s">
        <v>102</v>
      </c>
      <c r="D16" s="66">
        <f>VLOOKUP("新豐6線",'0401 4度C'!$A:$T,19,0)</f>
        <v>0.70833333333333337</v>
      </c>
      <c r="E16" s="67">
        <f>VLOOKUP("新豐2線",'0401 4度C'!$A:$T,19,0)</f>
        <v>0.20833333333333334</v>
      </c>
      <c r="F16" s="67">
        <f>VLOOKUP("新豐5線",'0401 4度C'!$A:$T,19,0)</f>
        <v>0.20833333333333334</v>
      </c>
      <c r="G16" s="67">
        <f>VLOOKUP("新豐7線",'0401 4度C'!$A:$T,19,0)</f>
        <v>0.20833333333333334</v>
      </c>
      <c r="H16" s="67">
        <f>VLOOKUP("新豐3線",'0401 4度C'!$A:$T,19,0)</f>
        <v>8.3333333333333329E-2</v>
      </c>
      <c r="I16" s="67">
        <f>VLOOKUP("新豐1線",'0401 4度C'!$A:$T,19,0)</f>
        <v>0.20833333333333334</v>
      </c>
      <c r="J16" s="68">
        <f>VLOOKUP("新豐10線",'0401 4度C'!$A:$T,19,0)</f>
        <v>0.20833333333333334</v>
      </c>
      <c r="K16" s="69">
        <f>VLOOKUP("新豐8線",'0401 4度C'!$A:$T,19,0)</f>
        <v>8.3333333333333329E-2</v>
      </c>
      <c r="L16" s="70">
        <f>VLOOKUP("新豐9線",'0401 4度C'!$A:$T,19,0)</f>
        <v>8.3333333333333329E-2</v>
      </c>
      <c r="M16" s="71">
        <f>VLOOKUP("新豐4線",'0401 4度C'!$A:$T,19,0)</f>
        <v>8.3333333333333329E-2</v>
      </c>
    </row>
    <row r="17" spans="2:13" ht="17.25" customHeight="1">
      <c r="B17" s="126"/>
      <c r="C17" s="65" t="s">
        <v>103</v>
      </c>
      <c r="D17" s="69">
        <f>LOOKUP(2,1/(('0401 4度C'!$A:$A="新豐6線")*('0401 4度C'!$T:$T&lt;&gt;"")),'0401 4度C'!$T:$T)</f>
        <v>0.80763888888888891</v>
      </c>
      <c r="E17" s="67">
        <f>LOOKUP(2,1/(('0401 4度C'!$A:$A="新豐2線")*('0401 4度C'!$T:$T&lt;&gt;"")),'0401 4度C'!$T:$T)</f>
        <v>0.62777777777777777</v>
      </c>
      <c r="F17" s="67">
        <f>LOOKUP(2,1/(('0401 4度C'!$A:$A="新豐5線")*('0401 4度C'!$T:$T&lt;&gt;"")),'0401 4度C'!$T:$T)</f>
        <v>0.80208333333333326</v>
      </c>
      <c r="G17" s="67">
        <f>LOOKUP(2,1/(('0401 4度C'!$A:$A="新豐7線")*('0401 4度C'!$T:$T&lt;&gt;"")),'0401 4度C'!$T:$T)</f>
        <v>0.82777777777777772</v>
      </c>
      <c r="H17" s="67">
        <f>LOOKUP(2,1/(('0401 4度C'!$A:$A="新豐3線")*('0401 4度C'!$T:$T&lt;&gt;"")),'0401 4度C'!$T:$T)</f>
        <v>0.41249999999999998</v>
      </c>
      <c r="I17" s="67">
        <f>LOOKUP(2,1/(('0401 4度C'!$A:$A="新豐1線")*('0401 4度C'!$T:$T&lt;&gt;"")),'0401 4度C'!$T:$T)</f>
        <v>0.83819444444444446</v>
      </c>
      <c r="J17" s="68">
        <f>LOOKUP(2,1/(('0401 4度C'!$A:$A="新豐10線")*('0401 4度C'!$T:$T&lt;&gt;"")),'0401 4度C'!$T:$T)</f>
        <v>0.42083333333333328</v>
      </c>
      <c r="K17" s="66">
        <f>LOOKUP(2,1/(('0401 4度C'!$A:$A="新豐8線")*('0401 4度C'!$T:$T&lt;&gt;"")),'0401 4度C'!$T:$T)</f>
        <v>0.57430555555555551</v>
      </c>
      <c r="L17" s="67">
        <f>LOOKUP(2,1/(('0401 4度C'!$A:$A="新豐9線")*('0401 4度C'!$T:$T&lt;&gt;"")),'0401 4度C'!$T:$T)</f>
        <v>0.59305555555555556</v>
      </c>
      <c r="M17" s="68">
        <f>LOOKUP(2,1/(('0401 4度C'!$A:$A="新豐4線")*('0401 4度C'!$T:$T&lt;&gt;"")),'0401 4度C'!$T:$T)</f>
        <v>0.57291666666666674</v>
      </c>
    </row>
    <row r="18" spans="2:13" ht="17.25" customHeight="1">
      <c r="B18" s="104" t="s">
        <v>104</v>
      </c>
      <c r="C18" s="72" t="s">
        <v>105</v>
      </c>
      <c r="D18" s="73">
        <f>SUMIFS('0401 4度C'!$Y:$Y,'0401 4度C'!$A:$A,"新豐6線",'0401 4度C'!$B:$B,"平均")</f>
        <v>0</v>
      </c>
      <c r="E18" s="74">
        <f>SUMIFS('0401 4度C'!$Y:$Y,'0401 4度C'!$A:$A,"新豐2線",'0401 4度C'!$B:$B,"平均")</f>
        <v>0</v>
      </c>
      <c r="F18" s="74">
        <f>SUMIFS('0401 4度C'!$Y:$Y,'0401 4度C'!$A:$A,"新豐5線",'0401 4度C'!$B:$B,"平均")</f>
        <v>0</v>
      </c>
      <c r="G18" s="74">
        <f>SUMIFS('0401 4度C'!$Y:$Y,'0401 4度C'!$A:$A,"新豐7線",'0401 4度C'!$B:$B,"平均")</f>
        <v>0</v>
      </c>
      <c r="H18" s="74">
        <f>SUMIFS('0401 4度C'!$Y:$Y,'0401 4度C'!$A:$A,"新豐3線",'0401 4度C'!$B:$B,"平均")</f>
        <v>0</v>
      </c>
      <c r="I18" s="74">
        <f>SUMIFS('0401 4度C'!$Y:$Y,'0401 4度C'!$A:$A,"新豐1線",'0401 4度C'!$B:$B,"平均")</f>
        <v>0</v>
      </c>
      <c r="J18" s="75">
        <f>SUMIFS('0401 4度C'!$Y:$Y,'0401 4度C'!$A:$A,"新豐10線",'0401 4度C'!$B:$B,"平均")</f>
        <v>0</v>
      </c>
      <c r="K18" s="76">
        <f>SUMIFS('0401 4度C'!$Y:$Y,'0401 4度C'!$A:$A,"新豐8線",'0401 4度C'!$B:$B,"平均")</f>
        <v>0</v>
      </c>
      <c r="L18" s="74">
        <f>SUMIFS('0401 4度C'!$Y:$Y,'0401 4度C'!$A:$A,"新豐9線",'0401 4度C'!$B:$B,"平均")</f>
        <v>0</v>
      </c>
      <c r="M18" s="75">
        <f>SUMIFS('0401 4度C'!$Y:$Y,'0401 4度C'!$A:$A,"新豐4線",'0401 4度C'!$B:$B,"平均")</f>
        <v>0</v>
      </c>
    </row>
    <row r="19" spans="2:13" ht="17.25" customHeight="1">
      <c r="B19" s="105"/>
      <c r="C19" s="72" t="s">
        <v>106</v>
      </c>
      <c r="D19" s="73">
        <f>SUMIFS('0401 4度C'!$Z:$Z,'0401 4度C'!$A:$A,"新豐6線",'0401 4度C'!$B:$B,"平均")</f>
        <v>0</v>
      </c>
      <c r="E19" s="74">
        <f>SUMIFS('0401 4度C'!$Z:$Z,'0401 4度C'!$A:$A,"新豐2線",'0401 4度C'!$B:$B,"平均")</f>
        <v>0</v>
      </c>
      <c r="F19" s="74">
        <f>SUMIFS('0401 4度C'!$Z:$Z,'0401 4度C'!$A:$A,"新豐5線",'0401 4度C'!$B:$B,"平均")</f>
        <v>0</v>
      </c>
      <c r="G19" s="74">
        <f>SUMIFS('0401 4度C'!$Z:$Z,'0401 4度C'!$A:$A,"新豐7線",'0401 4度C'!$B:$B,"平均")</f>
        <v>0</v>
      </c>
      <c r="H19" s="74">
        <f>SUMIFS('0401 4度C'!$Z:$Z,'0401 4度C'!$A:$A,"新豐3線",'0401 4度C'!$B:$B,"平均")</f>
        <v>0</v>
      </c>
      <c r="I19" s="74">
        <f>SUMIFS('0401 4度C'!$Z:$Z,'0401 4度C'!$A:$A,"新豐1線",'0401 4度C'!$B:$B,"平均")</f>
        <v>0</v>
      </c>
      <c r="J19" s="75">
        <f>SUMIFS('0401 4度C'!$Z:$Z,'0401 4度C'!$A:$A,"新豐10線",'0401 4度C'!$B:$B,"平均")</f>
        <v>0</v>
      </c>
      <c r="K19" s="76">
        <f>SUMIFS('0401 4度C'!$Z:$Z,'0401 4度C'!$A:$A,"新豐8線",'0401 4度C'!$B:$B,"平均")</f>
        <v>0</v>
      </c>
      <c r="L19" s="74">
        <f>SUMIFS('0401 4度C'!$Z:$Z,'0401 4度C'!$A:$A,"新豐9線",'0401 4度C'!$B:$B,"平均")</f>
        <v>0</v>
      </c>
      <c r="M19" s="75">
        <f>SUMIFS('0401 4度C'!$Z:$Z,'0401 4度C'!$A:$A,"新豐4線",'0401 4度C'!$B:$B,"平均")</f>
        <v>0</v>
      </c>
    </row>
    <row r="20" spans="2:13" ht="17.25" customHeight="1">
      <c r="B20" s="104" t="s">
        <v>107</v>
      </c>
      <c r="C20" s="72" t="s">
        <v>105</v>
      </c>
      <c r="D20" s="73">
        <f>SUMIFS('0401 4度C'!$AC:$AC,'0401 4度C'!$A:$A,"新豐6線",'0401 4度C'!$B:$B,"平均")</f>
        <v>4</v>
      </c>
      <c r="E20" s="74">
        <f>SUMIFS('0401 4度C'!$AC:$AC,'0401 4度C'!$A:$A,"新豐2線",'0401 4度C'!$B:$B,"平均")</f>
        <v>3</v>
      </c>
      <c r="F20" s="74">
        <f>SUMIFS('0401 4度C'!$AC:$AC,'0401 4度C'!$A:$A,"新豐5線",'0401 4度C'!$B:$B,"平均")</f>
        <v>3</v>
      </c>
      <c r="G20" s="74">
        <f>SUMIFS('0401 4度C'!$AC:$AC,'0401 4度C'!$A:$A,"新豐7線",'0401 4度C'!$B:$B,"平均")</f>
        <v>6</v>
      </c>
      <c r="H20" s="74">
        <f>SUMIFS('0401 4度C'!$AC:$AC,'0401 4度C'!$A:$A,"新豐3線",'0401 4度C'!$B:$B,"平均")</f>
        <v>5</v>
      </c>
      <c r="I20" s="74">
        <f>SUMIFS('0401 4度C'!$AC:$AC,'0401 4度C'!$A:$A,"新豐1線",'0401 4度C'!$B:$B,"平均")</f>
        <v>7</v>
      </c>
      <c r="J20" s="75">
        <f>SUMIFS('0401 4度C'!$AC:$AC,'0401 4度C'!$A:$A,"新豐10線",'0401 4度C'!$B:$B,"平均")</f>
        <v>5</v>
      </c>
      <c r="K20" s="76">
        <f>SUMIFS('0401 4度C'!$AC:$AC,'0401 4度C'!$A:$A,"新豐8線",'0401 4度C'!$B:$B,"平均")</f>
        <v>6</v>
      </c>
      <c r="L20" s="74">
        <f>SUMIFS('0401 4度C'!$AC:$AC,'0401 4度C'!$A:$A,"新豐9線",'0401 4度C'!$B:$B,"平均")</f>
        <v>6</v>
      </c>
      <c r="M20" s="75">
        <f>SUMIFS('0401 4度C'!$AC:$AC,'0401 4度C'!$A:$A,"新豐4線",'0401 4度C'!$B:$B,"平均")</f>
        <v>6</v>
      </c>
    </row>
    <row r="21" spans="2:13" ht="17.25" customHeight="1">
      <c r="B21" s="105"/>
      <c r="C21" s="72" t="s">
        <v>108</v>
      </c>
      <c r="D21" s="73">
        <f>SUMIFS('0401 4度C'!$AD:$AD,'0401 4度C'!$A:$A,"新豐6線",'0401 4度C'!$B:$B,"平均")</f>
        <v>0</v>
      </c>
      <c r="E21" s="74">
        <f>SUMIFS('0401 4度C'!$AD:$AD,'0401 4度C'!$A:$A,"新豐2線",'0401 4度C'!$B:$B,"平均")</f>
        <v>0</v>
      </c>
      <c r="F21" s="74">
        <f>SUMIFS('0401 4度C'!$AD:$AD,'0401 4度C'!$A:$A,"新豐5線",'0401 4度C'!$B:$B,"平均")</f>
        <v>0</v>
      </c>
      <c r="G21" s="74">
        <f>SUMIFS('0401 4度C'!$AD:$AD,'0401 4度C'!$A:$A,"新豐7線",'0401 4度C'!$B:$B,"平均")</f>
        <v>0</v>
      </c>
      <c r="H21" s="74">
        <f>SUMIFS('0401 4度C'!$AD:$AD,'0401 4度C'!$A:$A,"新豐3線",'0401 4度C'!$B:$B,"平均")</f>
        <v>0</v>
      </c>
      <c r="I21" s="74">
        <f>SUMIFS('0401 4度C'!$AD:$AD,'0401 4度C'!$A:$A,"新豐1線",'0401 4度C'!$B:$B,"平均")</f>
        <v>0</v>
      </c>
      <c r="J21" s="75">
        <f>SUMIFS('0401 4度C'!$AD:$AD,'0401 4度C'!$A:$A,"新豐10線",'0401 4度C'!$B:$B,"平均")</f>
        <v>0</v>
      </c>
      <c r="K21" s="76">
        <f>SUMIFS('0401 4度C'!$AD:$AD,'0401 4度C'!$A:$A,"新豐8線",'0401 4度C'!$B:$B,"平均")</f>
        <v>0</v>
      </c>
      <c r="L21" s="74">
        <f>SUMIFS('0401 4度C'!$AD:$AD,'0401 4度C'!$A:$A,"新豐9線",'0401 4度C'!$B:$B,"平均")</f>
        <v>0</v>
      </c>
      <c r="M21" s="75">
        <f>SUMIFS('0401 4度C'!$AD:$AD,'0401 4度C'!$A:$A,"新豐4線",'0401 4度C'!$B:$B,"平均")</f>
        <v>0</v>
      </c>
    </row>
    <row r="22" spans="2:13" ht="17.25" customHeight="1">
      <c r="B22" s="106" t="s">
        <v>109</v>
      </c>
      <c r="C22" s="107"/>
      <c r="D22" s="77">
        <f>SUMIFS('0401 4度C'!$I:$I,'0401 4度C'!$A:$A,"新豐6線",'0401 4度C'!$B:$B,"平均")</f>
        <v>18</v>
      </c>
      <c r="E22" s="78">
        <f>SUMIFS('0401 4度C'!$I:$I,'0401 4度C'!$A:$A,"新豐2線",'0401 4度C'!$B:$B,"平均")</f>
        <v>17.666666666666668</v>
      </c>
      <c r="F22" s="78">
        <f>SUMIFS('0401 4度C'!$I:$I,'0401 4度C'!$A:$A,"新豐5線",'0401 4度C'!$B:$B,"平均")</f>
        <v>19</v>
      </c>
      <c r="G22" s="78">
        <f>SUMIFS('0401 4度C'!$I:$I,'0401 4度C'!$A:$A,"新豐7線",'0401 4度C'!$B:$B,"平均")</f>
        <v>15</v>
      </c>
      <c r="H22" s="78">
        <f>SUMIFS('0401 4度C'!$I:$I,'0401 4度C'!$A:$A,"新豐3線",'0401 4度C'!$B:$B,"平均")</f>
        <v>9</v>
      </c>
      <c r="I22" s="78">
        <f>SUMIFS('0401 4度C'!$I:$I,'0401 4度C'!$A:$A,"新豐1線",'0401 4度C'!$B:$B,"平均")</f>
        <v>18.857142857142858</v>
      </c>
      <c r="J22" s="79">
        <f>SUMIFS('0401 4度C'!$I:$I,'0401 4度C'!$A:$A,"新豐10線",'0401 4度C'!$B:$B,"平均")</f>
        <v>10.4</v>
      </c>
      <c r="K22" s="77">
        <f>SUMIFS('0401 4度C'!$I:$I,'0401 4度C'!$A:$A,"新豐8線",'0401 4度C'!$B:$B,"平均")</f>
        <v>18.333333333333332</v>
      </c>
      <c r="L22" s="78">
        <f>SUMIFS('0401 4度C'!$I:$I,'0401 4度C'!$A:$A,"新豐9線",'0401 4度C'!$B:$B,"平均")</f>
        <v>17.666666666666668</v>
      </c>
      <c r="M22" s="79">
        <f>SUMIFS('0401 4度C'!$I:$I,'0401 4度C'!$A:$A,"新豐4線",'0401 4度C'!$B:$B,"平均")</f>
        <v>15.166666666666666</v>
      </c>
    </row>
    <row r="23" spans="2:13" ht="17.25" customHeight="1">
      <c r="B23" s="106" t="s">
        <v>110</v>
      </c>
      <c r="C23" s="107"/>
      <c r="D23" s="80" t="s">
        <v>67</v>
      </c>
      <c r="E23" s="81" t="s">
        <v>68</v>
      </c>
      <c r="F23" s="81" t="s">
        <v>111</v>
      </c>
      <c r="G23" s="81" t="s">
        <v>111</v>
      </c>
      <c r="H23" s="81" t="s">
        <v>69</v>
      </c>
      <c r="I23" s="81" t="s">
        <v>67</v>
      </c>
      <c r="J23" s="82" t="s">
        <v>69</v>
      </c>
      <c r="K23" s="80" t="s">
        <v>112</v>
      </c>
      <c r="L23" s="81" t="s">
        <v>112</v>
      </c>
      <c r="M23" s="82" t="s">
        <v>112</v>
      </c>
    </row>
    <row r="24" spans="2:13" ht="17.25" customHeight="1">
      <c r="B24" s="106" t="s">
        <v>113</v>
      </c>
      <c r="C24" s="107"/>
      <c r="D24" s="80"/>
      <c r="E24" s="81"/>
      <c r="F24" s="81" t="s">
        <v>114</v>
      </c>
      <c r="G24" s="81" t="s">
        <v>67</v>
      </c>
      <c r="H24" s="81"/>
      <c r="I24" s="81"/>
      <c r="J24" s="82"/>
      <c r="K24" s="80"/>
      <c r="L24" s="81"/>
      <c r="M24" s="82"/>
    </row>
    <row r="25" spans="2:13" ht="17.25" customHeight="1" thickBot="1">
      <c r="B25" s="108" t="s">
        <v>115</v>
      </c>
      <c r="C25" s="109"/>
      <c r="D25" s="83"/>
      <c r="E25" s="84" t="s">
        <v>116</v>
      </c>
      <c r="F25" s="102" t="s">
        <v>117</v>
      </c>
      <c r="G25" s="103"/>
      <c r="H25" s="84" t="s">
        <v>118</v>
      </c>
      <c r="I25" s="84" t="s">
        <v>119</v>
      </c>
      <c r="J25" s="85" t="s">
        <v>118</v>
      </c>
      <c r="K25" s="86"/>
      <c r="L25" s="84"/>
      <c r="M25" s="85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AG66"/>
  <sheetViews>
    <sheetView zoomScale="80" zoomScaleNormal="80" workbookViewId="0">
      <pane ySplit="4" topLeftCell="A5" activePane="bottomLeft" state="frozen"/>
      <selection activeCell="G14" sqref="G14"/>
      <selection pane="bottomLeft" activeCell="G14" sqref="G14"/>
    </sheetView>
  </sheetViews>
  <sheetFormatPr defaultColWidth="8" defaultRowHeight="15.75"/>
  <cols>
    <col min="1" max="1" width="15.125" style="7" customWidth="1"/>
    <col min="2" max="2" width="19.375" style="7" customWidth="1"/>
    <col min="3" max="3" width="15.25" style="7" customWidth="1"/>
    <col min="4" max="4" width="17.5" style="7" customWidth="1"/>
    <col min="5" max="5" width="7.5" style="7" customWidth="1"/>
    <col min="6" max="7" width="14.375" style="7" customWidth="1"/>
    <col min="8" max="8" width="8" style="7" customWidth="1"/>
    <col min="9" max="9" width="5.875" style="7" customWidth="1"/>
    <col min="10" max="10" width="10.625" style="7" customWidth="1"/>
    <col min="11" max="11" width="14.625" style="7" customWidth="1"/>
    <col min="12" max="12" width="7.25" style="7" customWidth="1"/>
    <col min="13" max="13" width="8" style="7" customWidth="1"/>
    <col min="14" max="14" width="12" style="7" customWidth="1"/>
    <col min="15" max="15" width="6" style="7" customWidth="1"/>
    <col min="16" max="16" width="9.25" style="7" customWidth="1"/>
    <col min="17" max="17" width="11.5" style="7" customWidth="1"/>
    <col min="18" max="18" width="8.5" style="7" customWidth="1"/>
    <col min="19" max="19" width="10.125" style="7" customWidth="1"/>
    <col min="20" max="20" width="7.625" style="7" customWidth="1"/>
    <col min="21" max="21" width="10.25" style="7" customWidth="1"/>
    <col min="22" max="22" width="8.75" style="25" customWidth="1"/>
    <col min="23" max="23" width="7.375" style="7" customWidth="1"/>
    <col min="24" max="24" width="6.875" style="7" customWidth="1"/>
    <col min="25" max="26" width="8.75" style="7" customWidth="1"/>
    <col min="27" max="27" width="12.75" style="7" customWidth="1"/>
    <col min="28" max="28" width="18.875" style="7" customWidth="1"/>
    <col min="29" max="30" width="15.125" style="7" customWidth="1"/>
    <col min="31" max="31" width="13.125" style="7" bestFit="1" customWidth="1"/>
    <col min="32" max="32" width="10.375" style="7" customWidth="1"/>
    <col min="33" max="33" width="9.375" style="7" customWidth="1"/>
    <col min="34" max="34" width="8" style="7"/>
    <col min="35" max="35" width="24.625" style="7" bestFit="1" customWidth="1"/>
    <col min="36" max="16384" width="8" style="7"/>
  </cols>
  <sheetData>
    <row r="1" spans="1:33" ht="36.75" customHeight="1">
      <c r="A1" s="1" t="s">
        <v>120</v>
      </c>
      <c r="B1" s="1"/>
      <c r="C1" s="2" t="s">
        <v>121</v>
      </c>
      <c r="D1" s="3">
        <f>SUM(F5:F65)</f>
        <v>146540</v>
      </c>
      <c r="E1" s="88" t="s">
        <v>122</v>
      </c>
      <c r="F1" s="1">
        <f>SUM(G5:G65)</f>
        <v>4817871.0699999994</v>
      </c>
      <c r="G1" s="1" t="s">
        <v>123</v>
      </c>
      <c r="H1" s="4">
        <f>L9+L13+L44+L52+L17+L58+L31+L38+L24+L65</f>
        <v>159.09047619047618</v>
      </c>
      <c r="I1" s="215" t="s">
        <v>124</v>
      </c>
      <c r="J1" s="215"/>
      <c r="K1" s="215"/>
      <c r="L1" s="215" t="s">
        <v>125</v>
      </c>
      <c r="M1" s="215"/>
      <c r="N1" s="215"/>
      <c r="O1" s="215" t="s">
        <v>126</v>
      </c>
      <c r="P1" s="215"/>
      <c r="Q1" s="215"/>
      <c r="R1" s="215"/>
      <c r="S1" s="215" t="s">
        <v>127</v>
      </c>
      <c r="T1" s="215"/>
      <c r="U1" s="215"/>
      <c r="V1" s="215"/>
      <c r="W1" s="215"/>
      <c r="X1" s="215"/>
      <c r="Y1" s="5" t="s">
        <v>128</v>
      </c>
      <c r="Z1" s="6" t="s">
        <v>129</v>
      </c>
      <c r="AA1" s="216" t="s">
        <v>130</v>
      </c>
      <c r="AB1" s="216"/>
      <c r="AC1" s="97" t="s">
        <v>128</v>
      </c>
      <c r="AD1" s="6" t="s">
        <v>131</v>
      </c>
      <c r="AE1" s="215" t="s">
        <v>132</v>
      </c>
      <c r="AF1" s="217"/>
      <c r="AG1" s="217"/>
    </row>
    <row r="2" spans="1:33" ht="26.25" customHeight="1">
      <c r="A2" s="26">
        <v>46113</v>
      </c>
      <c r="B2" s="27" t="s">
        <v>133</v>
      </c>
      <c r="C2" s="2" t="s">
        <v>97</v>
      </c>
      <c r="D2" s="8">
        <f>AVERAGE(N9,N13,N44,N52,N17,N58,N24,N31,N38,N65)</f>
        <v>148.32499290709461</v>
      </c>
      <c r="E2" s="9" t="s">
        <v>0</v>
      </c>
      <c r="F2" s="10">
        <f>F1/D1</f>
        <v>32.877515149447248</v>
      </c>
      <c r="G2" s="1" t="s">
        <v>134</v>
      </c>
      <c r="H2" s="96">
        <f>COUNT(H5:H65)</f>
        <v>4</v>
      </c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11">
        <f>SUM(Y9+Y13+Y17+Y24+Y31+Y38+Y44+Y52+Y58+Y65)</f>
        <v>0</v>
      </c>
      <c r="Z2" s="11">
        <f>SUM(Z9+Z13+Z17+Z24+Z31+Z38+Z44+Z52+Z58+Z65)</f>
        <v>0</v>
      </c>
      <c r="AA2" s="216"/>
      <c r="AB2" s="216"/>
      <c r="AC2" s="11">
        <f>SUM(AC9+AC13+AC17+AC24+AC31+AC38+AC44+AC52+AC58+AC65)</f>
        <v>51</v>
      </c>
      <c r="AD2" s="11">
        <f>SUM(AD9+AD13+AD17+AD24+AD31+AD38+AD44+AD52+AD58+AD65)</f>
        <v>0</v>
      </c>
      <c r="AE2" s="217"/>
      <c r="AF2" s="217"/>
      <c r="AG2" s="217"/>
    </row>
    <row r="3" spans="1:33" ht="40.5" customHeight="1">
      <c r="A3" s="168" t="s">
        <v>135</v>
      </c>
      <c r="B3" s="168" t="s">
        <v>136</v>
      </c>
      <c r="C3" s="168" t="s">
        <v>137</v>
      </c>
      <c r="D3" s="168"/>
      <c r="E3" s="213" t="s">
        <v>138</v>
      </c>
      <c r="F3" s="168" t="s">
        <v>139</v>
      </c>
      <c r="G3" s="213" t="s">
        <v>140</v>
      </c>
      <c r="H3" s="207" t="s">
        <v>141</v>
      </c>
      <c r="I3" s="205" t="s">
        <v>142</v>
      </c>
      <c r="J3" s="202" t="s">
        <v>143</v>
      </c>
      <c r="K3" s="212" t="s">
        <v>144</v>
      </c>
      <c r="L3" s="205" t="s">
        <v>145</v>
      </c>
      <c r="M3" s="202" t="s">
        <v>146</v>
      </c>
      <c r="N3" s="212" t="s">
        <v>144</v>
      </c>
      <c r="O3" s="205" t="s">
        <v>145</v>
      </c>
      <c r="P3" s="212" t="s">
        <v>97</v>
      </c>
      <c r="Q3" s="203" t="s">
        <v>147</v>
      </c>
      <c r="R3" s="181" t="s">
        <v>148</v>
      </c>
      <c r="S3" s="168" t="s">
        <v>1</v>
      </c>
      <c r="T3" s="168"/>
      <c r="U3" s="207" t="s">
        <v>2</v>
      </c>
      <c r="V3" s="207" t="s">
        <v>149</v>
      </c>
      <c r="W3" s="168" t="s">
        <v>150</v>
      </c>
      <c r="X3" s="168"/>
      <c r="Y3" s="208" t="s">
        <v>151</v>
      </c>
      <c r="Z3" s="167"/>
      <c r="AA3" s="209" t="s">
        <v>152</v>
      </c>
      <c r="AB3" s="210"/>
      <c r="AC3" s="208" t="s">
        <v>153</v>
      </c>
      <c r="AD3" s="167"/>
      <c r="AE3" s="202" t="s">
        <v>154</v>
      </c>
      <c r="AF3" s="203" t="s">
        <v>155</v>
      </c>
      <c r="AG3" s="181" t="s">
        <v>148</v>
      </c>
    </row>
    <row r="4" spans="1:33" ht="15.75" customHeight="1">
      <c r="A4" s="168"/>
      <c r="B4" s="168"/>
      <c r="C4" s="168"/>
      <c r="D4" s="168"/>
      <c r="E4" s="214"/>
      <c r="F4" s="168"/>
      <c r="G4" s="214"/>
      <c r="H4" s="207"/>
      <c r="I4" s="205"/>
      <c r="J4" s="202"/>
      <c r="K4" s="212"/>
      <c r="L4" s="205"/>
      <c r="M4" s="202"/>
      <c r="N4" s="212"/>
      <c r="O4" s="205"/>
      <c r="P4" s="212"/>
      <c r="Q4" s="203"/>
      <c r="R4" s="181"/>
      <c r="S4" s="88" t="s">
        <v>3</v>
      </c>
      <c r="T4" s="88" t="s">
        <v>4</v>
      </c>
      <c r="U4" s="207"/>
      <c r="V4" s="207"/>
      <c r="W4" s="88" t="s">
        <v>156</v>
      </c>
      <c r="X4" s="88" t="s">
        <v>157</v>
      </c>
      <c r="Y4" s="90" t="s">
        <v>158</v>
      </c>
      <c r="Z4" s="90" t="s">
        <v>159</v>
      </c>
      <c r="AA4" s="211"/>
      <c r="AB4" s="210"/>
      <c r="AC4" s="90" t="s">
        <v>160</v>
      </c>
      <c r="AD4" s="90" t="s">
        <v>161</v>
      </c>
      <c r="AE4" s="202"/>
      <c r="AF4" s="203"/>
      <c r="AG4" s="181"/>
    </row>
    <row r="5" spans="1:33">
      <c r="A5" s="204" t="s">
        <v>162</v>
      </c>
      <c r="B5" s="28" t="s">
        <v>5</v>
      </c>
      <c r="C5" s="206" t="s">
        <v>6</v>
      </c>
      <c r="D5" s="206"/>
      <c r="E5" s="28">
        <v>50.67</v>
      </c>
      <c r="F5" s="88">
        <v>1317</v>
      </c>
      <c r="G5" s="88">
        <f t="shared" ref="G5:G8" si="0">E5*F5</f>
        <v>66732.39</v>
      </c>
      <c r="H5" s="30" t="s">
        <v>53</v>
      </c>
      <c r="I5" s="95">
        <v>17</v>
      </c>
      <c r="J5" s="13">
        <v>2000</v>
      </c>
      <c r="K5" s="12">
        <f t="shared" ref="K5:K65" si="1">J5/I5</f>
        <v>117.64705882352941</v>
      </c>
      <c r="L5" s="95">
        <v>17</v>
      </c>
      <c r="M5" s="13">
        <f t="shared" ref="M5:M8" si="2">F5/V5*60</f>
        <v>1927.317073170731</v>
      </c>
      <c r="N5" s="12">
        <f t="shared" ref="N5:N65" si="3">M5/L5</f>
        <v>113.37159253945477</v>
      </c>
      <c r="O5" s="14">
        <f t="shared" ref="O5:O65" si="4">L5-I5</f>
        <v>0</v>
      </c>
      <c r="P5" s="15">
        <f t="shared" ref="P5:P65" si="5">N5-K5</f>
        <v>-4.2754662840746391</v>
      </c>
      <c r="Q5" s="91">
        <f t="shared" ref="Q5:Q65" si="6">N5/K5</f>
        <v>0.9636585365853656</v>
      </c>
      <c r="R5" s="177">
        <f>Q9</f>
        <v>0.95072871297909967</v>
      </c>
      <c r="S5" s="21">
        <v>0.70833333333333337</v>
      </c>
      <c r="T5" s="21">
        <v>0.7368055555555556</v>
      </c>
      <c r="U5" s="88"/>
      <c r="V5" s="30">
        <f t="shared" ref="V5:V8" si="7">(T5-S5)*24*60</f>
        <v>41.000000000000014</v>
      </c>
      <c r="W5" s="16"/>
      <c r="X5" s="17"/>
      <c r="Y5" s="17"/>
      <c r="Z5" s="17"/>
      <c r="AA5" s="168"/>
      <c r="AB5" s="168"/>
      <c r="AC5" s="18">
        <v>4</v>
      </c>
      <c r="AD5" s="18"/>
      <c r="AE5" s="14">
        <f t="shared" ref="AE5:AE51" si="8">M5-J5</f>
        <v>-72.682926829269036</v>
      </c>
      <c r="AF5" s="91">
        <f t="shared" ref="AF5:AF65" si="9">M5/J5</f>
        <v>0.96365853658536549</v>
      </c>
      <c r="AG5" s="177">
        <f>AF9</f>
        <v>0.95072871297909967</v>
      </c>
    </row>
    <row r="6" spans="1:33">
      <c r="A6" s="205" t="s">
        <v>163</v>
      </c>
      <c r="B6" s="28" t="s">
        <v>5</v>
      </c>
      <c r="C6" s="206" t="s">
        <v>7</v>
      </c>
      <c r="D6" s="206"/>
      <c r="E6" s="28">
        <v>54.09</v>
      </c>
      <c r="F6" s="88">
        <v>1017</v>
      </c>
      <c r="G6" s="88">
        <f t="shared" si="0"/>
        <v>55009.530000000006</v>
      </c>
      <c r="H6" s="30" t="s">
        <v>53</v>
      </c>
      <c r="I6" s="95">
        <v>19</v>
      </c>
      <c r="J6" s="13">
        <v>2000</v>
      </c>
      <c r="K6" s="12">
        <f t="shared" si="1"/>
        <v>105.26315789473684</v>
      </c>
      <c r="L6" s="95">
        <v>19</v>
      </c>
      <c r="M6" s="13">
        <f t="shared" si="2"/>
        <v>1906.8749999999975</v>
      </c>
      <c r="N6" s="12">
        <f t="shared" si="3"/>
        <v>100.36184210526302</v>
      </c>
      <c r="O6" s="14">
        <f t="shared" si="4"/>
        <v>0</v>
      </c>
      <c r="P6" s="15">
        <f t="shared" si="5"/>
        <v>-4.9013157894738129</v>
      </c>
      <c r="Q6" s="91">
        <f t="shared" si="6"/>
        <v>0.95343749999999883</v>
      </c>
      <c r="R6" s="177"/>
      <c r="S6" s="21">
        <v>0.74236111111111114</v>
      </c>
      <c r="T6" s="21">
        <v>0.76458333333333339</v>
      </c>
      <c r="U6" s="88">
        <f t="shared" ref="U6:U8" si="10">IF(S6=TIME(17,0,0),"",(S6-T5)*24*60)</f>
        <v>7.9999999999999716</v>
      </c>
      <c r="V6" s="30">
        <f t="shared" si="7"/>
        <v>32.000000000000043</v>
      </c>
      <c r="W6" s="16"/>
      <c r="X6" s="16"/>
      <c r="Y6" s="16"/>
      <c r="Z6" s="16"/>
      <c r="AA6" s="168"/>
      <c r="AB6" s="168"/>
      <c r="AC6" s="18"/>
      <c r="AD6" s="18"/>
      <c r="AE6" s="14">
        <f t="shared" si="8"/>
        <v>-93.125000000002501</v>
      </c>
      <c r="AF6" s="91">
        <f t="shared" si="9"/>
        <v>0.95343749999999872</v>
      </c>
      <c r="AG6" s="177"/>
    </row>
    <row r="7" spans="1:33">
      <c r="A7" s="205" t="s">
        <v>164</v>
      </c>
      <c r="B7" s="28" t="s">
        <v>5</v>
      </c>
      <c r="C7" s="200" t="s">
        <v>8</v>
      </c>
      <c r="D7" s="201"/>
      <c r="E7" s="28">
        <v>50.67</v>
      </c>
      <c r="F7" s="88">
        <v>215</v>
      </c>
      <c r="G7" s="88">
        <f t="shared" si="0"/>
        <v>10894.050000000001</v>
      </c>
      <c r="H7" s="30" t="s">
        <v>53</v>
      </c>
      <c r="I7" s="95">
        <v>21</v>
      </c>
      <c r="J7" s="13">
        <v>2000</v>
      </c>
      <c r="K7" s="12">
        <f t="shared" si="1"/>
        <v>95.238095238095241</v>
      </c>
      <c r="L7" s="95">
        <v>21</v>
      </c>
      <c r="M7" s="13">
        <f t="shared" si="2"/>
        <v>1842.8571428571915</v>
      </c>
      <c r="N7" s="12">
        <f t="shared" si="3"/>
        <v>87.755102040818642</v>
      </c>
      <c r="O7" s="14">
        <f t="shared" si="4"/>
        <v>0</v>
      </c>
      <c r="P7" s="15">
        <f t="shared" si="5"/>
        <v>-7.4829931972765991</v>
      </c>
      <c r="Q7" s="91">
        <f t="shared" si="6"/>
        <v>0.92142857142859569</v>
      </c>
      <c r="R7" s="177"/>
      <c r="S7" s="21">
        <v>0.76944444444444449</v>
      </c>
      <c r="T7" s="21">
        <v>0.77430555555555547</v>
      </c>
      <c r="U7" s="88">
        <f t="shared" si="10"/>
        <v>6.9999999999999751</v>
      </c>
      <c r="V7" s="30">
        <f t="shared" si="7"/>
        <v>6.9999999999998153</v>
      </c>
      <c r="W7" s="16"/>
      <c r="X7" s="16"/>
      <c r="Y7" s="19"/>
      <c r="Z7" s="19"/>
      <c r="AA7" s="172"/>
      <c r="AB7" s="173"/>
      <c r="AC7" s="18"/>
      <c r="AD7" s="20"/>
      <c r="AE7" s="14">
        <f t="shared" si="8"/>
        <v>-157.14285714280845</v>
      </c>
      <c r="AF7" s="91">
        <f t="shared" si="9"/>
        <v>0.9214285714285958</v>
      </c>
      <c r="AG7" s="177"/>
    </row>
    <row r="8" spans="1:33">
      <c r="A8" s="205" t="s">
        <v>162</v>
      </c>
      <c r="B8" s="28" t="s">
        <v>5</v>
      </c>
      <c r="C8" s="200" t="s">
        <v>16</v>
      </c>
      <c r="D8" s="201"/>
      <c r="E8" s="28">
        <v>50.67</v>
      </c>
      <c r="F8" s="88">
        <v>1318</v>
      </c>
      <c r="G8" s="88">
        <f t="shared" si="0"/>
        <v>66783.06</v>
      </c>
      <c r="H8" s="30" t="s">
        <v>53</v>
      </c>
      <c r="I8" s="95">
        <v>15</v>
      </c>
      <c r="J8" s="13">
        <v>2000</v>
      </c>
      <c r="K8" s="12">
        <f t="shared" si="1"/>
        <v>133.33333333333334</v>
      </c>
      <c r="L8" s="95">
        <v>15</v>
      </c>
      <c r="M8" s="13">
        <f t="shared" si="2"/>
        <v>1928.7804878048773</v>
      </c>
      <c r="N8" s="12">
        <f t="shared" si="3"/>
        <v>128.58536585365849</v>
      </c>
      <c r="O8" s="14">
        <f t="shared" si="4"/>
        <v>0</v>
      </c>
      <c r="P8" s="15">
        <f t="shared" si="5"/>
        <v>-4.7479674796748554</v>
      </c>
      <c r="Q8" s="91">
        <f t="shared" si="6"/>
        <v>0.96439024390243855</v>
      </c>
      <c r="R8" s="177"/>
      <c r="S8" s="21">
        <v>0.77916666666666667</v>
      </c>
      <c r="T8" s="21">
        <v>0.80763888888888891</v>
      </c>
      <c r="U8" s="88">
        <f t="shared" si="10"/>
        <v>7.000000000000135</v>
      </c>
      <c r="V8" s="30">
        <f t="shared" si="7"/>
        <v>41.000000000000014</v>
      </c>
      <c r="W8" s="21"/>
      <c r="X8" s="21"/>
      <c r="Y8" s="22"/>
      <c r="Z8" s="22"/>
      <c r="AA8" s="172"/>
      <c r="AB8" s="173"/>
      <c r="AC8" s="18"/>
      <c r="AD8" s="20"/>
      <c r="AE8" s="14">
        <f t="shared" si="8"/>
        <v>-71.219512195122661</v>
      </c>
      <c r="AF8" s="91">
        <f t="shared" si="9"/>
        <v>0.96439024390243866</v>
      </c>
      <c r="AG8" s="177"/>
    </row>
    <row r="9" spans="1:33">
      <c r="A9" s="205" t="s">
        <v>164</v>
      </c>
      <c r="B9" s="28" t="s">
        <v>165</v>
      </c>
      <c r="C9" s="178"/>
      <c r="D9" s="178"/>
      <c r="E9" s="92"/>
      <c r="F9" s="12"/>
      <c r="G9" s="12"/>
      <c r="H9" s="88"/>
      <c r="I9" s="23">
        <v>18</v>
      </c>
      <c r="J9" s="13">
        <v>2000</v>
      </c>
      <c r="K9" s="12">
        <f t="shared" si="1"/>
        <v>111.11111111111111</v>
      </c>
      <c r="L9" s="23">
        <v>18</v>
      </c>
      <c r="M9" s="13">
        <f>AVERAGE(M5:M8)</f>
        <v>1901.4574259581993</v>
      </c>
      <c r="N9" s="12">
        <f t="shared" si="3"/>
        <v>105.63652366434441</v>
      </c>
      <c r="O9" s="14">
        <f t="shared" si="4"/>
        <v>0</v>
      </c>
      <c r="P9" s="15">
        <f t="shared" si="5"/>
        <v>-5.4745874467667051</v>
      </c>
      <c r="Q9" s="91">
        <f t="shared" si="6"/>
        <v>0.95072871297909967</v>
      </c>
      <c r="R9" s="177"/>
      <c r="S9" s="21"/>
      <c r="T9" s="21"/>
      <c r="U9" s="88"/>
      <c r="V9" s="30"/>
      <c r="W9" s="12"/>
      <c r="X9" s="12"/>
      <c r="Y9" s="24">
        <f>SUM(Y5:Y8)</f>
        <v>0</v>
      </c>
      <c r="Z9" s="24">
        <f>SUM(Z5:Z8)</f>
        <v>0</v>
      </c>
      <c r="AA9" s="167"/>
      <c r="AB9" s="167"/>
      <c r="AC9" s="24">
        <f>SUM(AC5:AC8)</f>
        <v>4</v>
      </c>
      <c r="AD9" s="24">
        <f>SUM(AD5:AD8)</f>
        <v>0</v>
      </c>
      <c r="AE9" s="14">
        <f t="shared" si="8"/>
        <v>-98.542574041800663</v>
      </c>
      <c r="AF9" s="91">
        <f t="shared" si="9"/>
        <v>0.95072871297909967</v>
      </c>
      <c r="AG9" s="177"/>
    </row>
    <row r="10" spans="1:33" ht="15.75" customHeight="1">
      <c r="A10" s="199" t="s">
        <v>166</v>
      </c>
      <c r="B10" s="28" t="s">
        <v>9</v>
      </c>
      <c r="C10" s="200" t="s">
        <v>10</v>
      </c>
      <c r="D10" s="201"/>
      <c r="E10" s="28">
        <v>39.619999999999997</v>
      </c>
      <c r="F10" s="88">
        <v>5031</v>
      </c>
      <c r="G10" s="88">
        <f t="shared" ref="G10:G12" si="11">E10*F10</f>
        <v>199328.22</v>
      </c>
      <c r="H10" s="30" t="s">
        <v>53</v>
      </c>
      <c r="I10" s="95">
        <v>19</v>
      </c>
      <c r="J10" s="13">
        <v>1500</v>
      </c>
      <c r="K10" s="12">
        <f t="shared" si="1"/>
        <v>78.94736842105263</v>
      </c>
      <c r="L10" s="95">
        <v>19</v>
      </c>
      <c r="M10" s="13">
        <f t="shared" ref="M10:M12" si="12">F10/V10*60</f>
        <v>1430.6161137440758</v>
      </c>
      <c r="N10" s="12">
        <f t="shared" si="3"/>
        <v>75.295584933898724</v>
      </c>
      <c r="O10" s="14">
        <f t="shared" si="4"/>
        <v>0</v>
      </c>
      <c r="P10" s="15">
        <f t="shared" si="5"/>
        <v>-3.6517834871539065</v>
      </c>
      <c r="Q10" s="91">
        <f t="shared" si="6"/>
        <v>0.95374407582938381</v>
      </c>
      <c r="R10" s="177">
        <f>Q13</f>
        <v>0.95323484802321479</v>
      </c>
      <c r="S10" s="21">
        <v>0.20833333333333334</v>
      </c>
      <c r="T10" s="21">
        <v>0.35486111111111113</v>
      </c>
      <c r="U10" s="88"/>
      <c r="V10" s="30">
        <f t="shared" ref="V10:V12" si="13">(T10-S10)*24*60</f>
        <v>211</v>
      </c>
      <c r="W10" s="16"/>
      <c r="X10" s="16"/>
      <c r="Y10" s="16"/>
      <c r="Z10" s="16"/>
      <c r="AA10" s="168"/>
      <c r="AB10" s="168"/>
      <c r="AC10" s="18">
        <v>3</v>
      </c>
      <c r="AD10" s="18"/>
      <c r="AE10" s="14">
        <f t="shared" si="8"/>
        <v>-69.383886255924153</v>
      </c>
      <c r="AF10" s="91">
        <f t="shared" si="9"/>
        <v>0.95374407582938392</v>
      </c>
      <c r="AG10" s="177">
        <f>AF13</f>
        <v>0.95323484802321479</v>
      </c>
    </row>
    <row r="11" spans="1:33" ht="15.75" customHeight="1">
      <c r="A11" s="199" t="s">
        <v>167</v>
      </c>
      <c r="B11" s="28" t="s">
        <v>9</v>
      </c>
      <c r="C11" s="200" t="s">
        <v>11</v>
      </c>
      <c r="D11" s="201"/>
      <c r="E11" s="28">
        <v>39.799999999999997</v>
      </c>
      <c r="F11" s="88">
        <v>4600</v>
      </c>
      <c r="G11" s="88">
        <f t="shared" si="11"/>
        <v>183080</v>
      </c>
      <c r="H11" s="30">
        <v>2</v>
      </c>
      <c r="I11" s="95">
        <v>17</v>
      </c>
      <c r="J11" s="13">
        <v>1500</v>
      </c>
      <c r="K11" s="12">
        <f t="shared" si="1"/>
        <v>88.235294117647058</v>
      </c>
      <c r="L11" s="95">
        <v>17</v>
      </c>
      <c r="M11" s="13">
        <f t="shared" si="12"/>
        <v>1430.0518134715023</v>
      </c>
      <c r="N11" s="12">
        <f t="shared" si="3"/>
        <v>84.120694910088375</v>
      </c>
      <c r="O11" s="14">
        <f t="shared" si="4"/>
        <v>0</v>
      </c>
      <c r="P11" s="15">
        <f t="shared" si="5"/>
        <v>-4.1145992075586832</v>
      </c>
      <c r="Q11" s="91">
        <f t="shared" si="6"/>
        <v>0.95336787564766823</v>
      </c>
      <c r="R11" s="177"/>
      <c r="S11" s="21">
        <v>0.35972222222222222</v>
      </c>
      <c r="T11" s="21">
        <v>0.49375000000000002</v>
      </c>
      <c r="U11" s="88">
        <f t="shared" ref="U11:U12" si="14">IF(S11=TIME(17,0,0),"",(S11-T10)*24*60)</f>
        <v>6.9999999999999751</v>
      </c>
      <c r="V11" s="30">
        <f t="shared" si="13"/>
        <v>193.00000000000003</v>
      </c>
      <c r="W11" s="16">
        <f>T11</f>
        <v>0.49375000000000002</v>
      </c>
      <c r="X11" s="16">
        <f>S12</f>
        <v>0.53402777777777777</v>
      </c>
      <c r="Y11" s="16"/>
      <c r="Z11" s="16"/>
      <c r="AA11" s="168"/>
      <c r="AB11" s="168"/>
      <c r="AC11" s="18"/>
      <c r="AD11" s="18"/>
      <c r="AE11" s="14">
        <f t="shared" si="8"/>
        <v>-69.948186528497672</v>
      </c>
      <c r="AF11" s="91">
        <f t="shared" si="9"/>
        <v>0.95336787564766823</v>
      </c>
      <c r="AG11" s="177"/>
    </row>
    <row r="12" spans="1:33" ht="15.75" customHeight="1">
      <c r="A12" s="199" t="s">
        <v>167</v>
      </c>
      <c r="B12" s="28" t="s">
        <v>9</v>
      </c>
      <c r="C12" s="200" t="s">
        <v>11</v>
      </c>
      <c r="D12" s="201"/>
      <c r="E12" s="28">
        <v>39.799999999999997</v>
      </c>
      <c r="F12" s="88">
        <v>3215</v>
      </c>
      <c r="G12" s="88">
        <f t="shared" si="11"/>
        <v>127956.99999999999</v>
      </c>
      <c r="H12" s="30" t="s">
        <v>53</v>
      </c>
      <c r="I12" s="95">
        <v>17</v>
      </c>
      <c r="J12" s="13">
        <v>1500</v>
      </c>
      <c r="K12" s="12">
        <f t="shared" si="1"/>
        <v>88.235294117647058</v>
      </c>
      <c r="L12" s="95">
        <v>17</v>
      </c>
      <c r="M12" s="13">
        <f t="shared" si="12"/>
        <v>1428.8888888888887</v>
      </c>
      <c r="N12" s="12">
        <f t="shared" si="3"/>
        <v>84.052287581699332</v>
      </c>
      <c r="O12" s="14">
        <f t="shared" si="4"/>
        <v>0</v>
      </c>
      <c r="P12" s="15">
        <f t="shared" si="5"/>
        <v>-4.183006535947726</v>
      </c>
      <c r="Q12" s="91">
        <f t="shared" si="6"/>
        <v>0.95259259259259244</v>
      </c>
      <c r="R12" s="177"/>
      <c r="S12" s="21">
        <v>0.53402777777777777</v>
      </c>
      <c r="T12" s="21">
        <v>0.62777777777777777</v>
      </c>
      <c r="U12" s="88">
        <f t="shared" si="14"/>
        <v>57.999999999999957</v>
      </c>
      <c r="V12" s="30">
        <f t="shared" si="13"/>
        <v>135</v>
      </c>
      <c r="W12" s="16"/>
      <c r="X12" s="16"/>
      <c r="Y12" s="16"/>
      <c r="Z12" s="16"/>
      <c r="AA12" s="168"/>
      <c r="AB12" s="168"/>
      <c r="AC12" s="18"/>
      <c r="AD12" s="18"/>
      <c r="AE12" s="14">
        <f t="shared" si="8"/>
        <v>-71.111111111111313</v>
      </c>
      <c r="AF12" s="91">
        <f t="shared" si="9"/>
        <v>0.95259259259259244</v>
      </c>
      <c r="AG12" s="177"/>
    </row>
    <row r="13" spans="1:33" ht="16.5" customHeight="1">
      <c r="A13" s="199" t="s">
        <v>167</v>
      </c>
      <c r="B13" s="28" t="s">
        <v>168</v>
      </c>
      <c r="C13" s="178"/>
      <c r="D13" s="178"/>
      <c r="E13" s="92"/>
      <c r="F13" s="13"/>
      <c r="G13" s="13"/>
      <c r="H13" s="88"/>
      <c r="I13" s="23">
        <v>17.666666666666668</v>
      </c>
      <c r="J13" s="13">
        <v>1500</v>
      </c>
      <c r="K13" s="12">
        <f t="shared" si="1"/>
        <v>84.905660377358487</v>
      </c>
      <c r="L13" s="23">
        <v>17.666666666666668</v>
      </c>
      <c r="M13" s="13">
        <f>AVERAGE(M10:M12)</f>
        <v>1429.8522720348221</v>
      </c>
      <c r="N13" s="12">
        <f t="shared" si="3"/>
        <v>80.935034266122003</v>
      </c>
      <c r="O13" s="14">
        <f t="shared" si="4"/>
        <v>0</v>
      </c>
      <c r="P13" s="15">
        <f t="shared" si="5"/>
        <v>-3.9706261112364842</v>
      </c>
      <c r="Q13" s="91">
        <f t="shared" si="6"/>
        <v>0.95323484802321479</v>
      </c>
      <c r="R13" s="177"/>
      <c r="S13" s="21"/>
      <c r="T13" s="21"/>
      <c r="U13" s="12"/>
      <c r="V13" s="30"/>
      <c r="W13" s="12"/>
      <c r="X13" s="12"/>
      <c r="Y13" s="24">
        <f>SUM(Y10:Y12)</f>
        <v>0</v>
      </c>
      <c r="Z13" s="24">
        <f>SUM(Z10:Z12)</f>
        <v>0</v>
      </c>
      <c r="AA13" s="167"/>
      <c r="AB13" s="167"/>
      <c r="AC13" s="24">
        <f>SUM(AC10:AC12)</f>
        <v>3</v>
      </c>
      <c r="AD13" s="24">
        <f>SUM(AD10:AD12)</f>
        <v>0</v>
      </c>
      <c r="AE13" s="14">
        <f t="shared" si="8"/>
        <v>-70.147727965177864</v>
      </c>
      <c r="AF13" s="91">
        <f t="shared" si="9"/>
        <v>0.95323484802321479</v>
      </c>
      <c r="AG13" s="177"/>
    </row>
    <row r="14" spans="1:33" ht="16.5" customHeight="1">
      <c r="A14" s="197" t="s">
        <v>169</v>
      </c>
      <c r="B14" s="88" t="s">
        <v>12</v>
      </c>
      <c r="C14" s="193" t="s">
        <v>13</v>
      </c>
      <c r="D14" s="193"/>
      <c r="E14" s="28">
        <v>41</v>
      </c>
      <c r="F14" s="88">
        <v>2164</v>
      </c>
      <c r="G14" s="88">
        <f t="shared" ref="G14:G16" si="15">E14*F14</f>
        <v>88724</v>
      </c>
      <c r="H14" s="30" t="s">
        <v>53</v>
      </c>
      <c r="I14" s="95">
        <v>26</v>
      </c>
      <c r="J14" s="13">
        <v>1500</v>
      </c>
      <c r="K14" s="12">
        <f t="shared" si="1"/>
        <v>57.692307692307693</v>
      </c>
      <c r="L14" s="95">
        <v>26</v>
      </c>
      <c r="M14" s="13">
        <f t="shared" ref="M14:M16" si="16">F14/V14*60</f>
        <v>1426.8131868131861</v>
      </c>
      <c r="N14" s="12">
        <f t="shared" si="3"/>
        <v>54.877430262045621</v>
      </c>
      <c r="O14" s="14">
        <f t="shared" si="4"/>
        <v>0</v>
      </c>
      <c r="P14" s="15">
        <f t="shared" si="5"/>
        <v>-2.8148774302620723</v>
      </c>
      <c r="Q14" s="91">
        <f t="shared" si="6"/>
        <v>0.95120879120879076</v>
      </c>
      <c r="R14" s="177">
        <f>Q17</f>
        <v>0.95517010503727839</v>
      </c>
      <c r="S14" s="21">
        <v>0.20833333333333334</v>
      </c>
      <c r="T14" s="21">
        <v>0.27152777777777781</v>
      </c>
      <c r="U14" s="88"/>
      <c r="V14" s="30">
        <f t="shared" ref="V14:V16" si="17">(T14-S14)*24*60</f>
        <v>91.000000000000043</v>
      </c>
      <c r="W14" s="21"/>
      <c r="X14" s="21"/>
      <c r="Y14" s="21"/>
      <c r="Z14" s="21"/>
      <c r="AA14" s="168"/>
      <c r="AB14" s="168"/>
      <c r="AC14" s="18">
        <v>3</v>
      </c>
      <c r="AD14" s="18"/>
      <c r="AE14" s="14">
        <f t="shared" si="8"/>
        <v>-73.186813186813879</v>
      </c>
      <c r="AF14" s="91">
        <f t="shared" si="9"/>
        <v>0.95120879120879076</v>
      </c>
      <c r="AG14" s="177">
        <f>AF17</f>
        <v>0.95517010503727851</v>
      </c>
    </row>
    <row r="15" spans="1:33" ht="16.5" customHeight="1">
      <c r="A15" s="198" t="s">
        <v>169</v>
      </c>
      <c r="B15" s="88" t="s">
        <v>5</v>
      </c>
      <c r="C15" s="193" t="s">
        <v>14</v>
      </c>
      <c r="D15" s="193"/>
      <c r="E15" s="28">
        <v>50.98</v>
      </c>
      <c r="F15" s="88">
        <v>2174</v>
      </c>
      <c r="G15" s="88">
        <f t="shared" si="15"/>
        <v>110830.51999999999</v>
      </c>
      <c r="H15" s="30" t="s">
        <v>53</v>
      </c>
      <c r="I15" s="95">
        <v>16</v>
      </c>
      <c r="J15" s="13">
        <v>2000</v>
      </c>
      <c r="K15" s="12">
        <f t="shared" si="1"/>
        <v>125</v>
      </c>
      <c r="L15" s="95">
        <v>16</v>
      </c>
      <c r="M15" s="13">
        <f t="shared" si="16"/>
        <v>1918.2352941176496</v>
      </c>
      <c r="N15" s="12">
        <f t="shared" si="3"/>
        <v>119.8897058823531</v>
      </c>
      <c r="O15" s="14">
        <f t="shared" si="4"/>
        <v>0</v>
      </c>
      <c r="P15" s="15">
        <f t="shared" si="5"/>
        <v>-5.1102941176469017</v>
      </c>
      <c r="Q15" s="91">
        <f t="shared" si="6"/>
        <v>0.95911764705882474</v>
      </c>
      <c r="R15" s="177"/>
      <c r="S15" s="21">
        <v>0.70833333333333337</v>
      </c>
      <c r="T15" s="21">
        <v>0.75555555555555554</v>
      </c>
      <c r="U15" s="88" t="str">
        <f t="shared" ref="U15:U16" si="18">IF(S15=TIME(17,0,0),"",(S15-T14)*24*60)</f>
        <v/>
      </c>
      <c r="V15" s="30">
        <f t="shared" si="17"/>
        <v>67.999999999999915</v>
      </c>
      <c r="W15" s="16"/>
      <c r="X15" s="16"/>
      <c r="Y15" s="16"/>
      <c r="Z15" s="16"/>
      <c r="AA15" s="168"/>
      <c r="AB15" s="168"/>
      <c r="AC15" s="18"/>
      <c r="AD15" s="18"/>
      <c r="AE15" s="14">
        <f t="shared" si="8"/>
        <v>-81.764705882350427</v>
      </c>
      <c r="AF15" s="91">
        <f t="shared" si="9"/>
        <v>0.95911764705882474</v>
      </c>
      <c r="AG15" s="177"/>
    </row>
    <row r="16" spans="1:33" ht="16.5" customHeight="1">
      <c r="A16" s="198" t="s">
        <v>169</v>
      </c>
      <c r="B16" s="88" t="s">
        <v>5</v>
      </c>
      <c r="C16" s="193" t="s">
        <v>15</v>
      </c>
      <c r="D16" s="193"/>
      <c r="E16" s="28">
        <v>50.92</v>
      </c>
      <c r="F16" s="88">
        <v>1972</v>
      </c>
      <c r="G16" s="88">
        <f t="shared" si="15"/>
        <v>100414.24</v>
      </c>
      <c r="H16" s="30" t="s">
        <v>53</v>
      </c>
      <c r="I16" s="95">
        <v>15</v>
      </c>
      <c r="J16" s="13">
        <v>2000</v>
      </c>
      <c r="K16" s="12">
        <f t="shared" si="1"/>
        <v>133.33333333333334</v>
      </c>
      <c r="L16" s="95">
        <v>15</v>
      </c>
      <c r="M16" s="13">
        <f t="shared" si="16"/>
        <v>1908.3870967741955</v>
      </c>
      <c r="N16" s="12">
        <f t="shared" si="3"/>
        <v>127.22580645161302</v>
      </c>
      <c r="O16" s="14">
        <f t="shared" si="4"/>
        <v>0</v>
      </c>
      <c r="P16" s="15">
        <f t="shared" si="5"/>
        <v>-6.1075268817203181</v>
      </c>
      <c r="Q16" s="91">
        <f t="shared" si="6"/>
        <v>0.95419354838709758</v>
      </c>
      <c r="R16" s="177"/>
      <c r="S16" s="21">
        <v>0.75902777777777775</v>
      </c>
      <c r="T16" s="21">
        <v>0.80208333333333326</v>
      </c>
      <c r="U16" s="88">
        <f t="shared" si="18"/>
        <v>4.9999999999999822</v>
      </c>
      <c r="V16" s="30">
        <f t="shared" si="17"/>
        <v>61.999999999999943</v>
      </c>
      <c r="W16" s="16"/>
      <c r="X16" s="16"/>
      <c r="Y16" s="16"/>
      <c r="Z16" s="16"/>
      <c r="AA16" s="168"/>
      <c r="AB16" s="168"/>
      <c r="AC16" s="18"/>
      <c r="AD16" s="18"/>
      <c r="AE16" s="14">
        <f t="shared" si="8"/>
        <v>-91.61290322580453</v>
      </c>
      <c r="AF16" s="91">
        <f t="shared" si="9"/>
        <v>0.95419354838709769</v>
      </c>
      <c r="AG16" s="177"/>
    </row>
    <row r="17" spans="1:33" ht="16.5" customHeight="1">
      <c r="A17" s="198" t="s">
        <v>169</v>
      </c>
      <c r="B17" s="28" t="s">
        <v>168</v>
      </c>
      <c r="C17" s="178"/>
      <c r="D17" s="178"/>
      <c r="E17" s="92"/>
      <c r="F17" s="12"/>
      <c r="G17" s="12"/>
      <c r="H17" s="88"/>
      <c r="I17" s="23">
        <v>19</v>
      </c>
      <c r="J17" s="13">
        <v>1833.3333333333333</v>
      </c>
      <c r="K17" s="12">
        <f t="shared" si="1"/>
        <v>96.491228070175438</v>
      </c>
      <c r="L17" s="23">
        <v>19</v>
      </c>
      <c r="M17" s="13">
        <f>AVERAGE(M14:M16)</f>
        <v>1751.1451925683439</v>
      </c>
      <c r="N17" s="12">
        <f t="shared" si="3"/>
        <v>92.165536450965462</v>
      </c>
      <c r="O17" s="14">
        <f t="shared" si="4"/>
        <v>0</v>
      </c>
      <c r="P17" s="15">
        <f t="shared" si="5"/>
        <v>-4.3256916192099766</v>
      </c>
      <c r="Q17" s="91">
        <f t="shared" si="6"/>
        <v>0.95517010503727839</v>
      </c>
      <c r="R17" s="177"/>
      <c r="S17" s="21"/>
      <c r="T17" s="21"/>
      <c r="U17" s="88"/>
      <c r="V17" s="30"/>
      <c r="W17" s="12"/>
      <c r="X17" s="12"/>
      <c r="Y17" s="24">
        <f>SUM(Y14:Y16)</f>
        <v>0</v>
      </c>
      <c r="Z17" s="24">
        <f>SUM(Z14:Z16)</f>
        <v>0</v>
      </c>
      <c r="AA17" s="167"/>
      <c r="AB17" s="167"/>
      <c r="AC17" s="24">
        <f>SUM(AC14:AC16)</f>
        <v>3</v>
      </c>
      <c r="AD17" s="24">
        <f>SUM(AD14:AD16)</f>
        <v>0</v>
      </c>
      <c r="AE17" s="14">
        <f t="shared" si="8"/>
        <v>-82.188140764989384</v>
      </c>
      <c r="AF17" s="91">
        <f t="shared" si="9"/>
        <v>0.95517010503727851</v>
      </c>
      <c r="AG17" s="177"/>
    </row>
    <row r="18" spans="1:33" ht="15.75" customHeight="1">
      <c r="A18" s="195" t="s">
        <v>170</v>
      </c>
      <c r="B18" s="28" t="s">
        <v>5</v>
      </c>
      <c r="C18" s="193" t="s">
        <v>17</v>
      </c>
      <c r="D18" s="193"/>
      <c r="E18" s="28">
        <v>57.73</v>
      </c>
      <c r="F18" s="88">
        <v>2050</v>
      </c>
      <c r="G18" s="88">
        <f t="shared" ref="G18:G23" si="19">E18*F18</f>
        <v>118346.5</v>
      </c>
      <c r="H18" s="30" t="s">
        <v>53</v>
      </c>
      <c r="I18" s="95">
        <v>14</v>
      </c>
      <c r="J18" s="13">
        <v>2000</v>
      </c>
      <c r="K18" s="12">
        <f t="shared" si="1"/>
        <v>142.85714285714286</v>
      </c>
      <c r="L18" s="95">
        <v>14</v>
      </c>
      <c r="M18" s="13">
        <f t="shared" ref="M18:M23" si="20">F18/V18*60</f>
        <v>1921.8750000000009</v>
      </c>
      <c r="N18" s="12">
        <f t="shared" si="3"/>
        <v>137.27678571428578</v>
      </c>
      <c r="O18" s="14">
        <f t="shared" si="4"/>
        <v>0</v>
      </c>
      <c r="P18" s="15">
        <f t="shared" si="5"/>
        <v>-5.580357142857082</v>
      </c>
      <c r="Q18" s="91">
        <f t="shared" si="6"/>
        <v>0.96093750000000044</v>
      </c>
      <c r="R18" s="177">
        <f>Q24</f>
        <v>0.9613136375411645</v>
      </c>
      <c r="S18" s="21">
        <v>0.20833333333333334</v>
      </c>
      <c r="T18" s="21">
        <v>0.25277777777777777</v>
      </c>
      <c r="U18" s="88"/>
      <c r="V18" s="30">
        <f t="shared" ref="V18:V23" si="21">(T18-S18)*24*60</f>
        <v>63.999999999999972</v>
      </c>
      <c r="W18" s="21"/>
      <c r="X18" s="21"/>
      <c r="Y18" s="21"/>
      <c r="Z18" s="21"/>
      <c r="AA18" s="168"/>
      <c r="AB18" s="168"/>
      <c r="AC18" s="18">
        <v>6</v>
      </c>
      <c r="AD18" s="18"/>
      <c r="AE18" s="14">
        <f t="shared" si="8"/>
        <v>-78.124999999999091</v>
      </c>
      <c r="AF18" s="91">
        <f t="shared" si="9"/>
        <v>0.96093750000000044</v>
      </c>
      <c r="AG18" s="177">
        <f>AF24</f>
        <v>0.96131363754116461</v>
      </c>
    </row>
    <row r="19" spans="1:33" ht="15.75" customHeight="1">
      <c r="A19" s="196" t="s">
        <v>170</v>
      </c>
      <c r="B19" s="28" t="s">
        <v>5</v>
      </c>
      <c r="C19" s="193" t="s">
        <v>18</v>
      </c>
      <c r="D19" s="193"/>
      <c r="E19" s="28">
        <v>53.68</v>
      </c>
      <c r="F19" s="88">
        <v>1208</v>
      </c>
      <c r="G19" s="88">
        <f t="shared" si="19"/>
        <v>64845.440000000002</v>
      </c>
      <c r="H19" s="30" t="s">
        <v>53</v>
      </c>
      <c r="I19" s="95">
        <v>16</v>
      </c>
      <c r="J19" s="13">
        <v>2000</v>
      </c>
      <c r="K19" s="12">
        <f t="shared" si="1"/>
        <v>125</v>
      </c>
      <c r="L19" s="95">
        <v>16</v>
      </c>
      <c r="M19" s="13">
        <f t="shared" si="20"/>
        <v>1907.3684210526301</v>
      </c>
      <c r="N19" s="12">
        <f t="shared" si="3"/>
        <v>119.21052631578938</v>
      </c>
      <c r="O19" s="14">
        <f t="shared" si="4"/>
        <v>0</v>
      </c>
      <c r="P19" s="15">
        <f t="shared" si="5"/>
        <v>-5.7894736842106198</v>
      </c>
      <c r="Q19" s="91">
        <f t="shared" si="6"/>
        <v>0.95368421052631502</v>
      </c>
      <c r="R19" s="177"/>
      <c r="S19" s="21">
        <v>0.25694444444444442</v>
      </c>
      <c r="T19" s="21">
        <v>0.28333333333333333</v>
      </c>
      <c r="U19" s="88">
        <f t="shared" ref="U19:U23" si="22">IF(S19=TIME(17,0,0),"",(S19-T18)*24*60)</f>
        <v>5.9999999999999787</v>
      </c>
      <c r="V19" s="30">
        <f t="shared" si="21"/>
        <v>38.000000000000028</v>
      </c>
      <c r="W19" s="16"/>
      <c r="X19" s="88"/>
      <c r="Y19" s="88"/>
      <c r="Z19" s="88"/>
      <c r="AA19" s="168"/>
      <c r="AB19" s="168"/>
      <c r="AC19" s="18"/>
      <c r="AD19" s="18"/>
      <c r="AE19" s="14">
        <f t="shared" si="8"/>
        <v>-92.631578947369917</v>
      </c>
      <c r="AF19" s="91">
        <f t="shared" si="9"/>
        <v>0.95368421052631502</v>
      </c>
      <c r="AG19" s="177"/>
    </row>
    <row r="20" spans="1:33" ht="15.75" customHeight="1">
      <c r="A20" s="196" t="s">
        <v>170</v>
      </c>
      <c r="B20" s="28" t="s">
        <v>5</v>
      </c>
      <c r="C20" s="193" t="s">
        <v>73</v>
      </c>
      <c r="D20" s="193"/>
      <c r="E20" s="28">
        <v>50.67</v>
      </c>
      <c r="F20" s="88">
        <v>2422</v>
      </c>
      <c r="G20" s="88">
        <f t="shared" si="19"/>
        <v>122722.74</v>
      </c>
      <c r="H20" s="30" t="s">
        <v>53</v>
      </c>
      <c r="I20" s="95">
        <v>16</v>
      </c>
      <c r="J20" s="13">
        <v>2000</v>
      </c>
      <c r="K20" s="12">
        <f t="shared" si="1"/>
        <v>125</v>
      </c>
      <c r="L20" s="95">
        <v>16</v>
      </c>
      <c r="M20" s="13">
        <f t="shared" si="20"/>
        <v>1912.1052631578955</v>
      </c>
      <c r="N20" s="12">
        <f t="shared" si="3"/>
        <v>119.50657894736847</v>
      </c>
      <c r="O20" s="14">
        <f t="shared" si="4"/>
        <v>0</v>
      </c>
      <c r="P20" s="15">
        <f t="shared" si="5"/>
        <v>-5.4934210526315326</v>
      </c>
      <c r="Q20" s="91">
        <f t="shared" si="6"/>
        <v>0.95605263157894771</v>
      </c>
      <c r="R20" s="177"/>
      <c r="S20" s="21">
        <v>0.28680555555555554</v>
      </c>
      <c r="T20" s="21">
        <v>0.33958333333333329</v>
      </c>
      <c r="U20" s="88">
        <f t="shared" si="22"/>
        <v>4.9999999999999822</v>
      </c>
      <c r="V20" s="30">
        <f t="shared" si="21"/>
        <v>75.999999999999972</v>
      </c>
      <c r="W20" s="16"/>
      <c r="X20" s="88"/>
      <c r="Y20" s="88"/>
      <c r="Z20" s="88"/>
      <c r="AA20" s="168"/>
      <c r="AB20" s="168"/>
      <c r="AC20" s="18"/>
      <c r="AD20" s="18"/>
      <c r="AE20" s="14">
        <f t="shared" si="8"/>
        <v>-87.894736842104521</v>
      </c>
      <c r="AF20" s="91">
        <f t="shared" si="9"/>
        <v>0.95605263157894771</v>
      </c>
      <c r="AG20" s="177"/>
    </row>
    <row r="21" spans="1:33" ht="15.75" customHeight="1">
      <c r="A21" s="196" t="s">
        <v>170</v>
      </c>
      <c r="B21" s="28" t="s">
        <v>5</v>
      </c>
      <c r="C21" s="193" t="s">
        <v>21</v>
      </c>
      <c r="D21" s="193"/>
      <c r="E21" s="28">
        <v>57.3</v>
      </c>
      <c r="F21" s="88">
        <v>1416</v>
      </c>
      <c r="G21" s="88">
        <f t="shared" si="19"/>
        <v>81136.800000000003</v>
      </c>
      <c r="H21" s="30" t="s">
        <v>53</v>
      </c>
      <c r="I21" s="95">
        <v>13</v>
      </c>
      <c r="J21" s="13">
        <v>2000</v>
      </c>
      <c r="K21" s="12">
        <f t="shared" si="1"/>
        <v>153.84615384615384</v>
      </c>
      <c r="L21" s="95">
        <v>13</v>
      </c>
      <c r="M21" s="13">
        <f t="shared" si="20"/>
        <v>1930.9090909090908</v>
      </c>
      <c r="N21" s="12">
        <f t="shared" si="3"/>
        <v>148.53146853146853</v>
      </c>
      <c r="O21" s="14">
        <f t="shared" si="4"/>
        <v>0</v>
      </c>
      <c r="P21" s="15">
        <f t="shared" si="5"/>
        <v>-5.3146853146853061</v>
      </c>
      <c r="Q21" s="91">
        <f t="shared" si="6"/>
        <v>0.96545454545454545</v>
      </c>
      <c r="R21" s="177"/>
      <c r="S21" s="21">
        <v>0.70833333333333337</v>
      </c>
      <c r="T21" s="21">
        <v>0.73888888888888893</v>
      </c>
      <c r="U21" s="88" t="str">
        <f t="shared" si="22"/>
        <v/>
      </c>
      <c r="V21" s="30">
        <f t="shared" si="21"/>
        <v>44</v>
      </c>
      <c r="W21" s="16"/>
      <c r="X21" s="88"/>
      <c r="Y21" s="88"/>
      <c r="Z21" s="88"/>
      <c r="AA21" s="168"/>
      <c r="AB21" s="168"/>
      <c r="AC21" s="18"/>
      <c r="AD21" s="18"/>
      <c r="AE21" s="14">
        <f t="shared" si="8"/>
        <v>-69.090909090909236</v>
      </c>
      <c r="AF21" s="91">
        <f t="shared" si="9"/>
        <v>0.96545454545454534</v>
      </c>
      <c r="AG21" s="177"/>
    </row>
    <row r="22" spans="1:33" ht="15.75" customHeight="1">
      <c r="A22" s="196" t="s">
        <v>170</v>
      </c>
      <c r="B22" s="28" t="s">
        <v>5</v>
      </c>
      <c r="C22" s="193" t="s">
        <v>20</v>
      </c>
      <c r="D22" s="193"/>
      <c r="E22" s="28">
        <v>53.68</v>
      </c>
      <c r="F22" s="88">
        <v>1286</v>
      </c>
      <c r="G22" s="88">
        <f t="shared" si="19"/>
        <v>69032.479999999996</v>
      </c>
      <c r="H22" s="30" t="s">
        <v>53</v>
      </c>
      <c r="I22" s="95">
        <v>16</v>
      </c>
      <c r="J22" s="13">
        <v>1500</v>
      </c>
      <c r="K22" s="12">
        <f t="shared" si="1"/>
        <v>93.75</v>
      </c>
      <c r="L22" s="95">
        <v>16</v>
      </c>
      <c r="M22" s="13">
        <f t="shared" si="20"/>
        <v>1455.8490566037742</v>
      </c>
      <c r="N22" s="12">
        <f t="shared" si="3"/>
        <v>90.990566037735888</v>
      </c>
      <c r="O22" s="14">
        <f t="shared" si="4"/>
        <v>0</v>
      </c>
      <c r="P22" s="15">
        <f t="shared" si="5"/>
        <v>-2.7594339622641115</v>
      </c>
      <c r="Q22" s="91">
        <f t="shared" si="6"/>
        <v>0.97056603773584949</v>
      </c>
      <c r="R22" s="177"/>
      <c r="S22" s="21">
        <v>0.74444444444444446</v>
      </c>
      <c r="T22" s="21">
        <v>0.78125</v>
      </c>
      <c r="U22" s="88">
        <f t="shared" si="22"/>
        <v>7.9999999999999716</v>
      </c>
      <c r="V22" s="30">
        <f t="shared" si="21"/>
        <v>52.999999999999972</v>
      </c>
      <c r="W22" s="16"/>
      <c r="X22" s="16"/>
      <c r="Y22" s="88"/>
      <c r="Z22" s="88"/>
      <c r="AA22" s="168"/>
      <c r="AB22" s="168"/>
      <c r="AC22" s="18"/>
      <c r="AD22" s="18"/>
      <c r="AE22" s="14">
        <f t="shared" si="8"/>
        <v>-44.150943396225784</v>
      </c>
      <c r="AF22" s="91">
        <f t="shared" si="9"/>
        <v>0.97056603773584949</v>
      </c>
      <c r="AG22" s="177"/>
    </row>
    <row r="23" spans="1:33" ht="15.75" customHeight="1">
      <c r="A23" s="196" t="s">
        <v>170</v>
      </c>
      <c r="B23" s="28" t="s">
        <v>5</v>
      </c>
      <c r="C23" s="193" t="s">
        <v>19</v>
      </c>
      <c r="D23" s="193"/>
      <c r="E23" s="28">
        <v>50.49</v>
      </c>
      <c r="F23" s="88">
        <v>1927</v>
      </c>
      <c r="G23" s="88">
        <f t="shared" si="19"/>
        <v>97294.23000000001</v>
      </c>
      <c r="H23" s="30" t="s">
        <v>53</v>
      </c>
      <c r="I23" s="95">
        <v>15</v>
      </c>
      <c r="J23" s="13">
        <v>2000</v>
      </c>
      <c r="K23" s="12">
        <f t="shared" si="1"/>
        <v>133.33333333333334</v>
      </c>
      <c r="L23" s="95">
        <v>15</v>
      </c>
      <c r="M23" s="13">
        <f t="shared" si="20"/>
        <v>1927.0000000000018</v>
      </c>
      <c r="N23" s="12">
        <f t="shared" si="3"/>
        <v>128.46666666666678</v>
      </c>
      <c r="O23" s="14">
        <f t="shared" si="4"/>
        <v>0</v>
      </c>
      <c r="P23" s="15">
        <f t="shared" si="5"/>
        <v>-4.8666666666665606</v>
      </c>
      <c r="Q23" s="91">
        <f t="shared" si="6"/>
        <v>0.9635000000000008</v>
      </c>
      <c r="R23" s="177"/>
      <c r="S23" s="21">
        <v>0.78611111111111109</v>
      </c>
      <c r="T23" s="21">
        <v>0.82777777777777772</v>
      </c>
      <c r="U23" s="88">
        <f t="shared" si="22"/>
        <v>6.9999999999999751</v>
      </c>
      <c r="V23" s="30">
        <f t="shared" si="21"/>
        <v>59.999999999999943</v>
      </c>
      <c r="W23" s="16"/>
      <c r="X23" s="21"/>
      <c r="Y23" s="21"/>
      <c r="Z23" s="21"/>
      <c r="AA23" s="168"/>
      <c r="AB23" s="168"/>
      <c r="AC23" s="18"/>
      <c r="AD23" s="18"/>
      <c r="AE23" s="14">
        <f t="shared" si="8"/>
        <v>-72.999999999998181</v>
      </c>
      <c r="AF23" s="91">
        <f t="shared" si="9"/>
        <v>0.96350000000000091</v>
      </c>
      <c r="AG23" s="177"/>
    </row>
    <row r="24" spans="1:33" ht="15.75" customHeight="1">
      <c r="A24" s="196" t="s">
        <v>170</v>
      </c>
      <c r="B24" s="28" t="s">
        <v>168</v>
      </c>
      <c r="C24" s="178"/>
      <c r="D24" s="178"/>
      <c r="E24" s="92"/>
      <c r="F24" s="88"/>
      <c r="G24" s="88"/>
      <c r="H24" s="88"/>
      <c r="I24" s="23">
        <v>15</v>
      </c>
      <c r="J24" s="13">
        <v>1916.6666666666667</v>
      </c>
      <c r="K24" s="12">
        <f t="shared" si="1"/>
        <v>127.77777777777779</v>
      </c>
      <c r="L24" s="23">
        <v>15</v>
      </c>
      <c r="M24" s="13">
        <f>AVERAGE(M18:M23)</f>
        <v>1842.5178052872322</v>
      </c>
      <c r="N24" s="12">
        <f t="shared" si="3"/>
        <v>122.83452035248214</v>
      </c>
      <c r="O24" s="14">
        <f t="shared" si="4"/>
        <v>0</v>
      </c>
      <c r="P24" s="15">
        <f t="shared" si="5"/>
        <v>-4.9432574252956414</v>
      </c>
      <c r="Q24" s="91">
        <f t="shared" si="6"/>
        <v>0.9613136375411645</v>
      </c>
      <c r="R24" s="177"/>
      <c r="S24" s="21"/>
      <c r="T24" s="21"/>
      <c r="U24" s="12"/>
      <c r="V24" s="30"/>
      <c r="W24" s="12"/>
      <c r="X24" s="12"/>
      <c r="Y24" s="24">
        <f>SUM(Y18:Y23)</f>
        <v>0</v>
      </c>
      <c r="Z24" s="24">
        <f>SUM(Z18:Z23)</f>
        <v>0</v>
      </c>
      <c r="AA24" s="167"/>
      <c r="AB24" s="167"/>
      <c r="AC24" s="24">
        <f>SUM(AC18:AC23)</f>
        <v>6</v>
      </c>
      <c r="AD24" s="24">
        <f>SUM(AD18:AD23)</f>
        <v>0</v>
      </c>
      <c r="AE24" s="14">
        <f t="shared" si="8"/>
        <v>-74.148861379434493</v>
      </c>
      <c r="AF24" s="91">
        <f t="shared" si="9"/>
        <v>0.96131363754116461</v>
      </c>
      <c r="AG24" s="177"/>
    </row>
    <row r="25" spans="1:33" ht="15.75" customHeight="1">
      <c r="A25" s="194" t="s">
        <v>171</v>
      </c>
      <c r="B25" s="28" t="s">
        <v>22</v>
      </c>
      <c r="C25" s="193" t="s">
        <v>23</v>
      </c>
      <c r="D25" s="193"/>
      <c r="E25" s="28">
        <v>31.29</v>
      </c>
      <c r="F25" s="88">
        <v>6600</v>
      </c>
      <c r="G25" s="88">
        <f t="shared" ref="G25:G30" si="23">E25*F25</f>
        <v>206514</v>
      </c>
      <c r="H25" s="30">
        <v>2</v>
      </c>
      <c r="I25" s="95">
        <v>18</v>
      </c>
      <c r="J25" s="13">
        <v>2400</v>
      </c>
      <c r="K25" s="12">
        <f t="shared" si="1"/>
        <v>133.33333333333334</v>
      </c>
      <c r="L25" s="95">
        <v>18</v>
      </c>
      <c r="M25" s="13">
        <f t="shared" ref="M25:M30" si="24">F25/V25*60</f>
        <v>2289.0173410404623</v>
      </c>
      <c r="N25" s="12">
        <f t="shared" si="3"/>
        <v>127.16763005780346</v>
      </c>
      <c r="O25" s="14">
        <f t="shared" si="4"/>
        <v>0</v>
      </c>
      <c r="P25" s="15">
        <f t="shared" si="5"/>
        <v>-6.1657032755298786</v>
      </c>
      <c r="Q25" s="91">
        <f t="shared" si="6"/>
        <v>0.95375722543352592</v>
      </c>
      <c r="R25" s="177">
        <f>Q31</f>
        <v>0.95413561727958429</v>
      </c>
      <c r="S25" s="21">
        <v>8.3333333333333329E-2</v>
      </c>
      <c r="T25" s="21">
        <v>0.20347222222222222</v>
      </c>
      <c r="U25" s="88"/>
      <c r="V25" s="30">
        <f t="shared" ref="V25:V30" si="25">(T25-S25)*24*60</f>
        <v>173</v>
      </c>
      <c r="W25" s="16">
        <f>T25</f>
        <v>0.20347222222222222</v>
      </c>
      <c r="X25" s="16">
        <f>S26</f>
        <v>0.22361111111111112</v>
      </c>
      <c r="Y25" s="16"/>
      <c r="Z25" s="16"/>
      <c r="AA25" s="168"/>
      <c r="AB25" s="168"/>
      <c r="AC25" s="18">
        <v>6</v>
      </c>
      <c r="AD25" s="18"/>
      <c r="AE25" s="14">
        <f t="shared" si="8"/>
        <v>-110.98265895953773</v>
      </c>
      <c r="AF25" s="91">
        <f t="shared" si="9"/>
        <v>0.95375722543352592</v>
      </c>
      <c r="AG25" s="177">
        <f>AF31</f>
        <v>0.95413561727958418</v>
      </c>
    </row>
    <row r="26" spans="1:33" ht="15.75" customHeight="1">
      <c r="A26" s="194" t="s">
        <v>171</v>
      </c>
      <c r="B26" s="28" t="s">
        <v>22</v>
      </c>
      <c r="C26" s="193" t="s">
        <v>24</v>
      </c>
      <c r="D26" s="193"/>
      <c r="E26" s="28">
        <v>25.98</v>
      </c>
      <c r="F26" s="88">
        <v>3051</v>
      </c>
      <c r="G26" s="88">
        <f t="shared" si="23"/>
        <v>79264.98</v>
      </c>
      <c r="H26" s="30" t="s">
        <v>53</v>
      </c>
      <c r="I26" s="95">
        <v>21</v>
      </c>
      <c r="J26" s="13">
        <v>2400</v>
      </c>
      <c r="K26" s="12">
        <f t="shared" si="1"/>
        <v>114.28571428571429</v>
      </c>
      <c r="L26" s="95">
        <v>21</v>
      </c>
      <c r="M26" s="13">
        <f t="shared" si="24"/>
        <v>2288.25</v>
      </c>
      <c r="N26" s="12">
        <f t="shared" si="3"/>
        <v>108.96428571428571</v>
      </c>
      <c r="O26" s="14">
        <f t="shared" si="4"/>
        <v>0</v>
      </c>
      <c r="P26" s="15">
        <f t="shared" si="5"/>
        <v>-5.3214285714285836</v>
      </c>
      <c r="Q26" s="91">
        <f t="shared" si="6"/>
        <v>0.95343749999999994</v>
      </c>
      <c r="R26" s="177"/>
      <c r="S26" s="21">
        <v>0.22361111111111112</v>
      </c>
      <c r="T26" s="21">
        <v>0.27916666666666667</v>
      </c>
      <c r="U26" s="88">
        <f t="shared" ref="U26:U30" si="26">(S26-T25)*24*60</f>
        <v>29.000000000000018</v>
      </c>
      <c r="V26" s="30">
        <f t="shared" si="25"/>
        <v>80</v>
      </c>
      <c r="W26" s="16"/>
      <c r="X26" s="16"/>
      <c r="Y26" s="16"/>
      <c r="Z26" s="16"/>
      <c r="AA26" s="168"/>
      <c r="AB26" s="168"/>
      <c r="AC26" s="18"/>
      <c r="AD26" s="18"/>
      <c r="AE26" s="14">
        <f t="shared" si="8"/>
        <v>-111.75</v>
      </c>
      <c r="AF26" s="91">
        <f t="shared" si="9"/>
        <v>0.95343750000000005</v>
      </c>
      <c r="AG26" s="177"/>
    </row>
    <row r="27" spans="1:33" ht="15.75" customHeight="1">
      <c r="A27" s="194" t="s">
        <v>171</v>
      </c>
      <c r="B27" s="28" t="s">
        <v>22</v>
      </c>
      <c r="C27" s="193" t="s">
        <v>25</v>
      </c>
      <c r="D27" s="193"/>
      <c r="E27" s="28">
        <v>26.2</v>
      </c>
      <c r="F27" s="88">
        <v>5163</v>
      </c>
      <c r="G27" s="88">
        <f t="shared" si="23"/>
        <v>135270.6</v>
      </c>
      <c r="H27" s="30" t="s">
        <v>53</v>
      </c>
      <c r="I27" s="95">
        <v>20</v>
      </c>
      <c r="J27" s="13">
        <v>2400</v>
      </c>
      <c r="K27" s="12">
        <f t="shared" si="1"/>
        <v>120</v>
      </c>
      <c r="L27" s="95">
        <v>20</v>
      </c>
      <c r="M27" s="13">
        <f t="shared" si="24"/>
        <v>2294.666666666667</v>
      </c>
      <c r="N27" s="12">
        <f t="shared" si="3"/>
        <v>114.73333333333335</v>
      </c>
      <c r="O27" s="14">
        <f t="shared" si="4"/>
        <v>0</v>
      </c>
      <c r="P27" s="15">
        <f t="shared" si="5"/>
        <v>-5.2666666666666515</v>
      </c>
      <c r="Q27" s="91">
        <f t="shared" si="6"/>
        <v>0.95611111111111124</v>
      </c>
      <c r="R27" s="177"/>
      <c r="S27" s="21">
        <v>0.28263888888888888</v>
      </c>
      <c r="T27" s="21">
        <v>0.37638888888888888</v>
      </c>
      <c r="U27" s="88">
        <f t="shared" si="26"/>
        <v>4.9999999999999822</v>
      </c>
      <c r="V27" s="30">
        <f t="shared" si="25"/>
        <v>135</v>
      </c>
      <c r="W27" s="16"/>
      <c r="X27" s="16"/>
      <c r="Y27" s="16"/>
      <c r="Z27" s="16"/>
      <c r="AA27" s="168"/>
      <c r="AB27" s="168"/>
      <c r="AC27" s="18"/>
      <c r="AD27" s="18"/>
      <c r="AE27" s="14">
        <f t="shared" si="8"/>
        <v>-105.33333333333303</v>
      </c>
      <c r="AF27" s="91">
        <f t="shared" si="9"/>
        <v>0.95611111111111124</v>
      </c>
      <c r="AG27" s="177"/>
    </row>
    <row r="28" spans="1:33" ht="15.75" customHeight="1">
      <c r="A28" s="194" t="s">
        <v>171</v>
      </c>
      <c r="B28" s="28" t="s">
        <v>22</v>
      </c>
      <c r="C28" s="193" t="s">
        <v>26</v>
      </c>
      <c r="D28" s="193"/>
      <c r="E28" s="28">
        <v>25.99</v>
      </c>
      <c r="F28" s="88">
        <v>3969</v>
      </c>
      <c r="G28" s="88">
        <f t="shared" si="23"/>
        <v>103154.31</v>
      </c>
      <c r="H28" s="30" t="s">
        <v>53</v>
      </c>
      <c r="I28" s="95">
        <v>14</v>
      </c>
      <c r="J28" s="13">
        <v>2400</v>
      </c>
      <c r="K28" s="12">
        <f t="shared" si="1"/>
        <v>171.42857142857142</v>
      </c>
      <c r="L28" s="95">
        <v>14</v>
      </c>
      <c r="M28" s="13">
        <f t="shared" si="24"/>
        <v>2289.8076923076915</v>
      </c>
      <c r="N28" s="12">
        <f t="shared" si="3"/>
        <v>163.55769230769224</v>
      </c>
      <c r="O28" s="14">
        <f t="shared" si="4"/>
        <v>0</v>
      </c>
      <c r="P28" s="15">
        <f t="shared" si="5"/>
        <v>-7.8708791208791808</v>
      </c>
      <c r="Q28" s="91">
        <f t="shared" si="6"/>
        <v>0.95408653846153813</v>
      </c>
      <c r="R28" s="177"/>
      <c r="S28" s="21">
        <v>0.38124999999999998</v>
      </c>
      <c r="T28" s="21">
        <v>0.45347222222222222</v>
      </c>
      <c r="U28" s="88">
        <f t="shared" si="26"/>
        <v>6.9999999999999751</v>
      </c>
      <c r="V28" s="30">
        <f t="shared" si="25"/>
        <v>104.00000000000003</v>
      </c>
      <c r="W28" s="16"/>
      <c r="X28" s="16"/>
      <c r="Y28" s="16"/>
      <c r="Z28" s="16"/>
      <c r="AA28" s="168"/>
      <c r="AB28" s="168"/>
      <c r="AC28" s="18"/>
      <c r="AD28" s="18"/>
      <c r="AE28" s="14">
        <f t="shared" si="8"/>
        <v>-110.19230769230853</v>
      </c>
      <c r="AF28" s="91">
        <f t="shared" si="9"/>
        <v>0.95408653846153813</v>
      </c>
      <c r="AG28" s="177"/>
    </row>
    <row r="29" spans="1:33" ht="15.75" customHeight="1">
      <c r="A29" s="194" t="s">
        <v>171</v>
      </c>
      <c r="B29" s="28" t="s">
        <v>22</v>
      </c>
      <c r="C29" s="193" t="s">
        <v>27</v>
      </c>
      <c r="D29" s="193"/>
      <c r="E29" s="28">
        <v>26.18</v>
      </c>
      <c r="F29" s="88">
        <v>1681</v>
      </c>
      <c r="G29" s="88">
        <f t="shared" si="23"/>
        <v>44008.58</v>
      </c>
      <c r="H29" s="30" t="s">
        <v>53</v>
      </c>
      <c r="I29" s="95">
        <v>19</v>
      </c>
      <c r="J29" s="13">
        <v>2400</v>
      </c>
      <c r="K29" s="12">
        <f t="shared" si="1"/>
        <v>126.31578947368421</v>
      </c>
      <c r="L29" s="95">
        <v>19</v>
      </c>
      <c r="M29" s="13">
        <f t="shared" si="24"/>
        <v>2292.272727272727</v>
      </c>
      <c r="N29" s="12">
        <f t="shared" si="3"/>
        <v>120.64593301435406</v>
      </c>
      <c r="O29" s="14">
        <f t="shared" si="4"/>
        <v>0</v>
      </c>
      <c r="P29" s="15">
        <f t="shared" si="5"/>
        <v>-5.6698564593301484</v>
      </c>
      <c r="Q29" s="91">
        <f t="shared" si="6"/>
        <v>0.95511363636363633</v>
      </c>
      <c r="R29" s="177"/>
      <c r="S29" s="21">
        <v>0.45902777777777776</v>
      </c>
      <c r="T29" s="21">
        <v>0.48958333333333331</v>
      </c>
      <c r="U29" s="88">
        <f t="shared" si="26"/>
        <v>7.9999999999999716</v>
      </c>
      <c r="V29" s="30">
        <f t="shared" si="25"/>
        <v>44</v>
      </c>
      <c r="W29" s="16">
        <f>T29</f>
        <v>0.48958333333333331</v>
      </c>
      <c r="X29" s="16">
        <f>S30</f>
        <v>0.52916666666666667</v>
      </c>
      <c r="Y29" s="16"/>
      <c r="Z29" s="16"/>
      <c r="AA29" s="168"/>
      <c r="AB29" s="168"/>
      <c r="AC29" s="18"/>
      <c r="AD29" s="18"/>
      <c r="AE29" s="14">
        <f t="shared" si="8"/>
        <v>-107.72727272727298</v>
      </c>
      <c r="AF29" s="91">
        <f t="shared" si="9"/>
        <v>0.95511363636363622</v>
      </c>
      <c r="AG29" s="177"/>
    </row>
    <row r="30" spans="1:33" ht="15.75" customHeight="1">
      <c r="A30" s="194" t="s">
        <v>171</v>
      </c>
      <c r="B30" s="28" t="s">
        <v>22</v>
      </c>
      <c r="C30" s="193" t="s">
        <v>23</v>
      </c>
      <c r="D30" s="193"/>
      <c r="E30" s="28">
        <v>31.29</v>
      </c>
      <c r="F30" s="88">
        <v>2476</v>
      </c>
      <c r="G30" s="88">
        <f t="shared" si="23"/>
        <v>77474.039999999994</v>
      </c>
      <c r="H30" s="30" t="s">
        <v>53</v>
      </c>
      <c r="I30" s="95">
        <v>18</v>
      </c>
      <c r="J30" s="13">
        <v>2400</v>
      </c>
      <c r="K30" s="12">
        <f t="shared" si="1"/>
        <v>133.33333333333334</v>
      </c>
      <c r="L30" s="95">
        <v>18</v>
      </c>
      <c r="M30" s="13">
        <f t="shared" si="24"/>
        <v>2285.5384615384642</v>
      </c>
      <c r="N30" s="12">
        <f t="shared" si="3"/>
        <v>126.97435897435912</v>
      </c>
      <c r="O30" s="14">
        <f t="shared" si="4"/>
        <v>0</v>
      </c>
      <c r="P30" s="15">
        <f t="shared" si="5"/>
        <v>-6.3589743589742227</v>
      </c>
      <c r="Q30" s="91">
        <f t="shared" si="6"/>
        <v>0.9523076923076933</v>
      </c>
      <c r="R30" s="177"/>
      <c r="S30" s="21">
        <v>0.52916666666666667</v>
      </c>
      <c r="T30" s="21">
        <v>0.57430555555555551</v>
      </c>
      <c r="U30" s="88">
        <f t="shared" si="26"/>
        <v>57.000000000000036</v>
      </c>
      <c r="V30" s="30">
        <f t="shared" si="25"/>
        <v>64.999999999999929</v>
      </c>
      <c r="W30" s="16"/>
      <c r="X30" s="16"/>
      <c r="Y30" s="16"/>
      <c r="Z30" s="16"/>
      <c r="AA30" s="168"/>
      <c r="AB30" s="168"/>
      <c r="AC30" s="18"/>
      <c r="AD30" s="18"/>
      <c r="AE30" s="14">
        <f t="shared" si="8"/>
        <v>-114.46153846153584</v>
      </c>
      <c r="AF30" s="91">
        <f t="shared" si="9"/>
        <v>0.95230769230769341</v>
      </c>
      <c r="AG30" s="177"/>
    </row>
    <row r="31" spans="1:33" ht="15.75" customHeight="1">
      <c r="A31" s="194" t="s">
        <v>171</v>
      </c>
      <c r="B31" s="28" t="s">
        <v>168</v>
      </c>
      <c r="C31" s="178"/>
      <c r="D31" s="178"/>
      <c r="E31" s="92"/>
      <c r="F31" s="88"/>
      <c r="G31" s="88"/>
      <c r="H31" s="88"/>
      <c r="I31" s="23">
        <v>18.333333333333332</v>
      </c>
      <c r="J31" s="13">
        <v>2400</v>
      </c>
      <c r="K31" s="12">
        <f t="shared" si="1"/>
        <v>130.90909090909091</v>
      </c>
      <c r="L31" s="23">
        <v>18.333333333333332</v>
      </c>
      <c r="M31" s="13">
        <f>AVERAGE(M25:M30)</f>
        <v>2289.9254814710021</v>
      </c>
      <c r="N31" s="12">
        <f t="shared" si="3"/>
        <v>124.90502626205466</v>
      </c>
      <c r="O31" s="14">
        <f t="shared" si="4"/>
        <v>0</v>
      </c>
      <c r="P31" s="15">
        <f t="shared" si="5"/>
        <v>-6.0040646470362447</v>
      </c>
      <c r="Q31" s="91">
        <f t="shared" si="6"/>
        <v>0.95413561727958429</v>
      </c>
      <c r="R31" s="177"/>
      <c r="S31" s="21"/>
      <c r="T31" s="21"/>
      <c r="U31" s="88"/>
      <c r="V31" s="30"/>
      <c r="W31" s="88"/>
      <c r="X31" s="88"/>
      <c r="Y31" s="24">
        <f>SUM(Y25:Y30)</f>
        <v>0</v>
      </c>
      <c r="Z31" s="24">
        <f>SUM(Z25:Z30)</f>
        <v>0</v>
      </c>
      <c r="AA31" s="167"/>
      <c r="AB31" s="167"/>
      <c r="AC31" s="24">
        <f>SUM(AC25:AC30)</f>
        <v>6</v>
      </c>
      <c r="AD31" s="24">
        <f>SUM(AD25:AD30)</f>
        <v>0</v>
      </c>
      <c r="AE31" s="14">
        <f t="shared" si="8"/>
        <v>-110.07451852899794</v>
      </c>
      <c r="AF31" s="91">
        <f t="shared" si="9"/>
        <v>0.95413561727958418</v>
      </c>
      <c r="AG31" s="177"/>
    </row>
    <row r="32" spans="1:33" ht="15.75" customHeight="1">
      <c r="A32" s="191" t="s">
        <v>172</v>
      </c>
      <c r="B32" s="28" t="s">
        <v>22</v>
      </c>
      <c r="C32" s="169" t="s">
        <v>28</v>
      </c>
      <c r="D32" s="169"/>
      <c r="E32" s="28">
        <v>26.2</v>
      </c>
      <c r="F32" s="88">
        <v>3800</v>
      </c>
      <c r="G32" s="88">
        <f t="shared" ref="G32:G37" si="27">E32*F32</f>
        <v>99560</v>
      </c>
      <c r="H32" s="30">
        <v>2</v>
      </c>
      <c r="I32" s="95">
        <v>18</v>
      </c>
      <c r="J32" s="13">
        <v>2400</v>
      </c>
      <c r="K32" s="12">
        <f t="shared" si="1"/>
        <v>133.33333333333334</v>
      </c>
      <c r="L32" s="95">
        <v>18</v>
      </c>
      <c r="M32" s="13">
        <f t="shared" ref="M32:M37" si="28">F32/V32*60</f>
        <v>2303.030303030303</v>
      </c>
      <c r="N32" s="12">
        <f t="shared" si="3"/>
        <v>127.94612794612794</v>
      </c>
      <c r="O32" s="14">
        <f t="shared" si="4"/>
        <v>0</v>
      </c>
      <c r="P32" s="15">
        <f t="shared" si="5"/>
        <v>-5.3872053872053982</v>
      </c>
      <c r="Q32" s="91">
        <f t="shared" si="6"/>
        <v>0.95959595959595956</v>
      </c>
      <c r="R32" s="177">
        <f>Q38</f>
        <v>0.95329989455976627</v>
      </c>
      <c r="S32" s="21">
        <v>8.3333333333333329E-2</v>
      </c>
      <c r="T32" s="21">
        <v>0.15208333333333332</v>
      </c>
      <c r="U32" s="88"/>
      <c r="V32" s="30">
        <f t="shared" ref="V32:V37" si="29">(T32-S32)*24*60</f>
        <v>99</v>
      </c>
      <c r="W32" s="21">
        <f>T32</f>
        <v>0.15208333333333332</v>
      </c>
      <c r="X32" s="21">
        <f>S33</f>
        <v>0.17083333333333331</v>
      </c>
      <c r="Y32" s="21"/>
      <c r="Z32" s="21"/>
      <c r="AA32" s="168"/>
      <c r="AB32" s="168"/>
      <c r="AC32" s="18">
        <v>6</v>
      </c>
      <c r="AD32" s="18"/>
      <c r="AE32" s="14">
        <f t="shared" si="8"/>
        <v>-96.969696969696997</v>
      </c>
      <c r="AF32" s="91">
        <f t="shared" si="9"/>
        <v>0.95959595959595956</v>
      </c>
      <c r="AG32" s="177">
        <f>AF38</f>
        <v>0.95329989455976616</v>
      </c>
    </row>
    <row r="33" spans="1:33" ht="15.75" customHeight="1">
      <c r="A33" s="191" t="s">
        <v>172</v>
      </c>
      <c r="B33" s="28" t="s">
        <v>22</v>
      </c>
      <c r="C33" s="169" t="s">
        <v>29</v>
      </c>
      <c r="D33" s="169"/>
      <c r="E33" s="28">
        <v>20.52</v>
      </c>
      <c r="F33" s="88">
        <v>3844</v>
      </c>
      <c r="G33" s="88">
        <f t="shared" si="27"/>
        <v>78878.880000000005</v>
      </c>
      <c r="H33" s="30" t="s">
        <v>53</v>
      </c>
      <c r="I33" s="95">
        <v>18</v>
      </c>
      <c r="J33" s="13">
        <v>2400</v>
      </c>
      <c r="K33" s="12">
        <f t="shared" si="1"/>
        <v>133.33333333333334</v>
      </c>
      <c r="L33" s="95">
        <v>18</v>
      </c>
      <c r="M33" s="13">
        <f t="shared" si="28"/>
        <v>2283.5643564356437</v>
      </c>
      <c r="N33" s="12">
        <f t="shared" si="3"/>
        <v>126.86468646864688</v>
      </c>
      <c r="O33" s="14">
        <f t="shared" si="4"/>
        <v>0</v>
      </c>
      <c r="P33" s="15">
        <f t="shared" si="5"/>
        <v>-6.4686468646864625</v>
      </c>
      <c r="Q33" s="91">
        <f t="shared" si="6"/>
        <v>0.95148514851485155</v>
      </c>
      <c r="R33" s="177"/>
      <c r="S33" s="21">
        <v>0.17083333333333331</v>
      </c>
      <c r="T33" s="21">
        <v>0.2409722222222222</v>
      </c>
      <c r="U33" s="88">
        <f t="shared" ref="U33:U37" si="30">(S33-T32)*24*60</f>
        <v>26.999999999999986</v>
      </c>
      <c r="V33" s="30">
        <f t="shared" si="29"/>
        <v>101</v>
      </c>
      <c r="W33" s="88"/>
      <c r="X33" s="88"/>
      <c r="Y33" s="88"/>
      <c r="Z33" s="88"/>
      <c r="AA33" s="168"/>
      <c r="AB33" s="168"/>
      <c r="AC33" s="18"/>
      <c r="AD33" s="18"/>
      <c r="AE33" s="14">
        <f t="shared" si="8"/>
        <v>-116.43564356435627</v>
      </c>
      <c r="AF33" s="91">
        <f t="shared" si="9"/>
        <v>0.95148514851485155</v>
      </c>
      <c r="AG33" s="177"/>
    </row>
    <row r="34" spans="1:33">
      <c r="A34" s="192" t="s">
        <v>172</v>
      </c>
      <c r="B34" s="28" t="s">
        <v>22</v>
      </c>
      <c r="C34" s="169" t="s">
        <v>30</v>
      </c>
      <c r="D34" s="169"/>
      <c r="E34" s="28">
        <v>26.39</v>
      </c>
      <c r="F34" s="88">
        <v>5572</v>
      </c>
      <c r="G34" s="88">
        <f t="shared" si="27"/>
        <v>147045.08000000002</v>
      </c>
      <c r="H34" s="30" t="s">
        <v>53</v>
      </c>
      <c r="I34" s="95">
        <v>19</v>
      </c>
      <c r="J34" s="13">
        <v>2400</v>
      </c>
      <c r="K34" s="12">
        <f t="shared" si="1"/>
        <v>126.31578947368421</v>
      </c>
      <c r="L34" s="95">
        <v>19</v>
      </c>
      <c r="M34" s="13">
        <f t="shared" si="28"/>
        <v>2289.8630136986303</v>
      </c>
      <c r="N34" s="12">
        <f t="shared" si="3"/>
        <v>120.51910598413843</v>
      </c>
      <c r="O34" s="14">
        <f t="shared" si="4"/>
        <v>0</v>
      </c>
      <c r="P34" s="15">
        <f t="shared" si="5"/>
        <v>-5.7966834895457708</v>
      </c>
      <c r="Q34" s="91">
        <f t="shared" si="6"/>
        <v>0.954109589041096</v>
      </c>
      <c r="R34" s="177"/>
      <c r="S34" s="21">
        <v>0.24652777777777776</v>
      </c>
      <c r="T34" s="21">
        <v>0.34791666666666665</v>
      </c>
      <c r="U34" s="88">
        <f t="shared" si="30"/>
        <v>8.0000000000000107</v>
      </c>
      <c r="V34" s="30">
        <f t="shared" si="29"/>
        <v>146</v>
      </c>
      <c r="W34" s="88"/>
      <c r="X34" s="88"/>
      <c r="Y34" s="88"/>
      <c r="Z34" s="88"/>
      <c r="AA34" s="168"/>
      <c r="AB34" s="168"/>
      <c r="AC34" s="18"/>
      <c r="AD34" s="18"/>
      <c r="AE34" s="14">
        <f t="shared" si="8"/>
        <v>-110.13698630136969</v>
      </c>
      <c r="AF34" s="91">
        <f t="shared" si="9"/>
        <v>0.954109589041096</v>
      </c>
      <c r="AG34" s="177"/>
    </row>
    <row r="35" spans="1:33">
      <c r="A35" s="192" t="s">
        <v>172</v>
      </c>
      <c r="B35" s="28" t="s">
        <v>22</v>
      </c>
      <c r="C35" s="169" t="s">
        <v>32</v>
      </c>
      <c r="D35" s="169"/>
      <c r="E35" s="28">
        <v>20.52</v>
      </c>
      <c r="F35" s="88">
        <v>2741</v>
      </c>
      <c r="G35" s="88">
        <f t="shared" si="27"/>
        <v>56245.32</v>
      </c>
      <c r="H35" s="30" t="s">
        <v>53</v>
      </c>
      <c r="I35" s="95">
        <v>18</v>
      </c>
      <c r="J35" s="13">
        <v>2400</v>
      </c>
      <c r="K35" s="12">
        <f t="shared" si="1"/>
        <v>133.33333333333334</v>
      </c>
      <c r="L35" s="95">
        <v>18</v>
      </c>
      <c r="M35" s="13">
        <f t="shared" si="28"/>
        <v>2284.166666666667</v>
      </c>
      <c r="N35" s="12">
        <f t="shared" si="3"/>
        <v>126.89814814814817</v>
      </c>
      <c r="O35" s="14">
        <f t="shared" si="4"/>
        <v>0</v>
      </c>
      <c r="P35" s="15">
        <f t="shared" si="5"/>
        <v>-6.4351851851851762</v>
      </c>
      <c r="Q35" s="91">
        <f t="shared" si="6"/>
        <v>0.95173611111111123</v>
      </c>
      <c r="R35" s="177"/>
      <c r="S35" s="21">
        <v>0.35277777777777775</v>
      </c>
      <c r="T35" s="21">
        <v>0.40277777777777773</v>
      </c>
      <c r="U35" s="88">
        <f t="shared" si="30"/>
        <v>6.9999999999999751</v>
      </c>
      <c r="V35" s="30">
        <f t="shared" si="29"/>
        <v>71.999999999999986</v>
      </c>
      <c r="W35" s="16"/>
      <c r="X35" s="16"/>
      <c r="Y35" s="16"/>
      <c r="Z35" s="16"/>
      <c r="AA35" s="168"/>
      <c r="AB35" s="168"/>
      <c r="AC35" s="18"/>
      <c r="AD35" s="18"/>
      <c r="AE35" s="14">
        <f t="shared" si="8"/>
        <v>-115.83333333333303</v>
      </c>
      <c r="AF35" s="91">
        <f t="shared" si="9"/>
        <v>0.95173611111111123</v>
      </c>
      <c r="AG35" s="177"/>
    </row>
    <row r="36" spans="1:33">
      <c r="A36" s="192" t="s">
        <v>172</v>
      </c>
      <c r="B36" s="28" t="s">
        <v>22</v>
      </c>
      <c r="C36" s="169" t="s">
        <v>70</v>
      </c>
      <c r="D36" s="169"/>
      <c r="E36" s="28">
        <v>22.69</v>
      </c>
      <c r="F36" s="88">
        <v>5294</v>
      </c>
      <c r="G36" s="88">
        <f t="shared" si="27"/>
        <v>120120.86</v>
      </c>
      <c r="H36" s="30" t="s">
        <v>53</v>
      </c>
      <c r="I36" s="95">
        <v>15</v>
      </c>
      <c r="J36" s="13">
        <v>2400</v>
      </c>
      <c r="K36" s="12">
        <f t="shared" si="1"/>
        <v>160</v>
      </c>
      <c r="L36" s="95">
        <v>15</v>
      </c>
      <c r="M36" s="13">
        <f t="shared" si="28"/>
        <v>2285.1798561151068</v>
      </c>
      <c r="N36" s="12">
        <f t="shared" si="3"/>
        <v>152.34532374100712</v>
      </c>
      <c r="O36" s="14">
        <f t="shared" si="4"/>
        <v>0</v>
      </c>
      <c r="P36" s="15">
        <f t="shared" si="5"/>
        <v>-7.654676258992879</v>
      </c>
      <c r="Q36" s="91">
        <f t="shared" si="6"/>
        <v>0.95215827338129455</v>
      </c>
      <c r="R36" s="177"/>
      <c r="S36" s="21">
        <v>0.40624999999999994</v>
      </c>
      <c r="T36" s="21">
        <v>0.50277777777777777</v>
      </c>
      <c r="U36" s="88">
        <f t="shared" si="30"/>
        <v>4.9999999999999822</v>
      </c>
      <c r="V36" s="30">
        <f t="shared" si="29"/>
        <v>139.00000000000006</v>
      </c>
      <c r="W36" s="16">
        <f>T36</f>
        <v>0.50277777777777777</v>
      </c>
      <c r="X36" s="16">
        <f>S37</f>
        <v>0.5444444444444444</v>
      </c>
      <c r="Y36" s="16"/>
      <c r="Z36" s="16"/>
      <c r="AA36" s="168"/>
      <c r="AB36" s="168"/>
      <c r="AC36" s="18"/>
      <c r="AD36" s="18"/>
      <c r="AE36" s="14">
        <f t="shared" si="8"/>
        <v>-114.82014388489324</v>
      </c>
      <c r="AF36" s="91">
        <f t="shared" si="9"/>
        <v>0.95215827338129444</v>
      </c>
      <c r="AG36" s="177"/>
    </row>
    <row r="37" spans="1:33">
      <c r="A37" s="192" t="s">
        <v>172</v>
      </c>
      <c r="B37" s="28" t="s">
        <v>22</v>
      </c>
      <c r="C37" s="169" t="s">
        <v>28</v>
      </c>
      <c r="D37" s="169"/>
      <c r="E37" s="28">
        <v>26.2</v>
      </c>
      <c r="F37" s="88">
        <v>2662</v>
      </c>
      <c r="G37" s="88">
        <f t="shared" si="27"/>
        <v>69744.399999999994</v>
      </c>
      <c r="H37" s="30" t="s">
        <v>53</v>
      </c>
      <c r="I37" s="95">
        <v>18</v>
      </c>
      <c r="J37" s="13">
        <v>2400</v>
      </c>
      <c r="K37" s="12">
        <f t="shared" si="1"/>
        <v>133.33333333333334</v>
      </c>
      <c r="L37" s="95">
        <v>18</v>
      </c>
      <c r="M37" s="13">
        <f t="shared" si="28"/>
        <v>2281.7142857142835</v>
      </c>
      <c r="N37" s="12">
        <f t="shared" si="3"/>
        <v>126.76190476190465</v>
      </c>
      <c r="O37" s="14">
        <f t="shared" si="4"/>
        <v>0</v>
      </c>
      <c r="P37" s="15">
        <f t="shared" si="5"/>
        <v>-6.5714285714286973</v>
      </c>
      <c r="Q37" s="91">
        <f t="shared" si="6"/>
        <v>0.95071428571428473</v>
      </c>
      <c r="R37" s="177"/>
      <c r="S37" s="21">
        <v>0.5444444444444444</v>
      </c>
      <c r="T37" s="21">
        <v>0.59305555555555556</v>
      </c>
      <c r="U37" s="88">
        <f t="shared" si="30"/>
        <v>59.999999999999943</v>
      </c>
      <c r="V37" s="30">
        <f t="shared" si="29"/>
        <v>70.000000000000071</v>
      </c>
      <c r="W37" s="16"/>
      <c r="X37" s="16"/>
      <c r="Y37" s="16"/>
      <c r="Z37" s="16"/>
      <c r="AA37" s="168"/>
      <c r="AB37" s="168"/>
      <c r="AC37" s="18"/>
      <c r="AD37" s="18"/>
      <c r="AE37" s="14">
        <f t="shared" si="8"/>
        <v>-118.28571428571649</v>
      </c>
      <c r="AF37" s="91">
        <f t="shared" si="9"/>
        <v>0.95071428571428485</v>
      </c>
      <c r="AG37" s="177"/>
    </row>
    <row r="38" spans="1:33">
      <c r="A38" s="192" t="s">
        <v>172</v>
      </c>
      <c r="B38" s="12" t="s">
        <v>168</v>
      </c>
      <c r="C38" s="178"/>
      <c r="D38" s="178"/>
      <c r="E38" s="92"/>
      <c r="F38" s="12"/>
      <c r="G38" s="12"/>
      <c r="H38" s="88"/>
      <c r="I38" s="23">
        <v>17.666666666666668</v>
      </c>
      <c r="J38" s="13">
        <v>2400</v>
      </c>
      <c r="K38" s="12">
        <f t="shared" si="1"/>
        <v>135.84905660377356</v>
      </c>
      <c r="L38" s="23">
        <v>17.666666666666668</v>
      </c>
      <c r="M38" s="13">
        <f>AVERAGE(M32:M37)</f>
        <v>2287.9197469434389</v>
      </c>
      <c r="N38" s="12">
        <f t="shared" si="3"/>
        <v>129.50489133642105</v>
      </c>
      <c r="O38" s="14">
        <f t="shared" si="4"/>
        <v>0</v>
      </c>
      <c r="P38" s="15">
        <f t="shared" si="5"/>
        <v>-6.3441652673525084</v>
      </c>
      <c r="Q38" s="91">
        <f t="shared" si="6"/>
        <v>0.95329989455976627</v>
      </c>
      <c r="R38" s="177"/>
      <c r="S38" s="21"/>
      <c r="T38" s="21"/>
      <c r="U38" s="12"/>
      <c r="V38" s="30"/>
      <c r="W38" s="12"/>
      <c r="X38" s="12"/>
      <c r="Y38" s="24">
        <f>SUM(Y32:Y37)</f>
        <v>0</v>
      </c>
      <c r="Z38" s="24">
        <f>SUM(Z32:Z37)</f>
        <v>0</v>
      </c>
      <c r="AA38" s="167"/>
      <c r="AB38" s="167"/>
      <c r="AC38" s="24">
        <f>SUM(AC32:AC37)</f>
        <v>6</v>
      </c>
      <c r="AD38" s="24">
        <f>SUM(AD32:AD37)</f>
        <v>0</v>
      </c>
      <c r="AE38" s="14">
        <f t="shared" si="8"/>
        <v>-112.08025305656111</v>
      </c>
      <c r="AF38" s="91">
        <f t="shared" si="9"/>
        <v>0.95329989455976616</v>
      </c>
      <c r="AG38" s="177"/>
    </row>
    <row r="39" spans="1:33" ht="15.75" customHeight="1">
      <c r="A39" s="188" t="s">
        <v>173</v>
      </c>
      <c r="B39" s="28" t="s">
        <v>33</v>
      </c>
      <c r="C39" s="170" t="s">
        <v>72</v>
      </c>
      <c r="D39" s="171"/>
      <c r="E39" s="28">
        <v>34.35</v>
      </c>
      <c r="F39" s="88">
        <v>3018</v>
      </c>
      <c r="G39" s="88">
        <f t="shared" ref="G39:G43" si="31">E39*F39</f>
        <v>103668.3</v>
      </c>
      <c r="H39" s="30" t="s">
        <v>53</v>
      </c>
      <c r="I39" s="95">
        <v>8</v>
      </c>
      <c r="J39" s="13">
        <v>3000</v>
      </c>
      <c r="K39" s="12">
        <f t="shared" si="1"/>
        <v>375</v>
      </c>
      <c r="L39" s="95">
        <v>8</v>
      </c>
      <c r="M39" s="13">
        <f t="shared" ref="M39:M43" si="32">F39/V39*60</f>
        <v>2874.2857142857147</v>
      </c>
      <c r="N39" s="13">
        <f t="shared" si="3"/>
        <v>359.28571428571433</v>
      </c>
      <c r="O39" s="14">
        <f t="shared" si="4"/>
        <v>0</v>
      </c>
      <c r="P39" s="15">
        <f t="shared" si="5"/>
        <v>-15.714285714285666</v>
      </c>
      <c r="Q39" s="91">
        <f t="shared" si="6"/>
        <v>0.95809523809523822</v>
      </c>
      <c r="R39" s="183">
        <f>Q44</f>
        <v>0.95600869805678712</v>
      </c>
      <c r="S39" s="21">
        <v>8.3333333333333329E-2</v>
      </c>
      <c r="T39" s="21">
        <v>0.12708333333333333</v>
      </c>
      <c r="U39" s="21"/>
      <c r="V39" s="30">
        <f t="shared" ref="V39:V43" si="33">(T39-S39)*24*60</f>
        <v>62.999999999999986</v>
      </c>
      <c r="W39" s="16">
        <f>T39</f>
        <v>0.12708333333333333</v>
      </c>
      <c r="X39" s="16">
        <f>S40</f>
        <v>0.14722222222222223</v>
      </c>
      <c r="Y39" s="19"/>
      <c r="Z39" s="19"/>
      <c r="AA39" s="172"/>
      <c r="AB39" s="173"/>
      <c r="AC39" s="18">
        <v>5</v>
      </c>
      <c r="AD39" s="18"/>
      <c r="AE39" s="14">
        <f t="shared" si="8"/>
        <v>-125.71428571428532</v>
      </c>
      <c r="AF39" s="91">
        <f t="shared" si="9"/>
        <v>0.95809523809523822</v>
      </c>
      <c r="AG39" s="183">
        <f>AF44</f>
        <v>0.95600869805678701</v>
      </c>
    </row>
    <row r="40" spans="1:33" ht="15.75" customHeight="1">
      <c r="A40" s="189" t="s">
        <v>173</v>
      </c>
      <c r="B40" s="28" t="s">
        <v>33</v>
      </c>
      <c r="C40" s="170" t="s">
        <v>36</v>
      </c>
      <c r="D40" s="171"/>
      <c r="E40" s="28">
        <v>21.13</v>
      </c>
      <c r="F40" s="88">
        <v>5082</v>
      </c>
      <c r="G40" s="88">
        <f t="shared" si="31"/>
        <v>107382.65999999999</v>
      </c>
      <c r="H40" s="30" t="s">
        <v>53</v>
      </c>
      <c r="I40" s="95">
        <v>10</v>
      </c>
      <c r="J40" s="13">
        <v>3000</v>
      </c>
      <c r="K40" s="12">
        <f t="shared" si="1"/>
        <v>300</v>
      </c>
      <c r="L40" s="95">
        <v>10</v>
      </c>
      <c r="M40" s="13">
        <f t="shared" si="32"/>
        <v>2876.6037735849063</v>
      </c>
      <c r="N40" s="13">
        <f t="shared" si="3"/>
        <v>287.66037735849062</v>
      </c>
      <c r="O40" s="14">
        <f t="shared" si="4"/>
        <v>0</v>
      </c>
      <c r="P40" s="15">
        <f t="shared" si="5"/>
        <v>-12.339622641509379</v>
      </c>
      <c r="Q40" s="91">
        <f t="shared" si="6"/>
        <v>0.95886792452830205</v>
      </c>
      <c r="R40" s="184"/>
      <c r="S40" s="21">
        <v>0.14722222222222223</v>
      </c>
      <c r="T40" s="21">
        <v>0.22083333333333333</v>
      </c>
      <c r="U40" s="88">
        <f t="shared" ref="U40:U43" si="34">(S40-T39)*24*60</f>
        <v>29.000000000000018</v>
      </c>
      <c r="V40" s="30">
        <f t="shared" si="33"/>
        <v>105.99999999999999</v>
      </c>
      <c r="W40" s="16"/>
      <c r="X40" s="16"/>
      <c r="Y40" s="19"/>
      <c r="Z40" s="19"/>
      <c r="AA40" s="172"/>
      <c r="AB40" s="173"/>
      <c r="AC40" s="18"/>
      <c r="AD40" s="18"/>
      <c r="AE40" s="14">
        <f t="shared" si="8"/>
        <v>-123.39622641509368</v>
      </c>
      <c r="AF40" s="91">
        <f t="shared" si="9"/>
        <v>0.95886792452830216</v>
      </c>
      <c r="AG40" s="184"/>
    </row>
    <row r="41" spans="1:33" ht="15.75" customHeight="1">
      <c r="A41" s="189" t="s">
        <v>173</v>
      </c>
      <c r="B41" s="28" t="s">
        <v>33</v>
      </c>
      <c r="C41" s="170" t="s">
        <v>37</v>
      </c>
      <c r="D41" s="171"/>
      <c r="E41" s="28">
        <v>27.17</v>
      </c>
      <c r="F41" s="88">
        <v>6339</v>
      </c>
      <c r="G41" s="88">
        <f t="shared" si="31"/>
        <v>172230.63</v>
      </c>
      <c r="H41" s="30" t="s">
        <v>53</v>
      </c>
      <c r="I41" s="95">
        <v>10</v>
      </c>
      <c r="J41" s="13">
        <v>3000</v>
      </c>
      <c r="K41" s="12">
        <f t="shared" si="1"/>
        <v>300</v>
      </c>
      <c r="L41" s="95">
        <v>10</v>
      </c>
      <c r="M41" s="13">
        <f t="shared" si="32"/>
        <v>2859.6992481203006</v>
      </c>
      <c r="N41" s="13">
        <f t="shared" si="3"/>
        <v>285.96992481203006</v>
      </c>
      <c r="O41" s="14">
        <f t="shared" si="4"/>
        <v>0</v>
      </c>
      <c r="P41" s="15">
        <f t="shared" si="5"/>
        <v>-14.030075187969942</v>
      </c>
      <c r="Q41" s="91">
        <f t="shared" si="6"/>
        <v>0.95323308270676688</v>
      </c>
      <c r="R41" s="184"/>
      <c r="S41" s="21">
        <v>0.22430555555555554</v>
      </c>
      <c r="T41" s="21">
        <v>0.31666666666666665</v>
      </c>
      <c r="U41" s="88">
        <f t="shared" si="34"/>
        <v>4.9999999999999822</v>
      </c>
      <c r="V41" s="30">
        <f t="shared" si="33"/>
        <v>133</v>
      </c>
      <c r="W41" s="16"/>
      <c r="X41" s="16"/>
      <c r="Y41" s="19"/>
      <c r="Z41" s="19"/>
      <c r="AA41" s="172"/>
      <c r="AB41" s="173"/>
      <c r="AC41" s="18"/>
      <c r="AD41" s="18"/>
      <c r="AE41" s="14">
        <f t="shared" si="8"/>
        <v>-140.30075187969942</v>
      </c>
      <c r="AF41" s="91">
        <f t="shared" si="9"/>
        <v>0.95323308270676688</v>
      </c>
      <c r="AG41" s="184"/>
    </row>
    <row r="42" spans="1:33" ht="15.75" customHeight="1">
      <c r="A42" s="189" t="s">
        <v>173</v>
      </c>
      <c r="B42" s="28" t="s">
        <v>33</v>
      </c>
      <c r="C42" s="170" t="s">
        <v>71</v>
      </c>
      <c r="D42" s="171"/>
      <c r="E42" s="28">
        <v>28.3</v>
      </c>
      <c r="F42" s="88">
        <v>2246</v>
      </c>
      <c r="G42" s="88">
        <f t="shared" si="31"/>
        <v>63561.8</v>
      </c>
      <c r="H42" s="30" t="s">
        <v>53</v>
      </c>
      <c r="I42" s="95">
        <v>8</v>
      </c>
      <c r="J42" s="13">
        <v>3000</v>
      </c>
      <c r="K42" s="12">
        <f t="shared" si="1"/>
        <v>375</v>
      </c>
      <c r="L42" s="95">
        <v>8</v>
      </c>
      <c r="M42" s="13">
        <f t="shared" si="32"/>
        <v>2867.234042553192</v>
      </c>
      <c r="N42" s="13">
        <f t="shared" si="3"/>
        <v>358.404255319149</v>
      </c>
      <c r="O42" s="14">
        <f t="shared" si="4"/>
        <v>0</v>
      </c>
      <c r="P42" s="15">
        <f t="shared" si="5"/>
        <v>-16.595744680850999</v>
      </c>
      <c r="Q42" s="91">
        <f t="shared" si="6"/>
        <v>0.95574468085106401</v>
      </c>
      <c r="R42" s="184"/>
      <c r="S42" s="21">
        <v>0.32013888888888886</v>
      </c>
      <c r="T42" s="21">
        <v>0.35277777777777775</v>
      </c>
      <c r="U42" s="88">
        <f t="shared" si="34"/>
        <v>4.9999999999999822</v>
      </c>
      <c r="V42" s="30">
        <f t="shared" si="33"/>
        <v>46.999999999999993</v>
      </c>
      <c r="W42" s="16"/>
      <c r="X42" s="16"/>
      <c r="Y42" s="19"/>
      <c r="Z42" s="19"/>
      <c r="AA42" s="172"/>
      <c r="AB42" s="173"/>
      <c r="AC42" s="18"/>
      <c r="AD42" s="18"/>
      <c r="AE42" s="14">
        <f t="shared" si="8"/>
        <v>-132.76595744680799</v>
      </c>
      <c r="AF42" s="91">
        <f t="shared" si="9"/>
        <v>0.95574468085106401</v>
      </c>
      <c r="AG42" s="184"/>
    </row>
    <row r="43" spans="1:33" ht="15.75" customHeight="1">
      <c r="A43" s="189" t="s">
        <v>173</v>
      </c>
      <c r="B43" s="28" t="s">
        <v>33</v>
      </c>
      <c r="C43" s="170" t="s">
        <v>38</v>
      </c>
      <c r="D43" s="171"/>
      <c r="E43" s="28">
        <v>35.869999999999997</v>
      </c>
      <c r="F43" s="88">
        <v>3721</v>
      </c>
      <c r="G43" s="88">
        <f t="shared" si="31"/>
        <v>133472.26999999999</v>
      </c>
      <c r="H43" s="30" t="s">
        <v>53</v>
      </c>
      <c r="I43" s="95">
        <v>9</v>
      </c>
      <c r="J43" s="13">
        <v>3000</v>
      </c>
      <c r="K43" s="12">
        <f t="shared" si="1"/>
        <v>333.33333333333331</v>
      </c>
      <c r="L43" s="95">
        <v>9</v>
      </c>
      <c r="M43" s="13">
        <f t="shared" si="32"/>
        <v>2862.3076923076906</v>
      </c>
      <c r="N43" s="13">
        <f t="shared" si="3"/>
        <v>318.03418803418782</v>
      </c>
      <c r="O43" s="14">
        <f t="shared" si="4"/>
        <v>0</v>
      </c>
      <c r="P43" s="15">
        <f t="shared" si="5"/>
        <v>-15.299145299145493</v>
      </c>
      <c r="Q43" s="91">
        <f t="shared" si="6"/>
        <v>0.95410256410256356</v>
      </c>
      <c r="R43" s="184"/>
      <c r="S43" s="21">
        <v>0.35833333333333328</v>
      </c>
      <c r="T43" s="21">
        <v>0.41249999999999998</v>
      </c>
      <c r="U43" s="88">
        <f t="shared" si="34"/>
        <v>7.9999999999999716</v>
      </c>
      <c r="V43" s="30">
        <f t="shared" si="33"/>
        <v>78.000000000000043</v>
      </c>
      <c r="W43" s="16"/>
      <c r="X43" s="16"/>
      <c r="Y43" s="19"/>
      <c r="Z43" s="19"/>
      <c r="AA43" s="172"/>
      <c r="AB43" s="173"/>
      <c r="AC43" s="18"/>
      <c r="AD43" s="18"/>
      <c r="AE43" s="14">
        <f t="shared" si="8"/>
        <v>-137.69230769230944</v>
      </c>
      <c r="AF43" s="91">
        <f t="shared" si="9"/>
        <v>0.95410256410256356</v>
      </c>
      <c r="AG43" s="184"/>
    </row>
    <row r="44" spans="1:33" ht="15.75" customHeight="1">
      <c r="A44" s="190" t="s">
        <v>173</v>
      </c>
      <c r="B44" s="28" t="s">
        <v>168</v>
      </c>
      <c r="C44" s="165"/>
      <c r="D44" s="166"/>
      <c r="E44" s="89"/>
      <c r="F44" s="88"/>
      <c r="G44" s="88"/>
      <c r="H44" s="88"/>
      <c r="I44" s="23">
        <v>9</v>
      </c>
      <c r="J44" s="13">
        <v>3000</v>
      </c>
      <c r="K44" s="12">
        <f t="shared" si="1"/>
        <v>333.33333333333331</v>
      </c>
      <c r="L44" s="23">
        <v>9</v>
      </c>
      <c r="M44" s="13">
        <f>AVERAGE(M39:M43)</f>
        <v>2868.0260941703609</v>
      </c>
      <c r="N44" s="12">
        <f t="shared" si="3"/>
        <v>318.669566018929</v>
      </c>
      <c r="O44" s="14">
        <f t="shared" si="4"/>
        <v>0</v>
      </c>
      <c r="P44" s="15">
        <f t="shared" si="5"/>
        <v>-14.663767314404311</v>
      </c>
      <c r="Q44" s="91">
        <f t="shared" si="6"/>
        <v>0.95600869805678712</v>
      </c>
      <c r="R44" s="185"/>
      <c r="S44" s="21"/>
      <c r="T44" s="21"/>
      <c r="U44" s="88"/>
      <c r="V44" s="30"/>
      <c r="W44" s="16"/>
      <c r="X44" s="16"/>
      <c r="Y44" s="24">
        <f>SUM(Y39:Y43)</f>
        <v>0</v>
      </c>
      <c r="Z44" s="24">
        <f>SUM(Z39:Z43)</f>
        <v>0</v>
      </c>
      <c r="AA44" s="186"/>
      <c r="AB44" s="187"/>
      <c r="AC44" s="24">
        <f>SUM(AC39:AC43)</f>
        <v>5</v>
      </c>
      <c r="AD44" s="24">
        <f>SUM(AD39:AD43)</f>
        <v>0</v>
      </c>
      <c r="AE44" s="14">
        <f t="shared" si="8"/>
        <v>-131.97390582963908</v>
      </c>
      <c r="AF44" s="91">
        <f t="shared" si="9"/>
        <v>0.95600869805678701</v>
      </c>
      <c r="AG44" s="185"/>
    </row>
    <row r="45" spans="1:33" ht="15.75" customHeight="1">
      <c r="A45" s="181" t="s">
        <v>174</v>
      </c>
      <c r="B45" s="28" t="s">
        <v>9</v>
      </c>
      <c r="C45" s="169" t="s">
        <v>39</v>
      </c>
      <c r="D45" s="169"/>
      <c r="E45" s="28">
        <v>46</v>
      </c>
      <c r="F45" s="29">
        <v>2545</v>
      </c>
      <c r="G45" s="88">
        <f t="shared" ref="G45:G51" si="35">E45*F45</f>
        <v>117070</v>
      </c>
      <c r="H45" s="30" t="s">
        <v>53</v>
      </c>
      <c r="I45" s="95">
        <v>17</v>
      </c>
      <c r="J45" s="13">
        <v>2000</v>
      </c>
      <c r="K45" s="12">
        <f t="shared" si="1"/>
        <v>117.64705882352941</v>
      </c>
      <c r="L45" s="95">
        <v>17</v>
      </c>
      <c r="M45" s="13">
        <f t="shared" ref="M45" si="36">F45/V45*60</f>
        <v>1908.75</v>
      </c>
      <c r="N45" s="13">
        <f t="shared" si="3"/>
        <v>112.27941176470588</v>
      </c>
      <c r="O45" s="14">
        <f t="shared" si="4"/>
        <v>0</v>
      </c>
      <c r="P45" s="15">
        <f t="shared" si="5"/>
        <v>-5.3676470588235219</v>
      </c>
      <c r="Q45" s="91">
        <f t="shared" si="6"/>
        <v>0.95437500000000008</v>
      </c>
      <c r="R45" s="177">
        <f>Q52</f>
        <v>0.95882318727830085</v>
      </c>
      <c r="S45" s="21">
        <v>0.20833333333333334</v>
      </c>
      <c r="T45" s="21">
        <v>0.2638888888888889</v>
      </c>
      <c r="U45" s="21"/>
      <c r="V45" s="30">
        <f t="shared" ref="V45:V51" si="37">(T45-S45)*24*60</f>
        <v>80</v>
      </c>
      <c r="W45" s="21"/>
      <c r="X45" s="21"/>
      <c r="Y45" s="21"/>
      <c r="Z45" s="21"/>
      <c r="AA45" s="168"/>
      <c r="AB45" s="168"/>
      <c r="AC45" s="18">
        <v>7</v>
      </c>
      <c r="AD45" s="18"/>
      <c r="AE45" s="14">
        <f t="shared" si="8"/>
        <v>-91.25</v>
      </c>
      <c r="AF45" s="91">
        <f t="shared" si="9"/>
        <v>0.95437499999999997</v>
      </c>
      <c r="AG45" s="177">
        <f>AF52</f>
        <v>0.95882318727830096</v>
      </c>
    </row>
    <row r="46" spans="1:33" ht="15.75" customHeight="1">
      <c r="A46" s="181" t="s">
        <v>174</v>
      </c>
      <c r="B46" s="28" t="s">
        <v>5</v>
      </c>
      <c r="C46" s="169" t="s">
        <v>40</v>
      </c>
      <c r="D46" s="169"/>
      <c r="E46" s="28">
        <v>56.43</v>
      </c>
      <c r="F46" s="29">
        <v>1442</v>
      </c>
      <c r="G46" s="88">
        <f t="shared" si="35"/>
        <v>81372.06</v>
      </c>
      <c r="H46" s="30" t="s">
        <v>53</v>
      </c>
      <c r="I46" s="95">
        <v>22</v>
      </c>
      <c r="J46" s="13">
        <v>2000</v>
      </c>
      <c r="K46" s="12">
        <f t="shared" si="1"/>
        <v>90.909090909090907</v>
      </c>
      <c r="L46" s="95">
        <v>22</v>
      </c>
      <c r="M46" s="13">
        <f>F46/V46*60</f>
        <v>1922.6666666666667</v>
      </c>
      <c r="N46" s="13">
        <f t="shared" si="3"/>
        <v>87.393939393939391</v>
      </c>
      <c r="O46" s="14">
        <f t="shared" si="4"/>
        <v>0</v>
      </c>
      <c r="P46" s="15">
        <f t="shared" si="5"/>
        <v>-3.5151515151515156</v>
      </c>
      <c r="Q46" s="91">
        <f t="shared" si="6"/>
        <v>0.96133333333333337</v>
      </c>
      <c r="R46" s="177"/>
      <c r="S46" s="21">
        <v>0.26874999999999999</v>
      </c>
      <c r="T46" s="21">
        <v>0.3</v>
      </c>
      <c r="U46" s="88">
        <f t="shared" ref="U46:U51" si="38">IF(S46=TIME(17,0,0),"",(S46-T45)*24*60)</f>
        <v>6.9999999999999751</v>
      </c>
      <c r="V46" s="30">
        <f t="shared" si="37"/>
        <v>45</v>
      </c>
      <c r="W46" s="16"/>
      <c r="X46" s="16"/>
      <c r="Y46" s="16"/>
      <c r="Z46" s="16"/>
      <c r="AA46" s="168"/>
      <c r="AB46" s="168"/>
      <c r="AC46" s="18"/>
      <c r="AD46" s="18"/>
      <c r="AE46" s="14">
        <f t="shared" si="8"/>
        <v>-77.333333333333258</v>
      </c>
      <c r="AF46" s="91">
        <f t="shared" si="9"/>
        <v>0.96133333333333337</v>
      </c>
      <c r="AG46" s="177"/>
    </row>
    <row r="47" spans="1:33" ht="15.75" customHeight="1">
      <c r="A47" s="181" t="s">
        <v>174</v>
      </c>
      <c r="B47" s="28" t="s">
        <v>5</v>
      </c>
      <c r="C47" s="170" t="s">
        <v>41</v>
      </c>
      <c r="D47" s="171"/>
      <c r="E47" s="28">
        <v>51.75</v>
      </c>
      <c r="F47" s="29">
        <v>1022</v>
      </c>
      <c r="G47" s="88">
        <f t="shared" si="35"/>
        <v>52888.5</v>
      </c>
      <c r="H47" s="30" t="s">
        <v>53</v>
      </c>
      <c r="I47" s="95">
        <v>25</v>
      </c>
      <c r="J47" s="13">
        <v>2000</v>
      </c>
      <c r="K47" s="12">
        <f t="shared" si="1"/>
        <v>80</v>
      </c>
      <c r="L47" s="95">
        <v>25</v>
      </c>
      <c r="M47" s="13">
        <f t="shared" ref="M47:M51" si="39">F47/V47*60</f>
        <v>1916.250000000002</v>
      </c>
      <c r="N47" s="13">
        <f t="shared" si="3"/>
        <v>76.650000000000077</v>
      </c>
      <c r="O47" s="14">
        <f t="shared" si="4"/>
        <v>0</v>
      </c>
      <c r="P47" s="15">
        <f t="shared" si="5"/>
        <v>-3.3499999999999233</v>
      </c>
      <c r="Q47" s="91">
        <f t="shared" si="6"/>
        <v>0.958125000000001</v>
      </c>
      <c r="R47" s="177"/>
      <c r="S47" s="21">
        <v>0.3034722222222222</v>
      </c>
      <c r="T47" s="21">
        <v>0.3256944444444444</v>
      </c>
      <c r="U47" s="88">
        <f t="shared" si="38"/>
        <v>4.9999999999999822</v>
      </c>
      <c r="V47" s="30">
        <f t="shared" si="37"/>
        <v>31.999999999999964</v>
      </c>
      <c r="W47" s="16"/>
      <c r="X47" s="16"/>
      <c r="Y47" s="19"/>
      <c r="Z47" s="19"/>
      <c r="AA47" s="168"/>
      <c r="AB47" s="168"/>
      <c r="AC47" s="18"/>
      <c r="AD47" s="18"/>
      <c r="AE47" s="14">
        <f t="shared" si="8"/>
        <v>-83.749999999997954</v>
      </c>
      <c r="AF47" s="91">
        <f t="shared" si="9"/>
        <v>0.958125000000001</v>
      </c>
      <c r="AG47" s="177"/>
    </row>
    <row r="48" spans="1:33" ht="15.75" customHeight="1">
      <c r="A48" s="181" t="s">
        <v>174</v>
      </c>
      <c r="B48" s="28" t="s">
        <v>5</v>
      </c>
      <c r="C48" s="93" t="s">
        <v>42</v>
      </c>
      <c r="D48" s="94"/>
      <c r="E48" s="28">
        <v>57.73</v>
      </c>
      <c r="F48" s="29">
        <v>954</v>
      </c>
      <c r="G48" s="88">
        <f t="shared" si="35"/>
        <v>55074.42</v>
      </c>
      <c r="H48" s="30" t="s">
        <v>53</v>
      </c>
      <c r="I48" s="95">
        <v>16</v>
      </c>
      <c r="J48" s="13">
        <v>1500</v>
      </c>
      <c r="K48" s="12">
        <f t="shared" si="1"/>
        <v>93.75</v>
      </c>
      <c r="L48" s="95">
        <v>16</v>
      </c>
      <c r="M48" s="13">
        <f t="shared" si="39"/>
        <v>1430.9999999999995</v>
      </c>
      <c r="N48" s="13">
        <f t="shared" si="3"/>
        <v>89.437499999999972</v>
      </c>
      <c r="O48" s="14">
        <f t="shared" si="4"/>
        <v>0</v>
      </c>
      <c r="P48" s="15">
        <f t="shared" si="5"/>
        <v>-4.3125000000000284</v>
      </c>
      <c r="Q48" s="91">
        <f t="shared" si="6"/>
        <v>0.95399999999999974</v>
      </c>
      <c r="R48" s="177"/>
      <c r="S48" s="21">
        <v>0.70833333333333337</v>
      </c>
      <c r="T48" s="21">
        <v>0.73611111111111116</v>
      </c>
      <c r="U48" s="88" t="str">
        <f t="shared" si="38"/>
        <v/>
      </c>
      <c r="V48" s="30">
        <f t="shared" si="37"/>
        <v>40.000000000000014</v>
      </c>
      <c r="W48" s="16"/>
      <c r="X48" s="16"/>
      <c r="Y48" s="19"/>
      <c r="Z48" s="19"/>
      <c r="AA48" s="168"/>
      <c r="AB48" s="168"/>
      <c r="AC48" s="18"/>
      <c r="AD48" s="18"/>
      <c r="AE48" s="14">
        <f t="shared" si="8"/>
        <v>-69.000000000000455</v>
      </c>
      <c r="AF48" s="91">
        <f t="shared" si="9"/>
        <v>0.95399999999999974</v>
      </c>
      <c r="AG48" s="177"/>
    </row>
    <row r="49" spans="1:33" ht="15.75" customHeight="1">
      <c r="A49" s="181" t="s">
        <v>174</v>
      </c>
      <c r="B49" s="28" t="s">
        <v>5</v>
      </c>
      <c r="C49" s="93" t="s">
        <v>43</v>
      </c>
      <c r="D49" s="94"/>
      <c r="E49" s="28">
        <v>54.29</v>
      </c>
      <c r="F49" s="29">
        <v>984</v>
      </c>
      <c r="G49" s="88">
        <f t="shared" si="35"/>
        <v>53421.36</v>
      </c>
      <c r="H49" s="30" t="s">
        <v>53</v>
      </c>
      <c r="I49" s="95">
        <v>20</v>
      </c>
      <c r="J49" s="13">
        <v>2000</v>
      </c>
      <c r="K49" s="12">
        <f t="shared" si="1"/>
        <v>100</v>
      </c>
      <c r="L49" s="95">
        <v>20</v>
      </c>
      <c r="M49" s="13">
        <f t="shared" si="39"/>
        <v>1904.5161290322551</v>
      </c>
      <c r="N49" s="13">
        <f t="shared" si="3"/>
        <v>95.225806451612755</v>
      </c>
      <c r="O49" s="14">
        <f t="shared" si="4"/>
        <v>0</v>
      </c>
      <c r="P49" s="15">
        <f t="shared" si="5"/>
        <v>-4.7741935483872453</v>
      </c>
      <c r="Q49" s="91">
        <f t="shared" si="6"/>
        <v>0.9522580645161276</v>
      </c>
      <c r="R49" s="177"/>
      <c r="S49" s="21">
        <v>0.73958333333333337</v>
      </c>
      <c r="T49" s="21">
        <v>0.76111111111111118</v>
      </c>
      <c r="U49" s="88">
        <f t="shared" si="38"/>
        <v>4.9999999999999822</v>
      </c>
      <c r="V49" s="30">
        <f t="shared" si="37"/>
        <v>31.00000000000005</v>
      </c>
      <c r="W49" s="16"/>
      <c r="X49" s="16"/>
      <c r="Y49" s="19"/>
      <c r="Z49" s="19"/>
      <c r="AA49" s="168"/>
      <c r="AB49" s="168"/>
      <c r="AC49" s="18"/>
      <c r="AD49" s="18"/>
      <c r="AE49" s="14">
        <f t="shared" si="8"/>
        <v>-95.483870967744906</v>
      </c>
      <c r="AF49" s="91">
        <f t="shared" si="9"/>
        <v>0.9522580645161276</v>
      </c>
      <c r="AG49" s="177"/>
    </row>
    <row r="50" spans="1:33" ht="15.75" customHeight="1">
      <c r="A50" s="181" t="s">
        <v>174</v>
      </c>
      <c r="B50" s="28" t="s">
        <v>5</v>
      </c>
      <c r="C50" s="170" t="s">
        <v>44</v>
      </c>
      <c r="D50" s="171"/>
      <c r="E50" s="28">
        <v>55.56</v>
      </c>
      <c r="F50" s="29">
        <v>1728</v>
      </c>
      <c r="G50" s="88">
        <f t="shared" si="35"/>
        <v>96007.680000000008</v>
      </c>
      <c r="H50" s="30" t="s">
        <v>53</v>
      </c>
      <c r="I50" s="95">
        <v>17</v>
      </c>
      <c r="J50" s="13">
        <v>2000</v>
      </c>
      <c r="K50" s="12">
        <f t="shared" si="1"/>
        <v>117.64705882352941</v>
      </c>
      <c r="L50" s="95">
        <v>17</v>
      </c>
      <c r="M50" s="13">
        <f t="shared" si="39"/>
        <v>1920.0000000000009</v>
      </c>
      <c r="N50" s="13">
        <f t="shared" si="3"/>
        <v>112.94117647058829</v>
      </c>
      <c r="O50" s="14">
        <f t="shared" si="4"/>
        <v>0</v>
      </c>
      <c r="P50" s="15">
        <f t="shared" si="5"/>
        <v>-4.7058823529411171</v>
      </c>
      <c r="Q50" s="91">
        <f t="shared" si="6"/>
        <v>0.96000000000000052</v>
      </c>
      <c r="R50" s="177"/>
      <c r="S50" s="21">
        <v>0.76597222222222228</v>
      </c>
      <c r="T50" s="21">
        <v>0.80347222222222225</v>
      </c>
      <c r="U50" s="88">
        <f t="shared" si="38"/>
        <v>6.9999999999999751</v>
      </c>
      <c r="V50" s="30">
        <f t="shared" si="37"/>
        <v>53.999999999999972</v>
      </c>
      <c r="W50" s="16"/>
      <c r="X50" s="16"/>
      <c r="Y50" s="19"/>
      <c r="Z50" s="19"/>
      <c r="AA50" s="172"/>
      <c r="AB50" s="173"/>
      <c r="AC50" s="18"/>
      <c r="AD50" s="18"/>
      <c r="AE50" s="14">
        <f t="shared" si="8"/>
        <v>-79.999999999999091</v>
      </c>
      <c r="AF50" s="91">
        <f t="shared" si="9"/>
        <v>0.96000000000000041</v>
      </c>
      <c r="AG50" s="177"/>
    </row>
    <row r="51" spans="1:33" ht="15.75" customHeight="1">
      <c r="A51" s="181" t="s">
        <v>174</v>
      </c>
      <c r="B51" s="28" t="s">
        <v>5</v>
      </c>
      <c r="C51" s="170" t="s">
        <v>45</v>
      </c>
      <c r="D51" s="171"/>
      <c r="E51" s="28">
        <v>55.32</v>
      </c>
      <c r="F51" s="29">
        <v>1391</v>
      </c>
      <c r="G51" s="88">
        <f t="shared" si="35"/>
        <v>76950.12</v>
      </c>
      <c r="H51" s="30" t="s">
        <v>53</v>
      </c>
      <c r="I51" s="95">
        <v>15</v>
      </c>
      <c r="J51" s="13">
        <v>2000</v>
      </c>
      <c r="K51" s="12">
        <f t="shared" si="1"/>
        <v>133.33333333333334</v>
      </c>
      <c r="L51" s="95">
        <v>15</v>
      </c>
      <c r="M51" s="13">
        <f t="shared" si="39"/>
        <v>1940.9302325581391</v>
      </c>
      <c r="N51" s="13">
        <f t="shared" si="3"/>
        <v>129.39534883720927</v>
      </c>
      <c r="O51" s="14">
        <f t="shared" si="4"/>
        <v>0</v>
      </c>
      <c r="P51" s="15">
        <f t="shared" si="5"/>
        <v>-3.9379844961240735</v>
      </c>
      <c r="Q51" s="91">
        <f t="shared" si="6"/>
        <v>0.9704651162790694</v>
      </c>
      <c r="R51" s="177"/>
      <c r="S51" s="21">
        <v>0.80833333333333335</v>
      </c>
      <c r="T51" s="21">
        <v>0.83819444444444446</v>
      </c>
      <c r="U51" s="88">
        <f t="shared" si="38"/>
        <v>6.9999999999999751</v>
      </c>
      <c r="V51" s="30">
        <f t="shared" si="37"/>
        <v>43.000000000000007</v>
      </c>
      <c r="W51" s="16"/>
      <c r="X51" s="16"/>
      <c r="Y51" s="19"/>
      <c r="Z51" s="19"/>
      <c r="AA51" s="172"/>
      <c r="AB51" s="173"/>
      <c r="AC51" s="18"/>
      <c r="AD51" s="18"/>
      <c r="AE51" s="14">
        <f t="shared" si="8"/>
        <v>-59.069767441860904</v>
      </c>
      <c r="AF51" s="91">
        <f t="shared" si="9"/>
        <v>0.97046511627906951</v>
      </c>
      <c r="AG51" s="177"/>
    </row>
    <row r="52" spans="1:33">
      <c r="A52" s="182" t="s">
        <v>174</v>
      </c>
      <c r="B52" s="28" t="s">
        <v>168</v>
      </c>
      <c r="C52" s="178"/>
      <c r="D52" s="178"/>
      <c r="E52" s="92"/>
      <c r="F52" s="12"/>
      <c r="G52" s="12"/>
      <c r="H52" s="88"/>
      <c r="I52" s="23">
        <v>18.857142857142858</v>
      </c>
      <c r="J52" s="13">
        <v>1928.5714285714287</v>
      </c>
      <c r="K52" s="12">
        <f t="shared" si="1"/>
        <v>102.27272727272728</v>
      </c>
      <c r="L52" s="23">
        <v>18.857142857142858</v>
      </c>
      <c r="M52" s="13">
        <f>AVERAGE(M45:M51)</f>
        <v>1849.1590040367234</v>
      </c>
      <c r="N52" s="12">
        <f t="shared" si="3"/>
        <v>98.06146233528078</v>
      </c>
      <c r="O52" s="14">
        <f t="shared" si="4"/>
        <v>0</v>
      </c>
      <c r="P52" s="15">
        <f t="shared" si="5"/>
        <v>-4.2112649374465008</v>
      </c>
      <c r="Q52" s="91">
        <f t="shared" si="6"/>
        <v>0.95882318727830085</v>
      </c>
      <c r="R52" s="177"/>
      <c r="S52" s="21"/>
      <c r="T52" s="21"/>
      <c r="U52" s="88"/>
      <c r="V52" s="30"/>
      <c r="W52" s="12"/>
      <c r="X52" s="12"/>
      <c r="Y52" s="24">
        <f>SUM(Y45:Y51)</f>
        <v>0</v>
      </c>
      <c r="Z52" s="24">
        <f>SUM(Z45:Z51)</f>
        <v>0</v>
      </c>
      <c r="AA52" s="167"/>
      <c r="AB52" s="167"/>
      <c r="AC52" s="24">
        <f>SUM(AC45:AC51)</f>
        <v>7</v>
      </c>
      <c r="AD52" s="24">
        <f>SUM(AD45:AD51)</f>
        <v>0</v>
      </c>
      <c r="AE52" s="14">
        <f>M52-J52</f>
        <v>-79.412424534705224</v>
      </c>
      <c r="AF52" s="91">
        <f t="shared" si="9"/>
        <v>0.95882318727830096</v>
      </c>
      <c r="AG52" s="177"/>
    </row>
    <row r="53" spans="1:33" ht="15.75" customHeight="1">
      <c r="A53" s="179" t="s">
        <v>175</v>
      </c>
      <c r="B53" s="88" t="s">
        <v>33</v>
      </c>
      <c r="C53" s="169" t="s">
        <v>46</v>
      </c>
      <c r="D53" s="169"/>
      <c r="E53" s="28">
        <v>37.85</v>
      </c>
      <c r="F53" s="29">
        <v>1387</v>
      </c>
      <c r="G53" s="88">
        <f t="shared" ref="G53:G57" si="40">E53*F53</f>
        <v>52497.950000000004</v>
      </c>
      <c r="H53" s="30" t="s">
        <v>53</v>
      </c>
      <c r="I53" s="95">
        <v>12</v>
      </c>
      <c r="J53" s="13">
        <v>2000</v>
      </c>
      <c r="K53" s="12">
        <f t="shared" si="1"/>
        <v>166.66666666666666</v>
      </c>
      <c r="L53" s="95">
        <v>12</v>
      </c>
      <c r="M53" s="13">
        <f t="shared" ref="M53:M57" si="41">F53/V53*60</f>
        <v>1935.3488372093018</v>
      </c>
      <c r="N53" s="12">
        <f t="shared" si="3"/>
        <v>161.27906976744183</v>
      </c>
      <c r="O53" s="14">
        <f t="shared" si="4"/>
        <v>0</v>
      </c>
      <c r="P53" s="15">
        <f t="shared" si="5"/>
        <v>-5.3875968992248318</v>
      </c>
      <c r="Q53" s="91">
        <f t="shared" si="6"/>
        <v>0.96767441860465098</v>
      </c>
      <c r="R53" s="177">
        <f>Q58</f>
        <v>0.96206680512736675</v>
      </c>
      <c r="S53" s="21">
        <v>0.20833333333333334</v>
      </c>
      <c r="T53" s="21">
        <v>0.23819444444444446</v>
      </c>
      <c r="U53" s="88"/>
      <c r="V53" s="30">
        <f t="shared" ref="V53:V57" si="42">(T53-S53)*24*60</f>
        <v>43.000000000000007</v>
      </c>
      <c r="W53" s="21"/>
      <c r="X53" s="21"/>
      <c r="Y53" s="21"/>
      <c r="Z53" s="21"/>
      <c r="AA53" s="168"/>
      <c r="AB53" s="168"/>
      <c r="AC53" s="18">
        <v>5</v>
      </c>
      <c r="AD53" s="18"/>
      <c r="AE53" s="14">
        <f t="shared" ref="AE53:AE65" si="43">M53-J53</f>
        <v>-64.651162790698208</v>
      </c>
      <c r="AF53" s="91">
        <f t="shared" si="9"/>
        <v>0.96767441860465087</v>
      </c>
      <c r="AG53" s="177">
        <f>AF58</f>
        <v>0.96206680512736675</v>
      </c>
    </row>
    <row r="54" spans="1:33" ht="15.75" customHeight="1">
      <c r="A54" s="179" t="s">
        <v>175</v>
      </c>
      <c r="B54" s="88" t="s">
        <v>33</v>
      </c>
      <c r="C54" s="169" t="s">
        <v>47</v>
      </c>
      <c r="D54" s="169"/>
      <c r="E54" s="28">
        <v>34.36</v>
      </c>
      <c r="F54" s="29">
        <v>2286</v>
      </c>
      <c r="G54" s="88">
        <f t="shared" si="40"/>
        <v>78546.959999999992</v>
      </c>
      <c r="H54" s="30" t="s">
        <v>53</v>
      </c>
      <c r="I54" s="95">
        <v>10</v>
      </c>
      <c r="J54" s="13">
        <v>3000</v>
      </c>
      <c r="K54" s="12">
        <f t="shared" si="1"/>
        <v>300</v>
      </c>
      <c r="L54" s="95">
        <v>10</v>
      </c>
      <c r="M54" s="13">
        <f t="shared" si="41"/>
        <v>2857.5000000000009</v>
      </c>
      <c r="N54" s="12">
        <f t="shared" si="3"/>
        <v>285.75000000000011</v>
      </c>
      <c r="O54" s="14">
        <f t="shared" si="4"/>
        <v>0</v>
      </c>
      <c r="P54" s="15">
        <f t="shared" si="5"/>
        <v>-14.249999999999886</v>
      </c>
      <c r="Q54" s="91">
        <f t="shared" si="6"/>
        <v>0.95250000000000035</v>
      </c>
      <c r="R54" s="177"/>
      <c r="S54" s="21">
        <v>0.24236111111111114</v>
      </c>
      <c r="T54" s="21">
        <v>0.27569444444444446</v>
      </c>
      <c r="U54" s="88">
        <f t="shared" ref="U54:U57" si="44">(S54-T53)*24*60</f>
        <v>6.0000000000000187</v>
      </c>
      <c r="V54" s="30">
        <f t="shared" si="42"/>
        <v>47.999999999999986</v>
      </c>
      <c r="W54" s="88"/>
      <c r="X54" s="88"/>
      <c r="Y54" s="88"/>
      <c r="Z54" s="88"/>
      <c r="AA54" s="168"/>
      <c r="AB54" s="168"/>
      <c r="AC54" s="18"/>
      <c r="AD54" s="18"/>
      <c r="AE54" s="14">
        <f t="shared" si="43"/>
        <v>-142.49999999999909</v>
      </c>
      <c r="AF54" s="91">
        <f t="shared" si="9"/>
        <v>0.95250000000000035</v>
      </c>
      <c r="AG54" s="177"/>
    </row>
    <row r="55" spans="1:33" ht="15.75" customHeight="1">
      <c r="A55" s="179" t="s">
        <v>175</v>
      </c>
      <c r="B55" s="88" t="s">
        <v>33</v>
      </c>
      <c r="C55" s="169" t="s">
        <v>48</v>
      </c>
      <c r="D55" s="169"/>
      <c r="E55" s="28">
        <v>35.119999999999997</v>
      </c>
      <c r="F55" s="29">
        <v>5136</v>
      </c>
      <c r="G55" s="88">
        <f t="shared" si="40"/>
        <v>180376.31999999998</v>
      </c>
      <c r="H55" s="30" t="s">
        <v>53</v>
      </c>
      <c r="I55" s="95">
        <v>10</v>
      </c>
      <c r="J55" s="13">
        <v>3000</v>
      </c>
      <c r="K55" s="12">
        <f t="shared" si="1"/>
        <v>300</v>
      </c>
      <c r="L55" s="95">
        <v>10</v>
      </c>
      <c r="M55" s="13">
        <f t="shared" si="41"/>
        <v>2879.9999999999995</v>
      </c>
      <c r="N55" s="12">
        <f t="shared" si="3"/>
        <v>287.99999999999994</v>
      </c>
      <c r="O55" s="14">
        <f t="shared" si="4"/>
        <v>0</v>
      </c>
      <c r="P55" s="15">
        <f t="shared" si="5"/>
        <v>-12.000000000000057</v>
      </c>
      <c r="Q55" s="91">
        <f t="shared" si="6"/>
        <v>0.95999999999999985</v>
      </c>
      <c r="R55" s="177"/>
      <c r="S55" s="21">
        <v>0.28055555555555556</v>
      </c>
      <c r="T55" s="21">
        <v>0.35486111111111113</v>
      </c>
      <c r="U55" s="88">
        <f t="shared" si="44"/>
        <v>6.9999999999999751</v>
      </c>
      <c r="V55" s="30">
        <f t="shared" si="42"/>
        <v>107.00000000000001</v>
      </c>
      <c r="W55" s="88"/>
      <c r="X55" s="88"/>
      <c r="Y55" s="88"/>
      <c r="Z55" s="88"/>
      <c r="AA55" s="168"/>
      <c r="AB55" s="168"/>
      <c r="AC55" s="18"/>
      <c r="AD55" s="18"/>
      <c r="AE55" s="14">
        <f t="shared" si="43"/>
        <v>-120.00000000000045</v>
      </c>
      <c r="AF55" s="91">
        <f t="shared" si="9"/>
        <v>0.95999999999999985</v>
      </c>
      <c r="AG55" s="177"/>
    </row>
    <row r="56" spans="1:33" ht="15.75" customHeight="1">
      <c r="A56" s="179" t="s">
        <v>175</v>
      </c>
      <c r="B56" s="88" t="s">
        <v>33</v>
      </c>
      <c r="C56" s="169" t="s">
        <v>34</v>
      </c>
      <c r="D56" s="169"/>
      <c r="E56" s="28">
        <v>34.36</v>
      </c>
      <c r="F56" s="29">
        <v>1658</v>
      </c>
      <c r="G56" s="88">
        <f t="shared" si="40"/>
        <v>56968.88</v>
      </c>
      <c r="H56" s="30" t="s">
        <v>53</v>
      </c>
      <c r="I56" s="95">
        <v>10</v>
      </c>
      <c r="J56" s="13">
        <v>3000</v>
      </c>
      <c r="K56" s="12">
        <f t="shared" si="1"/>
        <v>300</v>
      </c>
      <c r="L56" s="95">
        <v>10</v>
      </c>
      <c r="M56" s="13">
        <f t="shared" si="41"/>
        <v>2925.8823529411798</v>
      </c>
      <c r="N56" s="12">
        <f t="shared" si="3"/>
        <v>292.58823529411796</v>
      </c>
      <c r="O56" s="14">
        <f t="shared" si="4"/>
        <v>0</v>
      </c>
      <c r="P56" s="15">
        <f t="shared" si="5"/>
        <v>-7.4117647058820353</v>
      </c>
      <c r="Q56" s="91">
        <f t="shared" si="6"/>
        <v>0.97529411764705987</v>
      </c>
      <c r="R56" s="177"/>
      <c r="S56" s="21">
        <v>0.35902777777777778</v>
      </c>
      <c r="T56" s="21">
        <v>0.38263888888888886</v>
      </c>
      <c r="U56" s="88">
        <f t="shared" si="44"/>
        <v>5.9999999999999787</v>
      </c>
      <c r="V56" s="30">
        <f t="shared" si="42"/>
        <v>33.999999999999957</v>
      </c>
      <c r="W56" s="88"/>
      <c r="X56" s="88"/>
      <c r="Y56" s="88"/>
      <c r="Z56" s="88"/>
      <c r="AA56" s="168"/>
      <c r="AB56" s="168"/>
      <c r="AC56" s="18"/>
      <c r="AD56" s="18"/>
      <c r="AE56" s="14">
        <f t="shared" si="43"/>
        <v>-74.117647058820239</v>
      </c>
      <c r="AF56" s="91">
        <f t="shared" si="9"/>
        <v>0.97529411764705987</v>
      </c>
      <c r="AG56" s="177"/>
    </row>
    <row r="57" spans="1:33">
      <c r="A57" s="180" t="s">
        <v>175</v>
      </c>
      <c r="B57" s="88" t="s">
        <v>33</v>
      </c>
      <c r="C57" s="169" t="s">
        <v>35</v>
      </c>
      <c r="D57" s="169"/>
      <c r="E57" s="28">
        <v>26.78</v>
      </c>
      <c r="F57" s="29">
        <v>2344</v>
      </c>
      <c r="G57" s="88">
        <f t="shared" si="40"/>
        <v>62772.32</v>
      </c>
      <c r="H57" s="30" t="s">
        <v>53</v>
      </c>
      <c r="I57" s="95">
        <v>10</v>
      </c>
      <c r="J57" s="13">
        <v>3000</v>
      </c>
      <c r="K57" s="12">
        <f t="shared" si="1"/>
        <v>300</v>
      </c>
      <c r="L57" s="95">
        <v>10</v>
      </c>
      <c r="M57" s="13">
        <f t="shared" si="41"/>
        <v>2870.2040816326539</v>
      </c>
      <c r="N57" s="12">
        <f t="shared" si="3"/>
        <v>287.02040816326542</v>
      </c>
      <c r="O57" s="14">
        <f t="shared" si="4"/>
        <v>0</v>
      </c>
      <c r="P57" s="15">
        <f t="shared" si="5"/>
        <v>-12.979591836734585</v>
      </c>
      <c r="Q57" s="91">
        <f t="shared" si="6"/>
        <v>0.95673469387755139</v>
      </c>
      <c r="R57" s="177"/>
      <c r="S57" s="21">
        <v>0.38680555555555551</v>
      </c>
      <c r="T57" s="21">
        <v>0.42083333333333328</v>
      </c>
      <c r="U57" s="88">
        <f t="shared" si="44"/>
        <v>5.9999999999999787</v>
      </c>
      <c r="V57" s="30">
        <f t="shared" si="42"/>
        <v>48.999999999999986</v>
      </c>
      <c r="W57" s="16"/>
      <c r="X57" s="16"/>
      <c r="Y57" s="16"/>
      <c r="Z57" s="16"/>
      <c r="AA57" s="168"/>
      <c r="AB57" s="168"/>
      <c r="AC57" s="18"/>
      <c r="AD57" s="18"/>
      <c r="AE57" s="14">
        <f t="shared" si="43"/>
        <v>-129.79591836734608</v>
      </c>
      <c r="AF57" s="91">
        <f t="shared" si="9"/>
        <v>0.95673469387755128</v>
      </c>
      <c r="AG57" s="177"/>
    </row>
    <row r="58" spans="1:33">
      <c r="A58" s="180" t="s">
        <v>175</v>
      </c>
      <c r="B58" s="28" t="s">
        <v>168</v>
      </c>
      <c r="C58" s="178"/>
      <c r="D58" s="178"/>
      <c r="E58" s="92"/>
      <c r="F58" s="12"/>
      <c r="G58" s="12"/>
      <c r="H58" s="88"/>
      <c r="I58" s="23">
        <v>10.4</v>
      </c>
      <c r="J58" s="13">
        <v>2800</v>
      </c>
      <c r="K58" s="12">
        <f t="shared" si="1"/>
        <v>269.23076923076923</v>
      </c>
      <c r="L58" s="23">
        <v>10.4</v>
      </c>
      <c r="M58" s="13">
        <f>AVERAGE(M53:M57)</f>
        <v>2693.7870543566269</v>
      </c>
      <c r="N58" s="12">
        <f t="shared" si="3"/>
        <v>259.01798599582952</v>
      </c>
      <c r="O58" s="14">
        <f t="shared" si="4"/>
        <v>0</v>
      </c>
      <c r="P58" s="15">
        <f t="shared" si="5"/>
        <v>-10.212783234939707</v>
      </c>
      <c r="Q58" s="91">
        <f t="shared" si="6"/>
        <v>0.96206680512736675</v>
      </c>
      <c r="R58" s="177"/>
      <c r="S58" s="21"/>
      <c r="T58" s="21"/>
      <c r="U58" s="12"/>
      <c r="V58" s="30"/>
      <c r="W58" s="12"/>
      <c r="X58" s="12"/>
      <c r="Y58" s="24">
        <f>SUM(Y53:Y57)</f>
        <v>0</v>
      </c>
      <c r="Z58" s="24">
        <f>SUM(Z53:Z57)</f>
        <v>0</v>
      </c>
      <c r="AA58" s="167"/>
      <c r="AB58" s="167"/>
      <c r="AC58" s="24">
        <f>SUM(AC53:AC57)</f>
        <v>5</v>
      </c>
      <c r="AD58" s="24">
        <f>SUM(AD53:AD57)</f>
        <v>0</v>
      </c>
      <c r="AE58" s="14">
        <f t="shared" si="43"/>
        <v>-106.21294564337313</v>
      </c>
      <c r="AF58" s="91">
        <f t="shared" si="9"/>
        <v>0.96206680512736675</v>
      </c>
      <c r="AG58" s="177"/>
    </row>
    <row r="59" spans="1:33" ht="15.75" customHeight="1">
      <c r="A59" s="174" t="s">
        <v>176</v>
      </c>
      <c r="B59" s="88" t="s">
        <v>22</v>
      </c>
      <c r="C59" s="169" t="s">
        <v>49</v>
      </c>
      <c r="D59" s="169"/>
      <c r="E59" s="28">
        <v>20.2</v>
      </c>
      <c r="F59" s="88">
        <v>2238</v>
      </c>
      <c r="G59" s="88">
        <f t="shared" ref="G59:G64" si="45">E59*F59</f>
        <v>45207.6</v>
      </c>
      <c r="H59" s="30" t="s">
        <v>53</v>
      </c>
      <c r="I59" s="95">
        <v>15</v>
      </c>
      <c r="J59" s="13">
        <v>2400</v>
      </c>
      <c r="K59" s="12">
        <f t="shared" si="1"/>
        <v>160</v>
      </c>
      <c r="L59" s="95">
        <v>15</v>
      </c>
      <c r="M59" s="13">
        <f t="shared" ref="M59:M64" si="46">F59/V59*60</f>
        <v>2315.1724137931028</v>
      </c>
      <c r="N59" s="12">
        <f t="shared" si="3"/>
        <v>154.34482758620686</v>
      </c>
      <c r="O59" s="14">
        <f t="shared" si="4"/>
        <v>0</v>
      </c>
      <c r="P59" s="15">
        <f t="shared" si="5"/>
        <v>-5.6551724137931387</v>
      </c>
      <c r="Q59" s="91">
        <f t="shared" si="6"/>
        <v>0.96465517241379284</v>
      </c>
      <c r="R59" s="177">
        <f>Q65</f>
        <v>0.95751831926076902</v>
      </c>
      <c r="S59" s="21">
        <v>8.3333333333333329E-2</v>
      </c>
      <c r="T59" s="21">
        <v>0.12361111111111112</v>
      </c>
      <c r="U59" s="21"/>
      <c r="V59" s="30">
        <f t="shared" ref="V59:V64" si="47">(T59-S59)*24*60</f>
        <v>58.000000000000014</v>
      </c>
      <c r="W59" s="16">
        <f>T59</f>
        <v>0.12361111111111112</v>
      </c>
      <c r="X59" s="16">
        <f>S60</f>
        <v>0.1423611111111111</v>
      </c>
      <c r="Y59" s="16"/>
      <c r="Z59" s="16"/>
      <c r="AA59" s="168"/>
      <c r="AB59" s="168"/>
      <c r="AC59" s="18">
        <v>6</v>
      </c>
      <c r="AD59" s="18"/>
      <c r="AE59" s="14">
        <f t="shared" si="43"/>
        <v>-84.827586206897195</v>
      </c>
      <c r="AF59" s="91">
        <f t="shared" si="9"/>
        <v>0.96465517241379284</v>
      </c>
      <c r="AG59" s="177">
        <f>AF65</f>
        <v>0.95751831926076891</v>
      </c>
    </row>
    <row r="60" spans="1:33" ht="15.75" customHeight="1">
      <c r="A60" s="175" t="s">
        <v>176</v>
      </c>
      <c r="B60" s="88" t="s">
        <v>22</v>
      </c>
      <c r="C60" s="169" t="s">
        <v>50</v>
      </c>
      <c r="D60" s="169"/>
      <c r="E60" s="28">
        <v>24.45</v>
      </c>
      <c r="F60" s="88">
        <v>2483</v>
      </c>
      <c r="G60" s="88">
        <f t="shared" si="45"/>
        <v>60709.35</v>
      </c>
      <c r="H60" s="30" t="s">
        <v>53</v>
      </c>
      <c r="I60" s="95">
        <v>19</v>
      </c>
      <c r="J60" s="13">
        <v>2400</v>
      </c>
      <c r="K60" s="12">
        <f t="shared" si="1"/>
        <v>126.31578947368421</v>
      </c>
      <c r="L60" s="95">
        <v>19</v>
      </c>
      <c r="M60" s="13">
        <f t="shared" si="46"/>
        <v>2291.9999999999991</v>
      </c>
      <c r="N60" s="12">
        <f t="shared" si="3"/>
        <v>120.63157894736837</v>
      </c>
      <c r="O60" s="14">
        <f t="shared" si="4"/>
        <v>0</v>
      </c>
      <c r="P60" s="15">
        <f t="shared" si="5"/>
        <v>-5.6842105263158373</v>
      </c>
      <c r="Q60" s="91">
        <f t="shared" si="6"/>
        <v>0.95499999999999963</v>
      </c>
      <c r="R60" s="177"/>
      <c r="S60" s="21">
        <v>0.1423611111111111</v>
      </c>
      <c r="T60" s="21">
        <v>0.1875</v>
      </c>
      <c r="U60" s="88">
        <f t="shared" ref="U60:U64" si="48">(S60-T59)*24*60</f>
        <v>26.999999999999986</v>
      </c>
      <c r="V60" s="30">
        <f t="shared" si="47"/>
        <v>65.000000000000014</v>
      </c>
      <c r="W60" s="16"/>
      <c r="X60" s="16"/>
      <c r="Y60" s="16"/>
      <c r="Z60" s="16"/>
      <c r="AA60" s="168"/>
      <c r="AB60" s="168"/>
      <c r="AC60" s="18"/>
      <c r="AD60" s="18"/>
      <c r="AE60" s="14">
        <f t="shared" si="43"/>
        <v>-108.00000000000091</v>
      </c>
      <c r="AF60" s="91">
        <f t="shared" si="9"/>
        <v>0.95499999999999963</v>
      </c>
      <c r="AG60" s="177"/>
    </row>
    <row r="61" spans="1:33" ht="15.75" customHeight="1">
      <c r="A61" s="175" t="s">
        <v>176</v>
      </c>
      <c r="B61" s="88" t="s">
        <v>22</v>
      </c>
      <c r="C61" s="169" t="s">
        <v>31</v>
      </c>
      <c r="D61" s="169"/>
      <c r="E61" s="28">
        <v>20.21</v>
      </c>
      <c r="F61" s="88">
        <v>2678</v>
      </c>
      <c r="G61" s="88">
        <f t="shared" si="45"/>
        <v>54122.380000000005</v>
      </c>
      <c r="H61" s="30" t="s">
        <v>53</v>
      </c>
      <c r="I61" s="95">
        <v>15</v>
      </c>
      <c r="J61" s="13">
        <v>2400</v>
      </c>
      <c r="K61" s="12">
        <f t="shared" si="1"/>
        <v>160</v>
      </c>
      <c r="L61" s="95">
        <v>15</v>
      </c>
      <c r="M61" s="13">
        <f t="shared" si="46"/>
        <v>2295.428571428572</v>
      </c>
      <c r="N61" s="12">
        <f t="shared" si="3"/>
        <v>153.02857142857147</v>
      </c>
      <c r="O61" s="14">
        <f t="shared" si="4"/>
        <v>0</v>
      </c>
      <c r="P61" s="15">
        <f t="shared" si="5"/>
        <v>-6.9714285714285325</v>
      </c>
      <c r="Q61" s="91">
        <f t="shared" si="6"/>
        <v>0.95642857142857163</v>
      </c>
      <c r="R61" s="177"/>
      <c r="S61" s="21">
        <v>0.19166666666666668</v>
      </c>
      <c r="T61" s="21">
        <v>0.24027777777777778</v>
      </c>
      <c r="U61" s="88">
        <f t="shared" si="48"/>
        <v>6.0000000000000187</v>
      </c>
      <c r="V61" s="30">
        <f t="shared" si="47"/>
        <v>69.999999999999986</v>
      </c>
      <c r="W61" s="16"/>
      <c r="X61" s="16"/>
      <c r="Y61" s="16"/>
      <c r="Z61" s="16"/>
      <c r="AA61" s="168"/>
      <c r="AB61" s="168"/>
      <c r="AC61" s="18"/>
      <c r="AD61" s="18"/>
      <c r="AE61" s="14">
        <f t="shared" si="43"/>
        <v>-104.57142857142799</v>
      </c>
      <c r="AF61" s="91">
        <f t="shared" si="9"/>
        <v>0.95642857142857163</v>
      </c>
      <c r="AG61" s="177"/>
    </row>
    <row r="62" spans="1:33" ht="15.75" customHeight="1">
      <c r="A62" s="175" t="s">
        <v>176</v>
      </c>
      <c r="B62" s="88" t="s">
        <v>22</v>
      </c>
      <c r="C62" s="169" t="s">
        <v>51</v>
      </c>
      <c r="D62" s="169"/>
      <c r="E62" s="28">
        <v>24.43</v>
      </c>
      <c r="F62" s="88">
        <v>6480</v>
      </c>
      <c r="G62" s="88">
        <f t="shared" si="45"/>
        <v>158306.4</v>
      </c>
      <c r="H62" s="30" t="s">
        <v>53</v>
      </c>
      <c r="I62" s="95">
        <v>14</v>
      </c>
      <c r="J62" s="13">
        <v>2400</v>
      </c>
      <c r="K62" s="12">
        <f t="shared" si="1"/>
        <v>171.42857142857142</v>
      </c>
      <c r="L62" s="95">
        <v>14</v>
      </c>
      <c r="M62" s="13">
        <f t="shared" si="46"/>
        <v>2287.0588235294113</v>
      </c>
      <c r="N62" s="12">
        <f t="shared" si="3"/>
        <v>163.36134453781509</v>
      </c>
      <c r="O62" s="14">
        <f t="shared" si="4"/>
        <v>0</v>
      </c>
      <c r="P62" s="15">
        <f t="shared" si="5"/>
        <v>-8.0672268907563307</v>
      </c>
      <c r="Q62" s="91">
        <f t="shared" si="6"/>
        <v>0.95294117647058807</v>
      </c>
      <c r="R62" s="177"/>
      <c r="S62" s="21">
        <v>0.24444444444444446</v>
      </c>
      <c r="T62" s="21">
        <v>0.36250000000000004</v>
      </c>
      <c r="U62" s="88">
        <f t="shared" si="48"/>
        <v>6.0000000000000187</v>
      </c>
      <c r="V62" s="30">
        <f t="shared" si="47"/>
        <v>170.00000000000003</v>
      </c>
      <c r="W62" s="16"/>
      <c r="X62" s="16"/>
      <c r="Y62" s="16"/>
      <c r="Z62" s="16"/>
      <c r="AA62" s="168"/>
      <c r="AB62" s="168"/>
      <c r="AC62" s="18"/>
      <c r="AD62" s="18"/>
      <c r="AE62" s="14">
        <f t="shared" si="43"/>
        <v>-112.94117647058874</v>
      </c>
      <c r="AF62" s="91">
        <f t="shared" si="9"/>
        <v>0.95294117647058807</v>
      </c>
      <c r="AG62" s="177"/>
    </row>
    <row r="63" spans="1:33" ht="15.75" customHeight="1">
      <c r="A63" s="175" t="s">
        <v>176</v>
      </c>
      <c r="B63" s="88" t="s">
        <v>22</v>
      </c>
      <c r="C63" s="169" t="s">
        <v>52</v>
      </c>
      <c r="D63" s="169"/>
      <c r="E63" s="28">
        <v>19.02</v>
      </c>
      <c r="F63" s="88">
        <v>6200</v>
      </c>
      <c r="G63" s="88">
        <f t="shared" si="45"/>
        <v>117924</v>
      </c>
      <c r="H63" s="30">
        <v>2</v>
      </c>
      <c r="I63" s="95">
        <v>14</v>
      </c>
      <c r="J63" s="13">
        <v>2400</v>
      </c>
      <c r="K63" s="12">
        <f t="shared" si="1"/>
        <v>171.42857142857142</v>
      </c>
      <c r="L63" s="95">
        <v>14</v>
      </c>
      <c r="M63" s="13">
        <f t="shared" si="46"/>
        <v>2296.296296296297</v>
      </c>
      <c r="N63" s="12">
        <f t="shared" si="3"/>
        <v>164.02116402116408</v>
      </c>
      <c r="O63" s="14">
        <f t="shared" si="4"/>
        <v>0</v>
      </c>
      <c r="P63" s="15">
        <f t="shared" si="5"/>
        <v>-7.4074074074073337</v>
      </c>
      <c r="Q63" s="91">
        <f t="shared" si="6"/>
        <v>0.9567901234567906</v>
      </c>
      <c r="R63" s="177"/>
      <c r="S63" s="21">
        <v>0.36597222222222225</v>
      </c>
      <c r="T63" s="21">
        <v>0.47847222222222224</v>
      </c>
      <c r="U63" s="88">
        <f t="shared" si="48"/>
        <v>4.9999999999999822</v>
      </c>
      <c r="V63" s="30">
        <f t="shared" si="47"/>
        <v>161.99999999999997</v>
      </c>
      <c r="W63" s="16">
        <f>T63</f>
        <v>0.47847222222222224</v>
      </c>
      <c r="X63" s="16">
        <f>S64</f>
        <v>0.51875000000000004</v>
      </c>
      <c r="Y63" s="16"/>
      <c r="Z63" s="16"/>
      <c r="AA63" s="168"/>
      <c r="AB63" s="168"/>
      <c r="AC63" s="18"/>
      <c r="AD63" s="18"/>
      <c r="AE63" s="14">
        <f t="shared" si="43"/>
        <v>-103.70370370370301</v>
      </c>
      <c r="AF63" s="91">
        <f t="shared" si="9"/>
        <v>0.95679012345679038</v>
      </c>
      <c r="AG63" s="177"/>
    </row>
    <row r="64" spans="1:33" ht="15.75" customHeight="1">
      <c r="A64" s="175" t="s">
        <v>176</v>
      </c>
      <c r="B64" s="88" t="s">
        <v>22</v>
      </c>
      <c r="C64" s="169" t="s">
        <v>52</v>
      </c>
      <c r="D64" s="169"/>
      <c r="E64" s="28">
        <v>19.02</v>
      </c>
      <c r="F64" s="88">
        <v>2993</v>
      </c>
      <c r="G64" s="88">
        <f t="shared" si="45"/>
        <v>56926.86</v>
      </c>
      <c r="H64" s="30" t="s">
        <v>53</v>
      </c>
      <c r="I64" s="95">
        <v>14</v>
      </c>
      <c r="J64" s="13">
        <v>2400</v>
      </c>
      <c r="K64" s="12">
        <f t="shared" si="1"/>
        <v>171.42857142857142</v>
      </c>
      <c r="L64" s="95">
        <v>14</v>
      </c>
      <c r="M64" s="13">
        <f t="shared" si="46"/>
        <v>2302.307692307691</v>
      </c>
      <c r="N64" s="12">
        <f t="shared" si="3"/>
        <v>164.45054945054935</v>
      </c>
      <c r="O64" s="14">
        <f t="shared" si="4"/>
        <v>0</v>
      </c>
      <c r="P64" s="15">
        <f t="shared" si="5"/>
        <v>-6.9780219780220705</v>
      </c>
      <c r="Q64" s="91">
        <f t="shared" si="6"/>
        <v>0.95929487179487127</v>
      </c>
      <c r="R64" s="177"/>
      <c r="S64" s="21">
        <v>0.51875000000000004</v>
      </c>
      <c r="T64" s="21">
        <v>0.57291666666666674</v>
      </c>
      <c r="U64" s="88">
        <f t="shared" si="48"/>
        <v>58.000000000000036</v>
      </c>
      <c r="V64" s="30">
        <f t="shared" si="47"/>
        <v>78.000000000000043</v>
      </c>
      <c r="W64" s="16"/>
      <c r="X64" s="16"/>
      <c r="Y64" s="16"/>
      <c r="Z64" s="16"/>
      <c r="AA64" s="168"/>
      <c r="AB64" s="168"/>
      <c r="AC64" s="18"/>
      <c r="AD64" s="18"/>
      <c r="AE64" s="14">
        <f t="shared" si="43"/>
        <v>-97.692307692308987</v>
      </c>
      <c r="AF64" s="91">
        <f t="shared" si="9"/>
        <v>0.95929487179487127</v>
      </c>
      <c r="AG64" s="177"/>
    </row>
    <row r="65" spans="1:33" ht="16.5" customHeight="1">
      <c r="A65" s="176" t="s">
        <v>176</v>
      </c>
      <c r="B65" s="28" t="s">
        <v>168</v>
      </c>
      <c r="C65" s="165"/>
      <c r="D65" s="166"/>
      <c r="E65" s="92"/>
      <c r="F65" s="12"/>
      <c r="G65" s="12"/>
      <c r="H65" s="88"/>
      <c r="I65" s="23">
        <v>15.166666666666666</v>
      </c>
      <c r="J65" s="13">
        <v>2400</v>
      </c>
      <c r="K65" s="12">
        <f t="shared" si="1"/>
        <v>158.24175824175825</v>
      </c>
      <c r="L65" s="23">
        <v>15.166666666666666</v>
      </c>
      <c r="M65" s="13">
        <f>AVERAGE(M59:M64)</f>
        <v>2298.0439662258455</v>
      </c>
      <c r="N65" s="12">
        <f t="shared" si="3"/>
        <v>151.5193823885173</v>
      </c>
      <c r="O65" s="14">
        <f t="shared" si="4"/>
        <v>0</v>
      </c>
      <c r="P65" s="15">
        <f t="shared" si="5"/>
        <v>-6.7223758532409477</v>
      </c>
      <c r="Q65" s="91">
        <f t="shared" si="6"/>
        <v>0.95751831926076902</v>
      </c>
      <c r="R65" s="177"/>
      <c r="S65" s="21"/>
      <c r="T65" s="21"/>
      <c r="U65" s="12"/>
      <c r="V65" s="30"/>
      <c r="W65" s="12"/>
      <c r="X65" s="12"/>
      <c r="Y65" s="24">
        <f>SUM(Y59:Y64)</f>
        <v>0</v>
      </c>
      <c r="Z65" s="24">
        <f>SUM(Z59:Z64)</f>
        <v>0</v>
      </c>
      <c r="AA65" s="167"/>
      <c r="AB65" s="167"/>
      <c r="AC65" s="24">
        <f>SUM(AC59:AC64)</f>
        <v>6</v>
      </c>
      <c r="AD65" s="24">
        <f>SUM(AD59:AD64)</f>
        <v>0</v>
      </c>
      <c r="AE65" s="14">
        <f t="shared" si="43"/>
        <v>-101.95603377415455</v>
      </c>
      <c r="AF65" s="91">
        <f t="shared" si="9"/>
        <v>0.95751831926076891</v>
      </c>
      <c r="AG65" s="177"/>
    </row>
    <row r="66" spans="1:33">
      <c r="D66" s="87"/>
      <c r="E66" s="87"/>
    </row>
  </sheetData>
  <mergeCells count="183">
    <mergeCell ref="A59:A65"/>
    <mergeCell ref="C59:D59"/>
    <mergeCell ref="R59:R65"/>
    <mergeCell ref="AA59:AB59"/>
    <mergeCell ref="AG59:AG65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AG53:AG58"/>
    <mergeCell ref="C54:D54"/>
    <mergeCell ref="AA54:AB54"/>
    <mergeCell ref="C55:D55"/>
    <mergeCell ref="AA55:AB55"/>
    <mergeCell ref="C56:D56"/>
    <mergeCell ref="AA56:AB56"/>
    <mergeCell ref="C57:D57"/>
    <mergeCell ref="AA57:AB57"/>
    <mergeCell ref="C58:D58"/>
    <mergeCell ref="AG39:AG44"/>
    <mergeCell ref="C40:D40"/>
    <mergeCell ref="AA40:AB40"/>
    <mergeCell ref="C41:D41"/>
    <mergeCell ref="AA41:AB41"/>
    <mergeCell ref="C42:D42"/>
    <mergeCell ref="C44:D44"/>
    <mergeCell ref="AA44:AB44"/>
    <mergeCell ref="A53:A58"/>
    <mergeCell ref="C53:D53"/>
    <mergeCell ref="R53:R58"/>
    <mergeCell ref="AA53:AB53"/>
    <mergeCell ref="AA58:AB58"/>
    <mergeCell ref="AG45:AG52"/>
    <mergeCell ref="C46:D46"/>
    <mergeCell ref="AA46:AB46"/>
    <mergeCell ref="C47:D47"/>
    <mergeCell ref="AA47:AB47"/>
    <mergeCell ref="AA48:AB48"/>
    <mergeCell ref="AA49:AB49"/>
    <mergeCell ref="C50:D50"/>
    <mergeCell ref="AA50:AB50"/>
    <mergeCell ref="C51:D51"/>
    <mergeCell ref="A45:A52"/>
    <mergeCell ref="AA42:AB42"/>
    <mergeCell ref="C43:D43"/>
    <mergeCell ref="AA43:AB43"/>
    <mergeCell ref="A39:A44"/>
    <mergeCell ref="C39:D39"/>
    <mergeCell ref="R39:R44"/>
    <mergeCell ref="AA39:AB39"/>
    <mergeCell ref="C52:D52"/>
    <mergeCell ref="AA52:AB52"/>
    <mergeCell ref="C45:D45"/>
    <mergeCell ref="R45:R52"/>
    <mergeCell ref="AA45:AB45"/>
    <mergeCell ref="AA51:AB51"/>
    <mergeCell ref="A32:A38"/>
    <mergeCell ref="C32:D32"/>
    <mergeCell ref="R32:R38"/>
    <mergeCell ref="AA32:AB32"/>
    <mergeCell ref="AG32:AG38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29:D29"/>
    <mergeCell ref="AA29:AB29"/>
    <mergeCell ref="C30:D30"/>
    <mergeCell ref="AA30:AB30"/>
    <mergeCell ref="C31:D31"/>
    <mergeCell ref="AA31:AB31"/>
    <mergeCell ref="A25:A31"/>
    <mergeCell ref="C25:D25"/>
    <mergeCell ref="R25:R31"/>
    <mergeCell ref="AA25:AB25"/>
    <mergeCell ref="A18:A24"/>
    <mergeCell ref="C18:D18"/>
    <mergeCell ref="R18:R24"/>
    <mergeCell ref="AA18:AB18"/>
    <mergeCell ref="AA23:AB23"/>
    <mergeCell ref="C24:D24"/>
    <mergeCell ref="AA24:AB24"/>
    <mergeCell ref="AG25:AG31"/>
    <mergeCell ref="C26:D26"/>
    <mergeCell ref="AA26:AB26"/>
    <mergeCell ref="C27:D27"/>
    <mergeCell ref="AA27:AB27"/>
    <mergeCell ref="C28:D28"/>
    <mergeCell ref="AG18:AG24"/>
    <mergeCell ref="C19:D19"/>
    <mergeCell ref="AA19:AB19"/>
    <mergeCell ref="C20:D20"/>
    <mergeCell ref="AA20:AB20"/>
    <mergeCell ref="C21:D21"/>
    <mergeCell ref="AA21:AB21"/>
    <mergeCell ref="C22:D22"/>
    <mergeCell ref="AA22:AB22"/>
    <mergeCell ref="C23:D23"/>
    <mergeCell ref="AA28:AB28"/>
    <mergeCell ref="AA13:AB13"/>
    <mergeCell ref="A14:A17"/>
    <mergeCell ref="C14:D14"/>
    <mergeCell ref="R14:R17"/>
    <mergeCell ref="AA14:AB14"/>
    <mergeCell ref="AG14:AG17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17:D17"/>
    <mergeCell ref="AA17:AB17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:O65">
    <cfRule type="cellIs" dxfId="6" priority="9" operator="greaterThan">
      <formula>0</formula>
    </cfRule>
  </conditionalFormatting>
  <conditionalFormatting sqref="P5:P65">
    <cfRule type="cellIs" dxfId="5" priority="1" operator="lessThan">
      <formula>0</formula>
    </cfRule>
  </conditionalFormatting>
  <conditionalFormatting sqref="Q5:Q65 AF5:AF65">
    <cfRule type="cellIs" dxfId="4" priority="10" operator="greaterThan">
      <formula>1</formula>
    </cfRule>
    <cfRule type="cellIs" dxfId="3" priority="11" operator="lessThan">
      <formula>0.8</formula>
    </cfRule>
  </conditionalFormatting>
  <conditionalFormatting sqref="R5:R10 AG5:AG10">
    <cfRule type="cellIs" dxfId="2" priority="42" operator="lessThan">
      <formula>0.8</formula>
    </cfRule>
  </conditionalFormatting>
  <conditionalFormatting sqref="AE5:AE65">
    <cfRule type="cellIs" dxfId="1" priority="12" operator="lessThan">
      <formula>0</formula>
    </cfRule>
  </conditionalFormatting>
  <conditionalFormatting sqref="AG14:AG56 R14:R65">
    <cfRule type="cellIs" dxfId="0" priority="13" operator="lessThan">
      <formula>0.8</formula>
    </cfRule>
  </conditionalFormatting>
  <dataValidations count="1">
    <dataValidation type="list" allowBlank="1" showInputMessage="1" showErrorMessage="1" sqref="AB9 AA5:AB8 AB57 AA9:AA57 AB11:AB53 AA58:AB65" xr:uid="{00000000-0002-0000-3B00-000000000000}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3D5586-B725-4EFA-900D-5D3A23A3EF9D}"/>
</file>

<file path=customXml/itemProps2.xml><?xml version="1.0" encoding="utf-8"?>
<ds:datastoreItem xmlns:ds="http://schemas.openxmlformats.org/officeDocument/2006/customXml" ds:itemID="{1BCED70C-D88A-4A20-BB5D-E17705FE38F7}"/>
</file>

<file path=customXml/itemProps3.xml><?xml version="1.0" encoding="utf-8"?>
<ds:datastoreItem xmlns:ds="http://schemas.openxmlformats.org/officeDocument/2006/customXml" ds:itemID="{0BDCC37B-97E4-41EA-AF41-65F5A10F6E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60</vt:i4>
      </vt:variant>
    </vt:vector>
  </HeadingPairs>
  <TitlesOfParts>
    <vt:vector size="60" baseType="lpstr">
      <vt:lpstr>0430</vt:lpstr>
      <vt:lpstr>0430 4度C</vt:lpstr>
      <vt:lpstr>0429</vt:lpstr>
      <vt:lpstr>0429 4度C</vt:lpstr>
      <vt:lpstr>0428</vt:lpstr>
      <vt:lpstr>0428 4度C</vt:lpstr>
      <vt:lpstr>0427</vt:lpstr>
      <vt:lpstr>0427 4度C</vt:lpstr>
      <vt:lpstr>0426</vt:lpstr>
      <vt:lpstr>0426 4度C</vt:lpstr>
      <vt:lpstr>0425</vt:lpstr>
      <vt:lpstr>0425 4度C</vt:lpstr>
      <vt:lpstr>0424</vt:lpstr>
      <vt:lpstr>0424 4度C</vt:lpstr>
      <vt:lpstr>0423</vt:lpstr>
      <vt:lpstr>0423 4度C</vt:lpstr>
      <vt:lpstr>0422</vt:lpstr>
      <vt:lpstr>0422 4度C</vt:lpstr>
      <vt:lpstr>0421</vt:lpstr>
      <vt:lpstr>0421 4度C</vt:lpstr>
      <vt:lpstr>0420</vt:lpstr>
      <vt:lpstr>0420 4度C</vt:lpstr>
      <vt:lpstr>0419</vt:lpstr>
      <vt:lpstr>0419 4度C</vt:lpstr>
      <vt:lpstr>0418</vt:lpstr>
      <vt:lpstr>0418 4度C</vt:lpstr>
      <vt:lpstr>0417</vt:lpstr>
      <vt:lpstr>0417 4度C</vt:lpstr>
      <vt:lpstr>0416</vt:lpstr>
      <vt:lpstr>0416 4度C</vt:lpstr>
      <vt:lpstr>0415</vt:lpstr>
      <vt:lpstr>0415 4度C</vt:lpstr>
      <vt:lpstr>0414</vt:lpstr>
      <vt:lpstr>0414 4度C</vt:lpstr>
      <vt:lpstr>0413</vt:lpstr>
      <vt:lpstr>0413 4度C</vt:lpstr>
      <vt:lpstr>0412</vt:lpstr>
      <vt:lpstr>0412 4度C</vt:lpstr>
      <vt:lpstr>0411</vt:lpstr>
      <vt:lpstr>0411 4度C</vt:lpstr>
      <vt:lpstr>0410</vt:lpstr>
      <vt:lpstr>0410 4度C</vt:lpstr>
      <vt:lpstr>0409</vt:lpstr>
      <vt:lpstr>0409 4度C</vt:lpstr>
      <vt:lpstr>0408</vt:lpstr>
      <vt:lpstr>0408 4度C</vt:lpstr>
      <vt:lpstr>0407</vt:lpstr>
      <vt:lpstr>0407 4度C</vt:lpstr>
      <vt:lpstr>0406</vt:lpstr>
      <vt:lpstr>0406 4度C</vt:lpstr>
      <vt:lpstr>0405</vt:lpstr>
      <vt:lpstr>0405 4度C</vt:lpstr>
      <vt:lpstr>0404</vt:lpstr>
      <vt:lpstr>0404 4度C</vt:lpstr>
      <vt:lpstr>0403</vt:lpstr>
      <vt:lpstr>0403 4度C</vt:lpstr>
      <vt:lpstr>0402</vt:lpstr>
      <vt:lpstr>0402 4度C</vt:lpstr>
      <vt:lpstr>0401</vt:lpstr>
      <vt:lpstr>0401 4度C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新豐生管03</dc:creator>
  <cp:lastModifiedBy>食品 屏榮</cp:lastModifiedBy>
  <dcterms:created xsi:type="dcterms:W3CDTF">2026-03-02T01:14:15Z</dcterms:created>
  <dcterms:modified xsi:type="dcterms:W3CDTF">2026-05-04T08:35:07Z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