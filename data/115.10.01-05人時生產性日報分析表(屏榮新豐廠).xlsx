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20490" windowHeight="7260" tabRatio="911" activeTab="1"/>
  </bookViews>
  <sheets>
    <sheet name="1005" sheetId="164" r:id="rId1"/>
    <sheet name="1005 4度C" sheetId="165" r:id="rId2"/>
    <sheet name="1004" sheetId="162" r:id="rId3"/>
    <sheet name="1004 4度C" sheetId="163" r:id="rId4"/>
    <sheet name="1003" sheetId="160" r:id="rId5"/>
    <sheet name="1003 4度C" sheetId="161" r:id="rId6"/>
    <sheet name="1002" sheetId="158" r:id="rId7"/>
    <sheet name="1002 4度C" sheetId="159" r:id="rId8"/>
    <sheet name="1001" sheetId="156" r:id="rId9"/>
    <sheet name="1001 4度C" sheetId="157" r:id="rId10"/>
  </sheets>
  <definedNames>
    <definedName name="_xlnm._FilterDatabase" localSheetId="9" hidden="1">'1001 4度C'!$A$4:$AI$4</definedName>
    <definedName name="_xlnm._FilterDatabase" localSheetId="7" hidden="1">'1002 4度C'!$A$4:$AI$4</definedName>
    <definedName name="_xlnm._FilterDatabase" localSheetId="5" hidden="1">'1003 4度C'!$A$4:$AI$4</definedName>
    <definedName name="_xlnm._FilterDatabase" localSheetId="3" hidden="1">'1004 4度C'!$A$4:$AI$4</definedName>
    <definedName name="_xlnm._FilterDatabase" localSheetId="1" hidden="1">'1005 4度C'!$A$4:$AI$4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6" i="165" l="1"/>
  <c r="Z76" i="165"/>
  <c r="Y76" i="165"/>
  <c r="O76" i="165"/>
  <c r="M76" i="165"/>
  <c r="AF76" i="165" s="1"/>
  <c r="AG67" i="165" s="1"/>
  <c r="K76" i="165"/>
  <c r="AF75" i="165"/>
  <c r="AE75" i="165"/>
  <c r="V75" i="165"/>
  <c r="U75" i="165"/>
  <c r="Q75" i="165"/>
  <c r="P75" i="165"/>
  <c r="O75" i="165"/>
  <c r="N75" i="165"/>
  <c r="M75" i="165"/>
  <c r="K75" i="165"/>
  <c r="G75" i="165"/>
  <c r="AF74" i="165"/>
  <c r="AE74" i="165"/>
  <c r="V74" i="165"/>
  <c r="U74" i="165"/>
  <c r="Q74" i="165"/>
  <c r="P74" i="165"/>
  <c r="O74" i="165"/>
  <c r="N74" i="165"/>
  <c r="M74" i="165"/>
  <c r="K74" i="165"/>
  <c r="G74" i="165"/>
  <c r="AF73" i="165"/>
  <c r="AE73" i="165"/>
  <c r="V73" i="165"/>
  <c r="U73" i="165"/>
  <c r="O73" i="165"/>
  <c r="M73" i="165"/>
  <c r="N73" i="165" s="1"/>
  <c r="K73" i="165"/>
  <c r="G73" i="165"/>
  <c r="AF72" i="165"/>
  <c r="AE72" i="165"/>
  <c r="X72" i="165"/>
  <c r="W72" i="165"/>
  <c r="V72" i="165"/>
  <c r="U72" i="165"/>
  <c r="Q72" i="165"/>
  <c r="P72" i="165"/>
  <c r="O72" i="165"/>
  <c r="N72" i="165"/>
  <c r="M72" i="165"/>
  <c r="K72" i="165"/>
  <c r="G72" i="165"/>
  <c r="AF71" i="165"/>
  <c r="AE71" i="165"/>
  <c r="V71" i="165"/>
  <c r="U71" i="165"/>
  <c r="O71" i="165"/>
  <c r="M71" i="165"/>
  <c r="N71" i="165" s="1"/>
  <c r="K71" i="165"/>
  <c r="G71" i="165"/>
  <c r="AF70" i="165"/>
  <c r="AE70" i="165"/>
  <c r="V70" i="165"/>
  <c r="U70" i="165"/>
  <c r="O70" i="165"/>
  <c r="M70" i="165"/>
  <c r="N70" i="165" s="1"/>
  <c r="K70" i="165"/>
  <c r="G70" i="165"/>
  <c r="AF69" i="165"/>
  <c r="AE69" i="165"/>
  <c r="V69" i="165"/>
  <c r="U69" i="165"/>
  <c r="Q69" i="165"/>
  <c r="O69" i="165"/>
  <c r="N69" i="165"/>
  <c r="P69" i="165" s="1"/>
  <c r="M69" i="165"/>
  <c r="K69" i="165"/>
  <c r="G69" i="165"/>
  <c r="AF68" i="165"/>
  <c r="AE68" i="165"/>
  <c r="V68" i="165"/>
  <c r="U68" i="165"/>
  <c r="O68" i="165"/>
  <c r="M68" i="165"/>
  <c r="N68" i="165" s="1"/>
  <c r="K68" i="165"/>
  <c r="G68" i="165"/>
  <c r="AF67" i="165"/>
  <c r="AE67" i="165"/>
  <c r="X67" i="165"/>
  <c r="W67" i="165"/>
  <c r="V67" i="165"/>
  <c r="O67" i="165"/>
  <c r="M67" i="165"/>
  <c r="N67" i="165" s="1"/>
  <c r="K67" i="165"/>
  <c r="G67" i="165"/>
  <c r="AF66" i="165"/>
  <c r="AG61" i="165" s="1"/>
  <c r="AE66" i="165"/>
  <c r="AD66" i="165"/>
  <c r="Z66" i="165"/>
  <c r="Y66" i="165"/>
  <c r="O66" i="165"/>
  <c r="M66" i="165"/>
  <c r="N66" i="165" s="1"/>
  <c r="K66" i="165"/>
  <c r="AF65" i="165"/>
  <c r="AE65" i="165"/>
  <c r="V65" i="165"/>
  <c r="U65" i="165"/>
  <c r="O65" i="165"/>
  <c r="M65" i="165"/>
  <c r="N65" i="165" s="1"/>
  <c r="K65" i="165"/>
  <c r="G65" i="165"/>
  <c r="AF64" i="165"/>
  <c r="AE64" i="165"/>
  <c r="V64" i="165"/>
  <c r="U64" i="165"/>
  <c r="Q64" i="165"/>
  <c r="P64" i="165"/>
  <c r="O64" i="165"/>
  <c r="N64" i="165"/>
  <c r="M64" i="165"/>
  <c r="K64" i="165"/>
  <c r="G64" i="165"/>
  <c r="AF63" i="165"/>
  <c r="AE63" i="165"/>
  <c r="V63" i="165"/>
  <c r="U63" i="165"/>
  <c r="Q63" i="165"/>
  <c r="P63" i="165"/>
  <c r="O63" i="165"/>
  <c r="N63" i="165"/>
  <c r="M63" i="165"/>
  <c r="K63" i="165"/>
  <c r="G63" i="165"/>
  <c r="AF62" i="165"/>
  <c r="AE62" i="165"/>
  <c r="V62" i="165"/>
  <c r="U62" i="165"/>
  <c r="O62" i="165"/>
  <c r="N62" i="165"/>
  <c r="P62" i="165" s="1"/>
  <c r="M62" i="165"/>
  <c r="K62" i="165"/>
  <c r="G62" i="165"/>
  <c r="AF61" i="165"/>
  <c r="AE61" i="165"/>
  <c r="V61" i="165"/>
  <c r="O61" i="165"/>
  <c r="N61" i="165"/>
  <c r="P61" i="165" s="1"/>
  <c r="M61" i="165"/>
  <c r="K61" i="165"/>
  <c r="G61" i="165"/>
  <c r="AD60" i="165"/>
  <c r="Z60" i="165"/>
  <c r="Y60" i="165"/>
  <c r="O60" i="165"/>
  <c r="M60" i="165"/>
  <c r="N60" i="165" s="1"/>
  <c r="K60" i="165"/>
  <c r="AF59" i="165"/>
  <c r="AE59" i="165"/>
  <c r="V59" i="165"/>
  <c r="U59" i="165"/>
  <c r="O59" i="165"/>
  <c r="N59" i="165"/>
  <c r="Q59" i="165" s="1"/>
  <c r="M59" i="165"/>
  <c r="K59" i="165"/>
  <c r="G59" i="165"/>
  <c r="AF58" i="165"/>
  <c r="AE58" i="165"/>
  <c r="V58" i="165"/>
  <c r="U58" i="165"/>
  <c r="O58" i="165"/>
  <c r="N58" i="165"/>
  <c r="P58" i="165" s="1"/>
  <c r="M58" i="165"/>
  <c r="K58" i="165"/>
  <c r="G58" i="165"/>
  <c r="AF57" i="165"/>
  <c r="AE57" i="165"/>
  <c r="V57" i="165"/>
  <c r="U57" i="165"/>
  <c r="Q57" i="165"/>
  <c r="P57" i="165"/>
  <c r="O57" i="165"/>
  <c r="N57" i="165"/>
  <c r="M57" i="165"/>
  <c r="K57" i="165"/>
  <c r="G57" i="165"/>
  <c r="AF56" i="165"/>
  <c r="AE56" i="165"/>
  <c r="V56" i="165"/>
  <c r="U56" i="165"/>
  <c r="Q56" i="165"/>
  <c r="P56" i="165"/>
  <c r="O56" i="165"/>
  <c r="N56" i="165"/>
  <c r="M56" i="165"/>
  <c r="K56" i="165"/>
  <c r="G56" i="165"/>
  <c r="AF55" i="165"/>
  <c r="AE55" i="165"/>
  <c r="V55" i="165"/>
  <c r="U55" i="165"/>
  <c r="O55" i="165"/>
  <c r="M55" i="165"/>
  <c r="N55" i="165" s="1"/>
  <c r="K55" i="165"/>
  <c r="G55" i="165"/>
  <c r="AF54" i="165"/>
  <c r="AE54" i="165"/>
  <c r="V54" i="165"/>
  <c r="U54" i="165"/>
  <c r="O54" i="165"/>
  <c r="M54" i="165"/>
  <c r="N54" i="165" s="1"/>
  <c r="K54" i="165"/>
  <c r="G54" i="165"/>
  <c r="AF53" i="165"/>
  <c r="AE53" i="165"/>
  <c r="V53" i="165"/>
  <c r="U53" i="165"/>
  <c r="Q53" i="165"/>
  <c r="O53" i="165"/>
  <c r="N53" i="165"/>
  <c r="P53" i="165" s="1"/>
  <c r="M53" i="165"/>
  <c r="K53" i="165"/>
  <c r="G53" i="165"/>
  <c r="AF52" i="165"/>
  <c r="AE52" i="165"/>
  <c r="V52" i="165"/>
  <c r="Q52" i="165"/>
  <c r="O52" i="165"/>
  <c r="N52" i="165"/>
  <c r="P52" i="165" s="1"/>
  <c r="M52" i="165"/>
  <c r="K52" i="165"/>
  <c r="G52" i="165"/>
  <c r="AF51" i="165"/>
  <c r="AE51" i="165"/>
  <c r="AD51" i="165"/>
  <c r="Z51" i="165"/>
  <c r="Y51" i="165"/>
  <c r="Q51" i="165"/>
  <c r="R48" i="165" s="1"/>
  <c r="O51" i="165"/>
  <c r="N51" i="165"/>
  <c r="P51" i="165" s="1"/>
  <c r="M51" i="165"/>
  <c r="K51" i="165"/>
  <c r="AF50" i="165"/>
  <c r="AE50" i="165"/>
  <c r="V50" i="165"/>
  <c r="U50" i="165"/>
  <c r="Q50" i="165"/>
  <c r="P50" i="165"/>
  <c r="O50" i="165"/>
  <c r="N50" i="165"/>
  <c r="M50" i="165"/>
  <c r="K50" i="165"/>
  <c r="G50" i="165"/>
  <c r="AF49" i="165"/>
  <c r="AE49" i="165"/>
  <c r="V49" i="165"/>
  <c r="U49" i="165"/>
  <c r="Q49" i="165"/>
  <c r="P49" i="165"/>
  <c r="O49" i="165"/>
  <c r="N49" i="165"/>
  <c r="M49" i="165"/>
  <c r="K49" i="165"/>
  <c r="G49" i="165"/>
  <c r="AG48" i="165"/>
  <c r="AF48" i="165"/>
  <c r="AE48" i="165"/>
  <c r="V48" i="165"/>
  <c r="Q48" i="165"/>
  <c r="P48" i="165"/>
  <c r="O48" i="165"/>
  <c r="N48" i="165"/>
  <c r="M48" i="165"/>
  <c r="K48" i="165"/>
  <c r="G48" i="165"/>
  <c r="AE47" i="165"/>
  <c r="AD47" i="165"/>
  <c r="Z47" i="165"/>
  <c r="Y47" i="165"/>
  <c r="O47" i="165"/>
  <c r="N47" i="165"/>
  <c r="P47" i="165" s="1"/>
  <c r="M47" i="165"/>
  <c r="AF47" i="165" s="1"/>
  <c r="AG39" i="165" s="1"/>
  <c r="K47" i="165"/>
  <c r="AF46" i="165"/>
  <c r="AE46" i="165"/>
  <c r="V46" i="165"/>
  <c r="U46" i="165"/>
  <c r="O46" i="165"/>
  <c r="N46" i="165"/>
  <c r="Q46" i="165" s="1"/>
  <c r="M46" i="165"/>
  <c r="K46" i="165"/>
  <c r="G46" i="165"/>
  <c r="AF45" i="165"/>
  <c r="AE45" i="165"/>
  <c r="V45" i="165"/>
  <c r="U45" i="165"/>
  <c r="O45" i="165"/>
  <c r="N45" i="165"/>
  <c r="Q45" i="165" s="1"/>
  <c r="M45" i="165"/>
  <c r="K45" i="165"/>
  <c r="G45" i="165"/>
  <c r="AF44" i="165"/>
  <c r="AE44" i="165"/>
  <c r="V44" i="165"/>
  <c r="U44" i="165"/>
  <c r="O44" i="165"/>
  <c r="N44" i="165"/>
  <c r="P44" i="165" s="1"/>
  <c r="M44" i="165"/>
  <c r="K44" i="165"/>
  <c r="G44" i="165"/>
  <c r="AF43" i="165"/>
  <c r="AE43" i="165"/>
  <c r="X43" i="165"/>
  <c r="W43" i="165"/>
  <c r="V43" i="165"/>
  <c r="U43" i="165"/>
  <c r="O43" i="165"/>
  <c r="N43" i="165"/>
  <c r="Q43" i="165" s="1"/>
  <c r="M43" i="165"/>
  <c r="K43" i="165"/>
  <c r="G43" i="165"/>
  <c r="AF42" i="165"/>
  <c r="AE42" i="165"/>
  <c r="V42" i="165"/>
  <c r="U42" i="165"/>
  <c r="O42" i="165"/>
  <c r="N42" i="165"/>
  <c r="P42" i="165" s="1"/>
  <c r="M42" i="165"/>
  <c r="K42" i="165"/>
  <c r="G42" i="165"/>
  <c r="AF41" i="165"/>
  <c r="AE41" i="165"/>
  <c r="V41" i="165"/>
  <c r="U41" i="165"/>
  <c r="Q41" i="165"/>
  <c r="P41" i="165"/>
  <c r="O41" i="165"/>
  <c r="N41" i="165"/>
  <c r="M41" i="165"/>
  <c r="K41" i="165"/>
  <c r="G41" i="165"/>
  <c r="AF40" i="165"/>
  <c r="AE40" i="165"/>
  <c r="V40" i="165"/>
  <c r="U40" i="165"/>
  <c r="Q40" i="165"/>
  <c r="P40" i="165"/>
  <c r="O40" i="165"/>
  <c r="N40" i="165"/>
  <c r="M40" i="165"/>
  <c r="K40" i="165"/>
  <c r="G40" i="165"/>
  <c r="AF39" i="165"/>
  <c r="AE39" i="165"/>
  <c r="X39" i="165"/>
  <c r="W39" i="165"/>
  <c r="V39" i="165"/>
  <c r="O39" i="165"/>
  <c r="N39" i="165"/>
  <c r="P39" i="165" s="1"/>
  <c r="M39" i="165"/>
  <c r="K39" i="165"/>
  <c r="G39" i="165"/>
  <c r="AF38" i="165"/>
  <c r="AG29" i="165" s="1"/>
  <c r="AD38" i="165"/>
  <c r="Z38" i="165"/>
  <c r="Y38" i="165"/>
  <c r="O38" i="165"/>
  <c r="M38" i="165"/>
  <c r="AE38" i="165" s="1"/>
  <c r="K38" i="165"/>
  <c r="AF37" i="165"/>
  <c r="AE37" i="165"/>
  <c r="V37" i="165"/>
  <c r="U37" i="165"/>
  <c r="Q37" i="165"/>
  <c r="P37" i="165"/>
  <c r="O37" i="165"/>
  <c r="N37" i="165"/>
  <c r="M37" i="165"/>
  <c r="K37" i="165"/>
  <c r="G37" i="165"/>
  <c r="AF36" i="165"/>
  <c r="AE36" i="165"/>
  <c r="V36" i="165"/>
  <c r="U36" i="165"/>
  <c r="O36" i="165"/>
  <c r="M36" i="165"/>
  <c r="N36" i="165" s="1"/>
  <c r="K36" i="165"/>
  <c r="G36" i="165"/>
  <c r="AF35" i="165"/>
  <c r="AE35" i="165"/>
  <c r="V35" i="165"/>
  <c r="U35" i="165"/>
  <c r="O35" i="165"/>
  <c r="M35" i="165"/>
  <c r="N35" i="165" s="1"/>
  <c r="K35" i="165"/>
  <c r="G35" i="165"/>
  <c r="AF34" i="165"/>
  <c r="AE34" i="165"/>
  <c r="X34" i="165"/>
  <c r="W34" i="165"/>
  <c r="V34" i="165"/>
  <c r="U34" i="165"/>
  <c r="O34" i="165"/>
  <c r="M34" i="165"/>
  <c r="N34" i="165" s="1"/>
  <c r="K34" i="165"/>
  <c r="G34" i="165"/>
  <c r="AF33" i="165"/>
  <c r="AE33" i="165"/>
  <c r="V33" i="165"/>
  <c r="U33" i="165"/>
  <c r="O33" i="165"/>
  <c r="M33" i="165"/>
  <c r="N33" i="165" s="1"/>
  <c r="K33" i="165"/>
  <c r="G33" i="165"/>
  <c r="AF32" i="165"/>
  <c r="AE32" i="165"/>
  <c r="V32" i="165"/>
  <c r="U32" i="165"/>
  <c r="Q32" i="165"/>
  <c r="P32" i="165"/>
  <c r="O32" i="165"/>
  <c r="N32" i="165"/>
  <c r="M32" i="165"/>
  <c r="K32" i="165"/>
  <c r="G32" i="165"/>
  <c r="AF31" i="165"/>
  <c r="AE31" i="165"/>
  <c r="V31" i="165"/>
  <c r="U31" i="165"/>
  <c r="O31" i="165"/>
  <c r="M31" i="165"/>
  <c r="N31" i="165" s="1"/>
  <c r="K31" i="165"/>
  <c r="G31" i="165"/>
  <c r="AF30" i="165"/>
  <c r="AE30" i="165"/>
  <c r="V30" i="165"/>
  <c r="U30" i="165"/>
  <c r="Q30" i="165"/>
  <c r="P30" i="165"/>
  <c r="O30" i="165"/>
  <c r="N30" i="165"/>
  <c r="M30" i="165"/>
  <c r="K30" i="165"/>
  <c r="G30" i="165"/>
  <c r="AF29" i="165"/>
  <c r="AE29" i="165"/>
  <c r="X29" i="165"/>
  <c r="W29" i="165"/>
  <c r="V29" i="165"/>
  <c r="Q29" i="165"/>
  <c r="P29" i="165"/>
  <c r="O29" i="165"/>
  <c r="N29" i="165"/>
  <c r="M29" i="165"/>
  <c r="K29" i="165"/>
  <c r="G29" i="165"/>
  <c r="AD28" i="165"/>
  <c r="Z28" i="165"/>
  <c r="Y28" i="165"/>
  <c r="O28" i="165"/>
  <c r="K28" i="165"/>
  <c r="AF27" i="165"/>
  <c r="AE27" i="165"/>
  <c r="V27" i="165"/>
  <c r="U27" i="165"/>
  <c r="Q27" i="165"/>
  <c r="P27" i="165"/>
  <c r="O27" i="165"/>
  <c r="N27" i="165"/>
  <c r="M27" i="165"/>
  <c r="K27" i="165"/>
  <c r="G27" i="165"/>
  <c r="AF26" i="165"/>
  <c r="AE26" i="165"/>
  <c r="X26" i="165"/>
  <c r="W26" i="165"/>
  <c r="V26" i="165"/>
  <c r="U26" i="165"/>
  <c r="O26" i="165"/>
  <c r="M26" i="165"/>
  <c r="N26" i="165" s="1"/>
  <c r="K26" i="165"/>
  <c r="G26" i="165"/>
  <c r="AF25" i="165"/>
  <c r="AE25" i="165"/>
  <c r="V25" i="165"/>
  <c r="U25" i="165"/>
  <c r="Q25" i="165"/>
  <c r="P25" i="165"/>
  <c r="O25" i="165"/>
  <c r="N25" i="165"/>
  <c r="M25" i="165"/>
  <c r="K25" i="165"/>
  <c r="G25" i="165"/>
  <c r="AF24" i="165"/>
  <c r="AE24" i="165"/>
  <c r="V24" i="165"/>
  <c r="U24" i="165"/>
  <c r="Q24" i="165"/>
  <c r="P24" i="165"/>
  <c r="O24" i="165"/>
  <c r="N24" i="165"/>
  <c r="M24" i="165"/>
  <c r="K24" i="165"/>
  <c r="G24" i="165"/>
  <c r="AF23" i="165"/>
  <c r="AE23" i="165"/>
  <c r="V23" i="165"/>
  <c r="U23" i="165"/>
  <c r="O23" i="165"/>
  <c r="N23" i="165"/>
  <c r="P23" i="165" s="1"/>
  <c r="M23" i="165"/>
  <c r="K23" i="165"/>
  <c r="G23" i="165"/>
  <c r="AF22" i="165"/>
  <c r="AE22" i="165"/>
  <c r="V22" i="165"/>
  <c r="U22" i="165"/>
  <c r="O22" i="165"/>
  <c r="N22" i="165"/>
  <c r="Q22" i="165" s="1"/>
  <c r="M22" i="165"/>
  <c r="K22" i="165"/>
  <c r="G22" i="165"/>
  <c r="AF21" i="165"/>
  <c r="AE21" i="165"/>
  <c r="V21" i="165"/>
  <c r="U21" i="165"/>
  <c r="O21" i="165"/>
  <c r="N21" i="165"/>
  <c r="Q21" i="165" s="1"/>
  <c r="M21" i="165"/>
  <c r="K21" i="165"/>
  <c r="G21" i="165"/>
  <c r="AF20" i="165"/>
  <c r="AE20" i="165"/>
  <c r="V20" i="165"/>
  <c r="O20" i="165"/>
  <c r="N20" i="165"/>
  <c r="Q20" i="165" s="1"/>
  <c r="M20" i="165"/>
  <c r="K20" i="165"/>
  <c r="G20" i="165"/>
  <c r="AD19" i="165"/>
  <c r="Z19" i="165"/>
  <c r="Y19" i="165"/>
  <c r="O19" i="165"/>
  <c r="M19" i="165"/>
  <c r="AF19" i="165" s="1"/>
  <c r="AG13" i="165" s="1"/>
  <c r="K19" i="165"/>
  <c r="AF18" i="165"/>
  <c r="AE18" i="165"/>
  <c r="V18" i="165"/>
  <c r="U18" i="165"/>
  <c r="Q18" i="165"/>
  <c r="P18" i="165"/>
  <c r="O18" i="165"/>
  <c r="N18" i="165"/>
  <c r="M18" i="165"/>
  <c r="K18" i="165"/>
  <c r="G18" i="165"/>
  <c r="AF17" i="165"/>
  <c r="AE17" i="165"/>
  <c r="V17" i="165"/>
  <c r="U17" i="165"/>
  <c r="Q17" i="165"/>
  <c r="P17" i="165"/>
  <c r="O17" i="165"/>
  <c r="N17" i="165"/>
  <c r="M17" i="165"/>
  <c r="K17" i="165"/>
  <c r="G17" i="165"/>
  <c r="AF16" i="165"/>
  <c r="AE16" i="165"/>
  <c r="V16" i="165"/>
  <c r="U16" i="165"/>
  <c r="O16" i="165"/>
  <c r="M16" i="165"/>
  <c r="N16" i="165" s="1"/>
  <c r="K16" i="165"/>
  <c r="G16" i="165"/>
  <c r="AF15" i="165"/>
  <c r="AE15" i="165"/>
  <c r="V15" i="165"/>
  <c r="U15" i="165"/>
  <c r="O15" i="165"/>
  <c r="M15" i="165"/>
  <c r="N15" i="165" s="1"/>
  <c r="K15" i="165"/>
  <c r="G15" i="165"/>
  <c r="AF14" i="165"/>
  <c r="AE14" i="165"/>
  <c r="V14" i="165"/>
  <c r="U14" i="165"/>
  <c r="Q14" i="165"/>
  <c r="P14" i="165"/>
  <c r="O14" i="165"/>
  <c r="N14" i="165"/>
  <c r="M14" i="165"/>
  <c r="K14" i="165"/>
  <c r="G14" i="165"/>
  <c r="AF13" i="165"/>
  <c r="AE13" i="165"/>
  <c r="V13" i="165"/>
  <c r="Q13" i="165"/>
  <c r="P13" i="165"/>
  <c r="O13" i="165"/>
  <c r="N13" i="165"/>
  <c r="M13" i="165"/>
  <c r="K13" i="165"/>
  <c r="G13" i="165"/>
  <c r="AD12" i="165"/>
  <c r="Z12" i="165"/>
  <c r="Y12" i="165"/>
  <c r="O12" i="165"/>
  <c r="K12" i="165"/>
  <c r="AF11" i="165"/>
  <c r="AE11" i="165"/>
  <c r="V11" i="165"/>
  <c r="U11" i="165"/>
  <c r="Q11" i="165"/>
  <c r="P11" i="165"/>
  <c r="O11" i="165"/>
  <c r="N11" i="165"/>
  <c r="M11" i="165"/>
  <c r="K11" i="165"/>
  <c r="G11" i="165"/>
  <c r="AF10" i="165"/>
  <c r="AE10" i="165"/>
  <c r="X10" i="165"/>
  <c r="W10" i="165"/>
  <c r="V10" i="165"/>
  <c r="Q10" i="165"/>
  <c r="P10" i="165"/>
  <c r="O10" i="165"/>
  <c r="N10" i="165"/>
  <c r="M10" i="165"/>
  <c r="M12" i="165" s="1"/>
  <c r="K10" i="165"/>
  <c r="G10" i="165"/>
  <c r="AD9" i="165"/>
  <c r="Z9" i="165"/>
  <c r="Y9" i="165"/>
  <c r="O9" i="165"/>
  <c r="K9" i="165"/>
  <c r="AF8" i="165"/>
  <c r="AE8" i="165"/>
  <c r="V8" i="165"/>
  <c r="U8" i="165"/>
  <c r="Q8" i="165"/>
  <c r="P8" i="165"/>
  <c r="O8" i="165"/>
  <c r="N8" i="165"/>
  <c r="M8" i="165"/>
  <c r="K8" i="165"/>
  <c r="G8" i="165"/>
  <c r="AF7" i="165"/>
  <c r="AE7" i="165"/>
  <c r="X7" i="165"/>
  <c r="W7" i="165"/>
  <c r="V7" i="165"/>
  <c r="U7" i="165"/>
  <c r="O7" i="165"/>
  <c r="M7" i="165"/>
  <c r="N7" i="165" s="1"/>
  <c r="K7" i="165"/>
  <c r="G7" i="165"/>
  <c r="AF6" i="165"/>
  <c r="AE6" i="165"/>
  <c r="V6" i="165"/>
  <c r="U6" i="165"/>
  <c r="Q6" i="165"/>
  <c r="P6" i="165"/>
  <c r="O6" i="165"/>
  <c r="N6" i="165"/>
  <c r="M6" i="165"/>
  <c r="K6" i="165"/>
  <c r="G6" i="165"/>
  <c r="AF5" i="165"/>
  <c r="AE5" i="165"/>
  <c r="V5" i="165"/>
  <c r="Q5" i="165"/>
  <c r="P5" i="165"/>
  <c r="O5" i="165"/>
  <c r="N5" i="165"/>
  <c r="M5" i="165"/>
  <c r="K5" i="165"/>
  <c r="G5" i="165"/>
  <c r="AD2" i="165"/>
  <c r="Z2" i="165"/>
  <c r="L6" i="164" s="1"/>
  <c r="Y2" i="165"/>
  <c r="K6" i="164" s="1"/>
  <c r="H2" i="165"/>
  <c r="F2" i="165"/>
  <c r="H1" i="165"/>
  <c r="F1" i="165"/>
  <c r="D1" i="165"/>
  <c r="M22" i="164"/>
  <c r="L22" i="164"/>
  <c r="K22" i="164"/>
  <c r="J22" i="164"/>
  <c r="I22" i="164"/>
  <c r="H22" i="164"/>
  <c r="G22" i="164"/>
  <c r="F22" i="164"/>
  <c r="E22" i="164"/>
  <c r="D22" i="164"/>
  <c r="M21" i="164"/>
  <c r="L21" i="164"/>
  <c r="K21" i="164"/>
  <c r="J21" i="164"/>
  <c r="I21" i="164"/>
  <c r="H21" i="164"/>
  <c r="G21" i="164"/>
  <c r="F21" i="164"/>
  <c r="E21" i="164"/>
  <c r="D21" i="164"/>
  <c r="M20" i="164"/>
  <c r="L20" i="164"/>
  <c r="K20" i="164"/>
  <c r="J20" i="164"/>
  <c r="I20" i="164"/>
  <c r="H20" i="164"/>
  <c r="G20" i="164"/>
  <c r="F20" i="164"/>
  <c r="E20" i="164"/>
  <c r="D20" i="164"/>
  <c r="M19" i="164"/>
  <c r="L19" i="164"/>
  <c r="K19" i="164"/>
  <c r="J19" i="164"/>
  <c r="I19" i="164"/>
  <c r="H19" i="164"/>
  <c r="G19" i="164"/>
  <c r="F19" i="164"/>
  <c r="E19" i="164"/>
  <c r="D19" i="164"/>
  <c r="M18" i="164"/>
  <c r="L18" i="164"/>
  <c r="K18" i="164"/>
  <c r="J18" i="164"/>
  <c r="I18" i="164"/>
  <c r="H18" i="164"/>
  <c r="G18" i="164"/>
  <c r="F18" i="164"/>
  <c r="E18" i="164"/>
  <c r="D18" i="164"/>
  <c r="M17" i="164"/>
  <c r="L17" i="164"/>
  <c r="K17" i="164"/>
  <c r="J17" i="164"/>
  <c r="I17" i="164"/>
  <c r="H17" i="164"/>
  <c r="G17" i="164"/>
  <c r="F17" i="164"/>
  <c r="E17" i="164"/>
  <c r="D17" i="164"/>
  <c r="M16" i="164"/>
  <c r="L16" i="164"/>
  <c r="K16" i="164"/>
  <c r="J16" i="164"/>
  <c r="I16" i="164"/>
  <c r="H16" i="164"/>
  <c r="G16" i="164"/>
  <c r="F16" i="164"/>
  <c r="E16" i="164"/>
  <c r="D16" i="164"/>
  <c r="L14" i="164"/>
  <c r="L15" i="164" s="1"/>
  <c r="H14" i="164"/>
  <c r="H15" i="164" s="1"/>
  <c r="M13" i="164"/>
  <c r="E6" i="164" s="1"/>
  <c r="L13" i="164"/>
  <c r="K13" i="164"/>
  <c r="J13" i="164"/>
  <c r="I13" i="164"/>
  <c r="H13" i="164"/>
  <c r="G13" i="164"/>
  <c r="F13" i="164"/>
  <c r="F6" i="164" s="1"/>
  <c r="E13" i="164"/>
  <c r="D13" i="164"/>
  <c r="N6" i="164"/>
  <c r="M6" i="164"/>
  <c r="I3" i="164"/>
  <c r="F3" i="164"/>
  <c r="C3" i="164"/>
  <c r="Q65" i="165" l="1"/>
  <c r="P65" i="165"/>
  <c r="Q15" i="165"/>
  <c r="P15" i="165"/>
  <c r="Q33" i="165"/>
  <c r="P33" i="165"/>
  <c r="Q36" i="165"/>
  <c r="P36" i="165"/>
  <c r="Q68" i="165"/>
  <c r="P68" i="165"/>
  <c r="Q35" i="165"/>
  <c r="P35" i="165"/>
  <c r="Q67" i="165"/>
  <c r="P67" i="165"/>
  <c r="Q16" i="165"/>
  <c r="P16" i="165"/>
  <c r="Q7" i="165"/>
  <c r="P7" i="165"/>
  <c r="Q54" i="165"/>
  <c r="P54" i="165"/>
  <c r="Q66" i="165"/>
  <c r="R61" i="165" s="1"/>
  <c r="J14" i="164"/>
  <c r="J15" i="164" s="1"/>
  <c r="P66" i="165"/>
  <c r="Q70" i="165"/>
  <c r="P70" i="165"/>
  <c r="Q73" i="165"/>
  <c r="P73" i="165"/>
  <c r="Q26" i="165"/>
  <c r="P26" i="165"/>
  <c r="I14" i="164"/>
  <c r="I15" i="164" s="1"/>
  <c r="P60" i="165"/>
  <c r="Q60" i="165"/>
  <c r="R52" i="165" s="1"/>
  <c r="Q31" i="165"/>
  <c r="P31" i="165"/>
  <c r="Q55" i="165"/>
  <c r="P55" i="165"/>
  <c r="Q71" i="165"/>
  <c r="P71" i="165"/>
  <c r="Q34" i="165"/>
  <c r="P34" i="165"/>
  <c r="AE12" i="165"/>
  <c r="N12" i="165"/>
  <c r="AF12" i="165"/>
  <c r="AG10" i="165" s="1"/>
  <c r="P22" i="165"/>
  <c r="Q23" i="165"/>
  <c r="N38" i="165"/>
  <c r="P46" i="165"/>
  <c r="Q61" i="165"/>
  <c r="Q62" i="165"/>
  <c r="G6" i="164"/>
  <c r="P21" i="165"/>
  <c r="P43" i="165"/>
  <c r="P45" i="165"/>
  <c r="P59" i="165"/>
  <c r="I6" i="164"/>
  <c r="Q39" i="165"/>
  <c r="Q42" i="165"/>
  <c r="Q44" i="165"/>
  <c r="Q58" i="165"/>
  <c r="P20" i="165"/>
  <c r="M9" i="165"/>
  <c r="M28" i="165"/>
  <c r="AE60" i="165"/>
  <c r="N19" i="165"/>
  <c r="AF60" i="165"/>
  <c r="AG52" i="165" s="1"/>
  <c r="Q47" i="165"/>
  <c r="R39" i="165" s="1"/>
  <c r="N76" i="165"/>
  <c r="AE19" i="165"/>
  <c r="AE76" i="165"/>
  <c r="AD78" i="163"/>
  <c r="Z78" i="163"/>
  <c r="Y78" i="163"/>
  <c r="O78" i="163"/>
  <c r="K78" i="163"/>
  <c r="V77" i="163"/>
  <c r="U77" i="163"/>
  <c r="O77" i="163"/>
  <c r="N77" i="163"/>
  <c r="Q77" i="163" s="1"/>
  <c r="M77" i="163"/>
  <c r="AE77" i="163" s="1"/>
  <c r="K77" i="163"/>
  <c r="G77" i="163"/>
  <c r="V76" i="163"/>
  <c r="U76" i="163"/>
  <c r="O76" i="163"/>
  <c r="M76" i="163"/>
  <c r="N76" i="163" s="1"/>
  <c r="K76" i="163"/>
  <c r="G76" i="163"/>
  <c r="AF75" i="163"/>
  <c r="AE75" i="163"/>
  <c r="V75" i="163"/>
  <c r="U75" i="163"/>
  <c r="O75" i="163"/>
  <c r="M75" i="163"/>
  <c r="N75" i="163" s="1"/>
  <c r="K75" i="163"/>
  <c r="G75" i="163"/>
  <c r="AF74" i="163"/>
  <c r="AE74" i="163"/>
  <c r="X74" i="163"/>
  <c r="W74" i="163"/>
  <c r="V74" i="163"/>
  <c r="U74" i="163"/>
  <c r="O74" i="163"/>
  <c r="M74" i="163"/>
  <c r="N74" i="163" s="1"/>
  <c r="K74" i="163"/>
  <c r="G74" i="163"/>
  <c r="AF73" i="163"/>
  <c r="AE73" i="163"/>
  <c r="V73" i="163"/>
  <c r="U73" i="163"/>
  <c r="O73" i="163"/>
  <c r="M73" i="163"/>
  <c r="N73" i="163" s="1"/>
  <c r="K73" i="163"/>
  <c r="G73" i="163"/>
  <c r="V72" i="163"/>
  <c r="M72" i="163" s="1"/>
  <c r="U72" i="163"/>
  <c r="O72" i="163"/>
  <c r="K72" i="163"/>
  <c r="G72" i="163"/>
  <c r="V71" i="163"/>
  <c r="M71" i="163" s="1"/>
  <c r="U71" i="163"/>
  <c r="O71" i="163"/>
  <c r="K71" i="163"/>
  <c r="G71" i="163"/>
  <c r="V70" i="163"/>
  <c r="M70" i="163" s="1"/>
  <c r="U70" i="163"/>
  <c r="O70" i="163"/>
  <c r="K70" i="163"/>
  <c r="G70" i="163"/>
  <c r="X69" i="163"/>
  <c r="W69" i="163"/>
  <c r="V69" i="163"/>
  <c r="M69" i="163" s="1"/>
  <c r="O69" i="163"/>
  <c r="K69" i="163"/>
  <c r="G69" i="163"/>
  <c r="AD68" i="163"/>
  <c r="J21" i="162" s="1"/>
  <c r="Z68" i="163"/>
  <c r="Y68" i="163"/>
  <c r="O68" i="163"/>
  <c r="K68" i="163"/>
  <c r="V67" i="163"/>
  <c r="M67" i="163" s="1"/>
  <c r="U67" i="163"/>
  <c r="O67" i="163"/>
  <c r="K67" i="163"/>
  <c r="G67" i="163"/>
  <c r="V66" i="163"/>
  <c r="M66" i="163" s="1"/>
  <c r="U66" i="163"/>
  <c r="O66" i="163"/>
  <c r="K66" i="163"/>
  <c r="G66" i="163"/>
  <c r="V65" i="163"/>
  <c r="M65" i="163" s="1"/>
  <c r="U65" i="163"/>
  <c r="O65" i="163"/>
  <c r="K65" i="163"/>
  <c r="G65" i="163"/>
  <c r="V64" i="163"/>
  <c r="M64" i="163" s="1"/>
  <c r="U64" i="163"/>
  <c r="O64" i="163"/>
  <c r="K64" i="163"/>
  <c r="G64" i="163"/>
  <c r="V63" i="163"/>
  <c r="M63" i="163" s="1"/>
  <c r="O63" i="163"/>
  <c r="K63" i="163"/>
  <c r="G63" i="163"/>
  <c r="AD62" i="163"/>
  <c r="Z62" i="163"/>
  <c r="Y62" i="163"/>
  <c r="O62" i="163"/>
  <c r="K62" i="163"/>
  <c r="V61" i="163"/>
  <c r="U61" i="163"/>
  <c r="O61" i="163"/>
  <c r="M61" i="163"/>
  <c r="AF61" i="163" s="1"/>
  <c r="K61" i="163"/>
  <c r="G61" i="163"/>
  <c r="V60" i="163"/>
  <c r="U60" i="163"/>
  <c r="O60" i="163"/>
  <c r="M60" i="163"/>
  <c r="AF60" i="163" s="1"/>
  <c r="K60" i="163"/>
  <c r="G60" i="163"/>
  <c r="V59" i="163"/>
  <c r="U59" i="163"/>
  <c r="O59" i="163"/>
  <c r="N59" i="163"/>
  <c r="P59" i="163" s="1"/>
  <c r="M59" i="163"/>
  <c r="AE59" i="163" s="1"/>
  <c r="K59" i="163"/>
  <c r="G59" i="163"/>
  <c r="V58" i="163"/>
  <c r="U58" i="163"/>
  <c r="O58" i="163"/>
  <c r="M58" i="163"/>
  <c r="N58" i="163" s="1"/>
  <c r="K58" i="163"/>
  <c r="G58" i="163"/>
  <c r="AF57" i="163"/>
  <c r="AE57" i="163"/>
  <c r="V57" i="163"/>
  <c r="U57" i="163"/>
  <c r="O57" i="163"/>
  <c r="M57" i="163"/>
  <c r="N57" i="163" s="1"/>
  <c r="K57" i="163"/>
  <c r="G57" i="163"/>
  <c r="V56" i="163"/>
  <c r="M56" i="163" s="1"/>
  <c r="U56" i="163"/>
  <c r="O56" i="163"/>
  <c r="K56" i="163"/>
  <c r="G56" i="163"/>
  <c r="V55" i="163"/>
  <c r="M55" i="163" s="1"/>
  <c r="U55" i="163"/>
  <c r="O55" i="163"/>
  <c r="K55" i="163"/>
  <c r="G55" i="163"/>
  <c r="V54" i="163"/>
  <c r="M54" i="163" s="1"/>
  <c r="O54" i="163"/>
  <c r="K54" i="163"/>
  <c r="G54" i="163"/>
  <c r="AD53" i="163"/>
  <c r="H21" i="162" s="1"/>
  <c r="Z53" i="163"/>
  <c r="Y53" i="163"/>
  <c r="O53" i="163"/>
  <c r="K53" i="163"/>
  <c r="V52" i="163"/>
  <c r="M52" i="163" s="1"/>
  <c r="U52" i="163"/>
  <c r="O52" i="163"/>
  <c r="K52" i="163"/>
  <c r="G52" i="163"/>
  <c r="V51" i="163"/>
  <c r="M51" i="163" s="1"/>
  <c r="U51" i="163"/>
  <c r="O51" i="163"/>
  <c r="K51" i="163"/>
  <c r="G51" i="163"/>
  <c r="V50" i="163"/>
  <c r="M50" i="163" s="1"/>
  <c r="O50" i="163"/>
  <c r="K50" i="163"/>
  <c r="G50" i="163"/>
  <c r="AD49" i="163"/>
  <c r="Z49" i="163"/>
  <c r="L19" i="162" s="1"/>
  <c r="Y49" i="163"/>
  <c r="O49" i="163"/>
  <c r="K49" i="163"/>
  <c r="AE48" i="163"/>
  <c r="V48" i="163"/>
  <c r="U48" i="163"/>
  <c r="O48" i="163"/>
  <c r="N48" i="163"/>
  <c r="Q48" i="163" s="1"/>
  <c r="M48" i="163"/>
  <c r="AF48" i="163" s="1"/>
  <c r="K48" i="163"/>
  <c r="G48" i="163"/>
  <c r="V47" i="163"/>
  <c r="U47" i="163"/>
  <c r="O47" i="163"/>
  <c r="M47" i="163"/>
  <c r="AF47" i="163" s="1"/>
  <c r="K47" i="163"/>
  <c r="G47" i="163"/>
  <c r="V46" i="163"/>
  <c r="U46" i="163"/>
  <c r="O46" i="163"/>
  <c r="M46" i="163"/>
  <c r="AF46" i="163" s="1"/>
  <c r="K46" i="163"/>
  <c r="G46" i="163"/>
  <c r="V45" i="163"/>
  <c r="U45" i="163"/>
  <c r="O45" i="163"/>
  <c r="N45" i="163"/>
  <c r="P45" i="163" s="1"/>
  <c r="M45" i="163"/>
  <c r="AE45" i="163" s="1"/>
  <c r="K45" i="163"/>
  <c r="G45" i="163"/>
  <c r="V44" i="163"/>
  <c r="U44" i="163"/>
  <c r="O44" i="163"/>
  <c r="M44" i="163"/>
  <c r="N44" i="163" s="1"/>
  <c r="K44" i="163"/>
  <c r="G44" i="163"/>
  <c r="AF43" i="163"/>
  <c r="AE43" i="163"/>
  <c r="V43" i="163"/>
  <c r="U43" i="163"/>
  <c r="O43" i="163"/>
  <c r="M43" i="163"/>
  <c r="N43" i="163" s="1"/>
  <c r="K43" i="163"/>
  <c r="G43" i="163"/>
  <c r="V42" i="163"/>
  <c r="M42" i="163" s="1"/>
  <c r="U42" i="163"/>
  <c r="O42" i="163"/>
  <c r="K42" i="163"/>
  <c r="G42" i="163"/>
  <c r="AF41" i="163"/>
  <c r="AE41" i="163"/>
  <c r="X41" i="163"/>
  <c r="W41" i="163"/>
  <c r="V41" i="163"/>
  <c r="O41" i="163"/>
  <c r="M41" i="163"/>
  <c r="K41" i="163"/>
  <c r="G41" i="163"/>
  <c r="AD40" i="163"/>
  <c r="Z40" i="163"/>
  <c r="Y40" i="163"/>
  <c r="O40" i="163"/>
  <c r="K40" i="163"/>
  <c r="V39" i="163"/>
  <c r="M39" i="163" s="1"/>
  <c r="U39" i="163"/>
  <c r="O39" i="163"/>
  <c r="K39" i="163"/>
  <c r="G39" i="163"/>
  <c r="V38" i="163"/>
  <c r="M38" i="163" s="1"/>
  <c r="U38" i="163"/>
  <c r="O38" i="163"/>
  <c r="K38" i="163"/>
  <c r="G38" i="163"/>
  <c r="V37" i="163"/>
  <c r="M37" i="163" s="1"/>
  <c r="U37" i="163"/>
  <c r="O37" i="163"/>
  <c r="K37" i="163"/>
  <c r="G37" i="163"/>
  <c r="V36" i="163"/>
  <c r="M36" i="163" s="1"/>
  <c r="U36" i="163"/>
  <c r="O36" i="163"/>
  <c r="K36" i="163"/>
  <c r="G36" i="163"/>
  <c r="V35" i="163"/>
  <c r="M35" i="163" s="1"/>
  <c r="U35" i="163"/>
  <c r="O35" i="163"/>
  <c r="K35" i="163"/>
  <c r="G35" i="163"/>
  <c r="V34" i="163"/>
  <c r="M34" i="163" s="1"/>
  <c r="U34" i="163"/>
  <c r="O34" i="163"/>
  <c r="K34" i="163"/>
  <c r="G34" i="163"/>
  <c r="AE33" i="163"/>
  <c r="V33" i="163"/>
  <c r="U33" i="163"/>
  <c r="O33" i="163"/>
  <c r="N33" i="163"/>
  <c r="Q33" i="163" s="1"/>
  <c r="M33" i="163"/>
  <c r="AF33" i="163" s="1"/>
  <c r="K33" i="163"/>
  <c r="G33" i="163"/>
  <c r="V32" i="163"/>
  <c r="U32" i="163"/>
  <c r="O32" i="163"/>
  <c r="M32" i="163"/>
  <c r="AF32" i="163" s="1"/>
  <c r="K32" i="163"/>
  <c r="G32" i="163"/>
  <c r="X31" i="163"/>
  <c r="W31" i="163"/>
  <c r="V31" i="163"/>
  <c r="M31" i="163" s="1"/>
  <c r="O31" i="163"/>
  <c r="K31" i="163"/>
  <c r="G31" i="163"/>
  <c r="AD30" i="163"/>
  <c r="Z30" i="163"/>
  <c r="Y30" i="163"/>
  <c r="O30" i="163"/>
  <c r="K30" i="163"/>
  <c r="V29" i="163"/>
  <c r="U29" i="163"/>
  <c r="O29" i="163"/>
  <c r="M29" i="163"/>
  <c r="AF29" i="163" s="1"/>
  <c r="K29" i="163"/>
  <c r="G29" i="163"/>
  <c r="V28" i="163"/>
  <c r="U28" i="163"/>
  <c r="O28" i="163"/>
  <c r="M28" i="163"/>
  <c r="AF28" i="163" s="1"/>
  <c r="K28" i="163"/>
  <c r="G28" i="163"/>
  <c r="V27" i="163"/>
  <c r="U27" i="163"/>
  <c r="O27" i="163"/>
  <c r="N27" i="163"/>
  <c r="P27" i="163" s="1"/>
  <c r="M27" i="163"/>
  <c r="AE27" i="163" s="1"/>
  <c r="K27" i="163"/>
  <c r="G27" i="163"/>
  <c r="F1" i="163" s="1"/>
  <c r="V26" i="163"/>
  <c r="U26" i="163"/>
  <c r="O26" i="163"/>
  <c r="M26" i="163"/>
  <c r="N26" i="163" s="1"/>
  <c r="K26" i="163"/>
  <c r="G26" i="163"/>
  <c r="AF25" i="163"/>
  <c r="AE25" i="163"/>
  <c r="V25" i="163"/>
  <c r="U25" i="163"/>
  <c r="O25" i="163"/>
  <c r="M25" i="163"/>
  <c r="N25" i="163" s="1"/>
  <c r="K25" i="163"/>
  <c r="G25" i="163"/>
  <c r="AF24" i="163"/>
  <c r="AE24" i="163"/>
  <c r="X24" i="163"/>
  <c r="W24" i="163"/>
  <c r="V24" i="163"/>
  <c r="U24" i="163"/>
  <c r="O24" i="163"/>
  <c r="M24" i="163"/>
  <c r="N24" i="163" s="1"/>
  <c r="K24" i="163"/>
  <c r="G24" i="163"/>
  <c r="AF23" i="163"/>
  <c r="AE23" i="163"/>
  <c r="V23" i="163"/>
  <c r="U23" i="163"/>
  <c r="O23" i="163"/>
  <c r="M23" i="163"/>
  <c r="N23" i="163" s="1"/>
  <c r="K23" i="163"/>
  <c r="G23" i="163"/>
  <c r="V22" i="163"/>
  <c r="M22" i="163" s="1"/>
  <c r="U22" i="163"/>
  <c r="O22" i="163"/>
  <c r="K22" i="163"/>
  <c r="G22" i="163"/>
  <c r="V21" i="163"/>
  <c r="M21" i="163" s="1"/>
  <c r="O21" i="163"/>
  <c r="K21" i="163"/>
  <c r="G21" i="163"/>
  <c r="AD20" i="163"/>
  <c r="F21" i="162" s="1"/>
  <c r="Z20" i="163"/>
  <c r="F19" i="162" s="1"/>
  <c r="Y20" i="163"/>
  <c r="O20" i="163"/>
  <c r="K20" i="163"/>
  <c r="V19" i="163"/>
  <c r="M19" i="163" s="1"/>
  <c r="U19" i="163"/>
  <c r="O19" i="163"/>
  <c r="K19" i="163"/>
  <c r="G19" i="163"/>
  <c r="V18" i="163"/>
  <c r="M18" i="163" s="1"/>
  <c r="U18" i="163"/>
  <c r="O18" i="163"/>
  <c r="K18" i="163"/>
  <c r="G18" i="163"/>
  <c r="V17" i="163"/>
  <c r="M17" i="163" s="1"/>
  <c r="U17" i="163"/>
  <c r="O17" i="163"/>
  <c r="K17" i="163"/>
  <c r="G17" i="163"/>
  <c r="V16" i="163"/>
  <c r="M16" i="163" s="1"/>
  <c r="U16" i="163"/>
  <c r="O16" i="163"/>
  <c r="K16" i="163"/>
  <c r="G16" i="163"/>
  <c r="AE15" i="163"/>
  <c r="V15" i="163"/>
  <c r="U15" i="163"/>
  <c r="O15" i="163"/>
  <c r="N15" i="163"/>
  <c r="Q15" i="163" s="1"/>
  <c r="M15" i="163"/>
  <c r="AF15" i="163" s="1"/>
  <c r="K15" i="163"/>
  <c r="G15" i="163"/>
  <c r="AE14" i="163"/>
  <c r="V14" i="163"/>
  <c r="O14" i="163"/>
  <c r="N14" i="163"/>
  <c r="Q14" i="163" s="1"/>
  <c r="M14" i="163"/>
  <c r="AF14" i="163" s="1"/>
  <c r="K14" i="163"/>
  <c r="G14" i="163"/>
  <c r="AD13" i="163"/>
  <c r="AD2" i="163" s="1"/>
  <c r="N6" i="162" s="1"/>
  <c r="Z13" i="163"/>
  <c r="Y13" i="163"/>
  <c r="O13" i="163"/>
  <c r="K13" i="163"/>
  <c r="V12" i="163"/>
  <c r="U12" i="163"/>
  <c r="O12" i="163"/>
  <c r="M12" i="163"/>
  <c r="AF12" i="163" s="1"/>
  <c r="K12" i="163"/>
  <c r="G12" i="163"/>
  <c r="X11" i="163"/>
  <c r="W11" i="163"/>
  <c r="V11" i="163"/>
  <c r="U11" i="163"/>
  <c r="O11" i="163"/>
  <c r="M11" i="163"/>
  <c r="AE11" i="163" s="1"/>
  <c r="K11" i="163"/>
  <c r="G11" i="163"/>
  <c r="X10" i="163"/>
  <c r="W10" i="163"/>
  <c r="V10" i="163"/>
  <c r="M10" i="163" s="1"/>
  <c r="O10" i="163"/>
  <c r="K10" i="163"/>
  <c r="G10" i="163"/>
  <c r="AD9" i="163"/>
  <c r="Z9" i="163"/>
  <c r="Z2" i="163" s="1"/>
  <c r="L6" i="162" s="1"/>
  <c r="Y9" i="163"/>
  <c r="Y2" i="163" s="1"/>
  <c r="K6" i="162" s="1"/>
  <c r="O9" i="163"/>
  <c r="K9" i="163"/>
  <c r="V8" i="163"/>
  <c r="U8" i="163"/>
  <c r="O8" i="163"/>
  <c r="M8" i="163"/>
  <c r="AF8" i="163" s="1"/>
  <c r="K8" i="163"/>
  <c r="G8" i="163"/>
  <c r="X7" i="163"/>
  <c r="W7" i="163"/>
  <c r="V7" i="163"/>
  <c r="U7" i="163"/>
  <c r="O7" i="163"/>
  <c r="N7" i="163"/>
  <c r="Q7" i="163" s="1"/>
  <c r="M7" i="163"/>
  <c r="AF7" i="163" s="1"/>
  <c r="K7" i="163"/>
  <c r="G7" i="163"/>
  <c r="V6" i="163"/>
  <c r="U6" i="163"/>
  <c r="O6" i="163"/>
  <c r="M6" i="163"/>
  <c r="AF6" i="163" s="1"/>
  <c r="K6" i="163"/>
  <c r="G6" i="163"/>
  <c r="V5" i="163"/>
  <c r="O5" i="163"/>
  <c r="M5" i="163"/>
  <c r="AF5" i="163" s="1"/>
  <c r="K5" i="163"/>
  <c r="G5" i="163"/>
  <c r="AC2" i="163"/>
  <c r="H2" i="163"/>
  <c r="H1" i="163"/>
  <c r="D1" i="163"/>
  <c r="F3" i="162" s="1"/>
  <c r="M22" i="162"/>
  <c r="L22" i="162"/>
  <c r="K22" i="162"/>
  <c r="J22" i="162"/>
  <c r="I22" i="162"/>
  <c r="H22" i="162"/>
  <c r="G22" i="162"/>
  <c r="F22" i="162"/>
  <c r="E22" i="162"/>
  <c r="D22" i="162"/>
  <c r="M21" i="162"/>
  <c r="L21" i="162"/>
  <c r="K21" i="162"/>
  <c r="I21" i="162"/>
  <c r="G21" i="162"/>
  <c r="D21" i="162"/>
  <c r="M20" i="162"/>
  <c r="L20" i="162"/>
  <c r="K20" i="162"/>
  <c r="J20" i="162"/>
  <c r="I20" i="162"/>
  <c r="H20" i="162"/>
  <c r="G20" i="162"/>
  <c r="F20" i="162"/>
  <c r="E20" i="162"/>
  <c r="D20" i="162"/>
  <c r="M19" i="162"/>
  <c r="K19" i="162"/>
  <c r="J19" i="162"/>
  <c r="I19" i="162"/>
  <c r="H19" i="162"/>
  <c r="G19" i="162"/>
  <c r="E19" i="162"/>
  <c r="D19" i="162"/>
  <c r="M18" i="162"/>
  <c r="L18" i="162"/>
  <c r="K18" i="162"/>
  <c r="J18" i="162"/>
  <c r="I18" i="162"/>
  <c r="H18" i="162"/>
  <c r="G18" i="162"/>
  <c r="F18" i="162"/>
  <c r="E18" i="162"/>
  <c r="M17" i="162"/>
  <c r="L17" i="162"/>
  <c r="K17" i="162"/>
  <c r="J17" i="162"/>
  <c r="I17" i="162"/>
  <c r="H17" i="162"/>
  <c r="G17" i="162"/>
  <c r="F17" i="162"/>
  <c r="E17" i="162"/>
  <c r="D17" i="162"/>
  <c r="M16" i="162"/>
  <c r="L16" i="162"/>
  <c r="K16" i="162"/>
  <c r="J16" i="162"/>
  <c r="I16" i="162"/>
  <c r="H16" i="162"/>
  <c r="G16" i="162"/>
  <c r="F16" i="162"/>
  <c r="E16" i="162"/>
  <c r="D16" i="162"/>
  <c r="M13" i="162"/>
  <c r="L13" i="162"/>
  <c r="K13" i="162"/>
  <c r="I6" i="162" s="1"/>
  <c r="J13" i="162"/>
  <c r="I13" i="162"/>
  <c r="H13" i="162"/>
  <c r="E6" i="162" s="1"/>
  <c r="G13" i="162"/>
  <c r="F13" i="162"/>
  <c r="E13" i="162"/>
  <c r="D13" i="162"/>
  <c r="M6" i="162"/>
  <c r="C3" i="162"/>
  <c r="N28" i="165" l="1"/>
  <c r="AF28" i="165"/>
  <c r="AG20" i="165" s="1"/>
  <c r="AE28" i="165"/>
  <c r="P38" i="165"/>
  <c r="Q38" i="165"/>
  <c r="R29" i="165" s="1"/>
  <c r="K14" i="164"/>
  <c r="P12" i="165"/>
  <c r="Q12" i="165"/>
  <c r="R10" i="165" s="1"/>
  <c r="E14" i="164"/>
  <c r="E15" i="164" s="1"/>
  <c r="Q19" i="165"/>
  <c r="R13" i="165" s="1"/>
  <c r="F14" i="164"/>
  <c r="F15" i="164" s="1"/>
  <c r="P19" i="165"/>
  <c r="Q76" i="165"/>
  <c r="R67" i="165" s="1"/>
  <c r="M14" i="164"/>
  <c r="M15" i="164" s="1"/>
  <c r="P76" i="165"/>
  <c r="N9" i="165"/>
  <c r="AF9" i="165"/>
  <c r="AG5" i="165" s="1"/>
  <c r="AE9" i="165"/>
  <c r="N54" i="163"/>
  <c r="AF54" i="163"/>
  <c r="AE54" i="163"/>
  <c r="M62" i="163"/>
  <c r="N67" i="163"/>
  <c r="AF67" i="163"/>
  <c r="AE67" i="163"/>
  <c r="Q23" i="163"/>
  <c r="P23" i="163"/>
  <c r="Q57" i="163"/>
  <c r="P57" i="163"/>
  <c r="Q74" i="163"/>
  <c r="P74" i="163"/>
  <c r="Q44" i="163"/>
  <c r="P44" i="163"/>
  <c r="AF65" i="163"/>
  <c r="AE65" i="163"/>
  <c r="N65" i="163"/>
  <c r="AF72" i="163"/>
  <c r="AE72" i="163"/>
  <c r="N72" i="163"/>
  <c r="AF35" i="163"/>
  <c r="AE35" i="163"/>
  <c r="N35" i="163"/>
  <c r="N38" i="163"/>
  <c r="AF38" i="163"/>
  <c r="AE38" i="163"/>
  <c r="N52" i="163"/>
  <c r="AE52" i="163"/>
  <c r="AF52" i="163"/>
  <c r="Q26" i="163"/>
  <c r="P26" i="163"/>
  <c r="AF42" i="163"/>
  <c r="AE42" i="163"/>
  <c r="N42" i="163"/>
  <c r="M49" i="163"/>
  <c r="M68" i="163"/>
  <c r="AE63" i="163"/>
  <c r="N63" i="163"/>
  <c r="AF63" i="163"/>
  <c r="N70" i="163"/>
  <c r="AF70" i="163"/>
  <c r="AE70" i="163"/>
  <c r="AF21" i="163"/>
  <c r="AE21" i="163"/>
  <c r="N21" i="163"/>
  <c r="M30" i="163"/>
  <c r="AF50" i="163"/>
  <c r="AE50" i="163"/>
  <c r="N50" i="163"/>
  <c r="M53" i="163"/>
  <c r="N55" i="163"/>
  <c r="AF55" i="163"/>
  <c r="AE55" i="163"/>
  <c r="Q43" i="163"/>
  <c r="P43" i="163"/>
  <c r="Q75" i="163"/>
  <c r="P75" i="163"/>
  <c r="AF10" i="163"/>
  <c r="AE10" i="163"/>
  <c r="M13" i="163"/>
  <c r="N10" i="163"/>
  <c r="N18" i="163"/>
  <c r="AE18" i="163"/>
  <c r="AF18" i="163"/>
  <c r="AE16" i="163"/>
  <c r="N16" i="163"/>
  <c r="AF16" i="163"/>
  <c r="N36" i="163"/>
  <c r="AE36" i="163"/>
  <c r="AF36" i="163"/>
  <c r="Q25" i="163"/>
  <c r="P25" i="163"/>
  <c r="AE34" i="163"/>
  <c r="N34" i="163"/>
  <c r="AF34" i="163"/>
  <c r="N66" i="163"/>
  <c r="AE66" i="163"/>
  <c r="AF66" i="163"/>
  <c r="Q76" i="163"/>
  <c r="P76" i="163"/>
  <c r="Q73" i="163"/>
  <c r="P73" i="163"/>
  <c r="I3" i="162"/>
  <c r="F2" i="163"/>
  <c r="N19" i="163"/>
  <c r="AF19" i="163"/>
  <c r="AE19" i="163"/>
  <c r="AF39" i="163"/>
  <c r="AE39" i="163"/>
  <c r="N39" i="163"/>
  <c r="Q24" i="163"/>
  <c r="P24" i="163"/>
  <c r="Q58" i="163"/>
  <c r="P58" i="163"/>
  <c r="AE64" i="163"/>
  <c r="N64" i="163"/>
  <c r="AF64" i="163"/>
  <c r="AF69" i="163"/>
  <c r="AE69" i="163"/>
  <c r="M78" i="163"/>
  <c r="N69" i="163"/>
  <c r="N71" i="163"/>
  <c r="AF71" i="163"/>
  <c r="AE71" i="163"/>
  <c r="AF17" i="163"/>
  <c r="AE17" i="163"/>
  <c r="N17" i="163"/>
  <c r="AF22" i="163"/>
  <c r="AE22" i="163"/>
  <c r="N22" i="163"/>
  <c r="AF31" i="163"/>
  <c r="AE31" i="163"/>
  <c r="M40" i="163"/>
  <c r="N31" i="163"/>
  <c r="N37" i="163"/>
  <c r="AF37" i="163"/>
  <c r="AE37" i="163"/>
  <c r="AF51" i="163"/>
  <c r="AE51" i="163"/>
  <c r="N51" i="163"/>
  <c r="AF56" i="163"/>
  <c r="AE56" i="163"/>
  <c r="N56" i="163"/>
  <c r="F6" i="162"/>
  <c r="G6" i="162"/>
  <c r="Q59" i="163"/>
  <c r="D18" i="162"/>
  <c r="M9" i="163"/>
  <c r="AF11" i="163"/>
  <c r="AE26" i="163"/>
  <c r="AF27" i="163"/>
  <c r="AE44" i="163"/>
  <c r="AF45" i="163"/>
  <c r="AE58" i="163"/>
  <c r="AF59" i="163"/>
  <c r="AE76" i="163"/>
  <c r="AF77" i="163"/>
  <c r="Q27" i="163"/>
  <c r="Q45" i="163"/>
  <c r="AF26" i="163"/>
  <c r="AF44" i="163"/>
  <c r="AF58" i="163"/>
  <c r="AF76" i="163"/>
  <c r="N5" i="163"/>
  <c r="N6" i="163"/>
  <c r="N8" i="163"/>
  <c r="N11" i="163"/>
  <c r="N29" i="163"/>
  <c r="N32" i="163"/>
  <c r="N47" i="163"/>
  <c r="N61" i="163"/>
  <c r="P7" i="163"/>
  <c r="N12" i="163"/>
  <c r="P14" i="163"/>
  <c r="P15" i="163"/>
  <c r="N28" i="163"/>
  <c r="P33" i="163"/>
  <c r="N46" i="163"/>
  <c r="P48" i="163"/>
  <c r="N60" i="163"/>
  <c r="N41" i="163"/>
  <c r="E21" i="162"/>
  <c r="M20" i="163"/>
  <c r="P77" i="163"/>
  <c r="AE5" i="163"/>
  <c r="AE6" i="163"/>
  <c r="AE8" i="163"/>
  <c r="AE29" i="163"/>
  <c r="AE32" i="163"/>
  <c r="AE47" i="163"/>
  <c r="AE61" i="163"/>
  <c r="AE7" i="163"/>
  <c r="AE12" i="163"/>
  <c r="AE28" i="163"/>
  <c r="AE46" i="163"/>
  <c r="AE60" i="163"/>
  <c r="AD68" i="161"/>
  <c r="Z68" i="161"/>
  <c r="Y68" i="161"/>
  <c r="O68" i="161"/>
  <c r="M68" i="161"/>
  <c r="AF68" i="161" s="1"/>
  <c r="AG61" i="161" s="1"/>
  <c r="K68" i="161"/>
  <c r="AF67" i="161"/>
  <c r="AE67" i="161"/>
  <c r="V67" i="161"/>
  <c r="U67" i="161"/>
  <c r="O67" i="161"/>
  <c r="N67" i="161"/>
  <c r="Q67" i="161" s="1"/>
  <c r="M67" i="161"/>
  <c r="K67" i="161"/>
  <c r="G67" i="161"/>
  <c r="AF66" i="161"/>
  <c r="AE66" i="161"/>
  <c r="X66" i="161"/>
  <c r="W66" i="161"/>
  <c r="V66" i="161"/>
  <c r="U66" i="161"/>
  <c r="O66" i="161"/>
  <c r="N66" i="161"/>
  <c r="Q66" i="161" s="1"/>
  <c r="M66" i="161"/>
  <c r="K66" i="161"/>
  <c r="G66" i="161"/>
  <c r="AF65" i="161"/>
  <c r="AE65" i="161"/>
  <c r="V65" i="161"/>
  <c r="U65" i="161"/>
  <c r="O65" i="161"/>
  <c r="M65" i="161"/>
  <c r="N65" i="161" s="1"/>
  <c r="K65" i="161"/>
  <c r="G65" i="161"/>
  <c r="AF64" i="161"/>
  <c r="AE64" i="161"/>
  <c r="V64" i="161"/>
  <c r="U64" i="161"/>
  <c r="O64" i="161"/>
  <c r="N64" i="161"/>
  <c r="P64" i="161" s="1"/>
  <c r="M64" i="161"/>
  <c r="K64" i="161"/>
  <c r="G64" i="161"/>
  <c r="AF63" i="161"/>
  <c r="AE63" i="161"/>
  <c r="V63" i="161"/>
  <c r="U63" i="161"/>
  <c r="O63" i="161"/>
  <c r="M63" i="161"/>
  <c r="N63" i="161" s="1"/>
  <c r="K63" i="161"/>
  <c r="G63" i="161"/>
  <c r="AF62" i="161"/>
  <c r="AE62" i="161"/>
  <c r="V62" i="161"/>
  <c r="U62" i="161"/>
  <c r="O62" i="161"/>
  <c r="N62" i="161"/>
  <c r="P62" i="161" s="1"/>
  <c r="M62" i="161"/>
  <c r="K62" i="161"/>
  <c r="G62" i="161"/>
  <c r="AF61" i="161"/>
  <c r="AE61" i="161"/>
  <c r="X61" i="161"/>
  <c r="W61" i="161"/>
  <c r="V61" i="161"/>
  <c r="Q61" i="161"/>
  <c r="P61" i="161"/>
  <c r="O61" i="161"/>
  <c r="N61" i="161"/>
  <c r="M61" i="161"/>
  <c r="K61" i="161"/>
  <c r="G61" i="161"/>
  <c r="AD60" i="161"/>
  <c r="Z60" i="161"/>
  <c r="Y60" i="161"/>
  <c r="O60" i="161"/>
  <c r="K60" i="161"/>
  <c r="AF59" i="161"/>
  <c r="AE59" i="161"/>
  <c r="V59" i="161"/>
  <c r="U59" i="161"/>
  <c r="O59" i="161"/>
  <c r="N59" i="161"/>
  <c r="Q59" i="161" s="1"/>
  <c r="M59" i="161"/>
  <c r="K59" i="161"/>
  <c r="G59" i="161"/>
  <c r="AF58" i="161"/>
  <c r="AE58" i="161"/>
  <c r="V58" i="161"/>
  <c r="U58" i="161"/>
  <c r="O58" i="161"/>
  <c r="M58" i="161"/>
  <c r="N58" i="161" s="1"/>
  <c r="K58" i="161"/>
  <c r="G58" i="161"/>
  <c r="AF57" i="161"/>
  <c r="AE57" i="161"/>
  <c r="V57" i="161"/>
  <c r="U57" i="161"/>
  <c r="O57" i="161"/>
  <c r="N57" i="161"/>
  <c r="P57" i="161" s="1"/>
  <c r="M57" i="161"/>
  <c r="K57" i="161"/>
  <c r="G57" i="161"/>
  <c r="AF56" i="161"/>
  <c r="AE56" i="161"/>
  <c r="V56" i="161"/>
  <c r="U56" i="161"/>
  <c r="O56" i="161"/>
  <c r="M56" i="161"/>
  <c r="N56" i="161" s="1"/>
  <c r="K56" i="161"/>
  <c r="G56" i="161"/>
  <c r="V55" i="161"/>
  <c r="O55" i="161"/>
  <c r="M55" i="161"/>
  <c r="M60" i="161" s="1"/>
  <c r="K55" i="161"/>
  <c r="G55" i="161"/>
  <c r="AD54" i="161"/>
  <c r="Z54" i="161"/>
  <c r="Y54" i="161"/>
  <c r="O54" i="161"/>
  <c r="K54" i="161"/>
  <c r="AF53" i="161"/>
  <c r="AE53" i="161"/>
  <c r="V53" i="161"/>
  <c r="U53" i="161"/>
  <c r="O53" i="161"/>
  <c r="N53" i="161"/>
  <c r="P53" i="161" s="1"/>
  <c r="M53" i="161"/>
  <c r="K53" i="161"/>
  <c r="G53" i="161"/>
  <c r="AF52" i="161"/>
  <c r="AE52" i="161"/>
  <c r="V52" i="161"/>
  <c r="U52" i="161"/>
  <c r="Q52" i="161"/>
  <c r="P52" i="161"/>
  <c r="O52" i="161"/>
  <c r="N52" i="161"/>
  <c r="M52" i="161"/>
  <c r="K52" i="161"/>
  <c r="G52" i="161"/>
  <c r="AF51" i="161"/>
  <c r="AE51" i="161"/>
  <c r="V51" i="161"/>
  <c r="U51" i="161"/>
  <c r="O51" i="161"/>
  <c r="M51" i="161"/>
  <c r="N51" i="161" s="1"/>
  <c r="K51" i="161"/>
  <c r="G51" i="161"/>
  <c r="AF50" i="161"/>
  <c r="AE50" i="161"/>
  <c r="V50" i="161"/>
  <c r="U50" i="161"/>
  <c r="O50" i="161"/>
  <c r="N50" i="161"/>
  <c r="Q50" i="161" s="1"/>
  <c r="M50" i="161"/>
  <c r="K50" i="161"/>
  <c r="G50" i="161"/>
  <c r="AF49" i="161"/>
  <c r="AE49" i="161"/>
  <c r="V49" i="161"/>
  <c r="U49" i="161"/>
  <c r="O49" i="161"/>
  <c r="M49" i="161"/>
  <c r="N49" i="161" s="1"/>
  <c r="K49" i="161"/>
  <c r="G49" i="161"/>
  <c r="AF48" i="161"/>
  <c r="AE48" i="161"/>
  <c r="V48" i="161"/>
  <c r="U48" i="161"/>
  <c r="O48" i="161"/>
  <c r="N48" i="161"/>
  <c r="Q48" i="161" s="1"/>
  <c r="M48" i="161"/>
  <c r="K48" i="161"/>
  <c r="G48" i="161"/>
  <c r="AF47" i="161"/>
  <c r="AE47" i="161"/>
  <c r="V47" i="161"/>
  <c r="U47" i="161"/>
  <c r="O47" i="161"/>
  <c r="M47" i="161"/>
  <c r="N47" i="161" s="1"/>
  <c r="K47" i="161"/>
  <c r="G47" i="161"/>
  <c r="V46" i="161"/>
  <c r="O46" i="161"/>
  <c r="M46" i="161"/>
  <c r="M54" i="161" s="1"/>
  <c r="K46" i="161"/>
  <c r="G46" i="161"/>
  <c r="AD45" i="161"/>
  <c r="Z45" i="161"/>
  <c r="Y45" i="161"/>
  <c r="O45" i="161"/>
  <c r="M45" i="161"/>
  <c r="AF45" i="161" s="1"/>
  <c r="AG42" i="161" s="1"/>
  <c r="K45" i="161"/>
  <c r="AF44" i="161"/>
  <c r="AE44" i="161"/>
  <c r="V44" i="161"/>
  <c r="U44" i="161"/>
  <c r="O44" i="161"/>
  <c r="N44" i="161"/>
  <c r="P44" i="161" s="1"/>
  <c r="M44" i="161"/>
  <c r="K44" i="161"/>
  <c r="G44" i="161"/>
  <c r="AF43" i="161"/>
  <c r="AE43" i="161"/>
  <c r="V43" i="161"/>
  <c r="U43" i="161"/>
  <c r="Q43" i="161"/>
  <c r="P43" i="161"/>
  <c r="O43" i="161"/>
  <c r="N43" i="161"/>
  <c r="M43" i="161"/>
  <c r="K43" i="161"/>
  <c r="G43" i="161"/>
  <c r="AF42" i="161"/>
  <c r="AE42" i="161"/>
  <c r="V42" i="161"/>
  <c r="Q42" i="161"/>
  <c r="P42" i="161"/>
  <c r="O42" i="161"/>
  <c r="N42" i="161"/>
  <c r="M42" i="161"/>
  <c r="K42" i="161"/>
  <c r="G42" i="161"/>
  <c r="AD41" i="161"/>
  <c r="Z41" i="161"/>
  <c r="Y41" i="161"/>
  <c r="O41" i="161"/>
  <c r="K41" i="161"/>
  <c r="AF40" i="161"/>
  <c r="AE40" i="161"/>
  <c r="V40" i="161"/>
  <c r="U40" i="161"/>
  <c r="P40" i="161"/>
  <c r="O40" i="161"/>
  <c r="N40" i="161"/>
  <c r="Q40" i="161" s="1"/>
  <c r="M40" i="161"/>
  <c r="K40" i="161"/>
  <c r="G40" i="161"/>
  <c r="X39" i="161"/>
  <c r="W39" i="161"/>
  <c r="V39" i="161"/>
  <c r="U39" i="161"/>
  <c r="O39" i="161"/>
  <c r="M39" i="161"/>
  <c r="N39" i="161" s="1"/>
  <c r="K39" i="161"/>
  <c r="G39" i="161"/>
  <c r="AF38" i="161"/>
  <c r="AE38" i="161"/>
  <c r="V38" i="161"/>
  <c r="U38" i="161"/>
  <c r="Q38" i="161"/>
  <c r="P38" i="161"/>
  <c r="O38" i="161"/>
  <c r="N38" i="161"/>
  <c r="M38" i="161"/>
  <c r="K38" i="161"/>
  <c r="G38" i="161"/>
  <c r="AF37" i="161"/>
  <c r="AE37" i="161"/>
  <c r="V37" i="161"/>
  <c r="U37" i="161"/>
  <c r="O37" i="161"/>
  <c r="N37" i="161"/>
  <c r="P37" i="161" s="1"/>
  <c r="M37" i="161"/>
  <c r="K37" i="161"/>
  <c r="G37" i="161"/>
  <c r="AF36" i="161"/>
  <c r="AE36" i="161"/>
  <c r="V36" i="161"/>
  <c r="U36" i="161"/>
  <c r="Q36" i="161"/>
  <c r="P36" i="161"/>
  <c r="O36" i="161"/>
  <c r="N36" i="161"/>
  <c r="M36" i="161"/>
  <c r="K36" i="161"/>
  <c r="G36" i="161"/>
  <c r="AF35" i="161"/>
  <c r="AE35" i="161"/>
  <c r="X35" i="161"/>
  <c r="W35" i="161"/>
  <c r="V35" i="161"/>
  <c r="P35" i="161"/>
  <c r="O35" i="161"/>
  <c r="N35" i="161"/>
  <c r="Q35" i="161" s="1"/>
  <c r="M35" i="161"/>
  <c r="K35" i="161"/>
  <c r="G35" i="161"/>
  <c r="AD34" i="161"/>
  <c r="Z34" i="161"/>
  <c r="Y34" i="161"/>
  <c r="O34" i="161"/>
  <c r="K34" i="161"/>
  <c r="AF33" i="161"/>
  <c r="AE33" i="161"/>
  <c r="V33" i="161"/>
  <c r="U33" i="161"/>
  <c r="P33" i="161"/>
  <c r="O33" i="161"/>
  <c r="N33" i="161"/>
  <c r="Q33" i="161" s="1"/>
  <c r="M33" i="161"/>
  <c r="K33" i="161"/>
  <c r="G33" i="161"/>
  <c r="AF32" i="161"/>
  <c r="AE32" i="161"/>
  <c r="X32" i="161"/>
  <c r="W32" i="161"/>
  <c r="V32" i="161"/>
  <c r="U32" i="161"/>
  <c r="O32" i="161"/>
  <c r="N32" i="161"/>
  <c r="P32" i="161" s="1"/>
  <c r="M32" i="161"/>
  <c r="K32" i="161"/>
  <c r="G32" i="161"/>
  <c r="AF31" i="161"/>
  <c r="AE31" i="161"/>
  <c r="V31" i="161"/>
  <c r="U31" i="161"/>
  <c r="Q31" i="161"/>
  <c r="P31" i="161"/>
  <c r="O31" i="161"/>
  <c r="N31" i="161"/>
  <c r="M31" i="161"/>
  <c r="K31" i="161"/>
  <c r="G31" i="161"/>
  <c r="AF30" i="161"/>
  <c r="AE30" i="161"/>
  <c r="V30" i="161"/>
  <c r="U30" i="161"/>
  <c r="O30" i="161"/>
  <c r="M30" i="161"/>
  <c r="N30" i="161" s="1"/>
  <c r="K30" i="161"/>
  <c r="G30" i="161"/>
  <c r="AF29" i="161"/>
  <c r="AE29" i="161"/>
  <c r="V29" i="161"/>
  <c r="U29" i="161"/>
  <c r="O29" i="161"/>
  <c r="N29" i="161"/>
  <c r="P29" i="161" s="1"/>
  <c r="M29" i="161"/>
  <c r="K29" i="161"/>
  <c r="G29" i="161"/>
  <c r="AF28" i="161"/>
  <c r="AE28" i="161"/>
  <c r="V28" i="161"/>
  <c r="U28" i="161"/>
  <c r="O28" i="161"/>
  <c r="M28" i="161"/>
  <c r="N28" i="161" s="1"/>
  <c r="K28" i="161"/>
  <c r="G28" i="161"/>
  <c r="X27" i="161"/>
  <c r="W27" i="161"/>
  <c r="V27" i="161"/>
  <c r="O27" i="161"/>
  <c r="M27" i="161"/>
  <c r="N27" i="161" s="1"/>
  <c r="K27" i="161"/>
  <c r="G27" i="161"/>
  <c r="AD26" i="161"/>
  <c r="Z26" i="161"/>
  <c r="Y26" i="161"/>
  <c r="O26" i="161"/>
  <c r="M26" i="161"/>
  <c r="AF26" i="161" s="1"/>
  <c r="AG19" i="161" s="1"/>
  <c r="K26" i="161"/>
  <c r="AF25" i="161"/>
  <c r="AE25" i="161"/>
  <c r="V25" i="161"/>
  <c r="U25" i="161"/>
  <c r="O25" i="161"/>
  <c r="N25" i="161"/>
  <c r="Q25" i="161" s="1"/>
  <c r="M25" i="161"/>
  <c r="K25" i="161"/>
  <c r="G25" i="161"/>
  <c r="AF24" i="161"/>
  <c r="AE24" i="161"/>
  <c r="V24" i="161"/>
  <c r="U24" i="161"/>
  <c r="Q24" i="161"/>
  <c r="P24" i="161"/>
  <c r="O24" i="161"/>
  <c r="N24" i="161"/>
  <c r="M24" i="161"/>
  <c r="K24" i="161"/>
  <c r="G24" i="161"/>
  <c r="AF23" i="161"/>
  <c r="AE23" i="161"/>
  <c r="V23" i="161"/>
  <c r="U23" i="161"/>
  <c r="O23" i="161"/>
  <c r="M23" i="161"/>
  <c r="N23" i="161" s="1"/>
  <c r="K23" i="161"/>
  <c r="G23" i="161"/>
  <c r="AF22" i="161"/>
  <c r="AE22" i="161"/>
  <c r="V22" i="161"/>
  <c r="U22" i="161"/>
  <c r="O22" i="161"/>
  <c r="N22" i="161"/>
  <c r="P22" i="161" s="1"/>
  <c r="M22" i="161"/>
  <c r="K22" i="161"/>
  <c r="G22" i="161"/>
  <c r="AF21" i="161"/>
  <c r="AE21" i="161"/>
  <c r="V21" i="161"/>
  <c r="U21" i="161"/>
  <c r="O21" i="161"/>
  <c r="M21" i="161"/>
  <c r="N21" i="161" s="1"/>
  <c r="K21" i="161"/>
  <c r="G21" i="161"/>
  <c r="AF20" i="161"/>
  <c r="AE20" i="161"/>
  <c r="V20" i="161"/>
  <c r="U20" i="161"/>
  <c r="O20" i="161"/>
  <c r="N20" i="161"/>
  <c r="Q20" i="161" s="1"/>
  <c r="M20" i="161"/>
  <c r="K20" i="161"/>
  <c r="G20" i="161"/>
  <c r="AF19" i="161"/>
  <c r="AE19" i="161"/>
  <c r="V19" i="161"/>
  <c r="P19" i="161"/>
  <c r="O19" i="161"/>
  <c r="N19" i="161"/>
  <c r="Q19" i="161" s="1"/>
  <c r="M19" i="161"/>
  <c r="K19" i="161"/>
  <c r="G19" i="161"/>
  <c r="AD18" i="161"/>
  <c r="Z18" i="161"/>
  <c r="Y18" i="161"/>
  <c r="O18" i="161"/>
  <c r="M18" i="161"/>
  <c r="AF18" i="161" s="1"/>
  <c r="AG12" i="161" s="1"/>
  <c r="K18" i="161"/>
  <c r="AF17" i="161"/>
  <c r="AE17" i="161"/>
  <c r="V17" i="161"/>
  <c r="U17" i="161"/>
  <c r="Q17" i="161"/>
  <c r="P17" i="161"/>
  <c r="O17" i="161"/>
  <c r="N17" i="161"/>
  <c r="M17" i="161"/>
  <c r="K17" i="161"/>
  <c r="G17" i="161"/>
  <c r="AF16" i="161"/>
  <c r="AE16" i="161"/>
  <c r="V16" i="161"/>
  <c r="U16" i="161"/>
  <c r="O16" i="161"/>
  <c r="N16" i="161"/>
  <c r="Q16" i="161" s="1"/>
  <c r="M16" i="161"/>
  <c r="K16" i="161"/>
  <c r="G16" i="161"/>
  <c r="AF15" i="161"/>
  <c r="AE15" i="161"/>
  <c r="V15" i="161"/>
  <c r="U15" i="161"/>
  <c r="Q15" i="161"/>
  <c r="P15" i="161"/>
  <c r="O15" i="161"/>
  <c r="N15" i="161"/>
  <c r="M15" i="161"/>
  <c r="K15" i="161"/>
  <c r="G15" i="161"/>
  <c r="AF14" i="161"/>
  <c r="AE14" i="161"/>
  <c r="V14" i="161"/>
  <c r="U14" i="161"/>
  <c r="O14" i="161"/>
  <c r="M14" i="161"/>
  <c r="N14" i="161" s="1"/>
  <c r="K14" i="161"/>
  <c r="G14" i="161"/>
  <c r="AF13" i="161"/>
  <c r="AE13" i="161"/>
  <c r="V13" i="161"/>
  <c r="U13" i="161"/>
  <c r="O13" i="161"/>
  <c r="N13" i="161"/>
  <c r="P13" i="161" s="1"/>
  <c r="M13" i="161"/>
  <c r="K13" i="161"/>
  <c r="G13" i="161"/>
  <c r="AF12" i="161"/>
  <c r="AE12" i="161"/>
  <c r="V12" i="161"/>
  <c r="P12" i="161"/>
  <c r="O12" i="161"/>
  <c r="N12" i="161"/>
  <c r="Q12" i="161" s="1"/>
  <c r="M12" i="161"/>
  <c r="K12" i="161"/>
  <c r="G12" i="161"/>
  <c r="AD11" i="161"/>
  <c r="Z11" i="161"/>
  <c r="Y11" i="161"/>
  <c r="O11" i="161"/>
  <c r="M11" i="161"/>
  <c r="AF11" i="161" s="1"/>
  <c r="AG9" i="161" s="1"/>
  <c r="K11" i="161"/>
  <c r="AF10" i="161"/>
  <c r="AE10" i="161"/>
  <c r="V10" i="161"/>
  <c r="U10" i="161"/>
  <c r="P10" i="161"/>
  <c r="O10" i="161"/>
  <c r="N10" i="161"/>
  <c r="Q10" i="161" s="1"/>
  <c r="M10" i="161"/>
  <c r="K10" i="161"/>
  <c r="G10" i="161"/>
  <c r="AF9" i="161"/>
  <c r="AE9" i="161"/>
  <c r="X9" i="161"/>
  <c r="W9" i="161"/>
  <c r="V9" i="161"/>
  <c r="O9" i="161"/>
  <c r="N9" i="161"/>
  <c r="P9" i="161" s="1"/>
  <c r="M9" i="161"/>
  <c r="K9" i="161"/>
  <c r="G9" i="161"/>
  <c r="AD8" i="161"/>
  <c r="Z8" i="161"/>
  <c r="Y8" i="161"/>
  <c r="O8" i="161"/>
  <c r="M8" i="161"/>
  <c r="N8" i="161" s="1"/>
  <c r="K8" i="161"/>
  <c r="AF7" i="161"/>
  <c r="AE7" i="161"/>
  <c r="V7" i="161"/>
  <c r="U7" i="161"/>
  <c r="Q7" i="161"/>
  <c r="P7" i="161"/>
  <c r="O7" i="161"/>
  <c r="N7" i="161"/>
  <c r="M7" i="161"/>
  <c r="K7" i="161"/>
  <c r="G7" i="161"/>
  <c r="AF6" i="161"/>
  <c r="AE6" i="161"/>
  <c r="V6" i="161"/>
  <c r="U6" i="161"/>
  <c r="O6" i="161"/>
  <c r="N6" i="161"/>
  <c r="Q6" i="161" s="1"/>
  <c r="M6" i="161"/>
  <c r="K6" i="161"/>
  <c r="G6" i="161"/>
  <c r="AF5" i="161"/>
  <c r="AE5" i="161"/>
  <c r="V5" i="161"/>
  <c r="O5" i="161"/>
  <c r="M5" i="161"/>
  <c r="N5" i="161" s="1"/>
  <c r="K5" i="161"/>
  <c r="G5" i="161"/>
  <c r="AD2" i="161"/>
  <c r="N6" i="160" s="1"/>
  <c r="AC2" i="161"/>
  <c r="Z2" i="161"/>
  <c r="L6" i="160" s="1"/>
  <c r="Y2" i="161"/>
  <c r="K6" i="160" s="1"/>
  <c r="H2" i="161"/>
  <c r="F2" i="161"/>
  <c r="H1" i="161"/>
  <c r="F1" i="161"/>
  <c r="D1" i="161"/>
  <c r="M22" i="160"/>
  <c r="L22" i="160"/>
  <c r="K22" i="160"/>
  <c r="J22" i="160"/>
  <c r="I22" i="160"/>
  <c r="H22" i="160"/>
  <c r="G22" i="160"/>
  <c r="F22" i="160"/>
  <c r="E22" i="160"/>
  <c r="D22" i="160"/>
  <c r="M21" i="160"/>
  <c r="L21" i="160"/>
  <c r="K21" i="160"/>
  <c r="J21" i="160"/>
  <c r="I21" i="160"/>
  <c r="H21" i="160"/>
  <c r="G21" i="160"/>
  <c r="F21" i="160"/>
  <c r="E21" i="160"/>
  <c r="D21" i="160"/>
  <c r="M20" i="160"/>
  <c r="L20" i="160"/>
  <c r="K20" i="160"/>
  <c r="J20" i="160"/>
  <c r="I20" i="160"/>
  <c r="H20" i="160"/>
  <c r="G20" i="160"/>
  <c r="F20" i="160"/>
  <c r="E20" i="160"/>
  <c r="D20" i="160"/>
  <c r="M19" i="160"/>
  <c r="L19" i="160"/>
  <c r="K19" i="160"/>
  <c r="J19" i="160"/>
  <c r="I19" i="160"/>
  <c r="H19" i="160"/>
  <c r="G19" i="160"/>
  <c r="F19" i="160"/>
  <c r="E19" i="160"/>
  <c r="D19" i="160"/>
  <c r="M18" i="160"/>
  <c r="L18" i="160"/>
  <c r="K18" i="160"/>
  <c r="J18" i="160"/>
  <c r="I18" i="160"/>
  <c r="H18" i="160"/>
  <c r="G18" i="160"/>
  <c r="F18" i="160"/>
  <c r="E18" i="160"/>
  <c r="D18" i="160"/>
  <c r="M17" i="160"/>
  <c r="L17" i="160"/>
  <c r="K17" i="160"/>
  <c r="J17" i="160"/>
  <c r="I17" i="160"/>
  <c r="H17" i="160"/>
  <c r="G17" i="160"/>
  <c r="F17" i="160"/>
  <c r="E17" i="160"/>
  <c r="D17" i="160"/>
  <c r="M16" i="160"/>
  <c r="L16" i="160"/>
  <c r="K16" i="160"/>
  <c r="J16" i="160"/>
  <c r="I16" i="160"/>
  <c r="H16" i="160"/>
  <c r="G16" i="160"/>
  <c r="F16" i="160"/>
  <c r="E16" i="160"/>
  <c r="D16" i="160"/>
  <c r="M13" i="160"/>
  <c r="L13" i="160"/>
  <c r="I6" i="160" s="1"/>
  <c r="K13" i="160"/>
  <c r="J13" i="160"/>
  <c r="I13" i="160"/>
  <c r="H13" i="160"/>
  <c r="G13" i="160"/>
  <c r="F13" i="160"/>
  <c r="E13" i="160"/>
  <c r="D13" i="160"/>
  <c r="M6" i="160"/>
  <c r="G6" i="160"/>
  <c r="F6" i="160"/>
  <c r="E6" i="160"/>
  <c r="I3" i="160"/>
  <c r="F3" i="160"/>
  <c r="C3" i="160"/>
  <c r="K15" i="164" l="1"/>
  <c r="I8" i="164" s="1"/>
  <c r="I7" i="164"/>
  <c r="P9" i="165"/>
  <c r="D2" i="165"/>
  <c r="Q9" i="165"/>
  <c r="R5" i="165" s="1"/>
  <c r="D14" i="164"/>
  <c r="P28" i="165"/>
  <c r="Q28" i="165"/>
  <c r="R20" i="165" s="1"/>
  <c r="G14" i="164"/>
  <c r="G15" i="164" s="1"/>
  <c r="Q17" i="163"/>
  <c r="P17" i="163"/>
  <c r="AE49" i="163"/>
  <c r="AF49" i="163"/>
  <c r="AG41" i="163" s="1"/>
  <c r="N49" i="163"/>
  <c r="Q35" i="163"/>
  <c r="P35" i="163"/>
  <c r="Q12" i="163"/>
  <c r="P12" i="163"/>
  <c r="Q21" i="163"/>
  <c r="P21" i="163"/>
  <c r="P47" i="163"/>
  <c r="Q47" i="163"/>
  <c r="Q31" i="163"/>
  <c r="P31" i="163"/>
  <c r="P71" i="163"/>
  <c r="Q71" i="163"/>
  <c r="Q39" i="163"/>
  <c r="P39" i="163"/>
  <c r="Q16" i="163"/>
  <c r="P16" i="163"/>
  <c r="Q37" i="163"/>
  <c r="P37" i="163"/>
  <c r="Q41" i="163"/>
  <c r="P41" i="163"/>
  <c r="P32" i="163"/>
  <c r="Q32" i="163"/>
  <c r="N40" i="163"/>
  <c r="AF40" i="163"/>
  <c r="AG31" i="163" s="1"/>
  <c r="AE40" i="163"/>
  <c r="Q69" i="163"/>
  <c r="P69" i="163"/>
  <c r="Q65" i="163"/>
  <c r="P65" i="163"/>
  <c r="AF9" i="163"/>
  <c r="AG5" i="163" s="1"/>
  <c r="N9" i="163"/>
  <c r="AE9" i="163"/>
  <c r="Q36" i="163"/>
  <c r="P36" i="163"/>
  <c r="Q60" i="163"/>
  <c r="P60" i="163"/>
  <c r="P29" i="163"/>
  <c r="Q29" i="163"/>
  <c r="Q67" i="163"/>
  <c r="P67" i="163"/>
  <c r="P11" i="163"/>
  <c r="Q11" i="163"/>
  <c r="P55" i="163"/>
  <c r="Q55" i="163"/>
  <c r="Q52" i="163"/>
  <c r="P52" i="163"/>
  <c r="Q46" i="163"/>
  <c r="P46" i="163"/>
  <c r="P8" i="163"/>
  <c r="Q8" i="163"/>
  <c r="Q22" i="163"/>
  <c r="P22" i="163"/>
  <c r="Q34" i="163"/>
  <c r="P34" i="163"/>
  <c r="Q18" i="163"/>
  <c r="P18" i="163"/>
  <c r="N53" i="163"/>
  <c r="AF53" i="163"/>
  <c r="AG50" i="163" s="1"/>
  <c r="AE53" i="163"/>
  <c r="Q63" i="163"/>
  <c r="P63" i="163"/>
  <c r="AF30" i="163"/>
  <c r="AG21" i="163" s="1"/>
  <c r="N30" i="163"/>
  <c r="AE30" i="163"/>
  <c r="P61" i="163"/>
  <c r="Q61" i="163"/>
  <c r="AF78" i="163"/>
  <c r="AG69" i="163" s="1"/>
  <c r="AE78" i="163"/>
  <c r="N78" i="163"/>
  <c r="Q66" i="163"/>
  <c r="P66" i="163"/>
  <c r="Q70" i="163"/>
  <c r="P70" i="163"/>
  <c r="Q56" i="163"/>
  <c r="P56" i="163"/>
  <c r="AF62" i="163"/>
  <c r="AG54" i="163" s="1"/>
  <c r="N62" i="163"/>
  <c r="AE62" i="163"/>
  <c r="P6" i="163"/>
  <c r="Q6" i="163"/>
  <c r="Q19" i="163"/>
  <c r="P19" i="163"/>
  <c r="Q10" i="163"/>
  <c r="P10" i="163"/>
  <c r="Q50" i="163"/>
  <c r="P50" i="163"/>
  <c r="Q42" i="163"/>
  <c r="P42" i="163"/>
  <c r="Q72" i="163"/>
  <c r="P72" i="163"/>
  <c r="AF20" i="163"/>
  <c r="AG14" i="163" s="1"/>
  <c r="AE20" i="163"/>
  <c r="N20" i="163"/>
  <c r="Q28" i="163"/>
  <c r="P28" i="163"/>
  <c r="P5" i="163"/>
  <c r="Q5" i="163"/>
  <c r="Q51" i="163"/>
  <c r="P51" i="163"/>
  <c r="Q64" i="163"/>
  <c r="P64" i="163"/>
  <c r="AF13" i="163"/>
  <c r="AG10" i="163" s="1"/>
  <c r="AE13" i="163"/>
  <c r="N13" i="163"/>
  <c r="AF68" i="163"/>
  <c r="AG63" i="163" s="1"/>
  <c r="AE68" i="163"/>
  <c r="N68" i="163"/>
  <c r="P38" i="163"/>
  <c r="Q38" i="163"/>
  <c r="P54" i="163"/>
  <c r="Q54" i="163"/>
  <c r="P8" i="161"/>
  <c r="Q8" i="161"/>
  <c r="R5" i="161" s="1"/>
  <c r="D14" i="160"/>
  <c r="Q47" i="161"/>
  <c r="P47" i="161"/>
  <c r="Q27" i="161"/>
  <c r="P27" i="161"/>
  <c r="AF60" i="161"/>
  <c r="AG55" i="161" s="1"/>
  <c r="N60" i="161"/>
  <c r="AE60" i="161"/>
  <c r="P30" i="161"/>
  <c r="Q30" i="161"/>
  <c r="P58" i="161"/>
  <c r="Q58" i="161"/>
  <c r="P65" i="161"/>
  <c r="Q65" i="161"/>
  <c r="Q14" i="161"/>
  <c r="P14" i="161"/>
  <c r="Q23" i="161"/>
  <c r="P23" i="161"/>
  <c r="P28" i="161"/>
  <c r="Q28" i="161"/>
  <c r="Q56" i="161"/>
  <c r="P56" i="161"/>
  <c r="Q63" i="161"/>
  <c r="P63" i="161"/>
  <c r="Q5" i="161"/>
  <c r="P5" i="161"/>
  <c r="P21" i="161"/>
  <c r="Q21" i="161"/>
  <c r="Q51" i="161"/>
  <c r="P51" i="161"/>
  <c r="AF54" i="161"/>
  <c r="AG46" i="161" s="1"/>
  <c r="AE54" i="161"/>
  <c r="N54" i="161"/>
  <c r="Q39" i="161"/>
  <c r="P39" i="161"/>
  <c r="P49" i="161"/>
  <c r="Q49" i="161"/>
  <c r="N18" i="161"/>
  <c r="Q9" i="161"/>
  <c r="P16" i="161"/>
  <c r="P25" i="161"/>
  <c r="N46" i="161"/>
  <c r="N55" i="161"/>
  <c r="P67" i="161"/>
  <c r="Q32" i="161"/>
  <c r="Q37" i="161"/>
  <c r="Q44" i="161"/>
  <c r="Q53" i="161"/>
  <c r="M41" i="161"/>
  <c r="P20" i="161"/>
  <c r="P48" i="161"/>
  <c r="AE18" i="161"/>
  <c r="AE46" i="161"/>
  <c r="AE55" i="161"/>
  <c r="Q57" i="161"/>
  <c r="AF46" i="161"/>
  <c r="P50" i="161"/>
  <c r="AF55" i="161"/>
  <c r="P59" i="161"/>
  <c r="P66" i="161"/>
  <c r="AE11" i="161"/>
  <c r="Q22" i="161"/>
  <c r="N26" i="161"/>
  <c r="Q29" i="161"/>
  <c r="AE39" i="161"/>
  <c r="N45" i="161"/>
  <c r="N68" i="161"/>
  <c r="AE8" i="161"/>
  <c r="M34" i="161"/>
  <c r="AF8" i="161"/>
  <c r="AG5" i="161" s="1"/>
  <c r="N11" i="161"/>
  <c r="Q62" i="161"/>
  <c r="P6" i="161"/>
  <c r="Q13" i="161"/>
  <c r="AE27" i="161"/>
  <c r="AF27" i="161"/>
  <c r="AF39" i="161"/>
  <c r="Q64" i="161"/>
  <c r="AE26" i="161"/>
  <c r="AE45" i="161"/>
  <c r="AE68" i="161"/>
  <c r="AD67" i="159"/>
  <c r="Z67" i="159"/>
  <c r="Y67" i="159"/>
  <c r="O67" i="159"/>
  <c r="N67" i="159"/>
  <c r="M14" i="158" s="1"/>
  <c r="M15" i="158" s="1"/>
  <c r="M67" i="159"/>
  <c r="AF67" i="159" s="1"/>
  <c r="AG61" i="159" s="1"/>
  <c r="K67" i="159"/>
  <c r="AF66" i="159"/>
  <c r="AE66" i="159"/>
  <c r="V66" i="159"/>
  <c r="U66" i="159"/>
  <c r="Q66" i="159"/>
  <c r="O66" i="159"/>
  <c r="N66" i="159"/>
  <c r="P66" i="159" s="1"/>
  <c r="M66" i="159"/>
  <c r="K66" i="159"/>
  <c r="G66" i="159"/>
  <c r="AF65" i="159"/>
  <c r="AE65" i="159"/>
  <c r="V65" i="159"/>
  <c r="U65" i="159"/>
  <c r="O65" i="159"/>
  <c r="N65" i="159"/>
  <c r="Q65" i="159" s="1"/>
  <c r="M65" i="159"/>
  <c r="K65" i="159"/>
  <c r="G65" i="159"/>
  <c r="AF64" i="159"/>
  <c r="AE64" i="159"/>
  <c r="V64" i="159"/>
  <c r="U64" i="159"/>
  <c r="O64" i="159"/>
  <c r="M64" i="159"/>
  <c r="N64" i="159" s="1"/>
  <c r="K64" i="159"/>
  <c r="G64" i="159"/>
  <c r="AF63" i="159"/>
  <c r="AE63" i="159"/>
  <c r="V63" i="159"/>
  <c r="U63" i="159"/>
  <c r="O63" i="159"/>
  <c r="N63" i="159"/>
  <c r="Q63" i="159" s="1"/>
  <c r="M63" i="159"/>
  <c r="K63" i="159"/>
  <c r="G63" i="159"/>
  <c r="AF62" i="159"/>
  <c r="AE62" i="159"/>
  <c r="V62" i="159"/>
  <c r="U62" i="159"/>
  <c r="O62" i="159"/>
  <c r="M62" i="159"/>
  <c r="N62" i="159" s="1"/>
  <c r="K62" i="159"/>
  <c r="G62" i="159"/>
  <c r="AF61" i="159"/>
  <c r="AE61" i="159"/>
  <c r="X61" i="159"/>
  <c r="W61" i="159"/>
  <c r="V61" i="159"/>
  <c r="O61" i="159"/>
  <c r="M61" i="159"/>
  <c r="N61" i="159" s="1"/>
  <c r="K61" i="159"/>
  <c r="G61" i="159"/>
  <c r="AF60" i="159"/>
  <c r="AG55" i="159" s="1"/>
  <c r="AE60" i="159"/>
  <c r="AD60" i="159"/>
  <c r="Z60" i="159"/>
  <c r="Y60" i="159"/>
  <c r="O60" i="159"/>
  <c r="M60" i="159"/>
  <c r="N60" i="159" s="1"/>
  <c r="K60" i="159"/>
  <c r="AF59" i="159"/>
  <c r="AE59" i="159"/>
  <c r="V59" i="159"/>
  <c r="U59" i="159"/>
  <c r="O59" i="159"/>
  <c r="M59" i="159"/>
  <c r="N59" i="159" s="1"/>
  <c r="K59" i="159"/>
  <c r="G59" i="159"/>
  <c r="AF58" i="159"/>
  <c r="AE58" i="159"/>
  <c r="V58" i="159"/>
  <c r="U58" i="159"/>
  <c r="O58" i="159"/>
  <c r="M58" i="159"/>
  <c r="N58" i="159" s="1"/>
  <c r="K58" i="159"/>
  <c r="G58" i="159"/>
  <c r="AF57" i="159"/>
  <c r="AE57" i="159"/>
  <c r="V57" i="159"/>
  <c r="U57" i="159"/>
  <c r="O57" i="159"/>
  <c r="M57" i="159"/>
  <c r="N57" i="159" s="1"/>
  <c r="K57" i="159"/>
  <c r="G57" i="159"/>
  <c r="AF56" i="159"/>
  <c r="AE56" i="159"/>
  <c r="V56" i="159"/>
  <c r="U56" i="159"/>
  <c r="Q56" i="159"/>
  <c r="P56" i="159"/>
  <c r="O56" i="159"/>
  <c r="N56" i="159"/>
  <c r="M56" i="159"/>
  <c r="K56" i="159"/>
  <c r="G56" i="159"/>
  <c r="AF55" i="159"/>
  <c r="AE55" i="159"/>
  <c r="V55" i="159"/>
  <c r="Q55" i="159"/>
  <c r="P55" i="159"/>
  <c r="O55" i="159"/>
  <c r="N55" i="159"/>
  <c r="M55" i="159"/>
  <c r="K55" i="159"/>
  <c r="G55" i="159"/>
  <c r="AD54" i="159"/>
  <c r="Z54" i="159"/>
  <c r="Y54" i="159"/>
  <c r="O54" i="159"/>
  <c r="K54" i="159"/>
  <c r="AF53" i="159"/>
  <c r="AE53" i="159"/>
  <c r="V53" i="159"/>
  <c r="U53" i="159"/>
  <c r="O53" i="159"/>
  <c r="N53" i="159"/>
  <c r="Q53" i="159" s="1"/>
  <c r="M53" i="159"/>
  <c r="K53" i="159"/>
  <c r="G53" i="159"/>
  <c r="AF52" i="159"/>
  <c r="AE52" i="159"/>
  <c r="V52" i="159"/>
  <c r="U52" i="159"/>
  <c r="O52" i="159"/>
  <c r="N52" i="159"/>
  <c r="Q52" i="159" s="1"/>
  <c r="M52" i="159"/>
  <c r="K52" i="159"/>
  <c r="G52" i="159"/>
  <c r="AF51" i="159"/>
  <c r="AE51" i="159"/>
  <c r="V51" i="159"/>
  <c r="U51" i="159"/>
  <c r="O51" i="159"/>
  <c r="N51" i="159"/>
  <c r="Q51" i="159" s="1"/>
  <c r="M51" i="159"/>
  <c r="K51" i="159"/>
  <c r="G51" i="159"/>
  <c r="AF50" i="159"/>
  <c r="AE50" i="159"/>
  <c r="V50" i="159"/>
  <c r="U50" i="159"/>
  <c r="Q50" i="159"/>
  <c r="O50" i="159"/>
  <c r="N50" i="159"/>
  <c r="P50" i="159" s="1"/>
  <c r="M50" i="159"/>
  <c r="K50" i="159"/>
  <c r="G50" i="159"/>
  <c r="AF49" i="159"/>
  <c r="AE49" i="159"/>
  <c r="V49" i="159"/>
  <c r="U49" i="159"/>
  <c r="O49" i="159"/>
  <c r="N49" i="159"/>
  <c r="Q49" i="159" s="1"/>
  <c r="M49" i="159"/>
  <c r="K49" i="159"/>
  <c r="G49" i="159"/>
  <c r="AF48" i="159"/>
  <c r="AE48" i="159"/>
  <c r="V48" i="159"/>
  <c r="U48" i="159"/>
  <c r="O48" i="159"/>
  <c r="M48" i="159"/>
  <c r="N48" i="159" s="1"/>
  <c r="K48" i="159"/>
  <c r="G48" i="159"/>
  <c r="AF47" i="159"/>
  <c r="AE47" i="159"/>
  <c r="V47" i="159"/>
  <c r="U47" i="159"/>
  <c r="O47" i="159"/>
  <c r="N47" i="159"/>
  <c r="Q47" i="159" s="1"/>
  <c r="M47" i="159"/>
  <c r="K47" i="159"/>
  <c r="G47" i="159"/>
  <c r="AF46" i="159"/>
  <c r="AE46" i="159"/>
  <c r="V46" i="159"/>
  <c r="O46" i="159"/>
  <c r="N46" i="159"/>
  <c r="Q46" i="159" s="1"/>
  <c r="M46" i="159"/>
  <c r="M54" i="159" s="1"/>
  <c r="K46" i="159"/>
  <c r="G46" i="159"/>
  <c r="AF45" i="159"/>
  <c r="AG42" i="159" s="1"/>
  <c r="AE45" i="159"/>
  <c r="AD45" i="159"/>
  <c r="Z45" i="159"/>
  <c r="Y45" i="159"/>
  <c r="O45" i="159"/>
  <c r="N45" i="159"/>
  <c r="Q45" i="159" s="1"/>
  <c r="R42" i="159" s="1"/>
  <c r="M45" i="159"/>
  <c r="K45" i="159"/>
  <c r="AF44" i="159"/>
  <c r="AE44" i="159"/>
  <c r="V44" i="159"/>
  <c r="U44" i="159"/>
  <c r="O44" i="159"/>
  <c r="M44" i="159"/>
  <c r="N44" i="159" s="1"/>
  <c r="K44" i="159"/>
  <c r="G44" i="159"/>
  <c r="AF43" i="159"/>
  <c r="AE43" i="159"/>
  <c r="V43" i="159"/>
  <c r="U43" i="159"/>
  <c r="O43" i="159"/>
  <c r="M43" i="159"/>
  <c r="N43" i="159" s="1"/>
  <c r="K43" i="159"/>
  <c r="G43" i="159"/>
  <c r="AF42" i="159"/>
  <c r="AE42" i="159"/>
  <c r="V42" i="159"/>
  <c r="O42" i="159"/>
  <c r="M42" i="159"/>
  <c r="N42" i="159" s="1"/>
  <c r="K42" i="159"/>
  <c r="G42" i="159"/>
  <c r="AF41" i="159"/>
  <c r="AG35" i="159" s="1"/>
  <c r="AE41" i="159"/>
  <c r="AD41" i="159"/>
  <c r="Z41" i="159"/>
  <c r="Y41" i="159"/>
  <c r="O41" i="159"/>
  <c r="M41" i="159"/>
  <c r="N41" i="159" s="1"/>
  <c r="K41" i="159"/>
  <c r="AF40" i="159"/>
  <c r="AE40" i="159"/>
  <c r="V40" i="159"/>
  <c r="U40" i="159"/>
  <c r="Q40" i="159"/>
  <c r="P40" i="159"/>
  <c r="O40" i="159"/>
  <c r="N40" i="159"/>
  <c r="M40" i="159"/>
  <c r="K40" i="159"/>
  <c r="G40" i="159"/>
  <c r="AF39" i="159"/>
  <c r="AE39" i="159"/>
  <c r="X39" i="159"/>
  <c r="W39" i="159"/>
  <c r="V39" i="159"/>
  <c r="U39" i="159"/>
  <c r="Q39" i="159"/>
  <c r="P39" i="159"/>
  <c r="O39" i="159"/>
  <c r="N39" i="159"/>
  <c r="M39" i="159"/>
  <c r="K39" i="159"/>
  <c r="G39" i="159"/>
  <c r="AF38" i="159"/>
  <c r="AE38" i="159"/>
  <c r="V38" i="159"/>
  <c r="U38" i="159"/>
  <c r="Q38" i="159"/>
  <c r="P38" i="159"/>
  <c r="O38" i="159"/>
  <c r="N38" i="159"/>
  <c r="M38" i="159"/>
  <c r="K38" i="159"/>
  <c r="G38" i="159"/>
  <c r="AF37" i="159"/>
  <c r="AE37" i="159"/>
  <c r="V37" i="159"/>
  <c r="U37" i="159"/>
  <c r="O37" i="159"/>
  <c r="N37" i="159"/>
  <c r="Q37" i="159" s="1"/>
  <c r="M37" i="159"/>
  <c r="K37" i="159"/>
  <c r="G37" i="159"/>
  <c r="AF36" i="159"/>
  <c r="AE36" i="159"/>
  <c r="V36" i="159"/>
  <c r="U36" i="159"/>
  <c r="O36" i="159"/>
  <c r="N36" i="159"/>
  <c r="Q36" i="159" s="1"/>
  <c r="M36" i="159"/>
  <c r="K36" i="159"/>
  <c r="G36" i="159"/>
  <c r="AF35" i="159"/>
  <c r="AE35" i="159"/>
  <c r="X35" i="159"/>
  <c r="W35" i="159"/>
  <c r="V35" i="159"/>
  <c r="Q35" i="159"/>
  <c r="P35" i="159"/>
  <c r="O35" i="159"/>
  <c r="N35" i="159"/>
  <c r="M35" i="159"/>
  <c r="K35" i="159"/>
  <c r="G35" i="159"/>
  <c r="AD34" i="159"/>
  <c r="Z34" i="159"/>
  <c r="Y34" i="159"/>
  <c r="Q34" i="159"/>
  <c r="R27" i="159" s="1"/>
  <c r="P34" i="159"/>
  <c r="O34" i="159"/>
  <c r="N34" i="159"/>
  <c r="K14" i="158" s="1"/>
  <c r="M34" i="159"/>
  <c r="AF34" i="159" s="1"/>
  <c r="AG27" i="159" s="1"/>
  <c r="K34" i="159"/>
  <c r="AF33" i="159"/>
  <c r="AE33" i="159"/>
  <c r="V33" i="159"/>
  <c r="U33" i="159"/>
  <c r="O33" i="159"/>
  <c r="N33" i="159"/>
  <c r="Q33" i="159" s="1"/>
  <c r="M33" i="159"/>
  <c r="K33" i="159"/>
  <c r="G33" i="159"/>
  <c r="AF32" i="159"/>
  <c r="AE32" i="159"/>
  <c r="X32" i="159"/>
  <c r="W32" i="159"/>
  <c r="V32" i="159"/>
  <c r="U32" i="159"/>
  <c r="O32" i="159"/>
  <c r="N32" i="159"/>
  <c r="Q32" i="159" s="1"/>
  <c r="M32" i="159"/>
  <c r="K32" i="159"/>
  <c r="G32" i="159"/>
  <c r="AF31" i="159"/>
  <c r="AE31" i="159"/>
  <c r="V31" i="159"/>
  <c r="U31" i="159"/>
  <c r="O31" i="159"/>
  <c r="N31" i="159"/>
  <c r="Q31" i="159" s="1"/>
  <c r="M31" i="159"/>
  <c r="K31" i="159"/>
  <c r="G31" i="159"/>
  <c r="AF30" i="159"/>
  <c r="AE30" i="159"/>
  <c r="V30" i="159"/>
  <c r="U30" i="159"/>
  <c r="O30" i="159"/>
  <c r="N30" i="159"/>
  <c r="Q30" i="159" s="1"/>
  <c r="M30" i="159"/>
  <c r="K30" i="159"/>
  <c r="G30" i="159"/>
  <c r="AF29" i="159"/>
  <c r="AE29" i="159"/>
  <c r="V29" i="159"/>
  <c r="U29" i="159"/>
  <c r="Q29" i="159"/>
  <c r="P29" i="159"/>
  <c r="O29" i="159"/>
  <c r="N29" i="159"/>
  <c r="M29" i="159"/>
  <c r="K29" i="159"/>
  <c r="G29" i="159"/>
  <c r="AF28" i="159"/>
  <c r="AE28" i="159"/>
  <c r="V28" i="159"/>
  <c r="U28" i="159"/>
  <c r="O28" i="159"/>
  <c r="N28" i="159"/>
  <c r="Q28" i="159" s="1"/>
  <c r="M28" i="159"/>
  <c r="K28" i="159"/>
  <c r="G28" i="159"/>
  <c r="AF27" i="159"/>
  <c r="AE27" i="159"/>
  <c r="X27" i="159"/>
  <c r="W27" i="159"/>
  <c r="V27" i="159"/>
  <c r="O27" i="159"/>
  <c r="N27" i="159"/>
  <c r="Q27" i="159" s="1"/>
  <c r="M27" i="159"/>
  <c r="K27" i="159"/>
  <c r="G27" i="159"/>
  <c r="AD26" i="159"/>
  <c r="Z26" i="159"/>
  <c r="Y26" i="159"/>
  <c r="O26" i="159"/>
  <c r="M26" i="159"/>
  <c r="AE26" i="159" s="1"/>
  <c r="K26" i="159"/>
  <c r="AF25" i="159"/>
  <c r="AE25" i="159"/>
  <c r="V25" i="159"/>
  <c r="U25" i="159"/>
  <c r="O25" i="159"/>
  <c r="N25" i="159"/>
  <c r="Q25" i="159" s="1"/>
  <c r="M25" i="159"/>
  <c r="K25" i="159"/>
  <c r="G25" i="159"/>
  <c r="AF24" i="159"/>
  <c r="AE24" i="159"/>
  <c r="V24" i="159"/>
  <c r="U24" i="159"/>
  <c r="O24" i="159"/>
  <c r="M24" i="159"/>
  <c r="N24" i="159" s="1"/>
  <c r="K24" i="159"/>
  <c r="G24" i="159"/>
  <c r="AF23" i="159"/>
  <c r="AE23" i="159"/>
  <c r="V23" i="159"/>
  <c r="U23" i="159"/>
  <c r="O23" i="159"/>
  <c r="N23" i="159"/>
  <c r="Q23" i="159" s="1"/>
  <c r="M23" i="159"/>
  <c r="K23" i="159"/>
  <c r="G23" i="159"/>
  <c r="AF22" i="159"/>
  <c r="AE22" i="159"/>
  <c r="V22" i="159"/>
  <c r="U22" i="159"/>
  <c r="O22" i="159"/>
  <c r="M22" i="159"/>
  <c r="N22" i="159" s="1"/>
  <c r="K22" i="159"/>
  <c r="G22" i="159"/>
  <c r="AF21" i="159"/>
  <c r="AE21" i="159"/>
  <c r="V21" i="159"/>
  <c r="U21" i="159"/>
  <c r="O21" i="159"/>
  <c r="M21" i="159"/>
  <c r="N21" i="159" s="1"/>
  <c r="K21" i="159"/>
  <c r="G21" i="159"/>
  <c r="AF20" i="159"/>
  <c r="AE20" i="159"/>
  <c r="V20" i="159"/>
  <c r="U20" i="159"/>
  <c r="O20" i="159"/>
  <c r="M20" i="159"/>
  <c r="N20" i="159" s="1"/>
  <c r="K20" i="159"/>
  <c r="G20" i="159"/>
  <c r="AF19" i="159"/>
  <c r="AE19" i="159"/>
  <c r="V19" i="159"/>
  <c r="O19" i="159"/>
  <c r="M19" i="159"/>
  <c r="N19" i="159" s="1"/>
  <c r="K19" i="159"/>
  <c r="G19" i="159"/>
  <c r="AF18" i="159"/>
  <c r="AE18" i="159"/>
  <c r="AD18" i="159"/>
  <c r="Z18" i="159"/>
  <c r="Y18" i="159"/>
  <c r="O18" i="159"/>
  <c r="M18" i="159"/>
  <c r="N18" i="159" s="1"/>
  <c r="K18" i="159"/>
  <c r="AF17" i="159"/>
  <c r="AE17" i="159"/>
  <c r="V17" i="159"/>
  <c r="U17" i="159"/>
  <c r="Q17" i="159"/>
  <c r="P17" i="159"/>
  <c r="O17" i="159"/>
  <c r="N17" i="159"/>
  <c r="M17" i="159"/>
  <c r="K17" i="159"/>
  <c r="G17" i="159"/>
  <c r="AF16" i="159"/>
  <c r="AE16" i="159"/>
  <c r="V16" i="159"/>
  <c r="U16" i="159"/>
  <c r="O16" i="159"/>
  <c r="N16" i="159"/>
  <c r="Q16" i="159" s="1"/>
  <c r="M16" i="159"/>
  <c r="K16" i="159"/>
  <c r="G16" i="159"/>
  <c r="AF15" i="159"/>
  <c r="AE15" i="159"/>
  <c r="V15" i="159"/>
  <c r="U15" i="159"/>
  <c r="O15" i="159"/>
  <c r="N15" i="159"/>
  <c r="Q15" i="159" s="1"/>
  <c r="M15" i="159"/>
  <c r="K15" i="159"/>
  <c r="G15" i="159"/>
  <c r="AF14" i="159"/>
  <c r="AE14" i="159"/>
  <c r="V14" i="159"/>
  <c r="U14" i="159"/>
  <c r="O14" i="159"/>
  <c r="N14" i="159"/>
  <c r="Q14" i="159" s="1"/>
  <c r="M14" i="159"/>
  <c r="K14" i="159"/>
  <c r="G14" i="159"/>
  <c r="AF13" i="159"/>
  <c r="AE13" i="159"/>
  <c r="V13" i="159"/>
  <c r="U13" i="159"/>
  <c r="Q13" i="159"/>
  <c r="P13" i="159"/>
  <c r="O13" i="159"/>
  <c r="N13" i="159"/>
  <c r="M13" i="159"/>
  <c r="K13" i="159"/>
  <c r="G13" i="159"/>
  <c r="AG12" i="159"/>
  <c r="AF12" i="159"/>
  <c r="AE12" i="159"/>
  <c r="V12" i="159"/>
  <c r="Q12" i="159"/>
  <c r="P12" i="159"/>
  <c r="O12" i="159"/>
  <c r="N12" i="159"/>
  <c r="M12" i="159"/>
  <c r="K12" i="159"/>
  <c r="G12" i="159"/>
  <c r="AD11" i="159"/>
  <c r="Z11" i="159"/>
  <c r="Y11" i="159"/>
  <c r="O11" i="159"/>
  <c r="M11" i="159"/>
  <c r="N11" i="159" s="1"/>
  <c r="K11" i="159"/>
  <c r="AF10" i="159"/>
  <c r="AE10" i="159"/>
  <c r="V10" i="159"/>
  <c r="U10" i="159"/>
  <c r="O10" i="159"/>
  <c r="M10" i="159"/>
  <c r="N10" i="159" s="1"/>
  <c r="K10" i="159"/>
  <c r="G10" i="159"/>
  <c r="AF9" i="159"/>
  <c r="AE9" i="159"/>
  <c r="X9" i="159"/>
  <c r="W9" i="159"/>
  <c r="V9" i="159"/>
  <c r="Q9" i="159"/>
  <c r="P9" i="159"/>
  <c r="O9" i="159"/>
  <c r="N9" i="159"/>
  <c r="M9" i="159"/>
  <c r="K9" i="159"/>
  <c r="G9" i="159"/>
  <c r="AD8" i="159"/>
  <c r="Z8" i="159"/>
  <c r="Y8" i="159"/>
  <c r="O8" i="159"/>
  <c r="M8" i="159"/>
  <c r="N8" i="159" s="1"/>
  <c r="K8" i="159"/>
  <c r="AF7" i="159"/>
  <c r="AE7" i="159"/>
  <c r="V7" i="159"/>
  <c r="U7" i="159"/>
  <c r="O7" i="159"/>
  <c r="M7" i="159"/>
  <c r="N7" i="159" s="1"/>
  <c r="K7" i="159"/>
  <c r="G7" i="159"/>
  <c r="AF6" i="159"/>
  <c r="AE6" i="159"/>
  <c r="V6" i="159"/>
  <c r="U6" i="159"/>
  <c r="O6" i="159"/>
  <c r="N6" i="159"/>
  <c r="Q6" i="159" s="1"/>
  <c r="M6" i="159"/>
  <c r="K6" i="159"/>
  <c r="G6" i="159"/>
  <c r="AF5" i="159"/>
  <c r="AE5" i="159"/>
  <c r="V5" i="159"/>
  <c r="O5" i="159"/>
  <c r="N5" i="159"/>
  <c r="Q5" i="159" s="1"/>
  <c r="M5" i="159"/>
  <c r="K5" i="159"/>
  <c r="G5" i="159"/>
  <c r="AD2" i="159"/>
  <c r="N6" i="158" s="1"/>
  <c r="Z2" i="159"/>
  <c r="L6" i="158" s="1"/>
  <c r="Y2" i="159"/>
  <c r="H2" i="159"/>
  <c r="F2" i="159"/>
  <c r="H1" i="159"/>
  <c r="F1" i="159"/>
  <c r="D1" i="159"/>
  <c r="M22" i="158"/>
  <c r="L22" i="158"/>
  <c r="K22" i="158"/>
  <c r="J22" i="158"/>
  <c r="I22" i="158"/>
  <c r="H22" i="158"/>
  <c r="G22" i="158"/>
  <c r="F22" i="158"/>
  <c r="E22" i="158"/>
  <c r="D22" i="158"/>
  <c r="M21" i="158"/>
  <c r="L21" i="158"/>
  <c r="K21" i="158"/>
  <c r="J21" i="158"/>
  <c r="I21" i="158"/>
  <c r="H21" i="158"/>
  <c r="G21" i="158"/>
  <c r="F21" i="158"/>
  <c r="E21" i="158"/>
  <c r="D21" i="158"/>
  <c r="M20" i="158"/>
  <c r="L20" i="158"/>
  <c r="K20" i="158"/>
  <c r="J20" i="158"/>
  <c r="I20" i="158"/>
  <c r="H20" i="158"/>
  <c r="G20" i="158"/>
  <c r="F20" i="158"/>
  <c r="E20" i="158"/>
  <c r="D20" i="158"/>
  <c r="M19" i="158"/>
  <c r="L19" i="158"/>
  <c r="K19" i="158"/>
  <c r="J19" i="158"/>
  <c r="I19" i="158"/>
  <c r="H19" i="158"/>
  <c r="G19" i="158"/>
  <c r="F19" i="158"/>
  <c r="E19" i="158"/>
  <c r="D19" i="158"/>
  <c r="M18" i="158"/>
  <c r="L18" i="158"/>
  <c r="K18" i="158"/>
  <c r="J18" i="158"/>
  <c r="I18" i="158"/>
  <c r="H18" i="158"/>
  <c r="G18" i="158"/>
  <c r="F18" i="158"/>
  <c r="E18" i="158"/>
  <c r="D18" i="158"/>
  <c r="M17" i="158"/>
  <c r="L17" i="158"/>
  <c r="K17" i="158"/>
  <c r="J17" i="158"/>
  <c r="I17" i="158"/>
  <c r="H17" i="158"/>
  <c r="G17" i="158"/>
  <c r="F17" i="158"/>
  <c r="E17" i="158"/>
  <c r="D17" i="158"/>
  <c r="M16" i="158"/>
  <c r="L16" i="158"/>
  <c r="K16" i="158"/>
  <c r="J16" i="158"/>
  <c r="I16" i="158"/>
  <c r="H16" i="158"/>
  <c r="G16" i="158"/>
  <c r="F16" i="158"/>
  <c r="E16" i="158"/>
  <c r="D16" i="158"/>
  <c r="H14" i="158"/>
  <c r="H15" i="158" s="1"/>
  <c r="M13" i="158"/>
  <c r="L13" i="158"/>
  <c r="K13" i="158"/>
  <c r="J13" i="158"/>
  <c r="I13" i="158"/>
  <c r="H13" i="158"/>
  <c r="G13" i="158"/>
  <c r="F13" i="158"/>
  <c r="E13" i="158"/>
  <c r="D13" i="158"/>
  <c r="G6" i="158" s="1"/>
  <c r="M6" i="158"/>
  <c r="K6" i="158"/>
  <c r="I6" i="158"/>
  <c r="I3" i="158"/>
  <c r="F3" i="158"/>
  <c r="C3" i="158"/>
  <c r="E7" i="164" l="1"/>
  <c r="G7" i="164"/>
  <c r="D15" i="164"/>
  <c r="F7" i="164"/>
  <c r="Q62" i="163"/>
  <c r="R54" i="163" s="1"/>
  <c r="P62" i="163"/>
  <c r="I14" i="162"/>
  <c r="I15" i="162" s="1"/>
  <c r="Q30" i="163"/>
  <c r="R21" i="163" s="1"/>
  <c r="P30" i="163"/>
  <c r="G14" i="162"/>
  <c r="G15" i="162" s="1"/>
  <c r="D2" i="163"/>
  <c r="Q9" i="163"/>
  <c r="R5" i="163" s="1"/>
  <c r="P9" i="163"/>
  <c r="D14" i="162"/>
  <c r="L14" i="162"/>
  <c r="L15" i="162" s="1"/>
  <c r="Q49" i="163"/>
  <c r="R41" i="163" s="1"/>
  <c r="P49" i="163"/>
  <c r="Q68" i="163"/>
  <c r="R63" i="163" s="1"/>
  <c r="P68" i="163"/>
  <c r="J14" i="162"/>
  <c r="J15" i="162" s="1"/>
  <c r="Q20" i="163"/>
  <c r="R14" i="163" s="1"/>
  <c r="P20" i="163"/>
  <c r="F14" i="162"/>
  <c r="F15" i="162" s="1"/>
  <c r="P78" i="163"/>
  <c r="M14" i="162"/>
  <c r="M15" i="162" s="1"/>
  <c r="Q78" i="163"/>
  <c r="R69" i="163" s="1"/>
  <c r="P53" i="163"/>
  <c r="Q53" i="163"/>
  <c r="R50" i="163" s="1"/>
  <c r="H14" i="162"/>
  <c r="H15" i="162" s="1"/>
  <c r="Q40" i="163"/>
  <c r="R31" i="163" s="1"/>
  <c r="K14" i="162"/>
  <c r="P40" i="163"/>
  <c r="Q13" i="163"/>
  <c r="R10" i="163" s="1"/>
  <c r="P13" i="163"/>
  <c r="E14" i="162"/>
  <c r="E15" i="162" s="1"/>
  <c r="I14" i="160"/>
  <c r="I15" i="160" s="1"/>
  <c r="Q54" i="161"/>
  <c r="R46" i="161" s="1"/>
  <c r="P54" i="161"/>
  <c r="E14" i="160"/>
  <c r="E15" i="160" s="1"/>
  <c r="Q11" i="161"/>
  <c r="R9" i="161" s="1"/>
  <c r="P11" i="161"/>
  <c r="AF34" i="161"/>
  <c r="AG27" i="161" s="1"/>
  <c r="AE34" i="161"/>
  <c r="N34" i="161"/>
  <c r="N41" i="161"/>
  <c r="D2" i="161" s="1"/>
  <c r="AF41" i="161"/>
  <c r="AG35" i="161" s="1"/>
  <c r="AE41" i="161"/>
  <c r="Q68" i="161"/>
  <c r="R61" i="161" s="1"/>
  <c r="P68" i="161"/>
  <c r="M14" i="160"/>
  <c r="M15" i="160" s="1"/>
  <c r="J14" i="160"/>
  <c r="J15" i="160" s="1"/>
  <c r="Q60" i="161"/>
  <c r="R55" i="161" s="1"/>
  <c r="P60" i="161"/>
  <c r="H14" i="160"/>
  <c r="H15" i="160" s="1"/>
  <c r="Q45" i="161"/>
  <c r="R42" i="161" s="1"/>
  <c r="P45" i="161"/>
  <c r="G14" i="160"/>
  <c r="G15" i="160" s="1"/>
  <c r="Q26" i="161"/>
  <c r="R19" i="161" s="1"/>
  <c r="P26" i="161"/>
  <c r="Q55" i="161"/>
  <c r="P55" i="161"/>
  <c r="Q46" i="161"/>
  <c r="P46" i="161"/>
  <c r="D15" i="160"/>
  <c r="F14" i="160"/>
  <c r="F15" i="160" s="1"/>
  <c r="P18" i="161"/>
  <c r="Q18" i="161"/>
  <c r="R12" i="161" s="1"/>
  <c r="Q19" i="159"/>
  <c r="P19" i="159"/>
  <c r="L14" i="158"/>
  <c r="L15" i="158" s="1"/>
  <c r="Q41" i="159"/>
  <c r="R35" i="159" s="1"/>
  <c r="P41" i="159"/>
  <c r="Q10" i="159"/>
  <c r="P10" i="159"/>
  <c r="Q61" i="159"/>
  <c r="P61" i="159"/>
  <c r="Q18" i="159"/>
  <c r="R12" i="159" s="1"/>
  <c r="P18" i="159"/>
  <c r="F14" i="158"/>
  <c r="F15" i="158" s="1"/>
  <c r="Q21" i="159"/>
  <c r="P21" i="159"/>
  <c r="AF54" i="159"/>
  <c r="AG46" i="159" s="1"/>
  <c r="AE54" i="159"/>
  <c r="N54" i="159"/>
  <c r="Q7" i="159"/>
  <c r="P7" i="159"/>
  <c r="Q11" i="159"/>
  <c r="R9" i="159" s="1"/>
  <c r="E14" i="158"/>
  <c r="E15" i="158" s="1"/>
  <c r="P11" i="159"/>
  <c r="Q42" i="159"/>
  <c r="P42" i="159"/>
  <c r="Q48" i="159"/>
  <c r="P48" i="159"/>
  <c r="P59" i="159"/>
  <c r="Q59" i="159"/>
  <c r="Q44" i="159"/>
  <c r="P44" i="159"/>
  <c r="Q58" i="159"/>
  <c r="P58" i="159"/>
  <c r="Q24" i="159"/>
  <c r="P24" i="159"/>
  <c r="Q43" i="159"/>
  <c r="P43" i="159"/>
  <c r="Q64" i="159"/>
  <c r="P64" i="159"/>
  <c r="Q60" i="159"/>
  <c r="R55" i="159" s="1"/>
  <c r="P60" i="159"/>
  <c r="J14" i="158"/>
  <c r="J15" i="158" s="1"/>
  <c r="Q57" i="159"/>
  <c r="P57" i="159"/>
  <c r="D2" i="159"/>
  <c r="Q8" i="159"/>
  <c r="R5" i="159" s="1"/>
  <c r="P8" i="159"/>
  <c r="D14" i="158"/>
  <c r="Q20" i="159"/>
  <c r="P20" i="159"/>
  <c r="P22" i="159"/>
  <c r="Q22" i="159"/>
  <c r="K15" i="158"/>
  <c r="P62" i="159"/>
  <c r="Q62" i="159"/>
  <c r="AE8" i="159"/>
  <c r="AE11" i="159"/>
  <c r="AF26" i="159"/>
  <c r="AG19" i="159" s="1"/>
  <c r="E6" i="158"/>
  <c r="F6" i="158"/>
  <c r="AF8" i="159"/>
  <c r="AG5" i="159" s="1"/>
  <c r="AF11" i="159"/>
  <c r="AG9" i="159" s="1"/>
  <c r="P16" i="159"/>
  <c r="N26" i="159"/>
  <c r="P32" i="159"/>
  <c r="P37" i="159"/>
  <c r="P53" i="159"/>
  <c r="P15" i="159"/>
  <c r="P31" i="159"/>
  <c r="P33" i="159"/>
  <c r="P36" i="159"/>
  <c r="P52" i="159"/>
  <c r="P67" i="159"/>
  <c r="P14" i="159"/>
  <c r="P27" i="159"/>
  <c r="P30" i="159"/>
  <c r="P51" i="159"/>
  <c r="Q67" i="159"/>
  <c r="R61" i="159" s="1"/>
  <c r="P25" i="159"/>
  <c r="P28" i="159"/>
  <c r="AE34" i="159"/>
  <c r="P49" i="159"/>
  <c r="P65" i="159"/>
  <c r="P5" i="159"/>
  <c r="P6" i="159"/>
  <c r="P23" i="159"/>
  <c r="P45" i="159"/>
  <c r="P46" i="159"/>
  <c r="P47" i="159"/>
  <c r="P63" i="159"/>
  <c r="AE67" i="159"/>
  <c r="AD70" i="157"/>
  <c r="Z70" i="157"/>
  <c r="Y70" i="157"/>
  <c r="O70" i="157"/>
  <c r="K70" i="157"/>
  <c r="AF69" i="157"/>
  <c r="V69" i="157"/>
  <c r="U69" i="157"/>
  <c r="O69" i="157"/>
  <c r="M69" i="157"/>
  <c r="AE69" i="157" s="1"/>
  <c r="K69" i="157"/>
  <c r="G69" i="157"/>
  <c r="AF68" i="157"/>
  <c r="AE68" i="157"/>
  <c r="X68" i="157"/>
  <c r="W68" i="157"/>
  <c r="V68" i="157"/>
  <c r="U68" i="157"/>
  <c r="O68" i="157"/>
  <c r="M68" i="157"/>
  <c r="N68" i="157" s="1"/>
  <c r="K68" i="157"/>
  <c r="G68" i="157"/>
  <c r="AF67" i="157"/>
  <c r="V67" i="157"/>
  <c r="U67" i="157"/>
  <c r="O67" i="157"/>
  <c r="M67" i="157"/>
  <c r="AE67" i="157" s="1"/>
  <c r="K67" i="157"/>
  <c r="G67" i="157"/>
  <c r="AF66" i="157"/>
  <c r="AE66" i="157"/>
  <c r="V66" i="157"/>
  <c r="U66" i="157"/>
  <c r="O66" i="157"/>
  <c r="N66" i="157"/>
  <c r="Q66" i="157" s="1"/>
  <c r="M66" i="157"/>
  <c r="K66" i="157"/>
  <c r="G66" i="157"/>
  <c r="V65" i="157"/>
  <c r="M65" i="157" s="1"/>
  <c r="U65" i="157"/>
  <c r="O65" i="157"/>
  <c r="K65" i="157"/>
  <c r="G65" i="157"/>
  <c r="V64" i="157"/>
  <c r="M64" i="157" s="1"/>
  <c r="U64" i="157"/>
  <c r="O64" i="157"/>
  <c r="K64" i="157"/>
  <c r="G64" i="157"/>
  <c r="AF63" i="157"/>
  <c r="X63" i="157"/>
  <c r="W63" i="157"/>
  <c r="V63" i="157"/>
  <c r="O63" i="157"/>
  <c r="N63" i="157"/>
  <c r="Q63" i="157" s="1"/>
  <c r="M63" i="157"/>
  <c r="K63" i="157"/>
  <c r="G63" i="157"/>
  <c r="AD62" i="157"/>
  <c r="J21" i="156" s="1"/>
  <c r="Z62" i="157"/>
  <c r="Y62" i="157"/>
  <c r="O62" i="157"/>
  <c r="K62" i="157"/>
  <c r="V61" i="157"/>
  <c r="M61" i="157" s="1"/>
  <c r="U61" i="157"/>
  <c r="O61" i="157"/>
  <c r="K61" i="157"/>
  <c r="G61" i="157"/>
  <c r="V60" i="157"/>
  <c r="M60" i="157" s="1"/>
  <c r="U60" i="157"/>
  <c r="O60" i="157"/>
  <c r="K60" i="157"/>
  <c r="G60" i="157"/>
  <c r="V59" i="157"/>
  <c r="M59" i="157" s="1"/>
  <c r="U59" i="157"/>
  <c r="O59" i="157"/>
  <c r="K59" i="157"/>
  <c r="G59" i="157"/>
  <c r="V58" i="157"/>
  <c r="M58" i="157" s="1"/>
  <c r="U58" i="157"/>
  <c r="O58" i="157"/>
  <c r="K58" i="157"/>
  <c r="G58" i="157"/>
  <c r="V57" i="157"/>
  <c r="M57" i="157" s="1"/>
  <c r="O57" i="157"/>
  <c r="K57" i="157"/>
  <c r="G57" i="157"/>
  <c r="AD56" i="157"/>
  <c r="Z56" i="157"/>
  <c r="I19" i="156" s="1"/>
  <c r="Y56" i="157"/>
  <c r="I18" i="156" s="1"/>
  <c r="O56" i="157"/>
  <c r="K56" i="157"/>
  <c r="V55" i="157"/>
  <c r="U55" i="157"/>
  <c r="O55" i="157"/>
  <c r="M55" i="157"/>
  <c r="AF55" i="157" s="1"/>
  <c r="K55" i="157"/>
  <c r="G55" i="157"/>
  <c r="V54" i="157"/>
  <c r="U54" i="157"/>
  <c r="O54" i="157"/>
  <c r="M54" i="157"/>
  <c r="AF54" i="157" s="1"/>
  <c r="K54" i="157"/>
  <c r="G54" i="157"/>
  <c r="V53" i="157"/>
  <c r="U53" i="157"/>
  <c r="O53" i="157"/>
  <c r="N53" i="157"/>
  <c r="Q53" i="157" s="1"/>
  <c r="M53" i="157"/>
  <c r="AF53" i="157" s="1"/>
  <c r="K53" i="157"/>
  <c r="G53" i="157"/>
  <c r="V52" i="157"/>
  <c r="U52" i="157"/>
  <c r="O52" i="157"/>
  <c r="M52" i="157"/>
  <c r="AF52" i="157" s="1"/>
  <c r="K52" i="157"/>
  <c r="G52" i="157"/>
  <c r="AF51" i="157"/>
  <c r="V51" i="157"/>
  <c r="U51" i="157"/>
  <c r="O51" i="157"/>
  <c r="M51" i="157"/>
  <c r="AE51" i="157" s="1"/>
  <c r="K51" i="157"/>
  <c r="G51" i="157"/>
  <c r="AF50" i="157"/>
  <c r="AE50" i="157"/>
  <c r="V50" i="157"/>
  <c r="U50" i="157"/>
  <c r="O50" i="157"/>
  <c r="N50" i="157"/>
  <c r="Q50" i="157" s="1"/>
  <c r="M50" i="157"/>
  <c r="K50" i="157"/>
  <c r="G50" i="157"/>
  <c r="V49" i="157"/>
  <c r="M49" i="157" s="1"/>
  <c r="U49" i="157"/>
  <c r="O49" i="157"/>
  <c r="K49" i="157"/>
  <c r="G49" i="157"/>
  <c r="V48" i="157"/>
  <c r="M48" i="157" s="1"/>
  <c r="O48" i="157"/>
  <c r="K48" i="157"/>
  <c r="G48" i="157"/>
  <c r="AD47" i="157"/>
  <c r="H21" i="156" s="1"/>
  <c r="Z47" i="157"/>
  <c r="H19" i="156" s="1"/>
  <c r="Y47" i="157"/>
  <c r="O47" i="157"/>
  <c r="K47" i="157"/>
  <c r="V46" i="157"/>
  <c r="M46" i="157" s="1"/>
  <c r="U46" i="157"/>
  <c r="O46" i="157"/>
  <c r="K46" i="157"/>
  <c r="G46" i="157"/>
  <c r="V45" i="157"/>
  <c r="M45" i="157" s="1"/>
  <c r="U45" i="157"/>
  <c r="O45" i="157"/>
  <c r="K45" i="157"/>
  <c r="G45" i="157"/>
  <c r="V44" i="157"/>
  <c r="M44" i="157" s="1"/>
  <c r="O44" i="157"/>
  <c r="K44" i="157"/>
  <c r="G44" i="157"/>
  <c r="AD43" i="157"/>
  <c r="L21" i="156" s="1"/>
  <c r="Z43" i="157"/>
  <c r="Y43" i="157"/>
  <c r="O43" i="157"/>
  <c r="K43" i="157"/>
  <c r="V42" i="157"/>
  <c r="M42" i="157" s="1"/>
  <c r="U42" i="157"/>
  <c r="O42" i="157"/>
  <c r="K42" i="157"/>
  <c r="G42" i="157"/>
  <c r="V41" i="157"/>
  <c r="U41" i="157"/>
  <c r="O41" i="157"/>
  <c r="M41" i="157"/>
  <c r="AF41" i="157" s="1"/>
  <c r="K41" i="157"/>
  <c r="G41" i="157"/>
  <c r="X40" i="157"/>
  <c r="W40" i="157"/>
  <c r="V40" i="157"/>
  <c r="M40" i="157" s="1"/>
  <c r="U40" i="157"/>
  <c r="O40" i="157"/>
  <c r="K40" i="157"/>
  <c r="G40" i="157"/>
  <c r="V39" i="157"/>
  <c r="U39" i="157"/>
  <c r="O39" i="157"/>
  <c r="M39" i="157"/>
  <c r="AF39" i="157" s="1"/>
  <c r="K39" i="157"/>
  <c r="G39" i="157"/>
  <c r="V38" i="157"/>
  <c r="U38" i="157"/>
  <c r="O38" i="157"/>
  <c r="M38" i="157"/>
  <c r="AF38" i="157" s="1"/>
  <c r="K38" i="157"/>
  <c r="G38" i="157"/>
  <c r="V37" i="157"/>
  <c r="U37" i="157"/>
  <c r="O37" i="157"/>
  <c r="N37" i="157"/>
  <c r="Q37" i="157" s="1"/>
  <c r="M37" i="157"/>
  <c r="AF37" i="157" s="1"/>
  <c r="K37" i="157"/>
  <c r="G37" i="157"/>
  <c r="X36" i="157"/>
  <c r="W36" i="157"/>
  <c r="V36" i="157"/>
  <c r="O36" i="157"/>
  <c r="M36" i="157"/>
  <c r="AF36" i="157" s="1"/>
  <c r="K36" i="157"/>
  <c r="G36" i="157"/>
  <c r="AD35" i="157"/>
  <c r="Z35" i="157"/>
  <c r="K19" i="156" s="1"/>
  <c r="Y35" i="157"/>
  <c r="O35" i="157"/>
  <c r="K35" i="157"/>
  <c r="V34" i="157"/>
  <c r="U34" i="157"/>
  <c r="O34" i="157"/>
  <c r="N34" i="157"/>
  <c r="Q34" i="157" s="1"/>
  <c r="M34" i="157"/>
  <c r="AF34" i="157" s="1"/>
  <c r="K34" i="157"/>
  <c r="G34" i="157"/>
  <c r="V33" i="157"/>
  <c r="U33" i="157"/>
  <c r="O33" i="157"/>
  <c r="M33" i="157"/>
  <c r="AF33" i="157" s="1"/>
  <c r="K33" i="157"/>
  <c r="G33" i="157"/>
  <c r="AF32" i="157"/>
  <c r="X32" i="157"/>
  <c r="W32" i="157"/>
  <c r="V32" i="157"/>
  <c r="U32" i="157"/>
  <c r="O32" i="157"/>
  <c r="N32" i="157"/>
  <c r="Q32" i="157" s="1"/>
  <c r="M32" i="157"/>
  <c r="AE32" i="157" s="1"/>
  <c r="K32" i="157"/>
  <c r="G32" i="157"/>
  <c r="V31" i="157"/>
  <c r="U31" i="157"/>
  <c r="O31" i="157"/>
  <c r="M31" i="157"/>
  <c r="AF31" i="157" s="1"/>
  <c r="K31" i="157"/>
  <c r="G31" i="157"/>
  <c r="AF30" i="157"/>
  <c r="V30" i="157"/>
  <c r="U30" i="157"/>
  <c r="O30" i="157"/>
  <c r="M30" i="157"/>
  <c r="AE30" i="157" s="1"/>
  <c r="K30" i="157"/>
  <c r="G30" i="157"/>
  <c r="AF29" i="157"/>
  <c r="AE29" i="157"/>
  <c r="V29" i="157"/>
  <c r="U29" i="157"/>
  <c r="O29" i="157"/>
  <c r="N29" i="157"/>
  <c r="Q29" i="157" s="1"/>
  <c r="M29" i="157"/>
  <c r="K29" i="157"/>
  <c r="G29" i="157"/>
  <c r="V28" i="157"/>
  <c r="M28" i="157" s="1"/>
  <c r="U28" i="157"/>
  <c r="O28" i="157"/>
  <c r="K28" i="157"/>
  <c r="G28" i="157"/>
  <c r="AE27" i="157"/>
  <c r="X27" i="157"/>
  <c r="W27" i="157"/>
  <c r="V27" i="157"/>
  <c r="O27" i="157"/>
  <c r="M27" i="157"/>
  <c r="N27" i="157" s="1"/>
  <c r="K27" i="157"/>
  <c r="G27" i="157"/>
  <c r="AD26" i="157"/>
  <c r="Z26" i="157"/>
  <c r="Y26" i="157"/>
  <c r="O26" i="157"/>
  <c r="K26" i="157"/>
  <c r="G13" i="156" s="1"/>
  <c r="V25" i="157"/>
  <c r="M25" i="157" s="1"/>
  <c r="U25" i="157"/>
  <c r="O25" i="157"/>
  <c r="K25" i="157"/>
  <c r="G25" i="157"/>
  <c r="V24" i="157"/>
  <c r="M24" i="157" s="1"/>
  <c r="U24" i="157"/>
  <c r="O24" i="157"/>
  <c r="K24" i="157"/>
  <c r="G24" i="157"/>
  <c r="V23" i="157"/>
  <c r="M23" i="157" s="1"/>
  <c r="U23" i="157"/>
  <c r="O23" i="157"/>
  <c r="K23" i="157"/>
  <c r="G23" i="157"/>
  <c r="V22" i="157"/>
  <c r="M22" i="157" s="1"/>
  <c r="U22" i="157"/>
  <c r="O22" i="157"/>
  <c r="K22" i="157"/>
  <c r="G22" i="157"/>
  <c r="V21" i="157"/>
  <c r="M21" i="157" s="1"/>
  <c r="U21" i="157"/>
  <c r="O21" i="157"/>
  <c r="K21" i="157"/>
  <c r="G21" i="157"/>
  <c r="V20" i="157"/>
  <c r="M20" i="157" s="1"/>
  <c r="U20" i="157"/>
  <c r="O20" i="157"/>
  <c r="K20" i="157"/>
  <c r="G20" i="157"/>
  <c r="V19" i="157"/>
  <c r="M19" i="157" s="1"/>
  <c r="O19" i="157"/>
  <c r="K19" i="157"/>
  <c r="G19" i="157"/>
  <c r="AD18" i="157"/>
  <c r="F21" i="156" s="1"/>
  <c r="Z18" i="157"/>
  <c r="Y18" i="157"/>
  <c r="F18" i="156" s="1"/>
  <c r="O18" i="157"/>
  <c r="K18" i="157"/>
  <c r="V17" i="157"/>
  <c r="U17" i="157"/>
  <c r="O17" i="157"/>
  <c r="M17" i="157"/>
  <c r="AF17" i="157" s="1"/>
  <c r="K17" i="157"/>
  <c r="G17" i="157"/>
  <c r="V16" i="157"/>
  <c r="U16" i="157"/>
  <c r="O16" i="157"/>
  <c r="N16" i="157"/>
  <c r="Q16" i="157" s="1"/>
  <c r="M16" i="157"/>
  <c r="AF16" i="157" s="1"/>
  <c r="K16" i="157"/>
  <c r="G16" i="157"/>
  <c r="V15" i="157"/>
  <c r="U15" i="157"/>
  <c r="O15" i="157"/>
  <c r="M15" i="157"/>
  <c r="AF15" i="157" s="1"/>
  <c r="K15" i="157"/>
  <c r="G15" i="157"/>
  <c r="AF14" i="157"/>
  <c r="V14" i="157"/>
  <c r="U14" i="157"/>
  <c r="O14" i="157"/>
  <c r="M14" i="157"/>
  <c r="AE14" i="157" s="1"/>
  <c r="K14" i="157"/>
  <c r="G14" i="157"/>
  <c r="AF13" i="157"/>
  <c r="AE13" i="157"/>
  <c r="V13" i="157"/>
  <c r="U13" i="157"/>
  <c r="O13" i="157"/>
  <c r="N13" i="157"/>
  <c r="Q13" i="157" s="1"/>
  <c r="M13" i="157"/>
  <c r="K13" i="157"/>
  <c r="G13" i="157"/>
  <c r="AF12" i="157"/>
  <c r="AE12" i="157"/>
  <c r="V12" i="157"/>
  <c r="O12" i="157"/>
  <c r="N12" i="157"/>
  <c r="Q12" i="157" s="1"/>
  <c r="M12" i="157"/>
  <c r="M18" i="157" s="1"/>
  <c r="K12" i="157"/>
  <c r="G12" i="157"/>
  <c r="AD11" i="157"/>
  <c r="E21" i="156" s="1"/>
  <c r="Z11" i="157"/>
  <c r="Y11" i="157"/>
  <c r="O11" i="157"/>
  <c r="K11" i="157"/>
  <c r="V10" i="157"/>
  <c r="M10" i="157" s="1"/>
  <c r="U10" i="157"/>
  <c r="O10" i="157"/>
  <c r="K10" i="157"/>
  <c r="G10" i="157"/>
  <c r="AF9" i="157"/>
  <c r="X9" i="157"/>
  <c r="W9" i="157"/>
  <c r="V9" i="157"/>
  <c r="O9" i="157"/>
  <c r="N9" i="157"/>
  <c r="Q9" i="157" s="1"/>
  <c r="M9" i="157"/>
  <c r="K9" i="157"/>
  <c r="G9" i="157"/>
  <c r="AD8" i="157"/>
  <c r="AD2" i="157" s="1"/>
  <c r="N6" i="156" s="1"/>
  <c r="Z8" i="157"/>
  <c r="Y8" i="157"/>
  <c r="O8" i="157"/>
  <c r="K8" i="157"/>
  <c r="V7" i="157"/>
  <c r="M7" i="157" s="1"/>
  <c r="U7" i="157"/>
  <c r="O7" i="157"/>
  <c r="K7" i="157"/>
  <c r="G7" i="157"/>
  <c r="V6" i="157"/>
  <c r="M6" i="157" s="1"/>
  <c r="U6" i="157"/>
  <c r="O6" i="157"/>
  <c r="K6" i="157"/>
  <c r="G6" i="157"/>
  <c r="V5" i="157"/>
  <c r="M5" i="157" s="1"/>
  <c r="O5" i="157"/>
  <c r="K5" i="157"/>
  <c r="G5" i="157"/>
  <c r="F1" i="157" s="1"/>
  <c r="AC2" i="157"/>
  <c r="H2" i="157"/>
  <c r="H1" i="157"/>
  <c r="D1" i="157"/>
  <c r="M22" i="156"/>
  <c r="L22" i="156"/>
  <c r="K22" i="156"/>
  <c r="J22" i="156"/>
  <c r="I22" i="156"/>
  <c r="H22" i="156"/>
  <c r="G22" i="156"/>
  <c r="F22" i="156"/>
  <c r="E22" i="156"/>
  <c r="D22" i="156"/>
  <c r="M21" i="156"/>
  <c r="K21" i="156"/>
  <c r="I21" i="156"/>
  <c r="G21" i="156"/>
  <c r="D21" i="156"/>
  <c r="M20" i="156"/>
  <c r="L20" i="156"/>
  <c r="K20" i="156"/>
  <c r="J20" i="156"/>
  <c r="I20" i="156"/>
  <c r="H20" i="156"/>
  <c r="G20" i="156"/>
  <c r="F20" i="156"/>
  <c r="E20" i="156"/>
  <c r="D20" i="156"/>
  <c r="M19" i="156"/>
  <c r="L19" i="156"/>
  <c r="J19" i="156"/>
  <c r="G19" i="156"/>
  <c r="F19" i="156"/>
  <c r="E19" i="156"/>
  <c r="D19" i="156"/>
  <c r="M18" i="156"/>
  <c r="L18" i="156"/>
  <c r="K18" i="156"/>
  <c r="J18" i="156"/>
  <c r="H18" i="156"/>
  <c r="G18" i="156"/>
  <c r="E18" i="156"/>
  <c r="D18" i="156"/>
  <c r="M17" i="156"/>
  <c r="L17" i="156"/>
  <c r="K17" i="156"/>
  <c r="J17" i="156"/>
  <c r="I17" i="156"/>
  <c r="H17" i="156"/>
  <c r="G17" i="156"/>
  <c r="F17" i="156"/>
  <c r="E17" i="156"/>
  <c r="D17" i="156"/>
  <c r="M16" i="156"/>
  <c r="L16" i="156"/>
  <c r="K16" i="156"/>
  <c r="J16" i="156"/>
  <c r="I16" i="156"/>
  <c r="H16" i="156"/>
  <c r="G16" i="156"/>
  <c r="F16" i="156"/>
  <c r="E16" i="156"/>
  <c r="D16" i="156"/>
  <c r="M13" i="156"/>
  <c r="L13" i="156"/>
  <c r="K13" i="156"/>
  <c r="I6" i="156" s="1"/>
  <c r="J13" i="156"/>
  <c r="I13" i="156"/>
  <c r="H13" i="156"/>
  <c r="F13" i="156"/>
  <c r="E13" i="156"/>
  <c r="D13" i="156"/>
  <c r="M6" i="156"/>
  <c r="F3" i="156"/>
  <c r="C3" i="156"/>
  <c r="F8" i="164" l="1"/>
  <c r="E8" i="164"/>
  <c r="G8" i="164"/>
  <c r="I7" i="162"/>
  <c r="K15" i="162"/>
  <c r="I8" i="162" s="1"/>
  <c r="G7" i="162"/>
  <c r="F7" i="162"/>
  <c r="E7" i="162"/>
  <c r="D15" i="162"/>
  <c r="E7" i="160"/>
  <c r="F7" i="160"/>
  <c r="F8" i="160"/>
  <c r="G8" i="160"/>
  <c r="G7" i="160"/>
  <c r="Q41" i="161"/>
  <c r="R35" i="161" s="1"/>
  <c r="L14" i="160"/>
  <c r="L15" i="160" s="1"/>
  <c r="P41" i="161"/>
  <c r="K14" i="160"/>
  <c r="P34" i="161"/>
  <c r="Q34" i="161"/>
  <c r="R27" i="161" s="1"/>
  <c r="Q54" i="159"/>
  <c r="R46" i="159" s="1"/>
  <c r="I14" i="158"/>
  <c r="I15" i="158" s="1"/>
  <c r="P54" i="159"/>
  <c r="I8" i="158"/>
  <c r="Q26" i="159"/>
  <c r="R19" i="159" s="1"/>
  <c r="P26" i="159"/>
  <c r="G14" i="158"/>
  <c r="G15" i="158" s="1"/>
  <c r="I7" i="158"/>
  <c r="D15" i="158"/>
  <c r="M70" i="157"/>
  <c r="N5" i="157"/>
  <c r="AE5" i="157"/>
  <c r="M8" i="157"/>
  <c r="AF5" i="157"/>
  <c r="AF19" i="157"/>
  <c r="AE19" i="157"/>
  <c r="M26" i="157"/>
  <c r="N19" i="157"/>
  <c r="Q68" i="157"/>
  <c r="P68" i="157"/>
  <c r="N23" i="157"/>
  <c r="AE23" i="157"/>
  <c r="AF23" i="157"/>
  <c r="AF40" i="157"/>
  <c r="AE40" i="157"/>
  <c r="N40" i="157"/>
  <c r="N57" i="157"/>
  <c r="AF57" i="157"/>
  <c r="M62" i="157"/>
  <c r="AE57" i="157"/>
  <c r="AF18" i="157"/>
  <c r="AG12" i="157" s="1"/>
  <c r="AE18" i="157"/>
  <c r="N18" i="157"/>
  <c r="N7" i="157"/>
  <c r="AF7" i="157"/>
  <c r="AE7" i="157"/>
  <c r="N21" i="157"/>
  <c r="AF21" i="157"/>
  <c r="AE21" i="157"/>
  <c r="AF42" i="157"/>
  <c r="AE42" i="157"/>
  <c r="N42" i="157"/>
  <c r="N28" i="157"/>
  <c r="AE28" i="157"/>
  <c r="AF28" i="157"/>
  <c r="M35" i="157"/>
  <c r="N64" i="157"/>
  <c r="AF64" i="157"/>
  <c r="AE64" i="157"/>
  <c r="N6" i="157"/>
  <c r="AE6" i="157"/>
  <c r="AF6" i="157"/>
  <c r="N10" i="157"/>
  <c r="AF10" i="157"/>
  <c r="AE10" i="157"/>
  <c r="N22" i="157"/>
  <c r="AF22" i="157"/>
  <c r="AE22" i="157"/>
  <c r="M11" i="157"/>
  <c r="AF20" i="157"/>
  <c r="AE20" i="157"/>
  <c r="N20" i="157"/>
  <c r="N46" i="157"/>
  <c r="AE46" i="157"/>
  <c r="AF46" i="157"/>
  <c r="N61" i="157"/>
  <c r="AF61" i="157"/>
  <c r="AE61" i="157"/>
  <c r="N65" i="157"/>
  <c r="AE65" i="157"/>
  <c r="AF65" i="157"/>
  <c r="N45" i="157"/>
  <c r="AF45" i="157"/>
  <c r="AE45" i="157"/>
  <c r="N24" i="157"/>
  <c r="AF24" i="157"/>
  <c r="AE24" i="157"/>
  <c r="Q27" i="157"/>
  <c r="P27" i="157"/>
  <c r="M56" i="157"/>
  <c r="N48" i="157"/>
  <c r="AE48" i="157"/>
  <c r="AF48" i="157"/>
  <c r="N58" i="157"/>
  <c r="AF58" i="157"/>
  <c r="AE58" i="157"/>
  <c r="N25" i="157"/>
  <c r="AE25" i="157"/>
  <c r="AF25" i="157"/>
  <c r="N60" i="157"/>
  <c r="AE60" i="157"/>
  <c r="AF60" i="157"/>
  <c r="I3" i="156"/>
  <c r="F2" i="157"/>
  <c r="G6" i="156"/>
  <c r="F6" i="156"/>
  <c r="E6" i="156"/>
  <c r="N44" i="157"/>
  <c r="M47" i="157"/>
  <c r="AF44" i="157"/>
  <c r="AE44" i="157"/>
  <c r="N49" i="157"/>
  <c r="AE49" i="157"/>
  <c r="AF49" i="157"/>
  <c r="N59" i="157"/>
  <c r="AF59" i="157"/>
  <c r="AE59" i="157"/>
  <c r="Y2" i="157"/>
  <c r="K6" i="156" s="1"/>
  <c r="AE9" i="157"/>
  <c r="N17" i="157"/>
  <c r="AF27" i="157"/>
  <c r="N38" i="157"/>
  <c r="N54" i="157"/>
  <c r="AE63" i="157"/>
  <c r="N15" i="157"/>
  <c r="N31" i="157"/>
  <c r="N33" i="157"/>
  <c r="N52" i="157"/>
  <c r="N14" i="157"/>
  <c r="P16" i="157"/>
  <c r="N30" i="157"/>
  <c r="P32" i="157"/>
  <c r="P34" i="157"/>
  <c r="P37" i="157"/>
  <c r="N51" i="157"/>
  <c r="P53" i="157"/>
  <c r="N67" i="157"/>
  <c r="N69" i="157"/>
  <c r="N36" i="157"/>
  <c r="N39" i="157"/>
  <c r="N41" i="157"/>
  <c r="N55" i="157"/>
  <c r="Z2" i="157"/>
  <c r="L6" i="156" s="1"/>
  <c r="AE39" i="157"/>
  <c r="AE41" i="157"/>
  <c r="AE55" i="157"/>
  <c r="P9" i="157"/>
  <c r="P12" i="157"/>
  <c r="P13" i="157"/>
  <c r="AE17" i="157"/>
  <c r="P29" i="157"/>
  <c r="AE38" i="157"/>
  <c r="P50" i="157"/>
  <c r="AE54" i="157"/>
  <c r="P63" i="157"/>
  <c r="P66" i="157"/>
  <c r="AE16" i="157"/>
  <c r="AE34" i="157"/>
  <c r="AE36" i="157"/>
  <c r="AE37" i="157"/>
  <c r="M43" i="157"/>
  <c r="AE53" i="157"/>
  <c r="AE15" i="157"/>
  <c r="AE31" i="157"/>
  <c r="AE33" i="157"/>
  <c r="AE52" i="157"/>
  <c r="F8" i="162" l="1"/>
  <c r="E8" i="162"/>
  <c r="G8" i="162"/>
  <c r="I7" i="160"/>
  <c r="K15" i="160"/>
  <c r="G8" i="158"/>
  <c r="F8" i="158"/>
  <c r="E8" i="158"/>
  <c r="F7" i="158"/>
  <c r="E7" i="158"/>
  <c r="G7" i="158"/>
  <c r="Q48" i="157"/>
  <c r="P48" i="157"/>
  <c r="P36" i="157"/>
  <c r="Q36" i="157"/>
  <c r="Q69" i="157"/>
  <c r="P69" i="157"/>
  <c r="N43" i="157"/>
  <c r="AF43" i="157"/>
  <c r="AG36" i="157" s="1"/>
  <c r="AE43" i="157"/>
  <c r="Q49" i="157"/>
  <c r="P49" i="157"/>
  <c r="Q51" i="157"/>
  <c r="P51" i="157"/>
  <c r="Q10" i="157"/>
  <c r="P10" i="157"/>
  <c r="Q25" i="157"/>
  <c r="P25" i="157"/>
  <c r="Q44" i="157"/>
  <c r="P44" i="157"/>
  <c r="P6" i="157"/>
  <c r="Q6" i="157"/>
  <c r="P21" i="157"/>
  <c r="Q21" i="157"/>
  <c r="AE8" i="157"/>
  <c r="N8" i="157"/>
  <c r="AF8" i="157"/>
  <c r="AG5" i="157" s="1"/>
  <c r="Q59" i="157"/>
  <c r="P59" i="157"/>
  <c r="Q65" i="157"/>
  <c r="P65" i="157"/>
  <c r="Q61" i="157"/>
  <c r="P61" i="157"/>
  <c r="AF26" i="157"/>
  <c r="AG19" i="157" s="1"/>
  <c r="N26" i="157"/>
  <c r="AE26" i="157"/>
  <c r="Q38" i="157"/>
  <c r="P38" i="157"/>
  <c r="P46" i="157"/>
  <c r="Q46" i="157"/>
  <c r="P58" i="157"/>
  <c r="Q58" i="157"/>
  <c r="Q45" i="157"/>
  <c r="P45" i="157"/>
  <c r="P23" i="157"/>
  <c r="Q23" i="157"/>
  <c r="N56" i="157"/>
  <c r="AF56" i="157"/>
  <c r="AG48" i="157" s="1"/>
  <c r="AE56" i="157"/>
  <c r="Q15" i="157"/>
  <c r="P15" i="157"/>
  <c r="Q42" i="157"/>
  <c r="P42" i="157"/>
  <c r="N47" i="157"/>
  <c r="AF47" i="157"/>
  <c r="AG44" i="157" s="1"/>
  <c r="AE47" i="157"/>
  <c r="Q17" i="157"/>
  <c r="P17" i="157"/>
  <c r="Q30" i="157"/>
  <c r="P30" i="157"/>
  <c r="P55" i="157"/>
  <c r="Q55" i="157"/>
  <c r="P41" i="157"/>
  <c r="Q41" i="157"/>
  <c r="Q14" i="157"/>
  <c r="P14" i="157"/>
  <c r="AE11" i="157"/>
  <c r="N11" i="157"/>
  <c r="AF11" i="157"/>
  <c r="AG9" i="157" s="1"/>
  <c r="Q64" i="157"/>
  <c r="P64" i="157"/>
  <c r="P5" i="157"/>
  <c r="Q5" i="157"/>
  <c r="Q33" i="157"/>
  <c r="P33" i="157"/>
  <c r="Q18" i="157"/>
  <c r="R12" i="157" s="1"/>
  <c r="F14" i="156"/>
  <c r="F15" i="156" s="1"/>
  <c r="P18" i="157"/>
  <c r="Q31" i="157"/>
  <c r="P31" i="157"/>
  <c r="Q22" i="157"/>
  <c r="P22" i="157"/>
  <c r="Q67" i="157"/>
  <c r="P67" i="157"/>
  <c r="Q28" i="157"/>
  <c r="P28" i="157"/>
  <c r="P60" i="157"/>
  <c r="Q60" i="157"/>
  <c r="Q19" i="157"/>
  <c r="P19" i="157"/>
  <c r="Q54" i="157"/>
  <c r="P54" i="157"/>
  <c r="AE62" i="157"/>
  <c r="N62" i="157"/>
  <c r="AF62" i="157"/>
  <c r="AG57" i="157" s="1"/>
  <c r="Q24" i="157"/>
  <c r="P24" i="157"/>
  <c r="P57" i="157"/>
  <c r="Q57" i="157"/>
  <c r="Q20" i="157"/>
  <c r="P20" i="157"/>
  <c r="Q40" i="157"/>
  <c r="P40" i="157"/>
  <c r="P39" i="157"/>
  <c r="Q39" i="157"/>
  <c r="Q52" i="157"/>
  <c r="P52" i="157"/>
  <c r="AF35" i="157"/>
  <c r="AG27" i="157" s="1"/>
  <c r="AE35" i="157"/>
  <c r="N35" i="157"/>
  <c r="Q7" i="157"/>
  <c r="P7" i="157"/>
  <c r="AF70" i="157"/>
  <c r="AG63" i="157" s="1"/>
  <c r="AE70" i="157"/>
  <c r="N70" i="157"/>
  <c r="I8" i="160" l="1"/>
  <c r="E8" i="160"/>
  <c r="I14" i="156"/>
  <c r="I15" i="156" s="1"/>
  <c r="P56" i="157"/>
  <c r="Q56" i="157"/>
  <c r="R48" i="157" s="1"/>
  <c r="Q62" i="157"/>
  <c r="R57" i="157" s="1"/>
  <c r="P62" i="157"/>
  <c r="J14" i="156"/>
  <c r="J15" i="156" s="1"/>
  <c r="Q43" i="157"/>
  <c r="R36" i="157" s="1"/>
  <c r="L14" i="156"/>
  <c r="L15" i="156" s="1"/>
  <c r="P43" i="157"/>
  <c r="Q47" i="157"/>
  <c r="R44" i="157" s="1"/>
  <c r="P47" i="157"/>
  <c r="H14" i="156"/>
  <c r="H15" i="156" s="1"/>
  <c r="Q11" i="157"/>
  <c r="R9" i="157" s="1"/>
  <c r="P11" i="157"/>
  <c r="E14" i="156"/>
  <c r="E15" i="156" s="1"/>
  <c r="Q26" i="157"/>
  <c r="R19" i="157" s="1"/>
  <c r="P26" i="157"/>
  <c r="G14" i="156"/>
  <c r="G15" i="156" s="1"/>
  <c r="Q70" i="157"/>
  <c r="R63" i="157" s="1"/>
  <c r="P70" i="157"/>
  <c r="M14" i="156"/>
  <c r="M15" i="156" s="1"/>
  <c r="P35" i="157"/>
  <c r="Q35" i="157"/>
  <c r="R27" i="157" s="1"/>
  <c r="K14" i="156"/>
  <c r="D2" i="157"/>
  <c r="Q8" i="157"/>
  <c r="R5" i="157" s="1"/>
  <c r="P8" i="157"/>
  <c r="D14" i="156"/>
  <c r="K15" i="156" l="1"/>
  <c r="I8" i="156" s="1"/>
  <c r="I7" i="156"/>
  <c r="D15" i="156"/>
  <c r="G7" i="156"/>
  <c r="E7" i="156"/>
  <c r="F7" i="156"/>
  <c r="G8" i="156" l="1"/>
  <c r="F8" i="156"/>
  <c r="E8" i="156"/>
</calcChain>
</file>

<file path=xl/sharedStrings.xml><?xml version="1.0" encoding="utf-8"?>
<sst xmlns="http://schemas.openxmlformats.org/spreadsheetml/2006/main" count="1842" uniqueCount="593">
  <si>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2" type="noConversion"/>
  </si>
  <si>
    <t>日期</t>
    <phoneticPr fontId="2" type="noConversion"/>
  </si>
  <si>
    <t>訂單量</t>
    <phoneticPr fontId="2" type="noConversion"/>
  </si>
  <si>
    <t>營業額</t>
    <phoneticPr fontId="2" type="noConversion"/>
  </si>
  <si>
    <t>人時性</t>
    <phoneticPr fontId="2" type="noConversion"/>
  </si>
  <si>
    <t>項目</t>
    <phoneticPr fontId="11" type="noConversion"/>
  </si>
  <si>
    <t>➀</t>
    <phoneticPr fontId="11" type="noConversion"/>
  </si>
  <si>
    <t>➁</t>
    <phoneticPr fontId="11" type="noConversion"/>
  </si>
  <si>
    <t>➂</t>
    <phoneticPr fontId="11" type="noConversion"/>
  </si>
  <si>
    <t>異常停線</t>
    <phoneticPr fontId="11" type="noConversion"/>
  </si>
  <si>
    <t>短暫停線</t>
    <phoneticPr fontId="11" type="noConversion"/>
  </si>
  <si>
    <t>組合室</t>
    <phoneticPr fontId="2" type="noConversion"/>
  </si>
  <si>
    <t>全溫層</t>
    <phoneticPr fontId="2" type="noConversion"/>
  </si>
  <si>
    <t>4度C-各編組展開</t>
    <phoneticPr fontId="2" type="noConversion"/>
  </si>
  <si>
    <t>③三明治-各編組展開</t>
    <phoneticPr fontId="2" type="noConversion"/>
  </si>
  <si>
    <t>合計次數</t>
    <phoneticPr fontId="11" type="noConversion"/>
  </si>
  <si>
    <t>時間</t>
    <phoneticPr fontId="2" type="noConversion"/>
  </si>
  <si>
    <t>設備次數</t>
    <phoneticPr fontId="2" type="noConversion"/>
  </si>
  <si>
    <t>排關平均</t>
  </si>
  <si>
    <t>實績平均</t>
  </si>
  <si>
    <t>達成率平均</t>
  </si>
  <si>
    <t>※現行日本鮮食廠以達成率80%為基本(即為現行KPI)</t>
    <phoneticPr fontId="11" type="noConversion"/>
  </si>
  <si>
    <t>溫層</t>
    <phoneticPr fontId="2" type="noConversion"/>
  </si>
  <si>
    <t>➁4度C-各編組展開</t>
    <phoneticPr fontId="2" type="noConversion"/>
  </si>
  <si>
    <t>③三明治-各編組展開</t>
    <phoneticPr fontId="11" type="noConversion"/>
  </si>
  <si>
    <t>編組</t>
    <phoneticPr fontId="2" type="noConversion"/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</si>
  <si>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</si>
  <si>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</si>
  <si>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</si>
  <si>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</si>
  <si>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</si>
  <si>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</si>
  <si>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</si>
  <si>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</si>
  <si>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</si>
  <si>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</si>
  <si>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人時性</t>
    <phoneticPr fontId="11" type="noConversion"/>
  </si>
  <si>
    <t>排關</t>
    <phoneticPr fontId="2" type="noConversion"/>
  </si>
  <si>
    <t>實績</t>
    <phoneticPr fontId="2" type="noConversion"/>
  </si>
  <si>
    <t>達成率</t>
    <phoneticPr fontId="2" type="noConversion"/>
  </si>
  <si>
    <t>作業
時間</t>
    <phoneticPr fontId="2" type="noConversion"/>
  </si>
  <si>
    <t>開始</t>
    <phoneticPr fontId="2" type="noConversion"/>
  </si>
  <si>
    <t>結束</t>
    <phoneticPr fontId="2" type="noConversion"/>
  </si>
  <si>
    <t>產線異常
(5分鐘以上)</t>
    <phoneticPr fontId="23" type="noConversion"/>
  </si>
  <si>
    <t>次數</t>
    <phoneticPr fontId="23" type="noConversion"/>
  </si>
  <si>
    <t>時間/分</t>
    <phoneticPr fontId="23" type="noConversion"/>
  </si>
  <si>
    <t>短暫停線
(5分鐘以下)</t>
    <phoneticPr fontId="23" type="noConversion"/>
  </si>
  <si>
    <t>次數</t>
    <phoneticPr fontId="23" type="noConversion"/>
  </si>
  <si>
    <t>設備次數</t>
    <phoneticPr fontId="23" type="noConversion"/>
  </si>
  <si>
    <t>配置人數</t>
    <phoneticPr fontId="2" type="noConversion"/>
  </si>
  <si>
    <t>主要應用設備</t>
    <phoneticPr fontId="2" type="noConversion"/>
  </si>
  <si>
    <t>ET-55</t>
  </si>
  <si>
    <t>熱縮爐</t>
  </si>
  <si>
    <t>L型包裝機</t>
    <phoneticPr fontId="11" type="noConversion"/>
  </si>
  <si>
    <t>L型包裝機</t>
    <phoneticPr fontId="11" type="noConversion"/>
  </si>
  <si>
    <t>伺服包裝機</t>
  </si>
  <si>
    <t>三明治包裝機</t>
    <phoneticPr fontId="11" type="noConversion"/>
  </si>
  <si>
    <t>次要應用設備</t>
    <phoneticPr fontId="2" type="noConversion"/>
  </si>
  <si>
    <t>圓盤機</t>
    <phoneticPr fontId="11" type="noConversion"/>
  </si>
  <si>
    <t>備註</t>
    <phoneticPr fontId="2" type="noConversion"/>
  </si>
  <si>
    <t>握沙拉</t>
    <phoneticPr fontId="11" type="noConversion"/>
  </si>
  <si>
    <t>共用L型包裝機</t>
    <phoneticPr fontId="11" type="noConversion"/>
  </si>
  <si>
    <t>調理麵包</t>
    <phoneticPr fontId="11" type="noConversion"/>
  </si>
  <si>
    <t>炒飯+沙拉</t>
    <phoneticPr fontId="11" type="noConversion"/>
  </si>
  <si>
    <t>調理麵包</t>
    <phoneticPr fontId="11" type="noConversion"/>
  </si>
  <si>
    <t xml:space="preserve">新豐廠四度C日報分析                              </t>
    <phoneticPr fontId="11" type="noConversion"/>
  </si>
  <si>
    <t>總生產量</t>
    <phoneticPr fontId="11" type="noConversion"/>
  </si>
  <si>
    <t>營業額</t>
    <phoneticPr fontId="24" type="noConversion"/>
  </si>
  <si>
    <t>出勤人數</t>
    <phoneticPr fontId="11" type="noConversion"/>
  </si>
  <si>
    <t>產線配置圖</t>
    <phoneticPr fontId="11" type="noConversion"/>
  </si>
  <si>
    <t>生產實績</t>
    <phoneticPr fontId="11" type="noConversion"/>
  </si>
  <si>
    <t>人時性差異分析</t>
    <phoneticPr fontId="11" type="noConversion"/>
  </si>
  <si>
    <t>日報登錄</t>
    <phoneticPr fontId="11" type="noConversion"/>
  </si>
  <si>
    <t>合計
次數</t>
    <phoneticPr fontId="11" type="noConversion"/>
  </si>
  <si>
    <t>合計
時間/分</t>
    <phoneticPr fontId="2" type="noConversion"/>
  </si>
  <si>
    <t>產線異常
分析說明(5分鐘以上)</t>
    <phoneticPr fontId="11" type="noConversion"/>
  </si>
  <si>
    <t>合計
設備次數</t>
    <phoneticPr fontId="2" type="noConversion"/>
  </si>
  <si>
    <t>產能差異分析</t>
    <phoneticPr fontId="11" type="noConversion"/>
  </si>
  <si>
    <t>星期四</t>
  </si>
  <si>
    <t>人時性</t>
    <phoneticPr fontId="11" type="noConversion"/>
  </si>
  <si>
    <t>平均廠價</t>
  </si>
  <si>
    <t>多次生產數</t>
    <phoneticPr fontId="11" type="noConversion"/>
  </si>
  <si>
    <t>線別</t>
    <phoneticPr fontId="2" type="noConversion"/>
  </si>
  <si>
    <t>品類</t>
    <phoneticPr fontId="11" type="noConversion"/>
  </si>
  <si>
    <t>品名</t>
    <phoneticPr fontId="2" type="noConversion"/>
  </si>
  <si>
    <t>廠價</t>
    <phoneticPr fontId="24" type="noConversion"/>
  </si>
  <si>
    <t>生產量</t>
    <phoneticPr fontId="11" type="noConversion"/>
  </si>
  <si>
    <t>營收</t>
    <phoneticPr fontId="24" type="noConversion"/>
  </si>
  <si>
    <t>多次
生產</t>
    <phoneticPr fontId="11" type="noConversion"/>
  </si>
  <si>
    <t>人數</t>
    <phoneticPr fontId="11" type="noConversion"/>
  </si>
  <si>
    <t>產能/時</t>
    <phoneticPr fontId="11" type="noConversion"/>
  </si>
  <si>
    <t>人時性</t>
    <phoneticPr fontId="11" type="noConversion"/>
  </si>
  <si>
    <t>達成率</t>
    <phoneticPr fontId="11" type="noConversion"/>
  </si>
  <si>
    <t>達成率平均</t>
    <phoneticPr fontId="11" type="noConversion"/>
  </si>
  <si>
    <t>生產時間</t>
    <rPh sb="0" eb="4">
      <t>カイシジカン</t>
    </rPh>
    <phoneticPr fontId="8"/>
  </si>
  <si>
    <t>換線、休息/分</t>
    <rPh sb="0" eb="2">
      <t>キリカエ</t>
    </rPh>
    <phoneticPr fontId="8"/>
  </si>
  <si>
    <t>稼動時間/分</t>
    <phoneticPr fontId="11" type="noConversion"/>
  </si>
  <si>
    <t>休息時間</t>
    <phoneticPr fontId="11" type="noConversion"/>
  </si>
  <si>
    <t>產線異常統計
(5分鐘以上)</t>
    <phoneticPr fontId="11" type="noConversion"/>
  </si>
  <si>
    <t>(新豐回填)</t>
    <phoneticPr fontId="11" type="noConversion"/>
  </si>
  <si>
    <t>短暫停線統計
(5分鐘以下)</t>
    <phoneticPr fontId="11" type="noConversion"/>
  </si>
  <si>
    <t>產能/時</t>
    <phoneticPr fontId="11" type="noConversion"/>
  </si>
  <si>
    <t>達成率</t>
    <phoneticPr fontId="11" type="noConversion"/>
  </si>
  <si>
    <t>達成率平均</t>
    <phoneticPr fontId="11" type="noConversion"/>
  </si>
  <si>
    <t>開始</t>
    <rPh sb="0" eb="2">
      <t>カイシジカン</t>
    </rPh>
    <phoneticPr fontId="8"/>
  </si>
  <si>
    <t>結束</t>
    <rPh sb="0" eb="2">
      <t>シュウリョウジカン</t>
    </rPh>
    <phoneticPr fontId="8"/>
  </si>
  <si>
    <t>開始</t>
    <phoneticPr fontId="11" type="noConversion"/>
  </si>
  <si>
    <t>結束</t>
    <phoneticPr fontId="11" type="noConversion"/>
  </si>
  <si>
    <t>次數</t>
    <phoneticPr fontId="23" type="noConversion"/>
  </si>
  <si>
    <t>時間/分</t>
    <phoneticPr fontId="23" type="noConversion"/>
  </si>
  <si>
    <t>總次數</t>
    <phoneticPr fontId="23" type="noConversion"/>
  </si>
  <si>
    <t>設備因素(次數)</t>
    <phoneticPr fontId="23" type="noConversion"/>
  </si>
  <si>
    <t>新豐6線</t>
    <phoneticPr fontId="11" type="noConversion"/>
  </si>
  <si>
    <t>微波主食</t>
  </si>
  <si>
    <t>二配金咖哩果香甘口咖哩飯</t>
  </si>
  <si>
    <t/>
  </si>
  <si>
    <t>新豐6線</t>
    <phoneticPr fontId="11" type="noConversion"/>
  </si>
  <si>
    <t>二配金咖哩濃厚辛口咖哩飯</t>
  </si>
  <si>
    <t>二配泰式綠咖哩雞</t>
  </si>
  <si>
    <t>平均</t>
    <phoneticPr fontId="11" type="noConversion"/>
  </si>
  <si>
    <t>新豐2線</t>
    <phoneticPr fontId="11" type="noConversion"/>
  </si>
  <si>
    <t>沙拉</t>
  </si>
  <si>
    <t>青醬優格雞肉握沙拉(113年)</t>
  </si>
  <si>
    <t>青檸烤雞握沙拉(113年)</t>
  </si>
  <si>
    <t>新豐5線</t>
    <phoneticPr fontId="11" type="noConversion"/>
  </si>
  <si>
    <t>季節調理麵</t>
  </si>
  <si>
    <t>台式麻醬涼麵(115年)</t>
  </si>
  <si>
    <t>小吃</t>
  </si>
  <si>
    <t>剝皮辣椒雞湯</t>
  </si>
  <si>
    <t>厚蛋時蔬握沙拉</t>
  </si>
  <si>
    <t>二配打拋風味豬肉飯</t>
  </si>
  <si>
    <t>二配厚香料優格咖哩雞排飯</t>
  </si>
  <si>
    <t>二配玉米濃湯焗烤飯</t>
  </si>
  <si>
    <t>新豐7線</t>
    <phoneticPr fontId="11" type="noConversion"/>
  </si>
  <si>
    <t>韓式泡菜豬肉豆腐丼飯</t>
  </si>
  <si>
    <t>鐵板滑蛋炸豬排丼</t>
  </si>
  <si>
    <t>日式炙烤親子丼</t>
  </si>
  <si>
    <t>熊本麥味噌炸豬排丼飯</t>
  </si>
  <si>
    <t>二配川味麻婆燒豆腐燴飯</t>
  </si>
  <si>
    <t>二配美味蟹煲</t>
  </si>
  <si>
    <t>二配港式滑蛋牛肉燴飯</t>
  </si>
  <si>
    <t>新豐8線</t>
    <phoneticPr fontId="11" type="noConversion"/>
  </si>
  <si>
    <t>三明治</t>
  </si>
  <si>
    <t>紐奧良風味烤雞鮮蔬三明治</t>
  </si>
  <si>
    <t>醬燒烤雞三明治(115年)</t>
  </si>
  <si>
    <t>經典火腿玉米蛋三明治</t>
  </si>
  <si>
    <t>好多菜三明治</t>
  </si>
  <si>
    <t>新豐8線</t>
    <phoneticPr fontId="11" type="noConversion"/>
  </si>
  <si>
    <t>茄汁厚起司三明治</t>
  </si>
  <si>
    <t>金黃玉米蛋三明治</t>
  </si>
  <si>
    <t>新豐9線</t>
    <phoneticPr fontId="11" type="noConversion"/>
  </si>
  <si>
    <t>經典總匯三明治(115年)</t>
  </si>
  <si>
    <t>鮪魚起司溏心蛋三明治(115年)</t>
  </si>
  <si>
    <t>好多蛋三明治</t>
  </si>
  <si>
    <t>雞蛋沙拉三明治(114年)</t>
  </si>
  <si>
    <t>巧克力肉鬆三明治</t>
  </si>
  <si>
    <t>新豐3線</t>
    <phoneticPr fontId="11" type="noConversion"/>
  </si>
  <si>
    <t>調理麵包</t>
  </si>
  <si>
    <t>豬肉起司堡</t>
  </si>
  <si>
    <t>豬肉起司蛋堡</t>
  </si>
  <si>
    <t>墨西哥辣醬熱狗堡</t>
  </si>
  <si>
    <t>新豐1線</t>
    <phoneticPr fontId="11" type="noConversion"/>
  </si>
  <si>
    <t>蔥鹽雞肉麵沙拉(114年)</t>
  </si>
  <si>
    <t>莎莎烤雞麵沙拉(115年)</t>
  </si>
  <si>
    <t>炙烤醬香燒豚飯</t>
  </si>
  <si>
    <t>金沙醬牛豚雙饗飯</t>
  </si>
  <si>
    <t>壹號醬泡菜鹽蔥雞豚雙拼</t>
  </si>
  <si>
    <t>二配香辣醬蒜味香腸蛋炒飯</t>
  </si>
  <si>
    <t>二配排骨蛋炒飯</t>
  </si>
  <si>
    <t>二配叉燒蛋炒飯</t>
  </si>
  <si>
    <t>新豐10線</t>
    <phoneticPr fontId="11" type="noConversion"/>
  </si>
  <si>
    <t>經典雙牛起司堡(113年)</t>
  </si>
  <si>
    <t>香雞蛋堡(112年)</t>
  </si>
  <si>
    <t>超HOT雞腿堡</t>
  </si>
  <si>
    <t>美式雞腿堡</t>
  </si>
  <si>
    <t>益活雞力能量堡</t>
  </si>
  <si>
    <t>新豐4線</t>
    <phoneticPr fontId="11" type="noConversion"/>
  </si>
  <si>
    <t>火腿起司蛋三明治</t>
  </si>
  <si>
    <t>肉鬆火腿三明治(115年)</t>
  </si>
  <si>
    <t>紅豆黑糖麻糬三明治</t>
  </si>
  <si>
    <t>水果聖代三明治</t>
  </si>
  <si>
    <t>起司芋見肉鬆三明治</t>
  </si>
  <si>
    <t>輕乳酪巧克力三明治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</si>
  <si>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2" type="noConversion"/>
  </si>
  <si>
    <t>日期</t>
    <phoneticPr fontId="2" type="noConversion"/>
  </si>
  <si>
    <t>訂單量</t>
    <phoneticPr fontId="2" type="noConversion"/>
  </si>
  <si>
    <t>營業額</t>
    <phoneticPr fontId="2" type="noConversion"/>
  </si>
  <si>
    <t>人時性</t>
    <phoneticPr fontId="2" type="noConversion"/>
  </si>
  <si>
    <t>項目</t>
    <phoneticPr fontId="11" type="noConversion"/>
  </si>
  <si>
    <t>➁</t>
    <phoneticPr fontId="11" type="noConversion"/>
  </si>
  <si>
    <t>異常停線</t>
    <phoneticPr fontId="11" type="noConversion"/>
  </si>
  <si>
    <t>短暫停線</t>
    <phoneticPr fontId="11" type="noConversion"/>
  </si>
  <si>
    <t>組合室</t>
    <phoneticPr fontId="2" type="noConversion"/>
  </si>
  <si>
    <t>全溫層</t>
    <phoneticPr fontId="2" type="noConversion"/>
  </si>
  <si>
    <t>4度C-各編組展開</t>
    <phoneticPr fontId="2" type="noConversion"/>
  </si>
  <si>
    <t>③三明治-各編組展開</t>
    <phoneticPr fontId="2" type="noConversion"/>
  </si>
  <si>
    <t>合計次數</t>
    <phoneticPr fontId="11" type="noConversion"/>
  </si>
  <si>
    <t>時間</t>
    <phoneticPr fontId="2" type="noConversion"/>
  </si>
  <si>
    <t>設備次數</t>
    <phoneticPr fontId="2" type="noConversion"/>
  </si>
  <si>
    <t>※現行日本鮮食廠以達成率80%為基本(即為現行KPI)</t>
    <phoneticPr fontId="11" type="noConversion"/>
  </si>
  <si>
    <t>溫層</t>
    <phoneticPr fontId="2" type="noConversion"/>
  </si>
  <si>
    <t>➁4度C-各編組展開</t>
    <phoneticPr fontId="2" type="noConversion"/>
  </si>
  <si>
    <t>③三明治-各編組展開</t>
    <phoneticPr fontId="11" type="noConversion"/>
  </si>
  <si>
    <t>編組</t>
    <phoneticPr fontId="2" type="noConversion"/>
  </si>
  <si>
    <t>人時性</t>
    <phoneticPr fontId="11" type="noConversion"/>
  </si>
  <si>
    <t>實績</t>
    <phoneticPr fontId="2" type="noConversion"/>
  </si>
  <si>
    <t>達成率</t>
    <phoneticPr fontId="2" type="noConversion"/>
  </si>
  <si>
    <t>作業
時間</t>
    <phoneticPr fontId="2" type="noConversion"/>
  </si>
  <si>
    <t>開始</t>
    <phoneticPr fontId="2" type="noConversion"/>
  </si>
  <si>
    <t>結束</t>
    <phoneticPr fontId="2" type="noConversion"/>
  </si>
  <si>
    <t>產線異常
(5分鐘以上)</t>
    <phoneticPr fontId="23" type="noConversion"/>
  </si>
  <si>
    <t>次數</t>
    <phoneticPr fontId="23" type="noConversion"/>
  </si>
  <si>
    <t>時間/分</t>
    <phoneticPr fontId="23" type="noConversion"/>
  </si>
  <si>
    <t>短暫停線
(5分鐘以下)</t>
    <phoneticPr fontId="23" type="noConversion"/>
  </si>
  <si>
    <t>設備次數</t>
    <phoneticPr fontId="23" type="noConversion"/>
  </si>
  <si>
    <t>配置人數</t>
    <phoneticPr fontId="2" type="noConversion"/>
  </si>
  <si>
    <t>主要應用設備</t>
    <phoneticPr fontId="2" type="noConversion"/>
  </si>
  <si>
    <t>L型包裝機</t>
    <phoneticPr fontId="11" type="noConversion"/>
  </si>
  <si>
    <t>L型包裝機</t>
    <phoneticPr fontId="11" type="noConversion"/>
  </si>
  <si>
    <t>三明治包裝機</t>
    <phoneticPr fontId="11" type="noConversion"/>
  </si>
  <si>
    <t>三明治包裝機</t>
    <phoneticPr fontId="11" type="noConversion"/>
  </si>
  <si>
    <t>次要應用設備</t>
    <phoneticPr fontId="2" type="noConversion"/>
  </si>
  <si>
    <t>圓盤機</t>
    <phoneticPr fontId="11" type="noConversion"/>
  </si>
  <si>
    <t>備註</t>
    <phoneticPr fontId="2" type="noConversion"/>
  </si>
  <si>
    <t>握沙拉</t>
    <phoneticPr fontId="11" type="noConversion"/>
  </si>
  <si>
    <t>共用L型包裝機</t>
    <phoneticPr fontId="11" type="noConversion"/>
  </si>
  <si>
    <t>調理麵包</t>
    <phoneticPr fontId="11" type="noConversion"/>
  </si>
  <si>
    <t>炒飯+沙拉</t>
    <phoneticPr fontId="11" type="noConversion"/>
  </si>
  <si>
    <t>調理麵包</t>
    <phoneticPr fontId="11" type="noConversion"/>
  </si>
  <si>
    <t xml:space="preserve">新豐廠四度C日報分析                              </t>
    <phoneticPr fontId="11" type="noConversion"/>
  </si>
  <si>
    <t>總生產量</t>
    <phoneticPr fontId="11" type="noConversion"/>
  </si>
  <si>
    <t>營業額</t>
    <phoneticPr fontId="24" type="noConversion"/>
  </si>
  <si>
    <t>出勤人數</t>
    <phoneticPr fontId="11" type="noConversion"/>
  </si>
  <si>
    <t>產線配置圖</t>
    <phoneticPr fontId="11" type="noConversion"/>
  </si>
  <si>
    <t>生產實績</t>
    <phoneticPr fontId="11" type="noConversion"/>
  </si>
  <si>
    <t>人時性差異分析</t>
    <phoneticPr fontId="11" type="noConversion"/>
  </si>
  <si>
    <t>日報登錄</t>
    <phoneticPr fontId="11" type="noConversion"/>
  </si>
  <si>
    <t>合計
次數</t>
    <phoneticPr fontId="11" type="noConversion"/>
  </si>
  <si>
    <t>合計
時間/分</t>
    <phoneticPr fontId="2" type="noConversion"/>
  </si>
  <si>
    <t>產線異常
分析說明(5分鐘以上)</t>
    <phoneticPr fontId="11" type="noConversion"/>
  </si>
  <si>
    <t>合計
次數</t>
    <phoneticPr fontId="11" type="noConversion"/>
  </si>
  <si>
    <t>合計
設備次數</t>
    <phoneticPr fontId="2" type="noConversion"/>
  </si>
  <si>
    <t>產能差異分析</t>
    <phoneticPr fontId="11" type="noConversion"/>
  </si>
  <si>
    <t>星期五</t>
  </si>
  <si>
    <t>人時性</t>
    <phoneticPr fontId="11" type="noConversion"/>
  </si>
  <si>
    <t>多次生產數</t>
    <phoneticPr fontId="11" type="noConversion"/>
  </si>
  <si>
    <t>品類</t>
    <phoneticPr fontId="11" type="noConversion"/>
  </si>
  <si>
    <t>品名</t>
    <phoneticPr fontId="2" type="noConversion"/>
  </si>
  <si>
    <t>廠價</t>
    <phoneticPr fontId="24" type="noConversion"/>
  </si>
  <si>
    <t>生產量</t>
    <phoneticPr fontId="11" type="noConversion"/>
  </si>
  <si>
    <t>營收</t>
    <phoneticPr fontId="24" type="noConversion"/>
  </si>
  <si>
    <t>多次
生產</t>
    <phoneticPr fontId="11" type="noConversion"/>
  </si>
  <si>
    <t>人數</t>
    <phoneticPr fontId="11" type="noConversion"/>
  </si>
  <si>
    <t>產能/時</t>
    <phoneticPr fontId="11" type="noConversion"/>
  </si>
  <si>
    <t>產能/時</t>
    <phoneticPr fontId="11" type="noConversion"/>
  </si>
  <si>
    <t>人時性</t>
    <phoneticPr fontId="11" type="noConversion"/>
  </si>
  <si>
    <t>人數</t>
    <phoneticPr fontId="11" type="noConversion"/>
  </si>
  <si>
    <t>達成率</t>
    <phoneticPr fontId="11" type="noConversion"/>
  </si>
  <si>
    <t>達成率平均</t>
    <phoneticPr fontId="11" type="noConversion"/>
  </si>
  <si>
    <t>稼動時間/分</t>
    <phoneticPr fontId="11" type="noConversion"/>
  </si>
  <si>
    <t>休息時間</t>
    <phoneticPr fontId="11" type="noConversion"/>
  </si>
  <si>
    <t>產線異常統計
(5分鐘以上)</t>
    <phoneticPr fontId="11" type="noConversion"/>
  </si>
  <si>
    <t>(新豐回填)</t>
    <phoneticPr fontId="11" type="noConversion"/>
  </si>
  <si>
    <t>短暫停線統計
(5分鐘以下)</t>
    <phoneticPr fontId="11" type="noConversion"/>
  </si>
  <si>
    <t>產能/時</t>
    <phoneticPr fontId="11" type="noConversion"/>
  </si>
  <si>
    <t>達成率平均</t>
    <phoneticPr fontId="11" type="noConversion"/>
  </si>
  <si>
    <t>開始</t>
    <phoneticPr fontId="11" type="noConversion"/>
  </si>
  <si>
    <t>結束</t>
    <phoneticPr fontId="11" type="noConversion"/>
  </si>
  <si>
    <t>次數</t>
    <phoneticPr fontId="23" type="noConversion"/>
  </si>
  <si>
    <t>時間/分</t>
    <phoneticPr fontId="23" type="noConversion"/>
  </si>
  <si>
    <t>總次數</t>
    <phoneticPr fontId="23" type="noConversion"/>
  </si>
  <si>
    <t>設備因素(次數)</t>
    <phoneticPr fontId="23" type="noConversion"/>
  </si>
  <si>
    <t>新豐6線</t>
    <phoneticPr fontId="11" type="noConversion"/>
  </si>
  <si>
    <t>新豐6線</t>
    <phoneticPr fontId="11" type="noConversion"/>
  </si>
  <si>
    <t>新豐6線</t>
    <phoneticPr fontId="11" type="noConversion"/>
  </si>
  <si>
    <t>新豐6線</t>
    <phoneticPr fontId="11" type="noConversion"/>
  </si>
  <si>
    <t>平均</t>
    <phoneticPr fontId="11" type="noConversion"/>
  </si>
  <si>
    <t>新豐2線</t>
    <phoneticPr fontId="11" type="noConversion"/>
  </si>
  <si>
    <t>平均</t>
    <phoneticPr fontId="11" type="noConversion"/>
  </si>
  <si>
    <t>新豐5線</t>
    <phoneticPr fontId="11" type="noConversion"/>
  </si>
  <si>
    <t>新豐7線</t>
    <phoneticPr fontId="11" type="noConversion"/>
  </si>
  <si>
    <t>新豐8線</t>
    <phoneticPr fontId="11" type="noConversion"/>
  </si>
  <si>
    <t>新豐9線</t>
    <phoneticPr fontId="11" type="noConversion"/>
  </si>
  <si>
    <t>新豐3線</t>
    <phoneticPr fontId="11" type="noConversion"/>
  </si>
  <si>
    <t>新豐3線</t>
    <phoneticPr fontId="11" type="noConversion"/>
  </si>
  <si>
    <t>新豐1線</t>
    <phoneticPr fontId="11" type="noConversion"/>
  </si>
  <si>
    <t>新豐1線</t>
    <phoneticPr fontId="11" type="noConversion"/>
  </si>
  <si>
    <t>新豐10線</t>
    <phoneticPr fontId="11" type="noConversion"/>
  </si>
  <si>
    <t>新豐10線</t>
    <phoneticPr fontId="11" type="noConversion"/>
  </si>
  <si>
    <t>新豐10線</t>
    <phoneticPr fontId="11" type="noConversion"/>
  </si>
  <si>
    <t>平均</t>
    <phoneticPr fontId="11" type="noConversion"/>
  </si>
  <si>
    <t>新豐4線</t>
    <phoneticPr fontId="11" type="noConversion"/>
  </si>
  <si>
    <t>新豐4線</t>
    <phoneticPr fontId="11" type="noConversion"/>
  </si>
  <si>
    <t>平均</t>
    <phoneticPr fontId="11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</si>
  <si>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2" type="noConversion"/>
  </si>
  <si>
    <t>日期</t>
    <phoneticPr fontId="2" type="noConversion"/>
  </si>
  <si>
    <t>訂單量</t>
    <phoneticPr fontId="2" type="noConversion"/>
  </si>
  <si>
    <t>營業額</t>
    <phoneticPr fontId="2" type="noConversion"/>
  </si>
  <si>
    <t>人時性</t>
    <phoneticPr fontId="2" type="noConversion"/>
  </si>
  <si>
    <t>項目</t>
    <phoneticPr fontId="11" type="noConversion"/>
  </si>
  <si>
    <t>➀</t>
    <phoneticPr fontId="11" type="noConversion"/>
  </si>
  <si>
    <t>➁</t>
    <phoneticPr fontId="11" type="noConversion"/>
  </si>
  <si>
    <t>➂</t>
    <phoneticPr fontId="11" type="noConversion"/>
  </si>
  <si>
    <t>異常停線</t>
    <phoneticPr fontId="11" type="noConversion"/>
  </si>
  <si>
    <t>短暫停線</t>
    <phoneticPr fontId="11" type="noConversion"/>
  </si>
  <si>
    <t>組合室</t>
    <phoneticPr fontId="2" type="noConversion"/>
  </si>
  <si>
    <t>全溫層</t>
    <phoneticPr fontId="2" type="noConversion"/>
  </si>
  <si>
    <t>4度C-各編組展開</t>
    <phoneticPr fontId="2" type="noConversion"/>
  </si>
  <si>
    <t>③三明治-各編組展開</t>
    <phoneticPr fontId="2" type="noConversion"/>
  </si>
  <si>
    <t>時間</t>
    <phoneticPr fontId="2" type="noConversion"/>
  </si>
  <si>
    <t>合計次數</t>
    <phoneticPr fontId="11" type="noConversion"/>
  </si>
  <si>
    <t>設備次數</t>
    <phoneticPr fontId="2" type="noConversion"/>
  </si>
  <si>
    <t>※現行日本鮮食廠以達成率80%為基本(即為現行KPI)</t>
    <phoneticPr fontId="11" type="noConversion"/>
  </si>
  <si>
    <t>溫層</t>
    <phoneticPr fontId="2" type="noConversion"/>
  </si>
  <si>
    <t>➁4度C-各編組展開</t>
    <phoneticPr fontId="2" type="noConversion"/>
  </si>
  <si>
    <t>③三明治-各編組展開</t>
    <phoneticPr fontId="11" type="noConversion"/>
  </si>
  <si>
    <t>編組</t>
    <phoneticPr fontId="2" type="noConversion"/>
  </si>
  <si>
    <t>人時性</t>
    <phoneticPr fontId="11" type="noConversion"/>
  </si>
  <si>
    <t>排關</t>
    <phoneticPr fontId="2" type="noConversion"/>
  </si>
  <si>
    <t>實績</t>
    <phoneticPr fontId="2" type="noConversion"/>
  </si>
  <si>
    <t>達成率</t>
    <phoneticPr fontId="2" type="noConversion"/>
  </si>
  <si>
    <t>作業
時間</t>
    <phoneticPr fontId="2" type="noConversion"/>
  </si>
  <si>
    <t>結束</t>
    <phoneticPr fontId="2" type="noConversion"/>
  </si>
  <si>
    <t>產線異常
(5分鐘以上)</t>
    <phoneticPr fontId="23" type="noConversion"/>
  </si>
  <si>
    <t>時間/分</t>
    <phoneticPr fontId="23" type="noConversion"/>
  </si>
  <si>
    <t>短暫停線
(5分鐘以下)</t>
    <phoneticPr fontId="23" type="noConversion"/>
  </si>
  <si>
    <t>次數</t>
    <phoneticPr fontId="23" type="noConversion"/>
  </si>
  <si>
    <t>設備次數</t>
    <phoneticPr fontId="23" type="noConversion"/>
  </si>
  <si>
    <t>主要應用設備</t>
    <phoneticPr fontId="2" type="noConversion"/>
  </si>
  <si>
    <t>L型包裝機</t>
    <phoneticPr fontId="11" type="noConversion"/>
  </si>
  <si>
    <t>三明治包裝機</t>
    <phoneticPr fontId="11" type="noConversion"/>
  </si>
  <si>
    <t>次要應用設備</t>
    <phoneticPr fontId="2" type="noConversion"/>
  </si>
  <si>
    <t>圓盤機</t>
    <phoneticPr fontId="11" type="noConversion"/>
  </si>
  <si>
    <t>備註</t>
    <phoneticPr fontId="2" type="noConversion"/>
  </si>
  <si>
    <t>握沙拉</t>
    <phoneticPr fontId="11" type="noConversion"/>
  </si>
  <si>
    <t>共用L型包裝機</t>
    <phoneticPr fontId="11" type="noConversion"/>
  </si>
  <si>
    <t>調理麵包</t>
    <phoneticPr fontId="11" type="noConversion"/>
  </si>
  <si>
    <t>炒飯+沙拉</t>
    <phoneticPr fontId="11" type="noConversion"/>
  </si>
  <si>
    <t xml:space="preserve">新豐廠四度C日報分析                              </t>
    <phoneticPr fontId="11" type="noConversion"/>
  </si>
  <si>
    <t>總生產量</t>
    <phoneticPr fontId="11" type="noConversion"/>
  </si>
  <si>
    <t>營業額</t>
    <phoneticPr fontId="24" type="noConversion"/>
  </si>
  <si>
    <t>出勤人數</t>
    <phoneticPr fontId="11" type="noConversion"/>
  </si>
  <si>
    <t>產線配置圖</t>
    <phoneticPr fontId="11" type="noConversion"/>
  </si>
  <si>
    <t>生產實績</t>
    <phoneticPr fontId="11" type="noConversion"/>
  </si>
  <si>
    <t>人時性差異分析</t>
    <phoneticPr fontId="11" type="noConversion"/>
  </si>
  <si>
    <t>日報登錄</t>
    <phoneticPr fontId="11" type="noConversion"/>
  </si>
  <si>
    <t>合計
次數</t>
    <phoneticPr fontId="11" type="noConversion"/>
  </si>
  <si>
    <t>合計
時間/分</t>
    <phoneticPr fontId="2" type="noConversion"/>
  </si>
  <si>
    <t>產線異常
分析說明(5分鐘以上)</t>
    <phoneticPr fontId="11" type="noConversion"/>
  </si>
  <si>
    <t>合計
設備次數</t>
    <phoneticPr fontId="2" type="noConversion"/>
  </si>
  <si>
    <t>產能差異分析</t>
    <phoneticPr fontId="11" type="noConversion"/>
  </si>
  <si>
    <t>星期六</t>
  </si>
  <si>
    <t>多次生產數</t>
    <phoneticPr fontId="11" type="noConversion"/>
  </si>
  <si>
    <t>線別</t>
    <phoneticPr fontId="2" type="noConversion"/>
  </si>
  <si>
    <t>品類</t>
    <phoneticPr fontId="11" type="noConversion"/>
  </si>
  <si>
    <t>品名</t>
    <phoneticPr fontId="2" type="noConversion"/>
  </si>
  <si>
    <t>廠價</t>
    <phoneticPr fontId="24" type="noConversion"/>
  </si>
  <si>
    <t>生產量</t>
    <phoneticPr fontId="11" type="noConversion"/>
  </si>
  <si>
    <t>營收</t>
    <phoneticPr fontId="24" type="noConversion"/>
  </si>
  <si>
    <t>多次
生產</t>
    <phoneticPr fontId="11" type="noConversion"/>
  </si>
  <si>
    <t>人數</t>
    <phoneticPr fontId="11" type="noConversion"/>
  </si>
  <si>
    <t>產能/時</t>
    <phoneticPr fontId="11" type="noConversion"/>
  </si>
  <si>
    <t>人數</t>
    <phoneticPr fontId="11" type="noConversion"/>
  </si>
  <si>
    <t>達成率</t>
    <phoneticPr fontId="11" type="noConversion"/>
  </si>
  <si>
    <t>達成率平均</t>
    <phoneticPr fontId="11" type="noConversion"/>
  </si>
  <si>
    <t>稼動時間/分</t>
    <phoneticPr fontId="11" type="noConversion"/>
  </si>
  <si>
    <t>休息時間</t>
    <phoneticPr fontId="11" type="noConversion"/>
  </si>
  <si>
    <t>產線異常統計
(5分鐘以上)</t>
    <phoneticPr fontId="11" type="noConversion"/>
  </si>
  <si>
    <t>(新豐回填)</t>
    <phoneticPr fontId="11" type="noConversion"/>
  </si>
  <si>
    <t>短暫停線統計
(5分鐘以下)</t>
    <phoneticPr fontId="11" type="noConversion"/>
  </si>
  <si>
    <t>達成率</t>
    <phoneticPr fontId="11" type="noConversion"/>
  </si>
  <si>
    <t>開始</t>
    <phoneticPr fontId="11" type="noConversion"/>
  </si>
  <si>
    <t>結束</t>
    <phoneticPr fontId="11" type="noConversion"/>
  </si>
  <si>
    <t>次數</t>
    <phoneticPr fontId="23" type="noConversion"/>
  </si>
  <si>
    <t>時間/分</t>
    <phoneticPr fontId="23" type="noConversion"/>
  </si>
  <si>
    <t>總次數</t>
    <phoneticPr fontId="23" type="noConversion"/>
  </si>
  <si>
    <t>設備因素(次數)</t>
    <phoneticPr fontId="23" type="noConversion"/>
  </si>
  <si>
    <t>新豐6線</t>
    <phoneticPr fontId="11" type="noConversion"/>
  </si>
  <si>
    <t>新豐6線</t>
    <phoneticPr fontId="11" type="noConversion"/>
  </si>
  <si>
    <t>新豐6線</t>
    <phoneticPr fontId="11" type="noConversion"/>
  </si>
  <si>
    <t>平均</t>
    <phoneticPr fontId="11" type="noConversion"/>
  </si>
  <si>
    <t>新豐2線</t>
    <phoneticPr fontId="11" type="noConversion"/>
  </si>
  <si>
    <t>新豐2線</t>
    <phoneticPr fontId="11" type="noConversion"/>
  </si>
  <si>
    <t>新豐2線</t>
    <phoneticPr fontId="11" type="noConversion"/>
  </si>
  <si>
    <t>平均</t>
    <phoneticPr fontId="11" type="noConversion"/>
  </si>
  <si>
    <t>新豐5線</t>
    <phoneticPr fontId="11" type="noConversion"/>
  </si>
  <si>
    <t>新豐5線</t>
    <phoneticPr fontId="11" type="noConversion"/>
  </si>
  <si>
    <t>新豐5線</t>
    <phoneticPr fontId="11" type="noConversion"/>
  </si>
  <si>
    <t>新豐5線</t>
    <phoneticPr fontId="11" type="noConversion"/>
  </si>
  <si>
    <t>平均</t>
    <phoneticPr fontId="11" type="noConversion"/>
  </si>
  <si>
    <t>新豐7線</t>
    <phoneticPr fontId="11" type="noConversion"/>
  </si>
  <si>
    <t>新豐7線</t>
    <phoneticPr fontId="11" type="noConversion"/>
  </si>
  <si>
    <t>新豐7線</t>
    <phoneticPr fontId="11" type="noConversion"/>
  </si>
  <si>
    <t>新豐8線</t>
    <phoneticPr fontId="11" type="noConversion"/>
  </si>
  <si>
    <t>新豐8線</t>
    <phoneticPr fontId="11" type="noConversion"/>
  </si>
  <si>
    <t>新豐8線</t>
    <phoneticPr fontId="11" type="noConversion"/>
  </si>
  <si>
    <t>平均</t>
    <phoneticPr fontId="11" type="noConversion"/>
  </si>
  <si>
    <t>新豐9線</t>
    <phoneticPr fontId="11" type="noConversion"/>
  </si>
  <si>
    <t>新豐9線</t>
    <phoneticPr fontId="11" type="noConversion"/>
  </si>
  <si>
    <t>新豐9線</t>
    <phoneticPr fontId="11" type="noConversion"/>
  </si>
  <si>
    <t>新豐9線</t>
    <phoneticPr fontId="11" type="noConversion"/>
  </si>
  <si>
    <t>平均</t>
    <phoneticPr fontId="11" type="noConversion"/>
  </si>
  <si>
    <t>新豐3線</t>
    <phoneticPr fontId="11" type="noConversion"/>
  </si>
  <si>
    <t>新豐3線</t>
    <phoneticPr fontId="11" type="noConversion"/>
  </si>
  <si>
    <t>新豐3線</t>
    <phoneticPr fontId="11" type="noConversion"/>
  </si>
  <si>
    <t>新豐3線</t>
    <phoneticPr fontId="11" type="noConversion"/>
  </si>
  <si>
    <t>新豐1線</t>
    <phoneticPr fontId="11" type="noConversion"/>
  </si>
  <si>
    <t>新豐1線</t>
    <phoneticPr fontId="11" type="noConversion"/>
  </si>
  <si>
    <t>新豐1線</t>
    <phoneticPr fontId="11" type="noConversion"/>
  </si>
  <si>
    <t>新豐1線</t>
    <phoneticPr fontId="11" type="noConversion"/>
  </si>
  <si>
    <t>平均</t>
    <phoneticPr fontId="11" type="noConversion"/>
  </si>
  <si>
    <t>新豐10線</t>
    <phoneticPr fontId="11" type="noConversion"/>
  </si>
  <si>
    <t>新豐10線</t>
    <phoneticPr fontId="11" type="noConversion"/>
  </si>
  <si>
    <t>新豐4線</t>
    <phoneticPr fontId="11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</si>
  <si>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2" type="noConversion"/>
  </si>
  <si>
    <t>日期</t>
    <phoneticPr fontId="2" type="noConversion"/>
  </si>
  <si>
    <t>訂單量</t>
    <phoneticPr fontId="2" type="noConversion"/>
  </si>
  <si>
    <t>人時性</t>
    <phoneticPr fontId="2" type="noConversion"/>
  </si>
  <si>
    <t>項目</t>
    <phoneticPr fontId="11" type="noConversion"/>
  </si>
  <si>
    <t>➁</t>
    <phoneticPr fontId="11" type="noConversion"/>
  </si>
  <si>
    <t>➂</t>
    <phoneticPr fontId="11" type="noConversion"/>
  </si>
  <si>
    <t>異常停線</t>
    <phoneticPr fontId="11" type="noConversion"/>
  </si>
  <si>
    <t>短暫停線</t>
    <phoneticPr fontId="11" type="noConversion"/>
  </si>
  <si>
    <t>組合室</t>
    <phoneticPr fontId="2" type="noConversion"/>
  </si>
  <si>
    <t>全溫層</t>
    <phoneticPr fontId="2" type="noConversion"/>
  </si>
  <si>
    <t>4度C-各編組展開</t>
    <phoneticPr fontId="2" type="noConversion"/>
  </si>
  <si>
    <t>合計次數</t>
    <phoneticPr fontId="11" type="noConversion"/>
  </si>
  <si>
    <t>時間</t>
    <phoneticPr fontId="2" type="noConversion"/>
  </si>
  <si>
    <t>設備次數</t>
    <phoneticPr fontId="2" type="noConversion"/>
  </si>
  <si>
    <t>➁4度C-各編組展開</t>
    <phoneticPr fontId="2" type="noConversion"/>
  </si>
  <si>
    <t>編組</t>
    <phoneticPr fontId="2" type="noConversion"/>
  </si>
  <si>
    <t>實績</t>
    <phoneticPr fontId="2" type="noConversion"/>
  </si>
  <si>
    <t>作業
時間</t>
    <phoneticPr fontId="2" type="noConversion"/>
  </si>
  <si>
    <t>結束</t>
    <phoneticPr fontId="2" type="noConversion"/>
  </si>
  <si>
    <t>產線異常
(5分鐘以上)</t>
    <phoneticPr fontId="23" type="noConversion"/>
  </si>
  <si>
    <t>次數</t>
    <phoneticPr fontId="23" type="noConversion"/>
  </si>
  <si>
    <t>時間/分</t>
    <phoneticPr fontId="23" type="noConversion"/>
  </si>
  <si>
    <t>短暫停線
(5分鐘以下)</t>
    <phoneticPr fontId="23" type="noConversion"/>
  </si>
  <si>
    <t>配置人數</t>
    <phoneticPr fontId="2" type="noConversion"/>
  </si>
  <si>
    <t>L型包裝機</t>
    <phoneticPr fontId="11" type="noConversion"/>
  </si>
  <si>
    <t>三明治包裝機</t>
    <phoneticPr fontId="11" type="noConversion"/>
  </si>
  <si>
    <t>備註</t>
    <phoneticPr fontId="2" type="noConversion"/>
  </si>
  <si>
    <t>共用L型包裝機</t>
    <phoneticPr fontId="11" type="noConversion"/>
  </si>
  <si>
    <t>調理麵包</t>
    <phoneticPr fontId="11" type="noConversion"/>
  </si>
  <si>
    <t>炒飯+沙拉</t>
    <phoneticPr fontId="11" type="noConversion"/>
  </si>
  <si>
    <t xml:space="preserve">新豐廠四度C日報分析                              </t>
    <phoneticPr fontId="11" type="noConversion"/>
  </si>
  <si>
    <t>總生產量</t>
    <phoneticPr fontId="11" type="noConversion"/>
  </si>
  <si>
    <t>營業額</t>
    <phoneticPr fontId="24" type="noConversion"/>
  </si>
  <si>
    <t>出勤人數</t>
    <phoneticPr fontId="11" type="noConversion"/>
  </si>
  <si>
    <t>產線配置圖</t>
    <phoneticPr fontId="11" type="noConversion"/>
  </si>
  <si>
    <t>生產實績</t>
    <phoneticPr fontId="11" type="noConversion"/>
  </si>
  <si>
    <t>人時性差異分析</t>
    <phoneticPr fontId="11" type="noConversion"/>
  </si>
  <si>
    <t>日報登錄</t>
    <phoneticPr fontId="11" type="noConversion"/>
  </si>
  <si>
    <t>合計
次數</t>
    <phoneticPr fontId="11" type="noConversion"/>
  </si>
  <si>
    <t>合計
時間/分</t>
    <phoneticPr fontId="2" type="noConversion"/>
  </si>
  <si>
    <t>產線異常
分析說明(5分鐘以上)</t>
    <phoneticPr fontId="11" type="noConversion"/>
  </si>
  <si>
    <t>合計
次數</t>
    <phoneticPr fontId="11" type="noConversion"/>
  </si>
  <si>
    <t>合計
設備次數</t>
    <phoneticPr fontId="2" type="noConversion"/>
  </si>
  <si>
    <t>產能差異分析</t>
    <phoneticPr fontId="11" type="noConversion"/>
  </si>
  <si>
    <t>星期日</t>
  </si>
  <si>
    <t>人時性</t>
    <phoneticPr fontId="11" type="noConversion"/>
  </si>
  <si>
    <t>多次生產數</t>
    <phoneticPr fontId="11" type="noConversion"/>
  </si>
  <si>
    <t>線別</t>
    <phoneticPr fontId="2" type="noConversion"/>
  </si>
  <si>
    <t>品類</t>
    <phoneticPr fontId="11" type="noConversion"/>
  </si>
  <si>
    <t>品名</t>
    <phoneticPr fontId="2" type="noConversion"/>
  </si>
  <si>
    <t>廠價</t>
    <phoneticPr fontId="24" type="noConversion"/>
  </si>
  <si>
    <t>生產量</t>
    <phoneticPr fontId="11" type="noConversion"/>
  </si>
  <si>
    <t>營收</t>
    <phoneticPr fontId="24" type="noConversion"/>
  </si>
  <si>
    <t>多次
生產</t>
    <phoneticPr fontId="11" type="noConversion"/>
  </si>
  <si>
    <t>人數</t>
    <phoneticPr fontId="11" type="noConversion"/>
  </si>
  <si>
    <t>產能/時</t>
    <phoneticPr fontId="11" type="noConversion"/>
  </si>
  <si>
    <t>人時性</t>
    <phoneticPr fontId="11" type="noConversion"/>
  </si>
  <si>
    <t>產能/時</t>
    <phoneticPr fontId="11" type="noConversion"/>
  </si>
  <si>
    <t>人時性</t>
    <phoneticPr fontId="11" type="noConversion"/>
  </si>
  <si>
    <t>人數</t>
    <phoneticPr fontId="11" type="noConversion"/>
  </si>
  <si>
    <t>達成率</t>
    <phoneticPr fontId="11" type="noConversion"/>
  </si>
  <si>
    <t>達成率平均</t>
    <phoneticPr fontId="11" type="noConversion"/>
  </si>
  <si>
    <t>稼動時間/分</t>
    <phoneticPr fontId="11" type="noConversion"/>
  </si>
  <si>
    <t>休息時間</t>
    <phoneticPr fontId="11" type="noConversion"/>
  </si>
  <si>
    <t>產線異常統計
(5分鐘以上)</t>
    <phoneticPr fontId="11" type="noConversion"/>
  </si>
  <si>
    <t>(新豐回填)</t>
    <phoneticPr fontId="11" type="noConversion"/>
  </si>
  <si>
    <t>短暫停線統計
(5分鐘以下)</t>
    <phoneticPr fontId="11" type="noConversion"/>
  </si>
  <si>
    <t>產能/時</t>
    <phoneticPr fontId="11" type="noConversion"/>
  </si>
  <si>
    <t>開始</t>
    <phoneticPr fontId="11" type="noConversion"/>
  </si>
  <si>
    <t>結束</t>
    <phoneticPr fontId="11" type="noConversion"/>
  </si>
  <si>
    <t>次數</t>
    <phoneticPr fontId="23" type="noConversion"/>
  </si>
  <si>
    <t>總次數</t>
    <phoneticPr fontId="23" type="noConversion"/>
  </si>
  <si>
    <t>設備因素(次數)</t>
    <phoneticPr fontId="23" type="noConversion"/>
  </si>
  <si>
    <t>新豐6線</t>
    <phoneticPr fontId="11" type="noConversion"/>
  </si>
  <si>
    <t>新豐6線</t>
    <phoneticPr fontId="11" type="noConversion"/>
  </si>
  <si>
    <t>平均</t>
    <phoneticPr fontId="11" type="noConversion"/>
  </si>
  <si>
    <t>新豐2線</t>
    <phoneticPr fontId="11" type="noConversion"/>
  </si>
  <si>
    <t>新豐2線</t>
    <phoneticPr fontId="11" type="noConversion"/>
  </si>
  <si>
    <t>新豐5線</t>
    <phoneticPr fontId="11" type="noConversion"/>
  </si>
  <si>
    <t>新豐5線</t>
    <phoneticPr fontId="11" type="noConversion"/>
  </si>
  <si>
    <t>新豐7線</t>
    <phoneticPr fontId="11" type="noConversion"/>
  </si>
  <si>
    <t>新豐7線</t>
    <phoneticPr fontId="11" type="noConversion"/>
  </si>
  <si>
    <t>新豐7線</t>
    <phoneticPr fontId="11" type="noConversion"/>
  </si>
  <si>
    <t>新豐8線</t>
    <phoneticPr fontId="11" type="noConversion"/>
  </si>
  <si>
    <t>新豐9線</t>
    <phoneticPr fontId="11" type="noConversion"/>
  </si>
  <si>
    <t>新豐3線</t>
    <phoneticPr fontId="11" type="noConversion"/>
  </si>
  <si>
    <t>新豐1線</t>
    <phoneticPr fontId="11" type="noConversion"/>
  </si>
  <si>
    <t>新豐10線</t>
    <phoneticPr fontId="11" type="noConversion"/>
  </si>
  <si>
    <t>新豐4線</t>
    <phoneticPr fontId="11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</si>
  <si>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2" type="noConversion"/>
  </si>
  <si>
    <t>日期</t>
    <phoneticPr fontId="2" type="noConversion"/>
  </si>
  <si>
    <t>訂單量</t>
    <phoneticPr fontId="2" type="noConversion"/>
  </si>
  <si>
    <t>營業額</t>
    <phoneticPr fontId="2" type="noConversion"/>
  </si>
  <si>
    <t>人時性</t>
    <phoneticPr fontId="2" type="noConversion"/>
  </si>
  <si>
    <t>項目</t>
    <phoneticPr fontId="11" type="noConversion"/>
  </si>
  <si>
    <t>➁</t>
    <phoneticPr fontId="11" type="noConversion"/>
  </si>
  <si>
    <t>➂</t>
    <phoneticPr fontId="11" type="noConversion"/>
  </si>
  <si>
    <t>異常停線</t>
    <phoneticPr fontId="11" type="noConversion"/>
  </si>
  <si>
    <t>短暫停線</t>
    <phoneticPr fontId="11" type="noConversion"/>
  </si>
  <si>
    <t>組合室</t>
    <phoneticPr fontId="2" type="noConversion"/>
  </si>
  <si>
    <t>全溫層</t>
    <phoneticPr fontId="2" type="noConversion"/>
  </si>
  <si>
    <t>4度C-各編組展開</t>
    <phoneticPr fontId="2" type="noConversion"/>
  </si>
  <si>
    <t>③三明治-各編組展開</t>
    <phoneticPr fontId="2" type="noConversion"/>
  </si>
  <si>
    <t>合計次數</t>
    <phoneticPr fontId="11" type="noConversion"/>
  </si>
  <si>
    <t>時間</t>
    <phoneticPr fontId="2" type="noConversion"/>
  </si>
  <si>
    <t>合計次數</t>
    <phoneticPr fontId="11" type="noConversion"/>
  </si>
  <si>
    <t>設備次數</t>
    <phoneticPr fontId="2" type="noConversion"/>
  </si>
  <si>
    <t>※現行日本鮮食廠以達成率80%為基本(即為現行KPI)</t>
    <phoneticPr fontId="11" type="noConversion"/>
  </si>
  <si>
    <t>溫層</t>
    <phoneticPr fontId="2" type="noConversion"/>
  </si>
  <si>
    <t>③三明治-各編組展開</t>
    <phoneticPr fontId="11" type="noConversion"/>
  </si>
  <si>
    <t>實績</t>
    <phoneticPr fontId="2" type="noConversion"/>
  </si>
  <si>
    <t>開始</t>
    <phoneticPr fontId="2" type="noConversion"/>
  </si>
  <si>
    <t>結束</t>
    <phoneticPr fontId="2" type="noConversion"/>
  </si>
  <si>
    <t>產線異常
(5分鐘以上)</t>
    <phoneticPr fontId="23" type="noConversion"/>
  </si>
  <si>
    <t>時間/分</t>
    <phoneticPr fontId="23" type="noConversion"/>
  </si>
  <si>
    <t>主要應用設備</t>
    <phoneticPr fontId="2" type="noConversion"/>
  </si>
  <si>
    <t>炒飯+沙拉</t>
    <phoneticPr fontId="11" type="noConversion"/>
  </si>
  <si>
    <t xml:space="preserve">新豐廠四度C日報分析                              </t>
    <phoneticPr fontId="11" type="noConversion"/>
  </si>
  <si>
    <t>總生產量</t>
    <phoneticPr fontId="11" type="noConversion"/>
  </si>
  <si>
    <t>營業額</t>
    <phoneticPr fontId="24" type="noConversion"/>
  </si>
  <si>
    <t>出勤人數</t>
    <phoneticPr fontId="11" type="noConversion"/>
  </si>
  <si>
    <t>產線配置圖</t>
    <phoneticPr fontId="11" type="noConversion"/>
  </si>
  <si>
    <t>生產實績</t>
    <phoneticPr fontId="11" type="noConversion"/>
  </si>
  <si>
    <t>人時性差異分析</t>
    <phoneticPr fontId="11" type="noConversion"/>
  </si>
  <si>
    <t>日報登錄</t>
    <phoneticPr fontId="11" type="noConversion"/>
  </si>
  <si>
    <t>合計
次數</t>
    <phoneticPr fontId="11" type="noConversion"/>
  </si>
  <si>
    <t>合計
時間/分</t>
    <phoneticPr fontId="2" type="noConversion"/>
  </si>
  <si>
    <t>產線異常
分析說明(5分鐘以上)</t>
    <phoneticPr fontId="11" type="noConversion"/>
  </si>
  <si>
    <t>合計
設備次數</t>
    <phoneticPr fontId="2" type="noConversion"/>
  </si>
  <si>
    <t>產能差異分析</t>
    <phoneticPr fontId="11" type="noConversion"/>
  </si>
  <si>
    <t>星期一</t>
  </si>
  <si>
    <t>人時性</t>
    <phoneticPr fontId="11" type="noConversion"/>
  </si>
  <si>
    <t>多次生產數</t>
    <phoneticPr fontId="11" type="noConversion"/>
  </si>
  <si>
    <t>線別</t>
    <phoneticPr fontId="2" type="noConversion"/>
  </si>
  <si>
    <t>品類</t>
    <phoneticPr fontId="11" type="noConversion"/>
  </si>
  <si>
    <t>品名</t>
    <phoneticPr fontId="2" type="noConversion"/>
  </si>
  <si>
    <t>廠價</t>
    <phoneticPr fontId="24" type="noConversion"/>
  </si>
  <si>
    <t>生產量</t>
    <phoneticPr fontId="11" type="noConversion"/>
  </si>
  <si>
    <t>營收</t>
    <phoneticPr fontId="24" type="noConversion"/>
  </si>
  <si>
    <t>多次
生產</t>
    <phoneticPr fontId="11" type="noConversion"/>
  </si>
  <si>
    <t>人數</t>
    <phoneticPr fontId="11" type="noConversion"/>
  </si>
  <si>
    <t>產能/時</t>
    <phoneticPr fontId="11" type="noConversion"/>
  </si>
  <si>
    <t>達成率</t>
    <phoneticPr fontId="11" type="noConversion"/>
  </si>
  <si>
    <t>達成率平均</t>
    <phoneticPr fontId="11" type="noConversion"/>
  </si>
  <si>
    <t>稼動時間/分</t>
    <phoneticPr fontId="11" type="noConversion"/>
  </si>
  <si>
    <t>休息時間</t>
    <phoneticPr fontId="11" type="noConversion"/>
  </si>
  <si>
    <t>產線異常統計
(5分鐘以上)</t>
    <phoneticPr fontId="11" type="noConversion"/>
  </si>
  <si>
    <t>(新豐回填)</t>
    <phoneticPr fontId="11" type="noConversion"/>
  </si>
  <si>
    <t>短暫停線統計
(5分鐘以下)</t>
    <phoneticPr fontId="11" type="noConversion"/>
  </si>
  <si>
    <t>產能/時</t>
    <phoneticPr fontId="11" type="noConversion"/>
  </si>
  <si>
    <t>達成率平均</t>
    <phoneticPr fontId="11" type="noConversion"/>
  </si>
  <si>
    <t>開始</t>
    <phoneticPr fontId="11" type="noConversion"/>
  </si>
  <si>
    <t>結束</t>
    <phoneticPr fontId="11" type="noConversion"/>
  </si>
  <si>
    <t>次數</t>
    <phoneticPr fontId="23" type="noConversion"/>
  </si>
  <si>
    <t>時間/分</t>
    <phoneticPr fontId="23" type="noConversion"/>
  </si>
  <si>
    <t>總次數</t>
    <phoneticPr fontId="23" type="noConversion"/>
  </si>
  <si>
    <t>設備因素(次數)</t>
    <phoneticPr fontId="23" type="noConversion"/>
  </si>
  <si>
    <t>新豐6線</t>
    <phoneticPr fontId="11" type="noConversion"/>
  </si>
  <si>
    <t>新豐6線</t>
    <phoneticPr fontId="11" type="noConversion"/>
  </si>
  <si>
    <t>平均</t>
    <phoneticPr fontId="11" type="noConversion"/>
  </si>
  <si>
    <t>新豐2線</t>
    <phoneticPr fontId="11" type="noConversion"/>
  </si>
  <si>
    <t>新豐5線</t>
    <phoneticPr fontId="11" type="noConversion"/>
  </si>
  <si>
    <t>新豐5線</t>
    <phoneticPr fontId="11" type="noConversion"/>
  </si>
  <si>
    <t>新豐7線</t>
    <phoneticPr fontId="11" type="noConversion"/>
  </si>
  <si>
    <t>新豐7線</t>
    <phoneticPr fontId="11" type="noConversion"/>
  </si>
  <si>
    <t>新豐7線</t>
    <phoneticPr fontId="11" type="noConversion"/>
  </si>
  <si>
    <t>平均</t>
    <phoneticPr fontId="11" type="noConversion"/>
  </si>
  <si>
    <t>新豐8線</t>
    <phoneticPr fontId="11" type="noConversion"/>
  </si>
  <si>
    <t>新豐8線</t>
    <phoneticPr fontId="11" type="noConversion"/>
  </si>
  <si>
    <t>新豐9線</t>
    <phoneticPr fontId="11" type="noConversion"/>
  </si>
  <si>
    <t>新豐9線</t>
    <phoneticPr fontId="11" type="noConversion"/>
  </si>
  <si>
    <t>新豐9線</t>
    <phoneticPr fontId="11" type="noConversion"/>
  </si>
  <si>
    <t>平均</t>
    <phoneticPr fontId="11" type="noConversion"/>
  </si>
  <si>
    <t>新豐3線</t>
    <phoneticPr fontId="11" type="noConversion"/>
  </si>
  <si>
    <t>新豐1線</t>
    <phoneticPr fontId="11" type="noConversion"/>
  </si>
  <si>
    <t>新豐1線</t>
    <phoneticPr fontId="11" type="noConversion"/>
  </si>
  <si>
    <t>新豐10線</t>
    <phoneticPr fontId="11" type="noConversion"/>
  </si>
  <si>
    <t>新豐4線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</si>
</sst>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0_);[Red]\(0\)"/>
    <numFmt numFmtId="182" formatCode="m&quot;月&quot;d&quot;日&quot;;@"/>
    <numFmt numFmtId="183" formatCode="0_ "/>
    <numFmt numFmtId="184" formatCode="0.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ＭＳ Ｐゴシック"/>
      <family val="2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0" fontId="4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1">
    <xf numFmtId="0" fontId="0" fillId="0" borderId="0" xfId="0">
      <alignment vertical="center"/>
    </xf>
    <xf numFmtId="0" fontId="6" fillId="0" borderId="0" xfId="5" applyFont="1" applyAlignment="1">
      <alignment vertical="center"/>
    </xf>
    <xf numFmtId="0" fontId="8" fillId="0" borderId="0" xfId="5" applyFont="1">
      <alignment vertical="center"/>
    </xf>
    <xf numFmtId="0" fontId="6" fillId="0" borderId="0" xfId="5" applyFont="1" applyBorder="1" applyAlignment="1">
      <alignment vertical="center"/>
    </xf>
    <xf numFmtId="0" fontId="9" fillId="0" borderId="2" xfId="6" applyFont="1" applyBorder="1" applyAlignment="1">
      <alignment horizontal="center" vertical="center"/>
    </xf>
    <xf numFmtId="0" fontId="8" fillId="0" borderId="5" xfId="6" applyFont="1" applyBorder="1">
      <alignment vertical="center"/>
    </xf>
    <xf numFmtId="0" fontId="8" fillId="0" borderId="0" xfId="6" applyFont="1" applyBorder="1">
      <alignment vertical="center"/>
    </xf>
    <xf numFmtId="0" fontId="8" fillId="0" borderId="0" xfId="6" applyFont="1">
      <alignment vertical="center"/>
    </xf>
    <xf numFmtId="0" fontId="15" fillId="0" borderId="8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18" fillId="0" borderId="0" xfId="6" applyFont="1" applyBorder="1" applyAlignment="1">
      <alignment vertical="center"/>
    </xf>
    <xf numFmtId="0" fontId="19" fillId="0" borderId="0" xfId="6" applyFont="1" applyBorder="1" applyAlignment="1">
      <alignment vertical="center"/>
    </xf>
    <xf numFmtId="0" fontId="14" fillId="0" borderId="0" xfId="6" applyFont="1">
      <alignment vertical="center"/>
    </xf>
    <xf numFmtId="0" fontId="8" fillId="0" borderId="16" xfId="5" applyFont="1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21" fillId="0" borderId="21" xfId="5" applyFont="1" applyBorder="1" applyAlignment="1">
      <alignment horizontal="center" vertical="center" wrapText="1"/>
    </xf>
    <xf numFmtId="0" fontId="21" fillId="0" borderId="22" xfId="5" applyFont="1" applyBorder="1" applyAlignment="1">
      <alignment horizontal="center" vertical="center" wrapText="1"/>
    </xf>
    <xf numFmtId="0" fontId="21" fillId="0" borderId="23" xfId="5" applyFont="1" applyBorder="1" applyAlignment="1">
      <alignment horizontal="center" vertical="center" wrapText="1"/>
    </xf>
    <xf numFmtId="0" fontId="8" fillId="0" borderId="25" xfId="6" applyFont="1" applyBorder="1" applyAlignment="1">
      <alignment horizontal="center" vertical="center" wrapText="1"/>
    </xf>
    <xf numFmtId="178" fontId="8" fillId="0" borderId="26" xfId="5" applyNumberFormat="1" applyFont="1" applyFill="1" applyBorder="1" applyAlignment="1">
      <alignment horizontal="center" vertical="center" wrapText="1"/>
    </xf>
    <xf numFmtId="178" fontId="8" fillId="0" borderId="27" xfId="5" applyNumberFormat="1" applyFont="1" applyFill="1" applyBorder="1" applyAlignment="1">
      <alignment horizontal="center" vertical="center" wrapText="1"/>
    </xf>
    <xf numFmtId="178" fontId="8" fillId="0" borderId="22" xfId="5" applyNumberFormat="1" applyFont="1" applyFill="1" applyBorder="1" applyAlignment="1">
      <alignment horizontal="center" vertical="center" wrapText="1"/>
    </xf>
    <xf numFmtId="178" fontId="8" fillId="0" borderId="23" xfId="5" applyNumberFormat="1" applyFont="1" applyFill="1" applyBorder="1" applyAlignment="1">
      <alignment horizontal="center" vertical="center" wrapText="1"/>
    </xf>
    <xf numFmtId="178" fontId="8" fillId="0" borderId="28" xfId="5" applyNumberFormat="1" applyFont="1" applyFill="1" applyBorder="1" applyAlignment="1">
      <alignment horizontal="center" vertical="center" wrapText="1"/>
    </xf>
    <xf numFmtId="178" fontId="8" fillId="0" borderId="29" xfId="5" applyNumberFormat="1" applyFont="1" applyFill="1" applyBorder="1" applyAlignment="1">
      <alignment horizontal="center" vertical="center" wrapText="1"/>
    </xf>
    <xf numFmtId="0" fontId="22" fillId="0" borderId="25" xfId="6" applyFont="1" applyBorder="1" applyAlignment="1">
      <alignment horizontal="center" vertical="center" wrapText="1"/>
    </xf>
    <xf numFmtId="178" fontId="22" fillId="0" borderId="21" xfId="5" applyNumberFormat="1" applyFont="1" applyFill="1" applyBorder="1" applyAlignment="1">
      <alignment horizontal="center" vertical="center"/>
    </xf>
    <xf numFmtId="178" fontId="22" fillId="0" borderId="22" xfId="5" applyNumberFormat="1" applyFont="1" applyFill="1" applyBorder="1" applyAlignment="1">
      <alignment horizontal="center" vertical="center"/>
    </xf>
    <xf numFmtId="178" fontId="22" fillId="0" borderId="23" xfId="5" applyNumberFormat="1" applyFont="1" applyFill="1" applyBorder="1" applyAlignment="1">
      <alignment horizontal="center" vertical="center"/>
    </xf>
    <xf numFmtId="178" fontId="22" fillId="0" borderId="28" xfId="5" applyNumberFormat="1" applyFont="1" applyFill="1" applyBorder="1" applyAlignment="1">
      <alignment horizontal="center" vertical="center"/>
    </xf>
    <xf numFmtId="178" fontId="22" fillId="0" borderId="29" xfId="5" applyNumberFormat="1" applyFont="1" applyFill="1" applyBorder="1" applyAlignment="1">
      <alignment horizontal="center" vertical="center"/>
    </xf>
    <xf numFmtId="0" fontId="22" fillId="0" borderId="25" xfId="6" applyFont="1" applyBorder="1" applyAlignment="1">
      <alignment horizontal="center" vertical="center"/>
    </xf>
    <xf numFmtId="179" fontId="22" fillId="0" borderId="21" xfId="4" applyNumberFormat="1" applyFont="1" applyFill="1" applyBorder="1" applyAlignment="1">
      <alignment horizontal="center" vertical="center"/>
    </xf>
    <xf numFmtId="179" fontId="22" fillId="0" borderId="22" xfId="4" applyNumberFormat="1" applyFont="1" applyFill="1" applyBorder="1" applyAlignment="1">
      <alignment horizontal="center" vertical="center"/>
    </xf>
    <xf numFmtId="179" fontId="22" fillId="0" borderId="23" xfId="4" applyNumberFormat="1" applyFont="1" applyFill="1" applyBorder="1" applyAlignment="1">
      <alignment horizontal="center" vertical="center"/>
    </xf>
    <xf numFmtId="0" fontId="8" fillId="0" borderId="25" xfId="6" applyFont="1" applyBorder="1" applyAlignment="1">
      <alignment horizontal="center" vertical="center"/>
    </xf>
    <xf numFmtId="180" fontId="8" fillId="0" borderId="32" xfId="6" applyNumberFormat="1" applyFont="1" applyFill="1" applyBorder="1" applyAlignment="1">
      <alignment horizontal="center" vertical="center"/>
    </xf>
    <xf numFmtId="180" fontId="8" fillId="0" borderId="2" xfId="6" applyNumberFormat="1" applyFont="1" applyFill="1" applyBorder="1" applyAlignment="1">
      <alignment horizontal="center" vertical="center"/>
    </xf>
    <xf numFmtId="180" fontId="8" fillId="0" borderId="25" xfId="6" applyNumberFormat="1" applyFont="1" applyFill="1" applyBorder="1" applyAlignment="1">
      <alignment horizontal="center" vertical="center"/>
    </xf>
    <xf numFmtId="180" fontId="8" fillId="0" borderId="32" xfId="9" applyNumberFormat="1" applyFont="1" applyFill="1" applyBorder="1" applyAlignment="1">
      <alignment horizontal="center" vertical="center"/>
    </xf>
    <xf numFmtId="180" fontId="8" fillId="0" borderId="2" xfId="9" applyNumberFormat="1" applyFont="1" applyFill="1" applyBorder="1" applyAlignment="1">
      <alignment horizontal="center" vertical="center"/>
    </xf>
    <xf numFmtId="180" fontId="8" fillId="0" borderId="25" xfId="9" applyNumberFormat="1" applyFont="1" applyFill="1" applyBorder="1" applyAlignment="1">
      <alignment horizontal="center" vertical="center"/>
    </xf>
    <xf numFmtId="0" fontId="0" fillId="5" borderId="3" xfId="6" applyFont="1" applyFill="1" applyBorder="1" applyAlignment="1">
      <alignment horizontal="center" vertical="center"/>
    </xf>
    <xf numFmtId="181" fontId="8" fillId="5" borderId="32" xfId="9" applyNumberFormat="1" applyFont="1" applyFill="1" applyBorder="1" applyAlignment="1">
      <alignment horizontal="center" vertical="center"/>
    </xf>
    <xf numFmtId="181" fontId="8" fillId="5" borderId="2" xfId="6" applyNumberFormat="1" applyFont="1" applyFill="1" applyBorder="1" applyAlignment="1">
      <alignment horizontal="center" vertical="center"/>
    </xf>
    <xf numFmtId="181" fontId="8" fillId="5" borderId="25" xfId="6" applyNumberFormat="1" applyFont="1" applyFill="1" applyBorder="1" applyAlignment="1">
      <alignment horizontal="center" vertical="center"/>
    </xf>
    <xf numFmtId="181" fontId="8" fillId="5" borderId="32" xfId="6" applyNumberFormat="1" applyFont="1" applyFill="1" applyBorder="1" applyAlignment="1">
      <alignment horizontal="center" vertical="center"/>
    </xf>
    <xf numFmtId="1" fontId="8" fillId="0" borderId="35" xfId="5" applyNumberFormat="1" applyFont="1" applyFill="1" applyBorder="1" applyAlignment="1">
      <alignment horizontal="center" vertical="center"/>
    </xf>
    <xf numFmtId="1" fontId="8" fillId="0" borderId="36" xfId="5" applyNumberFormat="1" applyFont="1" applyFill="1" applyBorder="1" applyAlignment="1">
      <alignment horizontal="center" vertical="center"/>
    </xf>
    <xf numFmtId="1" fontId="8" fillId="0" borderId="37" xfId="5" applyNumberFormat="1" applyFont="1" applyFill="1" applyBorder="1" applyAlignment="1">
      <alignment horizontal="center" vertical="center"/>
    </xf>
    <xf numFmtId="0" fontId="21" fillId="0" borderId="32" xfId="5" applyFont="1" applyBorder="1" applyAlignment="1">
      <alignment horizontal="center" vertical="center"/>
    </xf>
    <xf numFmtId="0" fontId="21" fillId="0" borderId="2" xfId="5" applyFont="1" applyBorder="1" applyAlignment="1">
      <alignment horizontal="center" vertical="center"/>
    </xf>
    <xf numFmtId="0" fontId="21" fillId="0" borderId="25" xfId="5" applyFont="1" applyBorder="1" applyAlignment="1">
      <alignment horizontal="center" vertical="center"/>
    </xf>
    <xf numFmtId="0" fontId="8" fillId="0" borderId="40" xfId="5" applyFont="1" applyBorder="1">
      <alignment vertical="center"/>
    </xf>
    <xf numFmtId="0" fontId="8" fillId="0" borderId="41" xfId="5" applyFont="1" applyBorder="1" applyAlignment="1">
      <alignment horizontal="center" vertical="center"/>
    </xf>
    <xf numFmtId="0" fontId="8" fillId="0" borderId="44" xfId="5" applyFont="1" applyBorder="1" applyAlignment="1">
      <alignment horizontal="center" vertical="center"/>
    </xf>
    <xf numFmtId="0" fontId="8" fillId="0" borderId="40" xfId="5" applyFont="1" applyBorder="1" applyAlignment="1">
      <alignment horizontal="center" vertical="center"/>
    </xf>
    <xf numFmtId="0" fontId="14" fillId="0" borderId="2" xfId="1" applyFont="1" applyBorder="1">
      <alignment vertical="center"/>
    </xf>
    <xf numFmtId="0" fontId="14" fillId="0" borderId="2" xfId="1" applyFont="1" applyBorder="1" applyAlignment="1">
      <alignment horizontal="left" vertical="center"/>
    </xf>
    <xf numFmtId="0" fontId="9" fillId="7" borderId="2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1" fontId="14" fillId="0" borderId="2" xfId="1" applyNumberFormat="1" applyFont="1" applyBorder="1" applyAlignment="1">
      <alignment horizontal="center" vertical="center"/>
    </xf>
    <xf numFmtId="0" fontId="26" fillId="0" borderId="36" xfId="2" applyFont="1" applyBorder="1" applyAlignment="1">
      <alignment horizontal="center" vertical="center" wrapText="1"/>
    </xf>
    <xf numFmtId="0" fontId="26" fillId="0" borderId="45" xfId="2" applyFont="1" applyBorder="1" applyAlignment="1">
      <alignment horizontal="center" vertical="center" wrapText="1"/>
    </xf>
    <xf numFmtId="0" fontId="26" fillId="0" borderId="46" xfId="2" applyFont="1" applyBorder="1" applyAlignment="1">
      <alignment horizontal="center" vertical="center" wrapText="1"/>
    </xf>
    <xf numFmtId="0" fontId="8" fillId="0" borderId="0" xfId="1" applyFont="1">
      <alignment vertical="center"/>
    </xf>
    <xf numFmtId="182" fontId="14" fillId="0" borderId="3" xfId="1" applyNumberFormat="1" applyFont="1" applyFill="1" applyBorder="1" applyAlignment="1">
      <alignment horizontal="left" vertical="center"/>
    </xf>
    <xf numFmtId="182" fontId="14" fillId="0" borderId="4" xfId="1" applyNumberFormat="1" applyFont="1" applyFill="1" applyBorder="1">
      <alignment vertical="center"/>
    </xf>
    <xf numFmtId="178" fontId="14" fillId="0" borderId="2" xfId="1" applyNumberFormat="1" applyFont="1" applyBorder="1" applyAlignment="1">
      <alignment horizontal="center" vertical="center"/>
    </xf>
    <xf numFmtId="178" fontId="21" fillId="0" borderId="2" xfId="1" applyNumberFormat="1" applyFont="1" applyBorder="1" applyAlignment="1">
      <alignment horizontal="center" vertical="center"/>
    </xf>
    <xf numFmtId="2" fontId="14" fillId="0" borderId="2" xfId="1" applyNumberFormat="1" applyFont="1" applyBorder="1">
      <alignment vertical="center"/>
    </xf>
    <xf numFmtId="0" fontId="14" fillId="0" borderId="2" xfId="1" applyFont="1" applyBorder="1" applyAlignment="1">
      <alignment horizontal="center" vertical="center"/>
    </xf>
    <xf numFmtId="183" fontId="15" fillId="0" borderId="6" xfId="2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/>
    </xf>
    <xf numFmtId="0" fontId="8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/>
    </xf>
    <xf numFmtId="1" fontId="8" fillId="0" borderId="2" xfId="1" applyNumberFormat="1" applyFont="1" applyFill="1" applyBorder="1" applyAlignment="1">
      <alignment horizontal="center" vertical="center"/>
    </xf>
    <xf numFmtId="178" fontId="8" fillId="0" borderId="2" xfId="1" applyNumberFormat="1" applyFont="1" applyBorder="1" applyAlignment="1">
      <alignment horizontal="center" vertical="center"/>
    </xf>
    <xf numFmtId="1" fontId="8" fillId="0" borderId="2" xfId="1" applyNumberFormat="1" applyFont="1" applyBorder="1" applyAlignment="1">
      <alignment horizontal="center" vertical="center"/>
    </xf>
    <xf numFmtId="183" fontId="8" fillId="0" borderId="2" xfId="1" applyNumberFormat="1" applyFont="1" applyBorder="1" applyAlignment="1">
      <alignment horizontal="center" vertical="center"/>
    </xf>
    <xf numFmtId="184" fontId="8" fillId="0" borderId="2" xfId="1" applyNumberFormat="1" applyFont="1" applyBorder="1" applyAlignment="1">
      <alignment horizontal="center" vertical="center"/>
    </xf>
    <xf numFmtId="179" fontId="8" fillId="0" borderId="2" xfId="4" applyNumberFormat="1" applyFont="1" applyBorder="1" applyAlignment="1">
      <alignment horizontal="center" vertical="center"/>
    </xf>
    <xf numFmtId="179" fontId="8" fillId="0" borderId="2" xfId="4" applyNumberFormat="1" applyFont="1" applyBorder="1" applyAlignment="1">
      <alignment horizontal="center" vertical="center"/>
    </xf>
    <xf numFmtId="180" fontId="8" fillId="0" borderId="2" xfId="1" applyNumberFormat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20" fontId="8" fillId="0" borderId="2" xfId="1" applyNumberFormat="1" applyFont="1" applyBorder="1" applyAlignment="1">
      <alignment horizontal="center" vertical="center"/>
    </xf>
    <xf numFmtId="0" fontId="8" fillId="0" borderId="2" xfId="1" applyFont="1" applyBorder="1">
      <alignment vertical="center"/>
    </xf>
    <xf numFmtId="181" fontId="8" fillId="0" borderId="2" xfId="1" applyNumberFormat="1" applyFont="1" applyFill="1" applyBorder="1" applyAlignment="1">
      <alignment horizontal="center" vertical="center"/>
    </xf>
    <xf numFmtId="181" fontId="8" fillId="0" borderId="2" xfId="1" applyNumberFormat="1" applyFont="1" applyBorder="1" applyAlignment="1">
      <alignment horizontal="center" vertical="center"/>
    </xf>
    <xf numFmtId="20" fontId="8" fillId="0" borderId="3" xfId="1" applyNumberFormat="1" applyFont="1" applyBorder="1" applyAlignment="1">
      <alignment horizontal="center" vertical="center"/>
    </xf>
    <xf numFmtId="181" fontId="8" fillId="0" borderId="3" xfId="1" applyNumberFormat="1" applyFont="1" applyBorder="1" applyAlignment="1">
      <alignment horizontal="center" vertical="center"/>
    </xf>
    <xf numFmtId="0" fontId="8" fillId="0" borderId="2" xfId="1" applyFont="1" applyFill="1" applyBorder="1" applyAlignment="1"/>
    <xf numFmtId="178" fontId="8" fillId="0" borderId="2" xfId="1" applyNumberFormat="1" applyFont="1" applyFill="1" applyBorder="1" applyAlignment="1">
      <alignment horizontal="center" vertical="center"/>
    </xf>
    <xf numFmtId="1" fontId="8" fillId="4" borderId="2" xfId="1" applyNumberFormat="1" applyFont="1" applyFill="1" applyBorder="1" applyAlignment="1">
      <alignment horizontal="center" vertical="center"/>
    </xf>
    <xf numFmtId="1" fontId="8" fillId="3" borderId="2" xfId="1" applyNumberFormat="1" applyFont="1" applyFill="1" applyBorder="1" applyAlignment="1">
      <alignment horizontal="center" vertical="center"/>
    </xf>
    <xf numFmtId="180" fontId="8" fillId="0" borderId="2" xfId="1" applyNumberFormat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/>
    </xf>
    <xf numFmtId="0" fontId="8" fillId="0" borderId="4" xfId="1" applyFont="1" applyFill="1" applyBorder="1" applyAlignment="1">
      <alignment horizontal="left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/>
    </xf>
    <xf numFmtId="0" fontId="8" fillId="0" borderId="4" xfId="1" applyFont="1" applyFill="1" applyBorder="1" applyAlignment="1">
      <alignment horizontal="left"/>
    </xf>
    <xf numFmtId="180" fontId="8" fillId="0" borderId="3" xfId="1" applyNumberFormat="1" applyFont="1" applyBorder="1" applyAlignment="1">
      <alignment horizontal="center" vertical="center"/>
    </xf>
    <xf numFmtId="0" fontId="8" fillId="0" borderId="4" xfId="1" applyFont="1" applyFill="1" applyBorder="1" applyAlignment="1"/>
    <xf numFmtId="3" fontId="8" fillId="0" borderId="2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8" fillId="0" borderId="4" xfId="1" applyFont="1" applyFill="1" applyBorder="1" applyAlignment="1">
      <alignment horizontal="left" vertical="center"/>
    </xf>
    <xf numFmtId="0" fontId="21" fillId="0" borderId="0" xfId="1" applyFont="1">
      <alignment vertical="center"/>
    </xf>
    <xf numFmtId="0" fontId="8" fillId="0" borderId="0" xfId="1" applyFont="1" applyAlignment="1">
      <alignment vertical="center" wrapText="1"/>
    </xf>
    <xf numFmtId="0" fontId="8" fillId="0" borderId="4" xfId="1" applyFont="1" applyFill="1" applyBorder="1" applyAlignment="1"/>
    <xf numFmtId="0" fontId="8" fillId="3" borderId="2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8" fillId="0" borderId="4" xfId="1" applyFont="1" applyFill="1" applyBorder="1" applyAlignment="1">
      <alignment horizontal="left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179" fontId="8" fillId="0" borderId="2" xfId="4" applyNumberFormat="1" applyFont="1" applyBorder="1" applyAlignment="1">
      <alignment horizontal="center" vertical="center"/>
    </xf>
    <xf numFmtId="0" fontId="8" fillId="0" borderId="2" xfId="1" applyFont="1" applyFill="1" applyBorder="1" applyAlignment="1"/>
    <xf numFmtId="0" fontId="8" fillId="0" borderId="3" xfId="1" applyFont="1" applyFill="1" applyBorder="1" applyAlignment="1">
      <alignment horizontal="left"/>
    </xf>
    <xf numFmtId="0" fontId="8" fillId="0" borderId="4" xfId="1" applyFont="1" applyFill="1" applyBorder="1" applyAlignment="1">
      <alignment horizontal="left"/>
    </xf>
    <xf numFmtId="0" fontId="8" fillId="4" borderId="2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/>
    </xf>
    <xf numFmtId="0" fontId="26" fillId="0" borderId="46" xfId="2" applyFont="1" applyFill="1" applyBorder="1" applyAlignment="1">
      <alignment horizontal="center" vertical="center" wrapText="1"/>
    </xf>
    <xf numFmtId="183" fontId="15" fillId="0" borderId="6" xfId="2" applyNumberFormat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0" borderId="0" xfId="1" applyFont="1" applyFill="1">
      <alignment vertical="center"/>
    </xf>
    <xf numFmtId="0" fontId="8" fillId="0" borderId="4" xfId="1" applyFont="1" applyFill="1" applyBorder="1" applyAlignment="1"/>
    <xf numFmtId="0" fontId="8" fillId="3" borderId="2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8" fillId="0" borderId="4" xfId="1" applyFont="1" applyFill="1" applyBorder="1" applyAlignment="1">
      <alignment horizontal="left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179" fontId="8" fillId="0" borderId="2" xfId="4" applyNumberFormat="1" applyFont="1" applyBorder="1" applyAlignment="1">
      <alignment horizontal="center" vertical="center"/>
    </xf>
    <xf numFmtId="0" fontId="8" fillId="0" borderId="2" xfId="1" applyFont="1" applyFill="1" applyBorder="1" applyAlignment="1"/>
    <xf numFmtId="0" fontId="8" fillId="0" borderId="3" xfId="1" applyFont="1" applyFill="1" applyBorder="1" applyAlignment="1">
      <alignment horizontal="left"/>
    </xf>
    <xf numFmtId="0" fontId="8" fillId="0" borderId="4" xfId="1" applyFont="1" applyFill="1" applyBorder="1" applyAlignment="1">
      <alignment horizontal="left"/>
    </xf>
    <xf numFmtId="0" fontId="8" fillId="4" borderId="2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179" fontId="8" fillId="0" borderId="2" xfId="4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2" xfId="1" applyFont="1" applyFill="1" applyBorder="1" applyAlignment="1"/>
    <xf numFmtId="0" fontId="8" fillId="0" borderId="3" xfId="1" applyFont="1" applyFill="1" applyBorder="1" applyAlignment="1">
      <alignment horizontal="left"/>
    </xf>
    <xf numFmtId="0" fontId="8" fillId="0" borderId="4" xfId="1" applyFont="1" applyFill="1" applyBorder="1" applyAlignment="1">
      <alignment horizontal="left"/>
    </xf>
    <xf numFmtId="0" fontId="8" fillId="0" borderId="3" xfId="1" applyFont="1" applyFill="1" applyBorder="1" applyAlignment="1">
      <alignment horizontal="left" vertical="center"/>
    </xf>
    <xf numFmtId="0" fontId="8" fillId="0" borderId="4" xfId="1" applyFont="1" applyFill="1" applyBorder="1" applyAlignment="1">
      <alignment horizontal="left" vertical="center"/>
    </xf>
    <xf numFmtId="0" fontId="8" fillId="0" borderId="4" xfId="1" applyFont="1" applyFill="1" applyBorder="1" applyAlignment="1"/>
    <xf numFmtId="0" fontId="8" fillId="0" borderId="2" xfId="1" applyFont="1" applyFill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0" fontId="0" fillId="5" borderId="24" xfId="6" applyFont="1" applyFill="1" applyBorder="1" applyAlignment="1">
      <alignment horizontal="center" vertical="center" wrapText="1"/>
    </xf>
    <xf numFmtId="0" fontId="8" fillId="5" borderId="31" xfId="6" applyFont="1" applyFill="1" applyBorder="1" applyAlignment="1">
      <alignment horizontal="center" vertical="center"/>
    </xf>
    <xf numFmtId="0" fontId="8" fillId="0" borderId="33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8" fillId="0" borderId="38" xfId="6" applyFont="1" applyBorder="1" applyAlignment="1">
      <alignment horizontal="center" vertical="center"/>
    </xf>
    <xf numFmtId="0" fontId="8" fillId="0" borderId="39" xfId="6" applyFont="1" applyBorder="1" applyAlignment="1">
      <alignment horizontal="center" vertical="center"/>
    </xf>
    <xf numFmtId="0" fontId="8" fillId="0" borderId="11" xfId="6" applyFont="1" applyBorder="1" applyAlignment="1">
      <alignment horizontal="center" vertical="center"/>
    </xf>
    <xf numFmtId="0" fontId="8" fillId="0" borderId="12" xfId="6" applyFont="1" applyBorder="1" applyAlignment="1">
      <alignment horizontal="center" vertical="center"/>
    </xf>
    <xf numFmtId="0" fontId="20" fillId="4" borderId="11" xfId="5" applyFont="1" applyFill="1" applyBorder="1" applyAlignment="1">
      <alignment horizontal="center" vertical="center"/>
    </xf>
    <xf numFmtId="0" fontId="20" fillId="4" borderId="13" xfId="5" applyFont="1" applyFill="1" applyBorder="1" applyAlignment="1">
      <alignment horizontal="center" vertical="center"/>
    </xf>
    <xf numFmtId="0" fontId="20" fillId="4" borderId="12" xfId="5" applyFont="1" applyFill="1" applyBorder="1" applyAlignment="1">
      <alignment horizontal="center" vertical="center"/>
    </xf>
    <xf numFmtId="0" fontId="20" fillId="5" borderId="11" xfId="5" applyFont="1" applyFill="1" applyBorder="1" applyAlignment="1">
      <alignment horizontal="center" vertical="center"/>
    </xf>
    <xf numFmtId="0" fontId="20" fillId="5" borderId="13" xfId="5" applyFont="1" applyFill="1" applyBorder="1" applyAlignment="1">
      <alignment horizontal="center" vertical="center"/>
    </xf>
    <xf numFmtId="0" fontId="20" fillId="5" borderId="12" xfId="5" applyFont="1" applyFill="1" applyBorder="1" applyAlignment="1">
      <alignment horizontal="center" vertical="center"/>
    </xf>
    <xf numFmtId="0" fontId="8" fillId="0" borderId="14" xfId="6" applyFont="1" applyBorder="1" applyAlignment="1">
      <alignment horizontal="center" vertical="center"/>
    </xf>
    <xf numFmtId="0" fontId="8" fillId="0" borderId="15" xfId="6" applyFont="1" applyBorder="1" applyAlignment="1">
      <alignment horizontal="center" vertical="center"/>
    </xf>
    <xf numFmtId="0" fontId="8" fillId="0" borderId="19" xfId="6" applyFont="1" applyBorder="1" applyAlignment="1">
      <alignment horizontal="center" vertical="center"/>
    </xf>
    <xf numFmtId="0" fontId="8" fillId="0" borderId="20" xfId="6" applyFont="1" applyBorder="1" applyAlignment="1">
      <alignment horizontal="center" vertical="center"/>
    </xf>
    <xf numFmtId="0" fontId="14" fillId="0" borderId="24" xfId="6" applyFont="1" applyBorder="1" applyAlignment="1">
      <alignment horizontal="center" vertical="center" textRotation="255"/>
    </xf>
    <xf numFmtId="0" fontId="14" fillId="0" borderId="30" xfId="6" applyFont="1" applyBorder="1" applyAlignment="1">
      <alignment horizontal="center" vertical="center" textRotation="255"/>
    </xf>
    <xf numFmtId="0" fontId="14" fillId="0" borderId="31" xfId="6" applyFont="1" applyBorder="1" applyAlignment="1">
      <alignment horizontal="center" vertical="center" textRotation="255"/>
    </xf>
    <xf numFmtId="0" fontId="8" fillId="0" borderId="24" xfId="6" applyFont="1" applyBorder="1" applyAlignment="1">
      <alignment horizontal="center" vertical="center" wrapText="1"/>
    </xf>
    <xf numFmtId="0" fontId="8" fillId="0" borderId="31" xfId="6" applyFont="1" applyBorder="1" applyAlignment="1">
      <alignment horizontal="center" vertical="center" wrapText="1"/>
    </xf>
    <xf numFmtId="1" fontId="16" fillId="0" borderId="2" xfId="8" applyNumberFormat="1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178" fontId="17" fillId="6" borderId="3" xfId="6" applyNumberFormat="1" applyFont="1" applyFill="1" applyBorder="1" applyAlignment="1">
      <alignment horizontal="center" vertical="center"/>
    </xf>
    <xf numFmtId="178" fontId="17" fillId="6" borderId="4" xfId="6" applyNumberFormat="1" applyFont="1" applyFill="1" applyBorder="1" applyAlignment="1">
      <alignment horizontal="center" vertical="center"/>
    </xf>
    <xf numFmtId="178" fontId="17" fillId="6" borderId="3" xfId="7" applyNumberFormat="1" applyFont="1" applyFill="1" applyBorder="1" applyAlignment="1">
      <alignment horizontal="center" vertical="center"/>
    </xf>
    <xf numFmtId="178" fontId="17" fillId="6" borderId="4" xfId="7" applyNumberFormat="1" applyFont="1" applyFill="1" applyBorder="1" applyAlignment="1">
      <alignment horizontal="center" vertical="center"/>
    </xf>
    <xf numFmtId="179" fontId="17" fillId="0" borderId="3" xfId="6" applyNumberFormat="1" applyFont="1" applyBorder="1" applyAlignment="1">
      <alignment horizontal="center" vertical="center"/>
    </xf>
    <xf numFmtId="179" fontId="17" fillId="0" borderId="4" xfId="6" applyNumberFormat="1" applyFont="1" applyBorder="1" applyAlignment="1">
      <alignment horizontal="center" vertical="center"/>
    </xf>
    <xf numFmtId="179" fontId="17" fillId="0" borderId="3" xfId="4" applyNumberFormat="1" applyFont="1" applyFill="1" applyBorder="1" applyAlignment="1">
      <alignment horizontal="center" vertical="center"/>
    </xf>
    <xf numFmtId="179" fontId="17" fillId="0" borderId="4" xfId="4" applyNumberFormat="1" applyFont="1" applyFill="1" applyBorder="1" applyAlignment="1">
      <alignment horizontal="center" vertical="center"/>
    </xf>
    <xf numFmtId="178" fontId="9" fillId="0" borderId="3" xfId="6" applyNumberFormat="1" applyFont="1" applyBorder="1" applyAlignment="1">
      <alignment horizontal="center" vertical="center"/>
    </xf>
    <xf numFmtId="178" fontId="9" fillId="0" borderId="4" xfId="6" applyNumberFormat="1" applyFont="1" applyBorder="1" applyAlignment="1">
      <alignment horizontal="center" vertical="center"/>
    </xf>
    <xf numFmtId="178" fontId="9" fillId="0" borderId="3" xfId="7" applyNumberFormat="1" applyFont="1" applyBorder="1" applyAlignment="1">
      <alignment horizontal="center" vertical="center"/>
    </xf>
    <xf numFmtId="178" fontId="9" fillId="0" borderId="4" xfId="7" applyNumberFormat="1" applyFont="1" applyBorder="1" applyAlignment="1">
      <alignment horizontal="center" vertical="center"/>
    </xf>
    <xf numFmtId="0" fontId="16" fillId="0" borderId="4" xfId="8" applyFont="1" applyBorder="1" applyAlignment="1">
      <alignment horizontal="center" vertical="center"/>
    </xf>
    <xf numFmtId="0" fontId="16" fillId="0" borderId="2" xfId="8" applyFont="1" applyBorder="1" applyAlignment="1">
      <alignment horizontal="center" vertical="center"/>
    </xf>
    <xf numFmtId="0" fontId="13" fillId="3" borderId="4" xfId="2" applyFont="1" applyFill="1" applyBorder="1" applyAlignment="1">
      <alignment horizontal="center" vertical="center"/>
    </xf>
    <xf numFmtId="0" fontId="13" fillId="3" borderId="2" xfId="2" applyFont="1" applyFill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176" fontId="14" fillId="4" borderId="3" xfId="7" applyNumberFormat="1" applyFont="1" applyFill="1" applyBorder="1" applyAlignment="1">
      <alignment horizontal="center" vertical="center"/>
    </xf>
    <xf numFmtId="176" fontId="14" fillId="4" borderId="4" xfId="7" applyNumberFormat="1" applyFont="1" applyFill="1" applyBorder="1" applyAlignment="1">
      <alignment horizontal="center" vertical="center"/>
    </xf>
    <xf numFmtId="176" fontId="14" fillId="5" borderId="3" xfId="7" applyNumberFormat="1" applyFont="1" applyFill="1" applyBorder="1" applyAlignment="1">
      <alignment horizontal="center" vertical="center"/>
    </xf>
    <xf numFmtId="176" fontId="14" fillId="5" borderId="4" xfId="7" applyNumberFormat="1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10" fillId="2" borderId="3" xfId="6" applyFont="1" applyFill="1" applyBorder="1" applyAlignment="1">
      <alignment horizontal="center" vertical="center"/>
    </xf>
    <xf numFmtId="0" fontId="10" fillId="2" borderId="4" xfId="6" applyFont="1" applyFill="1" applyBorder="1" applyAlignment="1">
      <alignment horizontal="center" vertical="center"/>
    </xf>
    <xf numFmtId="176" fontId="9" fillId="0" borderId="3" xfId="7" applyNumberFormat="1" applyFont="1" applyBorder="1" applyAlignment="1">
      <alignment horizontal="center" vertical="center"/>
    </xf>
    <xf numFmtId="176" fontId="9" fillId="0" borderId="4" xfId="7" applyNumberFormat="1" applyFont="1" applyBorder="1" applyAlignment="1">
      <alignment horizontal="center" vertical="center"/>
    </xf>
    <xf numFmtId="177" fontId="9" fillId="0" borderId="3" xfId="7" applyNumberFormat="1" applyFont="1" applyBorder="1" applyAlignment="1">
      <alignment horizontal="center" vertical="center"/>
    </xf>
    <xf numFmtId="177" fontId="9" fillId="0" borderId="4" xfId="7" applyNumberFormat="1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8" fillId="0" borderId="4" xfId="1" applyFont="1" applyFill="1" applyBorder="1" applyAlignment="1">
      <alignment horizontal="left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3" xfId="1" applyFont="1" applyFill="1" applyBorder="1" applyAlignment="1"/>
    <xf numFmtId="0" fontId="8" fillId="0" borderId="4" xfId="1" applyFont="1" applyFill="1" applyBorder="1" applyAlignment="1"/>
    <xf numFmtId="0" fontId="8" fillId="3" borderId="2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left" vertical="center"/>
    </xf>
    <xf numFmtId="0" fontId="26" fillId="6" borderId="6" xfId="1" applyFont="1" applyFill="1" applyBorder="1" applyAlignment="1">
      <alignment horizontal="center" vertical="center" wrapText="1"/>
    </xf>
    <xf numFmtId="0" fontId="26" fillId="6" borderId="7" xfId="1" applyFont="1" applyFill="1" applyBorder="1" applyAlignment="1">
      <alignment horizontal="center" vertical="center" wrapText="1"/>
    </xf>
    <xf numFmtId="0" fontId="26" fillId="6" borderId="10" xfId="1" applyFont="1" applyFill="1" applyBorder="1" applyAlignment="1">
      <alignment horizontal="center" vertical="center" wrapText="1"/>
    </xf>
    <xf numFmtId="179" fontId="8" fillId="0" borderId="2" xfId="4" applyNumberFormat="1" applyFont="1" applyBorder="1" applyAlignment="1">
      <alignment horizontal="center" vertical="center"/>
    </xf>
    <xf numFmtId="0" fontId="8" fillId="0" borderId="2" xfId="1" applyFont="1" applyFill="1" applyBorder="1" applyAlignment="1"/>
    <xf numFmtId="0" fontId="8" fillId="14" borderId="2" xfId="1" applyFont="1" applyFill="1" applyBorder="1" applyAlignment="1">
      <alignment horizontal="center" vertical="center" wrapText="1"/>
    </xf>
    <xf numFmtId="0" fontId="8" fillId="14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179" fontId="8" fillId="0" borderId="6" xfId="4" applyNumberFormat="1" applyFont="1" applyBorder="1" applyAlignment="1">
      <alignment horizontal="center" vertical="center"/>
    </xf>
    <xf numFmtId="179" fontId="8" fillId="0" borderId="7" xfId="4" applyNumberFormat="1" applyFont="1" applyBorder="1" applyAlignment="1">
      <alignment horizontal="center" vertical="center"/>
    </xf>
    <xf numFmtId="179" fontId="8" fillId="0" borderId="10" xfId="4" applyNumberFormat="1" applyFont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 wrapText="1"/>
    </xf>
    <xf numFmtId="0" fontId="8" fillId="5" borderId="7" xfId="1" applyFont="1" applyFill="1" applyBorder="1" applyAlignment="1">
      <alignment horizontal="center" vertical="center" wrapText="1"/>
    </xf>
    <xf numFmtId="0" fontId="8" fillId="5" borderId="10" xfId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left"/>
    </xf>
    <xf numFmtId="0" fontId="8" fillId="0" borderId="4" xfId="1" applyFont="1" applyFill="1" applyBorder="1" applyAlignment="1">
      <alignment horizontal="left"/>
    </xf>
    <xf numFmtId="0" fontId="8" fillId="13" borderId="2" xfId="1" applyFont="1" applyFill="1" applyBorder="1" applyAlignment="1">
      <alignment horizontal="center" vertical="center" wrapText="1"/>
    </xf>
    <xf numFmtId="0" fontId="8" fillId="13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left"/>
    </xf>
    <xf numFmtId="0" fontId="8" fillId="12" borderId="2" xfId="1" applyFont="1" applyFill="1" applyBorder="1" applyAlignment="1">
      <alignment horizontal="center" vertical="center" wrapText="1"/>
    </xf>
    <xf numFmtId="0" fontId="8" fillId="11" borderId="47" xfId="1" applyFont="1" applyFill="1" applyBorder="1" applyAlignment="1">
      <alignment horizontal="center" vertical="center" wrapText="1"/>
    </xf>
    <xf numFmtId="0" fontId="8" fillId="11" borderId="48" xfId="1" applyFont="1" applyFill="1" applyBorder="1" applyAlignment="1">
      <alignment horizontal="center" vertical="center" wrapText="1"/>
    </xf>
    <xf numFmtId="0" fontId="8" fillId="10" borderId="2" xfId="1" applyFont="1" applyFill="1" applyBorder="1" applyAlignment="1">
      <alignment horizontal="center" vertical="center" wrapText="1"/>
    </xf>
    <xf numFmtId="0" fontId="8" fillId="10" borderId="2" xfId="1" applyFont="1" applyFill="1" applyBorder="1" applyAlignment="1">
      <alignment horizontal="center" vertical="center"/>
    </xf>
    <xf numFmtId="0" fontId="26" fillId="6" borderId="2" xfId="1" applyFont="1" applyFill="1" applyBorder="1" applyAlignment="1">
      <alignment horizontal="center" vertical="center" wrapText="1"/>
    </xf>
    <xf numFmtId="0" fontId="8" fillId="0" borderId="3" xfId="3" applyFont="1" applyFill="1" applyBorder="1" applyAlignment="1">
      <alignment horizontal="left"/>
    </xf>
    <xf numFmtId="0" fontId="8" fillId="0" borderId="4" xfId="3" applyFont="1" applyFill="1" applyBorder="1" applyAlignment="1">
      <alignment horizontal="left"/>
    </xf>
    <xf numFmtId="0" fontId="8" fillId="8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/>
    </xf>
    <xf numFmtId="0" fontId="8" fillId="0" borderId="2" xfId="3" applyFont="1" applyFill="1" applyBorder="1" applyAlignment="1">
      <alignment horizontal="left"/>
    </xf>
    <xf numFmtId="0" fontId="8" fillId="0" borderId="2" xfId="1" applyFont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</cellXfs>
  <cellStyles count="10">
    <cellStyle name="一般" xfId="0" builtinId="0"/>
    <cellStyle name="一般 2 17 2" xfId="8"/>
    <cellStyle name="一般 2 2 2" xfId="6"/>
    <cellStyle name="一般 2 2 29" xfId="9"/>
    <cellStyle name="一般 2 2 7" xfId="1"/>
    <cellStyle name="一般 2 4" xfId="3"/>
    <cellStyle name="一般 2 8" xfId="2"/>
    <cellStyle name="一般 3" xfId="5"/>
    <cellStyle name="千分位 2" xfId="7"/>
    <cellStyle name="百分比 2" xfId="4"/>
  </cellStyles>
  <dxfs count="338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sqref="A1:XFD1048576"/>
    </sheetView>
  </sheetViews>
  <sheetFormatPr defaultColWidth="8.75" defaultRowHeight="15.75"/>
  <cols>
    <col min="1" max="1" width="8.75" style="2"/>
    <col min="2" max="2" width="17.875" style="2" customWidth="1"/>
    <col min="3" max="3" width="9.25" style="10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212" t="s">
        <v>504</v>
      </c>
      <c r="C1" s="212"/>
      <c r="D1" s="212"/>
      <c r="E1" s="212"/>
      <c r="F1" s="212"/>
      <c r="G1" s="212"/>
      <c r="H1" s="212"/>
      <c r="I1" s="212"/>
      <c r="J1" s="212"/>
      <c r="K1" s="1"/>
      <c r="L1" s="1"/>
      <c r="M1" s="1"/>
      <c r="N1" s="1"/>
      <c r="O1" s="1"/>
      <c r="P1" s="1"/>
    </row>
    <row r="2" spans="2:17" ht="27.75" customHeight="1">
      <c r="B2" s="213"/>
      <c r="C2" s="213"/>
      <c r="D2" s="213"/>
      <c r="E2" s="213"/>
      <c r="F2" s="213"/>
      <c r="G2" s="213"/>
      <c r="H2" s="213"/>
      <c r="I2" s="213"/>
      <c r="J2" s="213"/>
      <c r="K2" s="3"/>
      <c r="L2" s="3"/>
      <c r="M2" s="3"/>
      <c r="N2" s="1"/>
      <c r="O2" s="1"/>
      <c r="P2" s="1"/>
    </row>
    <row r="3" spans="2:17" ht="46.5" customHeight="1">
      <c r="B3" s="4" t="s">
        <v>505</v>
      </c>
      <c r="C3" s="214" t="str">
        <f>TEXT('1005 4度C'!A2,"yyyy.mm.ddaaaa")</f>
        <v>2026.10.05星期一</v>
      </c>
      <c r="D3" s="215"/>
      <c r="E3" s="4" t="s">
        <v>506</v>
      </c>
      <c r="F3" s="216">
        <f>'1005 4度C'!D1</f>
        <v>188817</v>
      </c>
      <c r="G3" s="217"/>
      <c r="H3" s="4" t="s">
        <v>507</v>
      </c>
      <c r="I3" s="218">
        <f>'1005 4度C'!F1</f>
        <v>6372151.5499999989</v>
      </c>
      <c r="J3" s="219"/>
      <c r="K3" s="5"/>
      <c r="L3" s="6"/>
      <c r="M3" s="7"/>
      <c r="N3" s="7"/>
    </row>
    <row r="4" spans="2:17" ht="28.5" customHeight="1">
      <c r="B4" s="220" t="s">
        <v>508</v>
      </c>
      <c r="C4" s="206" t="s">
        <v>509</v>
      </c>
      <c r="D4" s="207"/>
      <c r="E4" s="223" t="s">
        <v>6</v>
      </c>
      <c r="F4" s="224"/>
      <c r="G4" s="223" t="s">
        <v>510</v>
      </c>
      <c r="H4" s="224"/>
      <c r="I4" s="223" t="s">
        <v>511</v>
      </c>
      <c r="J4" s="224"/>
      <c r="K4" s="204" t="s">
        <v>512</v>
      </c>
      <c r="L4" s="205"/>
      <c r="M4" s="205" t="s">
        <v>513</v>
      </c>
      <c r="N4" s="205"/>
    </row>
    <row r="5" spans="2:17" ht="28.5" customHeight="1">
      <c r="B5" s="221"/>
      <c r="C5" s="206" t="s">
        <v>514</v>
      </c>
      <c r="D5" s="207"/>
      <c r="E5" s="206" t="s">
        <v>515</v>
      </c>
      <c r="F5" s="207"/>
      <c r="G5" s="208" t="s">
        <v>516</v>
      </c>
      <c r="H5" s="209"/>
      <c r="I5" s="210" t="s">
        <v>517</v>
      </c>
      <c r="J5" s="211"/>
      <c r="K5" s="8" t="s">
        <v>518</v>
      </c>
      <c r="L5" s="9" t="s">
        <v>519</v>
      </c>
      <c r="M5" s="8" t="s">
        <v>520</v>
      </c>
      <c r="N5" s="9" t="s">
        <v>521</v>
      </c>
    </row>
    <row r="6" spans="2:17" ht="28.5" customHeight="1">
      <c r="B6" s="221"/>
      <c r="C6" s="206" t="s">
        <v>18</v>
      </c>
      <c r="D6" s="207"/>
      <c r="E6" s="198">
        <f>AVERAGE(D13:M13)</f>
        <v>151.02340547672105</v>
      </c>
      <c r="F6" s="199">
        <f>AVERAGE(D31:O31,D13:J13)</f>
        <v>155.8198248166016</v>
      </c>
      <c r="G6" s="200">
        <f>AVERAGE(D13:J13)</f>
        <v>155.8198248166016</v>
      </c>
      <c r="H6" s="201"/>
      <c r="I6" s="200">
        <f>AVERAGE(K13:M13)</f>
        <v>139.8317603503331</v>
      </c>
      <c r="J6" s="201"/>
      <c r="K6" s="202">
        <f>'1005 4度C'!Y2</f>
        <v>0</v>
      </c>
      <c r="L6" s="187">
        <f>'1005 4度C'!Z2</f>
        <v>0</v>
      </c>
      <c r="M6" s="203">
        <f>'1005 4度C'!AC2</f>
        <v>62</v>
      </c>
      <c r="N6" s="187">
        <f>'1005 4度C'!AD2</f>
        <v>0</v>
      </c>
    </row>
    <row r="7" spans="2:17" ht="28.5" customHeight="1">
      <c r="B7" s="221"/>
      <c r="C7" s="188" t="s">
        <v>19</v>
      </c>
      <c r="D7" s="189"/>
      <c r="E7" s="190">
        <f>AVERAGE(D14:M14)</f>
        <v>144.78123612337041</v>
      </c>
      <c r="F7" s="191">
        <f>AVERAGE(D32:O32,D14:J14)</f>
        <v>149.47834236496016</v>
      </c>
      <c r="G7" s="192">
        <f>AVERAGE(D14:J14)</f>
        <v>149.47834236496016</v>
      </c>
      <c r="H7" s="193"/>
      <c r="I7" s="192">
        <f>AVERAGE(K14:M14)</f>
        <v>133.82132155966096</v>
      </c>
      <c r="J7" s="193"/>
      <c r="K7" s="202"/>
      <c r="L7" s="187"/>
      <c r="M7" s="203"/>
      <c r="N7" s="187"/>
    </row>
    <row r="8" spans="2:17" ht="28.5" customHeight="1">
      <c r="B8" s="222"/>
      <c r="C8" s="188" t="s">
        <v>20</v>
      </c>
      <c r="D8" s="189"/>
      <c r="E8" s="194">
        <f>AVERAGE(D15:M15)</f>
        <v>0.95816975931851078</v>
      </c>
      <c r="F8" s="195">
        <f>AVERAGE(D15:J15,D33:O33)</f>
        <v>0.95873505190508468</v>
      </c>
      <c r="G8" s="196">
        <f>AVERAGE(D15:J15)</f>
        <v>0.95873505190508468</v>
      </c>
      <c r="H8" s="197"/>
      <c r="I8" s="196">
        <f>AVERAGE(K15:M15)</f>
        <v>0.95685074328317177</v>
      </c>
      <c r="J8" s="197"/>
      <c r="K8" s="202"/>
      <c r="L8" s="187"/>
      <c r="M8" s="203"/>
      <c r="N8" s="187"/>
    </row>
    <row r="9" spans="2:17" ht="28.5" customHeight="1" thickBot="1">
      <c r="H9" s="11"/>
      <c r="K9" s="12" t="s">
        <v>522</v>
      </c>
      <c r="N9" s="7"/>
      <c r="O9" s="7"/>
      <c r="P9" s="7"/>
      <c r="Q9" s="7"/>
    </row>
    <row r="10" spans="2:17" ht="30" customHeight="1">
      <c r="B10" s="170" t="s">
        <v>523</v>
      </c>
      <c r="C10" s="171"/>
      <c r="D10" s="172" t="s">
        <v>23</v>
      </c>
      <c r="E10" s="173"/>
      <c r="F10" s="173"/>
      <c r="G10" s="173"/>
      <c r="H10" s="173"/>
      <c r="I10" s="173"/>
      <c r="J10" s="174"/>
      <c r="K10" s="175" t="s">
        <v>524</v>
      </c>
      <c r="L10" s="176"/>
      <c r="M10" s="177"/>
      <c r="P10" s="13"/>
      <c r="Q10" s="13"/>
    </row>
    <row r="11" spans="2:17" ht="17.25" customHeight="1">
      <c r="B11" s="178" t="s">
        <v>25</v>
      </c>
      <c r="C11" s="179"/>
      <c r="D11" s="14">
        <v>1</v>
      </c>
      <c r="E11" s="15">
        <v>2</v>
      </c>
      <c r="F11" s="15">
        <v>3</v>
      </c>
      <c r="G11" s="15">
        <v>4</v>
      </c>
      <c r="H11" s="15">
        <v>5</v>
      </c>
      <c r="I11" s="15">
        <v>6</v>
      </c>
      <c r="J11" s="16">
        <v>7</v>
      </c>
      <c r="K11" s="14">
        <v>1</v>
      </c>
      <c r="L11" s="15">
        <v>2</v>
      </c>
      <c r="M11" s="16">
        <v>3</v>
      </c>
      <c r="P11" s="13"/>
      <c r="Q11" s="13"/>
    </row>
    <row r="12" spans="2:17" ht="34.15" customHeight="1">
      <c r="B12" s="180"/>
      <c r="C12" s="181"/>
      <c r="D12" s="17" t="s">
        <v>26</v>
      </c>
      <c r="E12" s="18" t="s">
        <v>27</v>
      </c>
      <c r="F12" s="18" t="s">
        <v>28</v>
      </c>
      <c r="G12" s="18" t="s">
        <v>29</v>
      </c>
      <c r="H12" s="18" t="s">
        <v>30</v>
      </c>
      <c r="I12" s="18" t="s">
        <v>31</v>
      </c>
      <c r="J12" s="19" t="s">
        <v>32</v>
      </c>
      <c r="K12" s="17" t="s">
        <v>33</v>
      </c>
      <c r="L12" s="18" t="s">
        <v>34</v>
      </c>
      <c r="M12" s="19" t="s">
        <v>35</v>
      </c>
    </row>
    <row r="13" spans="2:17" ht="40.15" customHeight="1">
      <c r="B13" s="182" t="s">
        <v>36</v>
      </c>
      <c r="C13" s="20" t="s">
        <v>37</v>
      </c>
      <c r="D13" s="21">
        <f>SUMIFS('1005 4度C'!$K:$K,'1005 4度C'!$A:$A,"新豐6線",'1005 4度C'!$B:$B,"平均")</f>
        <v>133.33333333333334</v>
      </c>
      <c r="E13" s="22">
        <f>SUMIFS('1005 4度C'!$K:$K,'1005 4度C'!$A:$A,"新豐2線",'1005 4度C'!$B:$B,"平均")</f>
        <v>83.333333333333329</v>
      </c>
      <c r="F13" s="23">
        <f>SUMIFS('1005 4度C'!$K:$K,'1005 4度C'!$A:$A,"新豐5線",'1005 4度C'!$B:$B,"平均")</f>
        <v>102.94117647058823</v>
      </c>
      <c r="G13" s="23">
        <f>SUMIFS('1005 4度C'!$K:$K,'1005 4度C'!$A:$A,"新豐7線",'1005 4度C'!$B:$B,"平均")</f>
        <v>125</v>
      </c>
      <c r="H13" s="23">
        <f>SUMIFS('1005 4度C'!$K:$K,'1005 4度C'!$A:$A,"新豐3線",'1005 4度C'!$B:$B,"平均")</f>
        <v>242.42424242424241</v>
      </c>
      <c r="I13" s="23">
        <f>SUMIFS('1005 4度C'!$K:$K,'1005 4度C'!$A:$A,"新豐1線",'1005 4度C'!$B:$B,"平均")</f>
        <v>109.58904109589041</v>
      </c>
      <c r="J13" s="24">
        <f>SUMIFS('1005 4度C'!$K:$K,'1005 4度C'!$A:$A,"新豐10線",'1005 4度C'!$B:$B,"平均")</f>
        <v>294.11764705882354</v>
      </c>
      <c r="K13" s="25">
        <f>SUMIFS('1005 4度C'!$K:$K,'1005 4度C'!$A:$A,"新豐8線",'1005 4度C'!$B:$B,"平均")</f>
        <v>135.84905660377356</v>
      </c>
      <c r="L13" s="26">
        <f>SUMIFS('1005 4度C'!$K:$K,'1005 4度C'!$A:$A,"新豐9線",'1005 4度C'!$B:$B,"平均")</f>
        <v>124.822695035461</v>
      </c>
      <c r="M13" s="24">
        <f>SUMIFS('1005 4度C'!$K:$K,'1005 4度C'!$A:$A,"新豐4線",'1005 4度C'!$B:$B,"平均")</f>
        <v>158.8235294117647</v>
      </c>
    </row>
    <row r="14" spans="2:17" ht="39.6" customHeight="1">
      <c r="B14" s="183"/>
      <c r="C14" s="27" t="s">
        <v>525</v>
      </c>
      <c r="D14" s="28">
        <f>SUMIFS('1005 4度C'!$N:$N,'1005 4度C'!$A:$A,"新豐6線",'1005 4度C'!$B:$B,"平均")</f>
        <v>128.12030404608734</v>
      </c>
      <c r="E14" s="29">
        <f>SUMIFS('1005 4度C'!$N:$N,'1005 4度C'!$A:$A,"新豐2線",'1005 4度C'!$B:$B,"平均")</f>
        <v>79.455595459110683</v>
      </c>
      <c r="F14" s="29">
        <f>SUMIFS('1005 4度C'!$N:$N,'1005 4度C'!$A:$A,"新豐5線",'1005 4度C'!$B:$B,"平均")</f>
        <v>98.822809013290154</v>
      </c>
      <c r="G14" s="29">
        <f>SUMIFS('1005 4度C'!$N:$N,'1005 4度C'!$A:$A,"新豐7線",'1005 4度C'!$B:$B,"平均")</f>
        <v>119.84450292692398</v>
      </c>
      <c r="H14" s="29">
        <f>SUMIFS('1005 4度C'!$N:$N,'1005 4度C'!$A:$A,"新豐3線",'1005 4度C'!$B:$B,"平均")</f>
        <v>231.01639111543744</v>
      </c>
      <c r="I14" s="29">
        <f>SUMIFS('1005 4度C'!$N:$N,'1005 4度C'!$A:$A,"新豐1線",'1005 4度C'!$B:$B,"平均")</f>
        <v>105.18469856619814</v>
      </c>
      <c r="J14" s="30">
        <f>SUMIFS('1005 4度C'!$N:$N,'1005 4度C'!$A:$A,"新豐10線",'1005 4度C'!$B:$B,"平均")</f>
        <v>283.90409542767344</v>
      </c>
      <c r="K14" s="31">
        <f>SUMIFS('1005 4度C'!$N:$N,'1005 4度C'!$A:$A,"新豐8線",'1005 4度C'!$B:$B,"平均")</f>
        <v>130.10173762189822</v>
      </c>
      <c r="L14" s="32">
        <f>SUMIFS('1005 4度C'!$N:$N,'1005 4度C'!$A:$A,"新豐9線",'1005 4度C'!$B:$B,"平均")</f>
        <v>119.11013259913152</v>
      </c>
      <c r="M14" s="30">
        <f>SUMIFS('1005 4度C'!$N:$N,'1005 4度C'!$A:$A,"新豐4線",'1005 4度C'!$B:$B,"平均")</f>
        <v>152.25209445795315</v>
      </c>
    </row>
    <row r="15" spans="2:17" ht="40.15" customHeight="1">
      <c r="B15" s="184"/>
      <c r="C15" s="33" t="s">
        <v>39</v>
      </c>
      <c r="D15" s="34">
        <f t="shared" ref="D15:M15" si="0">D14/D13</f>
        <v>0.96090228034565495</v>
      </c>
      <c r="E15" s="35">
        <f t="shared" si="0"/>
        <v>0.95346714550932821</v>
      </c>
      <c r="F15" s="35">
        <f t="shared" si="0"/>
        <v>0.95999300184339009</v>
      </c>
      <c r="G15" s="35">
        <f t="shared" si="0"/>
        <v>0.95875602341539179</v>
      </c>
      <c r="H15" s="35">
        <f t="shared" si="0"/>
        <v>0.95294261335117947</v>
      </c>
      <c r="I15" s="35">
        <f t="shared" si="0"/>
        <v>0.95981037441655803</v>
      </c>
      <c r="J15" s="36">
        <f t="shared" si="0"/>
        <v>0.96527392445408966</v>
      </c>
      <c r="K15" s="34">
        <f t="shared" si="0"/>
        <v>0.95769334638341763</v>
      </c>
      <c r="L15" s="35">
        <f t="shared" si="0"/>
        <v>0.95423458502713321</v>
      </c>
      <c r="M15" s="36">
        <f t="shared" si="0"/>
        <v>0.95862429843896435</v>
      </c>
    </row>
    <row r="16" spans="2:17" ht="17.25" customHeight="1">
      <c r="B16" s="185" t="s">
        <v>40</v>
      </c>
      <c r="C16" s="37" t="s">
        <v>526</v>
      </c>
      <c r="D16" s="38">
        <f>VLOOKUP("新豐6線",'1005 4度C'!$A:$T,19,0)</f>
        <v>0.70833333333333337</v>
      </c>
      <c r="E16" s="39">
        <f>VLOOKUP("新豐2線",'1005 4度C'!$A:$T,19,0)</f>
        <v>8.3333333333333329E-2</v>
      </c>
      <c r="F16" s="39">
        <f>VLOOKUP("新豐5線",'1005 4度C'!$A:$T,19,0)</f>
        <v>0.25</v>
      </c>
      <c r="G16" s="39">
        <f>VLOOKUP("新豐7線",'1005 4度C'!$A:$T,19,0)</f>
        <v>0.29166666666666669</v>
      </c>
      <c r="H16" s="39">
        <f>VLOOKUP("新豐3線",'1005 4度C'!$A:$T,19,0)</f>
        <v>0.20833333333333334</v>
      </c>
      <c r="I16" s="39">
        <f>VLOOKUP("新豐1線",'1005 4度C'!$A:$T,19,0)</f>
        <v>0.20833333333333334</v>
      </c>
      <c r="J16" s="40">
        <f>VLOOKUP("新豐10線",'1005 4度C'!$A:$T,19,0)</f>
        <v>0.20833333333333334</v>
      </c>
      <c r="K16" s="41">
        <f>VLOOKUP("新豐8線",'1005 4度C'!$A:$T,19,0)</f>
        <v>8.3333333333333329E-2</v>
      </c>
      <c r="L16" s="42">
        <f>VLOOKUP("新豐9線",'1005 4度C'!$A:$T,19,0)</f>
        <v>8.3333333333333329E-2</v>
      </c>
      <c r="M16" s="43">
        <f>VLOOKUP("新豐4線",'1005 4度C'!$A:$T,19,0)</f>
        <v>8.3333333333333329E-2</v>
      </c>
    </row>
    <row r="17" spans="2:13" ht="17.25" customHeight="1">
      <c r="B17" s="186"/>
      <c r="C17" s="37" t="s">
        <v>527</v>
      </c>
      <c r="D17" s="41">
        <f>LOOKUP(2,1/(('1005 4度C'!$A:$A="新豐6線")*('1005 4度C'!$T:$T&lt;&gt;"")),'1005 4度C'!$T:$T)</f>
        <v>0.91041666666666665</v>
      </c>
      <c r="E17" s="39">
        <f>LOOKUP(2,1/(('1005 4度C'!$A:$A="新豐2線")*('1005 4度C'!$T:$T&lt;&gt;"")),'1005 4度C'!$T:$T)</f>
        <v>0.46666666666666667</v>
      </c>
      <c r="F17" s="39">
        <f>LOOKUP(2,1/(('1005 4度C'!$A:$A="新豐5線")*('1005 4度C'!$T:$T&lt;&gt;"")),'1005 4度C'!$T:$T)</f>
        <v>0.84513888888888888</v>
      </c>
      <c r="G17" s="39">
        <f>LOOKUP(2,1/(('1005 4度C'!$A:$A="新豐7線")*('1005 4度C'!$T:$T&lt;&gt;"")),'1005 4度C'!$T:$T)</f>
        <v>0.91666666666666674</v>
      </c>
      <c r="H17" s="39">
        <f>LOOKUP(2,1/(('1005 4度C'!$A:$A="新豐3線")*('1005 4度C'!$T:$T&lt;&gt;"")),'1005 4度C'!$T:$T)</f>
        <v>0.48749999999999999</v>
      </c>
      <c r="I17" s="39">
        <f>LOOKUP(2,1/(('1005 4度C'!$A:$A="新豐1線")*('1005 4度C'!$T:$T&lt;&gt;"")),'1005 4度C'!$T:$T)</f>
        <v>0.84861111111111109</v>
      </c>
      <c r="J17" s="40">
        <f>LOOKUP(2,1/(('1005 4度C'!$A:$A="新豐10線")*('1005 4度C'!$T:$T&lt;&gt;"")),'1005 4度C'!$T:$T)</f>
        <v>0.46736111111111101</v>
      </c>
      <c r="K17" s="38">
        <f>LOOKUP(2,1/(('1005 4度C'!$A:$A="新豐8線")*('1005 4度C'!$T:$T&lt;&gt;"")),'1005 4度C'!$T:$T)</f>
        <v>0.75694444444444442</v>
      </c>
      <c r="L17" s="39">
        <f>LOOKUP(2,1/(('1005 4度C'!$A:$A="新豐9線")*('1005 4度C'!$T:$T&lt;&gt;"")),'1005 4度C'!$T:$T)</f>
        <v>0.77847222222222212</v>
      </c>
      <c r="M17" s="40">
        <f>LOOKUP(2,1/(('1005 4度C'!$A:$A="新豐4線")*('1005 4度C'!$T:$T&lt;&gt;"")),'1005 4度C'!$T:$T)</f>
        <v>0.74583333333333313</v>
      </c>
    </row>
    <row r="18" spans="2:13" ht="17.25" customHeight="1">
      <c r="B18" s="164" t="s">
        <v>528</v>
      </c>
      <c r="C18" s="44" t="s">
        <v>44</v>
      </c>
      <c r="D18" s="45">
        <f>SUMIFS('1005 4度C'!$Y:$Y,'1005 4度C'!$A:$A,"新豐6線",'1005 4度C'!$B:$B,"平均")</f>
        <v>0</v>
      </c>
      <c r="E18" s="46">
        <f>SUMIFS('1005 4度C'!$Y:$Y,'1005 4度C'!$A:$A,"新豐2線",'1005 4度C'!$B:$B,"平均")</f>
        <v>0</v>
      </c>
      <c r="F18" s="46">
        <f>SUMIFS('1005 4度C'!$Y:$Y,'1005 4度C'!$A:$A,"新豐5線",'1005 4度C'!$B:$B,"平均")</f>
        <v>0</v>
      </c>
      <c r="G18" s="46">
        <f>SUMIFS('1005 4度C'!$Y:$Y,'1005 4度C'!$A:$A,"新豐7線",'1005 4度C'!$B:$B,"平均")</f>
        <v>0</v>
      </c>
      <c r="H18" s="46">
        <f>SUMIFS('1005 4度C'!$Y:$Y,'1005 4度C'!$A:$A,"新豐3線",'1005 4度C'!$B:$B,"平均")</f>
        <v>0</v>
      </c>
      <c r="I18" s="46">
        <f>SUMIFS('1005 4度C'!$Y:$Y,'1005 4度C'!$A:$A,"新豐1線",'1005 4度C'!$B:$B,"平均")</f>
        <v>0</v>
      </c>
      <c r="J18" s="47">
        <f>SUMIFS('1005 4度C'!$Y:$Y,'1005 4度C'!$A:$A,"新豐10線",'1005 4度C'!$B:$B,"平均")</f>
        <v>0</v>
      </c>
      <c r="K18" s="48">
        <f>SUMIFS('1005 4度C'!$Y:$Y,'1005 4度C'!$A:$A,"新豐8線",'1005 4度C'!$B:$B,"平均")</f>
        <v>0</v>
      </c>
      <c r="L18" s="46">
        <f>SUMIFS('1005 4度C'!$Y:$Y,'1005 4度C'!$A:$A,"新豐9線",'1005 4度C'!$B:$B,"平均")</f>
        <v>0</v>
      </c>
      <c r="M18" s="47">
        <f>SUMIFS('1005 4度C'!$Y:$Y,'1005 4度C'!$A:$A,"新豐4線",'1005 4度C'!$B:$B,"平均")</f>
        <v>0</v>
      </c>
    </row>
    <row r="19" spans="2:13" ht="17.25" customHeight="1">
      <c r="B19" s="165"/>
      <c r="C19" s="44" t="s">
        <v>529</v>
      </c>
      <c r="D19" s="45">
        <f>SUMIFS('1005 4度C'!$Z:$Z,'1005 4度C'!$A:$A,"新豐6線",'1005 4度C'!$B:$B,"平均")</f>
        <v>0</v>
      </c>
      <c r="E19" s="46">
        <f>SUMIFS('1005 4度C'!$Z:$Z,'1005 4度C'!$A:$A,"新豐2線",'1005 4度C'!$B:$B,"平均")</f>
        <v>0</v>
      </c>
      <c r="F19" s="46">
        <f>SUMIFS('1005 4度C'!$Z:$Z,'1005 4度C'!$A:$A,"新豐5線",'1005 4度C'!$B:$B,"平均")</f>
        <v>0</v>
      </c>
      <c r="G19" s="46">
        <f>SUMIFS('1005 4度C'!$Z:$Z,'1005 4度C'!$A:$A,"新豐7線",'1005 4度C'!$B:$B,"平均")</f>
        <v>0</v>
      </c>
      <c r="H19" s="46">
        <f>SUMIFS('1005 4度C'!$Z:$Z,'1005 4度C'!$A:$A,"新豐3線",'1005 4度C'!$B:$B,"平均")</f>
        <v>0</v>
      </c>
      <c r="I19" s="46">
        <f>SUMIFS('1005 4度C'!$Z:$Z,'1005 4度C'!$A:$A,"新豐1線",'1005 4度C'!$B:$B,"平均")</f>
        <v>0</v>
      </c>
      <c r="J19" s="47">
        <f>SUMIFS('1005 4度C'!$Z:$Z,'1005 4度C'!$A:$A,"新豐10線",'1005 4度C'!$B:$B,"平均")</f>
        <v>0</v>
      </c>
      <c r="K19" s="48">
        <f>SUMIFS('1005 4度C'!$Z:$Z,'1005 4度C'!$A:$A,"新豐8線",'1005 4度C'!$B:$B,"平均")</f>
        <v>0</v>
      </c>
      <c r="L19" s="46">
        <f>SUMIFS('1005 4度C'!$Z:$Z,'1005 4度C'!$A:$A,"新豐9線",'1005 4度C'!$B:$B,"平均")</f>
        <v>0</v>
      </c>
      <c r="M19" s="47">
        <f>SUMIFS('1005 4度C'!$Z:$Z,'1005 4度C'!$A:$A,"新豐4線",'1005 4度C'!$B:$B,"平均")</f>
        <v>0</v>
      </c>
    </row>
    <row r="20" spans="2:13" ht="17.25" customHeight="1">
      <c r="B20" s="164" t="s">
        <v>46</v>
      </c>
      <c r="C20" s="44" t="s">
        <v>44</v>
      </c>
      <c r="D20" s="45">
        <f>SUMIFS('1005 4度C'!$AC:$AC,'1005 4度C'!$A:$A,"新豐6線",'1005 4度C'!$B:$B,"平均")</f>
        <v>4</v>
      </c>
      <c r="E20" s="46">
        <f>SUMIFS('1005 4度C'!$AC:$AC,'1005 4度C'!$A:$A,"新豐2線",'1005 4度C'!$B:$B,"平均")</f>
        <v>2</v>
      </c>
      <c r="F20" s="46">
        <f>SUMIFS('1005 4度C'!$AC:$AC,'1005 4度C'!$A:$A,"新豐5線",'1005 4度C'!$B:$B,"平均")</f>
        <v>6</v>
      </c>
      <c r="G20" s="46">
        <f>SUMIFS('1005 4度C'!$AC:$AC,'1005 4度C'!$A:$A,"新豐7線",'1005 4度C'!$B:$B,"平均")</f>
        <v>8</v>
      </c>
      <c r="H20" s="46">
        <f>SUMIFS('1005 4度C'!$AC:$AC,'1005 4度C'!$A:$A,"新豐3線",'1005 4度C'!$B:$B,"平均")</f>
        <v>3</v>
      </c>
      <c r="I20" s="46">
        <f>SUMIFS('1005 4度C'!$AC:$AC,'1005 4度C'!$A:$A,"新豐1線",'1005 4度C'!$B:$B,"平均")</f>
        <v>8</v>
      </c>
      <c r="J20" s="47">
        <f>SUMIFS('1005 4度C'!$AC:$AC,'1005 4度C'!$A:$A,"新豐10線",'1005 4度C'!$B:$B,"平均")</f>
        <v>5</v>
      </c>
      <c r="K20" s="48">
        <f>SUMIFS('1005 4度C'!$AC:$AC,'1005 4度C'!$A:$A,"新豐8線",'1005 4度C'!$B:$B,"平均")</f>
        <v>9</v>
      </c>
      <c r="L20" s="46">
        <f>SUMIFS('1005 4度C'!$AC:$AC,'1005 4度C'!$A:$A,"新豐9線",'1005 4度C'!$B:$B,"平均")</f>
        <v>8</v>
      </c>
      <c r="M20" s="47">
        <f>SUMIFS('1005 4度C'!$AC:$AC,'1005 4度C'!$A:$A,"新豐4線",'1005 4度C'!$B:$B,"平均")</f>
        <v>9</v>
      </c>
    </row>
    <row r="21" spans="2:13" ht="17.25" customHeight="1">
      <c r="B21" s="165"/>
      <c r="C21" s="44" t="s">
        <v>48</v>
      </c>
      <c r="D21" s="45">
        <f>SUMIFS('1005 4度C'!$AD:$AD,'1005 4度C'!$A:$A,"新豐6線",'1005 4度C'!$B:$B,"平均")</f>
        <v>0</v>
      </c>
      <c r="E21" s="46">
        <f>SUMIFS('1005 4度C'!$AD:$AD,'1005 4度C'!$A:$A,"新豐2線",'1005 4度C'!$B:$B,"平均")</f>
        <v>0</v>
      </c>
      <c r="F21" s="46">
        <f>SUMIFS('1005 4度C'!$AD:$AD,'1005 4度C'!$A:$A,"新豐5線",'1005 4度C'!$B:$B,"平均")</f>
        <v>0</v>
      </c>
      <c r="G21" s="46">
        <f>SUMIFS('1005 4度C'!$AD:$AD,'1005 4度C'!$A:$A,"新豐7線",'1005 4度C'!$B:$B,"平均")</f>
        <v>0</v>
      </c>
      <c r="H21" s="46">
        <f>SUMIFS('1005 4度C'!$AD:$AD,'1005 4度C'!$A:$A,"新豐3線",'1005 4度C'!$B:$B,"平均")</f>
        <v>0</v>
      </c>
      <c r="I21" s="46">
        <f>SUMIFS('1005 4度C'!$AD:$AD,'1005 4度C'!$A:$A,"新豐1線",'1005 4度C'!$B:$B,"平均")</f>
        <v>0</v>
      </c>
      <c r="J21" s="47">
        <f>SUMIFS('1005 4度C'!$AD:$AD,'1005 4度C'!$A:$A,"新豐10線",'1005 4度C'!$B:$B,"平均")</f>
        <v>0</v>
      </c>
      <c r="K21" s="48">
        <f>SUMIFS('1005 4度C'!$AD:$AD,'1005 4度C'!$A:$A,"新豐8線",'1005 4度C'!$B:$B,"平均")</f>
        <v>0</v>
      </c>
      <c r="L21" s="46">
        <f>SUMIFS('1005 4度C'!$AD:$AD,'1005 4度C'!$A:$A,"新豐9線",'1005 4度C'!$B:$B,"平均")</f>
        <v>0</v>
      </c>
      <c r="M21" s="47">
        <f>SUMIFS('1005 4度C'!$AD:$AD,'1005 4度C'!$A:$A,"新豐4線",'1005 4度C'!$B:$B,"平均")</f>
        <v>0</v>
      </c>
    </row>
    <row r="22" spans="2:13" ht="17.25" customHeight="1">
      <c r="B22" s="166" t="s">
        <v>49</v>
      </c>
      <c r="C22" s="167"/>
      <c r="D22" s="49">
        <f>SUMIFS('1005 4度C'!$I:$I,'1005 4度C'!$A:$A,"新豐6線",'1005 4度C'!$B:$B,"平均")</f>
        <v>15</v>
      </c>
      <c r="E22" s="50">
        <f>SUMIFS('1005 4度C'!$I:$I,'1005 4度C'!$A:$A,"新豐2線",'1005 4度C'!$B:$B,"平均")</f>
        <v>18</v>
      </c>
      <c r="F22" s="50">
        <f>SUMIFS('1005 4度C'!$I:$I,'1005 4度C'!$A:$A,"新豐5線",'1005 4度C'!$B:$B,"平均")</f>
        <v>17</v>
      </c>
      <c r="G22" s="50">
        <f>SUMIFS('1005 4度C'!$I:$I,'1005 4度C'!$A:$A,"新豐7線",'1005 4度C'!$B:$B,"平均")</f>
        <v>16</v>
      </c>
      <c r="H22" s="50">
        <f>SUMIFS('1005 4度C'!$I:$I,'1005 4度C'!$A:$A,"新豐3線",'1005 4度C'!$B:$B,"平均")</f>
        <v>11</v>
      </c>
      <c r="I22" s="50">
        <f>SUMIFS('1005 4度C'!$I:$I,'1005 4度C'!$A:$A,"新豐1線",'1005 4度C'!$B:$B,"平均")</f>
        <v>18.25</v>
      </c>
      <c r="J22" s="51">
        <f>SUMIFS('1005 4度C'!$I:$I,'1005 4度C'!$A:$A,"新豐10線",'1005 4度C'!$B:$B,"平均")</f>
        <v>10.199999999999999</v>
      </c>
      <c r="K22" s="49">
        <f>SUMIFS('1005 4度C'!$I:$I,'1005 4度C'!$A:$A,"新豐8線",'1005 4度C'!$B:$B,"平均")</f>
        <v>17.666666666666668</v>
      </c>
      <c r="L22" s="50">
        <f>SUMIFS('1005 4度C'!$I:$I,'1005 4度C'!$A:$A,"新豐9線",'1005 4度C'!$B:$B,"平均")</f>
        <v>17.625</v>
      </c>
      <c r="M22" s="51">
        <f>SUMIFS('1005 4度C'!$I:$I,'1005 4度C'!$A:$A,"新豐4線",'1005 4度C'!$B:$B,"平均")</f>
        <v>15.111111111111111</v>
      </c>
    </row>
    <row r="23" spans="2:13" ht="17.25" customHeight="1">
      <c r="B23" s="166" t="s">
        <v>530</v>
      </c>
      <c r="C23" s="167"/>
      <c r="D23" s="52" t="s">
        <v>51</v>
      </c>
      <c r="E23" s="53" t="s">
        <v>52</v>
      </c>
      <c r="F23" s="53" t="s">
        <v>53</v>
      </c>
      <c r="G23" s="53" t="s">
        <v>53</v>
      </c>
      <c r="H23" s="53" t="s">
        <v>55</v>
      </c>
      <c r="I23" s="53" t="s">
        <v>51</v>
      </c>
      <c r="J23" s="54" t="s">
        <v>55</v>
      </c>
      <c r="K23" s="52" t="s">
        <v>56</v>
      </c>
      <c r="L23" s="53" t="s">
        <v>56</v>
      </c>
      <c r="M23" s="54" t="s">
        <v>56</v>
      </c>
    </row>
    <row r="24" spans="2:13" ht="17.25" customHeight="1">
      <c r="B24" s="166" t="s">
        <v>57</v>
      </c>
      <c r="C24" s="167"/>
      <c r="D24" s="52"/>
      <c r="E24" s="53"/>
      <c r="F24" s="53" t="s">
        <v>58</v>
      </c>
      <c r="G24" s="53" t="s">
        <v>51</v>
      </c>
      <c r="H24" s="53"/>
      <c r="I24" s="53"/>
      <c r="J24" s="54"/>
      <c r="K24" s="52"/>
      <c r="L24" s="53"/>
      <c r="M24" s="54"/>
    </row>
    <row r="25" spans="2:13" ht="17.25" customHeight="1" thickBot="1">
      <c r="B25" s="168" t="s">
        <v>59</v>
      </c>
      <c r="C25" s="169"/>
      <c r="D25" s="55"/>
      <c r="E25" s="56" t="s">
        <v>60</v>
      </c>
      <c r="F25" s="162" t="s">
        <v>61</v>
      </c>
      <c r="G25" s="163"/>
      <c r="H25" s="56" t="s">
        <v>64</v>
      </c>
      <c r="I25" s="56" t="s">
        <v>531</v>
      </c>
      <c r="J25" s="57" t="s">
        <v>64</v>
      </c>
      <c r="K25" s="58"/>
      <c r="L25" s="56"/>
      <c r="M25" s="5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2" type="noConversion"/>
  <conditionalFormatting sqref="D15:M15">
    <cfRule type="cellIs" dxfId="7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7"/>
  <sheetViews>
    <sheetView tabSelected="1" zoomScale="80" zoomScaleNormal="80" workbookViewId="0">
      <pane ySplit="4" topLeftCell="A5" activePane="bottomLeft" state="frozen"/>
      <selection sqref="A1:XFD1048576"/>
      <selection pane="bottomLeft" activeCell="U12" sqref="U12"/>
    </sheetView>
  </sheetViews>
  <sheetFormatPr defaultColWidth="8" defaultRowHeight="15.75"/>
  <cols>
    <col min="1" max="1" width="15.125" style="67" customWidth="1"/>
    <col min="2" max="2" width="19.375" style="67" customWidth="1"/>
    <col min="3" max="3" width="15.25" style="67" customWidth="1"/>
    <col min="4" max="4" width="17.5" style="67" customWidth="1"/>
    <col min="5" max="5" width="7.5" style="67" customWidth="1"/>
    <col min="6" max="7" width="14.375" style="67" customWidth="1"/>
    <col min="8" max="8" width="8" style="67" customWidth="1"/>
    <col min="9" max="9" width="5.875" style="67" customWidth="1"/>
    <col min="10" max="10" width="10.625" style="67" customWidth="1"/>
    <col min="11" max="11" width="14.625" style="67" customWidth="1"/>
    <col min="12" max="12" width="7.25" style="67" customWidth="1"/>
    <col min="13" max="13" width="8" style="67" customWidth="1"/>
    <col min="14" max="14" width="12" style="67" customWidth="1"/>
    <col min="15" max="15" width="6" style="67" customWidth="1"/>
    <col min="16" max="16" width="9.25" style="67" customWidth="1"/>
    <col min="17" max="17" width="11.5" style="67" customWidth="1"/>
    <col min="18" max="18" width="8.5" style="67" customWidth="1"/>
    <col min="19" max="19" width="10.125" style="131" customWidth="1"/>
    <col min="20" max="20" width="7.625" style="131" customWidth="1"/>
    <col min="21" max="21" width="10.25" style="67" customWidth="1"/>
    <col min="22" max="22" width="8.75" style="113" customWidth="1"/>
    <col min="23" max="23" width="7.375" style="67" customWidth="1"/>
    <col min="24" max="24" width="6.875" style="67" customWidth="1"/>
    <col min="25" max="26" width="8.75" style="67" customWidth="1"/>
    <col min="27" max="27" width="12.75" style="67" customWidth="1"/>
    <col min="28" max="28" width="18.875" style="67" customWidth="1"/>
    <col min="29" max="29" width="15.125" style="131" customWidth="1"/>
    <col min="30" max="30" width="15.125" style="67" customWidth="1"/>
    <col min="31" max="31" width="13.125" style="67" bestFit="1" customWidth="1"/>
    <col min="32" max="32" width="10.375" style="67" customWidth="1"/>
    <col min="33" max="33" width="9.375" style="67" customWidth="1"/>
    <col min="34" max="34" width="8" style="67"/>
    <col min="35" max="35" width="24.625" style="67" bestFit="1" customWidth="1"/>
    <col min="36" max="16384" width="8" style="67"/>
  </cols>
  <sheetData>
    <row r="1" spans="1:33" ht="36.75" customHeight="1">
      <c r="A1" s="59" t="s">
        <v>532</v>
      </c>
      <c r="B1" s="59"/>
      <c r="C1" s="60" t="s">
        <v>533</v>
      </c>
      <c r="D1" s="61">
        <f>SUM(F5:F76)</f>
        <v>188817</v>
      </c>
      <c r="E1" s="150" t="s">
        <v>534</v>
      </c>
      <c r="F1" s="59">
        <f>SUM(G5:G76)</f>
        <v>6372151.5499999989</v>
      </c>
      <c r="G1" s="59" t="s">
        <v>535</v>
      </c>
      <c r="H1" s="63">
        <f>L9+L12+L51+L60+L19+L66+L38+L47+L28+L76</f>
        <v>155.85277777777779</v>
      </c>
      <c r="I1" s="277" t="s">
        <v>536</v>
      </c>
      <c r="J1" s="277"/>
      <c r="K1" s="277"/>
      <c r="L1" s="277" t="s">
        <v>537</v>
      </c>
      <c r="M1" s="277"/>
      <c r="N1" s="277"/>
      <c r="O1" s="277" t="s">
        <v>538</v>
      </c>
      <c r="P1" s="277"/>
      <c r="Q1" s="277"/>
      <c r="R1" s="277"/>
      <c r="S1" s="277" t="s">
        <v>539</v>
      </c>
      <c r="T1" s="277"/>
      <c r="U1" s="277"/>
      <c r="V1" s="277"/>
      <c r="W1" s="277"/>
      <c r="X1" s="277"/>
      <c r="Y1" s="64" t="s">
        <v>540</v>
      </c>
      <c r="Z1" s="65" t="s">
        <v>541</v>
      </c>
      <c r="AA1" s="278" t="s">
        <v>542</v>
      </c>
      <c r="AB1" s="278"/>
      <c r="AC1" s="128" t="s">
        <v>540</v>
      </c>
      <c r="AD1" s="65" t="s">
        <v>543</v>
      </c>
      <c r="AE1" s="277" t="s">
        <v>544</v>
      </c>
      <c r="AF1" s="279"/>
      <c r="AG1" s="279"/>
    </row>
    <row r="2" spans="1:33" ht="26.25" customHeight="1">
      <c r="A2" s="68">
        <v>46300</v>
      </c>
      <c r="B2" s="69" t="s">
        <v>545</v>
      </c>
      <c r="C2" s="60" t="s">
        <v>546</v>
      </c>
      <c r="D2" s="70">
        <f>AVERAGE(N9,N12,N51,N60,N19,N66,N28,N38,N47,N76)</f>
        <v>144.78123612337041</v>
      </c>
      <c r="E2" s="71" t="s">
        <v>80</v>
      </c>
      <c r="F2" s="72">
        <f>F1/D1</f>
        <v>33.747763972523657</v>
      </c>
      <c r="G2" s="59" t="s">
        <v>547</v>
      </c>
      <c r="H2" s="147">
        <f>COUNT(H5:H76)</f>
        <v>11</v>
      </c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74">
        <f>SUM(Y9+Y12+Y19+Y28+Y38+Y47+Y51+Y60+Y66+Y76)</f>
        <v>0</v>
      </c>
      <c r="Z2" s="74">
        <f>SUM(Z9+Z12+Z19+Z28+Z38+Z47+Z51+Z60+Z66+Z76)</f>
        <v>0</v>
      </c>
      <c r="AA2" s="278"/>
      <c r="AB2" s="278"/>
      <c r="AC2" s="129">
        <v>62</v>
      </c>
      <c r="AD2" s="74">
        <f>SUM(AD9+AD12+AD19+AD28+AD38+AD47+AD51+AD60+AD66+AD76)</f>
        <v>0</v>
      </c>
      <c r="AE2" s="279"/>
      <c r="AF2" s="279"/>
      <c r="AG2" s="279"/>
    </row>
    <row r="3" spans="1:33" ht="40.5" customHeight="1">
      <c r="A3" s="232" t="s">
        <v>548</v>
      </c>
      <c r="B3" s="232" t="s">
        <v>549</v>
      </c>
      <c r="C3" s="232" t="s">
        <v>550</v>
      </c>
      <c r="D3" s="232"/>
      <c r="E3" s="275" t="s">
        <v>551</v>
      </c>
      <c r="F3" s="232" t="s">
        <v>552</v>
      </c>
      <c r="G3" s="275" t="s">
        <v>553</v>
      </c>
      <c r="H3" s="269" t="s">
        <v>554</v>
      </c>
      <c r="I3" s="267" t="s">
        <v>555</v>
      </c>
      <c r="J3" s="264" t="s">
        <v>556</v>
      </c>
      <c r="K3" s="274" t="s">
        <v>546</v>
      </c>
      <c r="L3" s="267" t="s">
        <v>555</v>
      </c>
      <c r="M3" s="264" t="s">
        <v>556</v>
      </c>
      <c r="N3" s="274" t="s">
        <v>546</v>
      </c>
      <c r="O3" s="267" t="s">
        <v>555</v>
      </c>
      <c r="P3" s="274" t="s">
        <v>546</v>
      </c>
      <c r="Q3" s="265" t="s">
        <v>557</v>
      </c>
      <c r="R3" s="241" t="s">
        <v>558</v>
      </c>
      <c r="S3" s="280" t="s">
        <v>94</v>
      </c>
      <c r="T3" s="280"/>
      <c r="U3" s="269" t="s">
        <v>95</v>
      </c>
      <c r="V3" s="269" t="s">
        <v>559</v>
      </c>
      <c r="W3" s="232" t="s">
        <v>560</v>
      </c>
      <c r="X3" s="232"/>
      <c r="Y3" s="270" t="s">
        <v>561</v>
      </c>
      <c r="Z3" s="231"/>
      <c r="AA3" s="271" t="s">
        <v>562</v>
      </c>
      <c r="AB3" s="272"/>
      <c r="AC3" s="270" t="s">
        <v>563</v>
      </c>
      <c r="AD3" s="231"/>
      <c r="AE3" s="264" t="s">
        <v>564</v>
      </c>
      <c r="AF3" s="265" t="s">
        <v>557</v>
      </c>
      <c r="AG3" s="241" t="s">
        <v>565</v>
      </c>
    </row>
    <row r="4" spans="1:33" ht="15.75" customHeight="1">
      <c r="A4" s="232"/>
      <c r="B4" s="232"/>
      <c r="C4" s="232"/>
      <c r="D4" s="232"/>
      <c r="E4" s="276"/>
      <c r="F4" s="232"/>
      <c r="G4" s="276"/>
      <c r="H4" s="269"/>
      <c r="I4" s="267"/>
      <c r="J4" s="264"/>
      <c r="K4" s="274"/>
      <c r="L4" s="267"/>
      <c r="M4" s="264"/>
      <c r="N4" s="274"/>
      <c r="O4" s="267"/>
      <c r="P4" s="274"/>
      <c r="Q4" s="265"/>
      <c r="R4" s="241"/>
      <c r="S4" s="161" t="s">
        <v>104</v>
      </c>
      <c r="T4" s="161" t="s">
        <v>105</v>
      </c>
      <c r="U4" s="269"/>
      <c r="V4" s="269"/>
      <c r="W4" s="150" t="s">
        <v>566</v>
      </c>
      <c r="X4" s="150" t="s">
        <v>567</v>
      </c>
      <c r="Y4" s="152" t="s">
        <v>568</v>
      </c>
      <c r="Z4" s="152" t="s">
        <v>569</v>
      </c>
      <c r="AA4" s="273"/>
      <c r="AB4" s="272"/>
      <c r="AC4" s="152" t="s">
        <v>570</v>
      </c>
      <c r="AD4" s="152" t="s">
        <v>571</v>
      </c>
      <c r="AE4" s="264"/>
      <c r="AF4" s="265"/>
      <c r="AG4" s="241"/>
    </row>
    <row r="5" spans="1:33">
      <c r="A5" s="266" t="s">
        <v>572</v>
      </c>
      <c r="B5" s="77" t="s">
        <v>113</v>
      </c>
      <c r="C5" s="268" t="s">
        <v>114</v>
      </c>
      <c r="D5" s="268"/>
      <c r="E5" s="77">
        <v>50.92</v>
      </c>
      <c r="F5" s="161">
        <v>2723</v>
      </c>
      <c r="G5" s="150">
        <f t="shared" ref="G5:G8" si="0">E5*F5</f>
        <v>138655.16</v>
      </c>
      <c r="H5" s="79" t="s">
        <v>115</v>
      </c>
      <c r="I5" s="148">
        <v>15</v>
      </c>
      <c r="J5" s="81">
        <v>2000</v>
      </c>
      <c r="K5" s="82">
        <f t="shared" ref="K5:K68" si="1">J5/I5</f>
        <v>133.33333333333334</v>
      </c>
      <c r="L5" s="148">
        <v>15</v>
      </c>
      <c r="M5" s="83">
        <f t="shared" ref="M5:M8" si="2">F5/V5*60</f>
        <v>1922.1176470588234</v>
      </c>
      <c r="N5" s="82">
        <f t="shared" ref="N5:N68" si="3">M5/L5</f>
        <v>128.14117647058822</v>
      </c>
      <c r="O5" s="84">
        <f t="shared" ref="O5:O68" si="4">L5-I5</f>
        <v>0</v>
      </c>
      <c r="P5" s="85">
        <f t="shared" ref="P5:P68" si="5">N5-K5</f>
        <v>-5.1921568627451222</v>
      </c>
      <c r="Q5" s="149">
        <f t="shared" ref="Q5:Q68" si="6">N5/K5</f>
        <v>0.96105882352941163</v>
      </c>
      <c r="R5" s="237">
        <f>Q9</f>
        <v>0.96090228034565495</v>
      </c>
      <c r="S5" s="88">
        <v>0.70833333333333337</v>
      </c>
      <c r="T5" s="88">
        <v>0.76736111111111116</v>
      </c>
      <c r="U5" s="150"/>
      <c r="V5" s="151">
        <f t="shared" ref="V5:V8" si="7">(T5-S5)*24*60</f>
        <v>85.000000000000014</v>
      </c>
      <c r="W5" s="90"/>
      <c r="X5" s="90"/>
      <c r="Y5" s="91"/>
      <c r="Z5" s="91"/>
      <c r="AA5" s="232"/>
      <c r="AB5" s="232"/>
      <c r="AC5" s="92">
        <v>4</v>
      </c>
      <c r="AD5" s="93"/>
      <c r="AE5" s="84">
        <f t="shared" ref="AE5:AE59" si="8">M5-J5</f>
        <v>-77.882352941176578</v>
      </c>
      <c r="AF5" s="149">
        <f t="shared" ref="AF5:AF68" si="9">M5/J5</f>
        <v>0.96105882352941174</v>
      </c>
      <c r="AG5" s="237">
        <f>AF9</f>
        <v>0.96090228034565495</v>
      </c>
    </row>
    <row r="6" spans="1:33">
      <c r="A6" s="267" t="s">
        <v>573</v>
      </c>
      <c r="B6" s="77" t="s">
        <v>113</v>
      </c>
      <c r="C6" s="268" t="s">
        <v>117</v>
      </c>
      <c r="D6" s="268"/>
      <c r="E6" s="77">
        <v>50.98</v>
      </c>
      <c r="F6" s="161">
        <v>1000</v>
      </c>
      <c r="G6" s="150">
        <f t="shared" si="0"/>
        <v>50980</v>
      </c>
      <c r="H6" s="79">
        <v>2</v>
      </c>
      <c r="I6" s="148">
        <v>16</v>
      </c>
      <c r="J6" s="81">
        <v>2000</v>
      </c>
      <c r="K6" s="82">
        <f t="shared" si="1"/>
        <v>125</v>
      </c>
      <c r="L6" s="148">
        <v>16</v>
      </c>
      <c r="M6" s="83">
        <f t="shared" si="2"/>
        <v>1935.483870967739</v>
      </c>
      <c r="N6" s="82">
        <f t="shared" si="3"/>
        <v>120.96774193548369</v>
      </c>
      <c r="O6" s="84">
        <f t="shared" si="4"/>
        <v>0</v>
      </c>
      <c r="P6" s="85">
        <f t="shared" si="5"/>
        <v>-4.0322580645163129</v>
      </c>
      <c r="Q6" s="149">
        <f t="shared" si="6"/>
        <v>0.96774193548386944</v>
      </c>
      <c r="R6" s="237"/>
      <c r="S6" s="88">
        <v>0.77152777777777781</v>
      </c>
      <c r="T6" s="88">
        <v>0.79305555555555562</v>
      </c>
      <c r="U6" s="150">
        <f t="shared" ref="U6:U8" si="10">IF(S6=TIME(17,0,0),"",(S6-T5)*24*60)</f>
        <v>5.9999999999999787</v>
      </c>
      <c r="V6" s="151">
        <f t="shared" si="7"/>
        <v>31.00000000000005</v>
      </c>
      <c r="W6" s="90"/>
      <c r="X6" s="90"/>
      <c r="Y6" s="90"/>
      <c r="Z6" s="90"/>
      <c r="AA6" s="232"/>
      <c r="AB6" s="232"/>
      <c r="AC6" s="92"/>
      <c r="AD6" s="93"/>
      <c r="AE6" s="84">
        <f t="shared" si="8"/>
        <v>-64.516129032261006</v>
      </c>
      <c r="AF6" s="149">
        <f t="shared" si="9"/>
        <v>0.96774193548386944</v>
      </c>
      <c r="AG6" s="237"/>
    </row>
    <row r="7" spans="1:33">
      <c r="A7" s="267" t="s">
        <v>573</v>
      </c>
      <c r="B7" s="77" t="s">
        <v>113</v>
      </c>
      <c r="C7" s="262" t="s">
        <v>131</v>
      </c>
      <c r="D7" s="263"/>
      <c r="E7" s="77">
        <v>56.43</v>
      </c>
      <c r="F7" s="161">
        <v>1301</v>
      </c>
      <c r="G7" s="150">
        <f t="shared" si="0"/>
        <v>73415.429999999993</v>
      </c>
      <c r="H7" s="79" t="s">
        <v>115</v>
      </c>
      <c r="I7" s="148">
        <v>13</v>
      </c>
      <c r="J7" s="81">
        <v>2000</v>
      </c>
      <c r="K7" s="82">
        <f t="shared" si="1"/>
        <v>153.84615384615384</v>
      </c>
      <c r="L7" s="148">
        <v>13</v>
      </c>
      <c r="M7" s="83">
        <f t="shared" si="2"/>
        <v>1903.9024390243894</v>
      </c>
      <c r="N7" s="82">
        <f t="shared" si="3"/>
        <v>146.45403377110688</v>
      </c>
      <c r="O7" s="84">
        <f t="shared" si="4"/>
        <v>0</v>
      </c>
      <c r="P7" s="85">
        <f t="shared" si="5"/>
        <v>-7.3921200750469609</v>
      </c>
      <c r="Q7" s="149">
        <f t="shared" si="6"/>
        <v>0.95195121951219475</v>
      </c>
      <c r="R7" s="237"/>
      <c r="S7" s="88">
        <v>0.79791666666666672</v>
      </c>
      <c r="T7" s="88">
        <v>0.82638888888888895</v>
      </c>
      <c r="U7" s="150">
        <f t="shared" si="10"/>
        <v>6.9999999999999751</v>
      </c>
      <c r="V7" s="151">
        <f t="shared" si="7"/>
        <v>41.000000000000014</v>
      </c>
      <c r="W7" s="90">
        <f>T7</f>
        <v>0.82638888888888895</v>
      </c>
      <c r="X7" s="90">
        <f>S8</f>
        <v>0.8666666666666667</v>
      </c>
      <c r="Y7" s="94"/>
      <c r="Z7" s="94"/>
      <c r="AA7" s="227"/>
      <c r="AB7" s="228"/>
      <c r="AC7" s="92"/>
      <c r="AD7" s="95"/>
      <c r="AE7" s="84">
        <f t="shared" si="8"/>
        <v>-96.097560975610577</v>
      </c>
      <c r="AF7" s="149">
        <f t="shared" si="9"/>
        <v>0.95195121951219475</v>
      </c>
      <c r="AG7" s="237"/>
    </row>
    <row r="8" spans="1:33">
      <c r="A8" s="267" t="s">
        <v>573</v>
      </c>
      <c r="B8" s="77" t="s">
        <v>113</v>
      </c>
      <c r="C8" s="262" t="s">
        <v>117</v>
      </c>
      <c r="D8" s="263"/>
      <c r="E8" s="77">
        <v>50.98</v>
      </c>
      <c r="F8" s="161">
        <v>2022</v>
      </c>
      <c r="G8" s="150">
        <f t="shared" si="0"/>
        <v>103081.56</v>
      </c>
      <c r="H8" s="79" t="s">
        <v>115</v>
      </c>
      <c r="I8" s="148">
        <v>16</v>
      </c>
      <c r="J8" s="81">
        <v>2000</v>
      </c>
      <c r="K8" s="82">
        <f t="shared" si="1"/>
        <v>125</v>
      </c>
      <c r="L8" s="148">
        <v>16</v>
      </c>
      <c r="M8" s="83">
        <f t="shared" si="2"/>
        <v>1925.7142857142878</v>
      </c>
      <c r="N8" s="82">
        <f t="shared" si="3"/>
        <v>120.35714285714299</v>
      </c>
      <c r="O8" s="84">
        <f t="shared" si="4"/>
        <v>0</v>
      </c>
      <c r="P8" s="85">
        <f t="shared" si="5"/>
        <v>-4.6428571428570109</v>
      </c>
      <c r="Q8" s="149">
        <f t="shared" si="6"/>
        <v>0.96285714285714397</v>
      </c>
      <c r="R8" s="237"/>
      <c r="S8" s="88">
        <v>0.8666666666666667</v>
      </c>
      <c r="T8" s="88">
        <v>0.91041666666666665</v>
      </c>
      <c r="U8" s="150">
        <f t="shared" si="10"/>
        <v>57.999999999999957</v>
      </c>
      <c r="V8" s="151">
        <f t="shared" si="7"/>
        <v>62.999999999999936</v>
      </c>
      <c r="W8" s="100"/>
      <c r="X8" s="100"/>
      <c r="Y8" s="107"/>
      <c r="Z8" s="107"/>
      <c r="AA8" s="227"/>
      <c r="AB8" s="228"/>
      <c r="AC8" s="92"/>
      <c r="AD8" s="95"/>
      <c r="AE8" s="84">
        <f t="shared" si="8"/>
        <v>-74.285714285712174</v>
      </c>
      <c r="AF8" s="149">
        <f t="shared" si="9"/>
        <v>0.96285714285714397</v>
      </c>
      <c r="AG8" s="237"/>
    </row>
    <row r="9" spans="1:33">
      <c r="A9" s="267" t="s">
        <v>489</v>
      </c>
      <c r="B9" s="77" t="s">
        <v>574</v>
      </c>
      <c r="C9" s="238"/>
      <c r="D9" s="238"/>
      <c r="E9" s="155"/>
      <c r="F9" s="97"/>
      <c r="G9" s="82"/>
      <c r="H9" s="161"/>
      <c r="I9" s="98">
        <v>15</v>
      </c>
      <c r="J9" s="81">
        <v>2000</v>
      </c>
      <c r="K9" s="82">
        <f t="shared" si="1"/>
        <v>133.33333333333334</v>
      </c>
      <c r="L9" s="98">
        <v>15</v>
      </c>
      <c r="M9" s="83">
        <f>AVERAGE(M5:M8)</f>
        <v>1921.8045606913099</v>
      </c>
      <c r="N9" s="82">
        <f t="shared" si="3"/>
        <v>128.12030404608734</v>
      </c>
      <c r="O9" s="84">
        <f t="shared" si="4"/>
        <v>0</v>
      </c>
      <c r="P9" s="85">
        <f t="shared" si="5"/>
        <v>-5.2130292872460018</v>
      </c>
      <c r="Q9" s="149">
        <f t="shared" si="6"/>
        <v>0.96090228034565495</v>
      </c>
      <c r="R9" s="237"/>
      <c r="S9" s="88"/>
      <c r="T9" s="88"/>
      <c r="U9" s="150"/>
      <c r="V9" s="151"/>
      <c r="W9" s="82"/>
      <c r="X9" s="82"/>
      <c r="Y9" s="99">
        <f>SUM(Y5:Y8)</f>
        <v>0</v>
      </c>
      <c r="Z9" s="99">
        <f>SUM(Z5:Z8)</f>
        <v>0</v>
      </c>
      <c r="AA9" s="231"/>
      <c r="AB9" s="231"/>
      <c r="AC9" s="99">
        <v>4</v>
      </c>
      <c r="AD9" s="99">
        <f>SUM(AD5:AD8)</f>
        <v>0</v>
      </c>
      <c r="AE9" s="84">
        <f t="shared" si="8"/>
        <v>-78.195439308690084</v>
      </c>
      <c r="AF9" s="149">
        <f t="shared" si="9"/>
        <v>0.96090228034565495</v>
      </c>
      <c r="AG9" s="237"/>
    </row>
    <row r="10" spans="1:33" ht="15.75" customHeight="1">
      <c r="A10" s="261" t="s">
        <v>575</v>
      </c>
      <c r="B10" s="77" t="s">
        <v>121</v>
      </c>
      <c r="C10" s="262" t="s">
        <v>122</v>
      </c>
      <c r="D10" s="263"/>
      <c r="E10" s="77">
        <v>39.619999999999997</v>
      </c>
      <c r="F10" s="161">
        <v>4909</v>
      </c>
      <c r="G10" s="150">
        <f t="shared" ref="G10:G11" si="11">E10*F10</f>
        <v>194494.58</v>
      </c>
      <c r="H10" s="79" t="s">
        <v>115</v>
      </c>
      <c r="I10" s="148">
        <v>19</v>
      </c>
      <c r="J10" s="81">
        <v>1500</v>
      </c>
      <c r="K10" s="82">
        <f t="shared" si="1"/>
        <v>78.94736842105263</v>
      </c>
      <c r="L10" s="148">
        <v>19</v>
      </c>
      <c r="M10" s="83">
        <f t="shared" ref="M10:M11" si="12">F10/V10*60</f>
        <v>1429.8058252427184</v>
      </c>
      <c r="N10" s="82">
        <f t="shared" si="3"/>
        <v>75.252938170669381</v>
      </c>
      <c r="O10" s="84">
        <f t="shared" si="4"/>
        <v>0</v>
      </c>
      <c r="P10" s="85">
        <f t="shared" si="5"/>
        <v>-3.6944302503832489</v>
      </c>
      <c r="Q10" s="149">
        <f t="shared" si="6"/>
        <v>0.95320388349514551</v>
      </c>
      <c r="R10" s="237">
        <f>Q12</f>
        <v>0.95346714550932821</v>
      </c>
      <c r="S10" s="88">
        <v>8.3333333333333329E-2</v>
      </c>
      <c r="T10" s="88">
        <v>0.22638888888888886</v>
      </c>
      <c r="U10" s="150"/>
      <c r="V10" s="151">
        <f t="shared" ref="V10:V11" si="13">(T10-S10)*24*60</f>
        <v>206</v>
      </c>
      <c r="W10" s="90">
        <f>T10</f>
        <v>0.22638888888888886</v>
      </c>
      <c r="X10" s="90">
        <f>S11</f>
        <v>0.24513888888888888</v>
      </c>
      <c r="Y10" s="90"/>
      <c r="Z10" s="90"/>
      <c r="AA10" s="232"/>
      <c r="AB10" s="232"/>
      <c r="AC10" s="92">
        <v>2</v>
      </c>
      <c r="AD10" s="93"/>
      <c r="AE10" s="84">
        <f t="shared" si="8"/>
        <v>-70.194174757281644</v>
      </c>
      <c r="AF10" s="149">
        <f t="shared" si="9"/>
        <v>0.95320388349514562</v>
      </c>
      <c r="AG10" s="237">
        <f>AF12</f>
        <v>0.95346714550932821</v>
      </c>
    </row>
    <row r="11" spans="1:33" ht="15.75" customHeight="1">
      <c r="A11" s="261" t="s">
        <v>491</v>
      </c>
      <c r="B11" s="77" t="s">
        <v>121</v>
      </c>
      <c r="C11" s="262" t="s">
        <v>123</v>
      </c>
      <c r="D11" s="263"/>
      <c r="E11" s="77">
        <v>39.799999999999997</v>
      </c>
      <c r="F11" s="161">
        <v>7606</v>
      </c>
      <c r="G11" s="150">
        <f t="shared" si="11"/>
        <v>302718.8</v>
      </c>
      <c r="H11" s="79" t="s">
        <v>115</v>
      </c>
      <c r="I11" s="148">
        <v>17</v>
      </c>
      <c r="J11" s="81">
        <v>1500</v>
      </c>
      <c r="K11" s="82">
        <f t="shared" si="1"/>
        <v>88.235294117647058</v>
      </c>
      <c r="L11" s="148">
        <v>17</v>
      </c>
      <c r="M11" s="83">
        <f t="shared" si="12"/>
        <v>1430.5956112852662</v>
      </c>
      <c r="N11" s="82">
        <f t="shared" si="3"/>
        <v>84.152683016780358</v>
      </c>
      <c r="O11" s="84">
        <f t="shared" si="4"/>
        <v>0</v>
      </c>
      <c r="P11" s="85">
        <f t="shared" si="5"/>
        <v>-4.0826111008666999</v>
      </c>
      <c r="Q11" s="149">
        <f t="shared" si="6"/>
        <v>0.95373040752351068</v>
      </c>
      <c r="R11" s="237"/>
      <c r="S11" s="88">
        <v>0.24513888888888888</v>
      </c>
      <c r="T11" s="88">
        <v>0.46666666666666667</v>
      </c>
      <c r="U11" s="150">
        <f t="shared" ref="U11" si="14">IF(S11=TIME(17,0,0),"",(S11-T10)*24*60)</f>
        <v>27.000000000000025</v>
      </c>
      <c r="V11" s="151">
        <f t="shared" si="13"/>
        <v>319.00000000000006</v>
      </c>
      <c r="W11" s="90"/>
      <c r="X11" s="90"/>
      <c r="Y11" s="90"/>
      <c r="Z11" s="90"/>
      <c r="AA11" s="232"/>
      <c r="AB11" s="232"/>
      <c r="AC11" s="92"/>
      <c r="AD11" s="93"/>
      <c r="AE11" s="84">
        <f t="shared" si="8"/>
        <v>-69.404388714733841</v>
      </c>
      <c r="AF11" s="149">
        <f t="shared" si="9"/>
        <v>0.95373040752351079</v>
      </c>
      <c r="AG11" s="237"/>
    </row>
    <row r="12" spans="1:33" ht="16.5" customHeight="1">
      <c r="A12" s="261" t="s">
        <v>575</v>
      </c>
      <c r="B12" s="77" t="s">
        <v>574</v>
      </c>
      <c r="C12" s="238"/>
      <c r="D12" s="238"/>
      <c r="E12" s="155"/>
      <c r="F12" s="81"/>
      <c r="G12" s="83"/>
      <c r="H12" s="161"/>
      <c r="I12" s="98">
        <v>18</v>
      </c>
      <c r="J12" s="81">
        <v>1500</v>
      </c>
      <c r="K12" s="82">
        <f t="shared" si="1"/>
        <v>83.333333333333329</v>
      </c>
      <c r="L12" s="98">
        <v>18</v>
      </c>
      <c r="M12" s="83">
        <f>AVERAGE(M10:M11)</f>
        <v>1430.2007182639923</v>
      </c>
      <c r="N12" s="82">
        <f t="shared" si="3"/>
        <v>79.455595459110683</v>
      </c>
      <c r="O12" s="84">
        <f t="shared" si="4"/>
        <v>0</v>
      </c>
      <c r="P12" s="85">
        <f t="shared" si="5"/>
        <v>-3.877737874222646</v>
      </c>
      <c r="Q12" s="149">
        <f t="shared" si="6"/>
        <v>0.95346714550932821</v>
      </c>
      <c r="R12" s="237"/>
      <c r="S12" s="88"/>
      <c r="T12" s="88"/>
      <c r="U12" s="82"/>
      <c r="V12" s="151"/>
      <c r="W12" s="82"/>
      <c r="X12" s="82"/>
      <c r="Y12" s="99">
        <f>SUM(Y10:Y11)</f>
        <v>0</v>
      </c>
      <c r="Z12" s="99">
        <f>SUM(Z10:Z11)</f>
        <v>0</v>
      </c>
      <c r="AA12" s="231"/>
      <c r="AB12" s="231"/>
      <c r="AC12" s="99">
        <v>2</v>
      </c>
      <c r="AD12" s="99">
        <f>SUM(AD10:AD11)</f>
        <v>0</v>
      </c>
      <c r="AE12" s="84">
        <f t="shared" si="8"/>
        <v>-69.799281736007742</v>
      </c>
      <c r="AF12" s="149">
        <f t="shared" si="9"/>
        <v>0.95346714550932821</v>
      </c>
      <c r="AG12" s="237"/>
    </row>
    <row r="13" spans="1:33" ht="16.5" customHeight="1">
      <c r="A13" s="259" t="s">
        <v>576</v>
      </c>
      <c r="B13" s="161" t="s">
        <v>125</v>
      </c>
      <c r="C13" s="255" t="s">
        <v>126</v>
      </c>
      <c r="D13" s="255"/>
      <c r="E13" s="77">
        <v>31.11</v>
      </c>
      <c r="F13" s="161">
        <v>2097</v>
      </c>
      <c r="G13" s="150">
        <f t="shared" ref="G13:G18" si="15">E13*F13</f>
        <v>65237.67</v>
      </c>
      <c r="H13" s="79" t="s">
        <v>115</v>
      </c>
      <c r="I13" s="148">
        <v>14</v>
      </c>
      <c r="J13" s="81">
        <v>2000</v>
      </c>
      <c r="K13" s="82">
        <f t="shared" si="1"/>
        <v>142.85714285714286</v>
      </c>
      <c r="L13" s="148">
        <v>14</v>
      </c>
      <c r="M13" s="83">
        <f t="shared" ref="M13:M18" si="16">F13/V13*60</f>
        <v>1906.3636363636365</v>
      </c>
      <c r="N13" s="82">
        <f t="shared" si="3"/>
        <v>136.16883116883119</v>
      </c>
      <c r="O13" s="84">
        <f t="shared" si="4"/>
        <v>0</v>
      </c>
      <c r="P13" s="85">
        <f t="shared" si="5"/>
        <v>-6.6883116883116713</v>
      </c>
      <c r="Q13" s="149">
        <f t="shared" si="6"/>
        <v>0.95318181818181835</v>
      </c>
      <c r="R13" s="237">
        <f>Q19</f>
        <v>0.95999300184339009</v>
      </c>
      <c r="S13" s="88">
        <v>0.25</v>
      </c>
      <c r="T13" s="88">
        <v>0.29583333333333334</v>
      </c>
      <c r="U13" s="150"/>
      <c r="V13" s="151">
        <f t="shared" ref="V13:V18" si="17">(T13-S13)*24*60</f>
        <v>66</v>
      </c>
      <c r="W13" s="90"/>
      <c r="X13" s="90"/>
      <c r="Y13" s="100"/>
      <c r="Z13" s="100"/>
      <c r="AA13" s="232"/>
      <c r="AB13" s="232"/>
      <c r="AC13" s="92">
        <v>6</v>
      </c>
      <c r="AD13" s="93"/>
      <c r="AE13" s="84">
        <f t="shared" si="8"/>
        <v>-93.636363636363512</v>
      </c>
      <c r="AF13" s="149">
        <f t="shared" si="9"/>
        <v>0.95318181818181824</v>
      </c>
      <c r="AG13" s="237">
        <f>AF19</f>
        <v>0.95999300184339009</v>
      </c>
    </row>
    <row r="14" spans="1:33" ht="16.5" customHeight="1">
      <c r="A14" s="260" t="s">
        <v>577</v>
      </c>
      <c r="B14" s="161" t="s">
        <v>127</v>
      </c>
      <c r="C14" s="255" t="s">
        <v>128</v>
      </c>
      <c r="D14" s="255"/>
      <c r="E14" s="77">
        <v>41</v>
      </c>
      <c r="F14" s="161">
        <v>2033</v>
      </c>
      <c r="G14" s="150">
        <f t="shared" si="15"/>
        <v>83353</v>
      </c>
      <c r="H14" s="79" t="s">
        <v>115</v>
      </c>
      <c r="I14" s="148">
        <v>26</v>
      </c>
      <c r="J14" s="81">
        <v>1500</v>
      </c>
      <c r="K14" s="82">
        <f t="shared" si="1"/>
        <v>57.692307692307693</v>
      </c>
      <c r="L14" s="148">
        <v>26</v>
      </c>
      <c r="M14" s="83">
        <f t="shared" si="16"/>
        <v>1435.0588235294115</v>
      </c>
      <c r="N14" s="82">
        <f t="shared" si="3"/>
        <v>55.194570135746595</v>
      </c>
      <c r="O14" s="84">
        <f t="shared" si="4"/>
        <v>0</v>
      </c>
      <c r="P14" s="85">
        <f t="shared" si="5"/>
        <v>-2.4977375565610984</v>
      </c>
      <c r="Q14" s="149">
        <f t="shared" si="6"/>
        <v>0.95670588235294096</v>
      </c>
      <c r="R14" s="237"/>
      <c r="S14" s="88">
        <v>0.3</v>
      </c>
      <c r="T14" s="88">
        <v>0.35902777777777778</v>
      </c>
      <c r="U14" s="150">
        <f t="shared" ref="U14:U18" si="18">IF(S14=TIME(17,0,0),"",(S14-T13)*24*60)</f>
        <v>5.9999999999999787</v>
      </c>
      <c r="V14" s="151">
        <f t="shared" si="17"/>
        <v>85.000000000000014</v>
      </c>
      <c r="W14" s="90"/>
      <c r="X14" s="90"/>
      <c r="Y14" s="90"/>
      <c r="Z14" s="90"/>
      <c r="AA14" s="232"/>
      <c r="AB14" s="232"/>
      <c r="AC14" s="92"/>
      <c r="AD14" s="93"/>
      <c r="AE14" s="84">
        <f t="shared" si="8"/>
        <v>-64.941176470588516</v>
      </c>
      <c r="AF14" s="149">
        <f t="shared" si="9"/>
        <v>0.95670588235294096</v>
      </c>
      <c r="AG14" s="237"/>
    </row>
    <row r="15" spans="1:33" ht="16.5" customHeight="1">
      <c r="A15" s="260" t="s">
        <v>576</v>
      </c>
      <c r="B15" s="161" t="s">
        <v>121</v>
      </c>
      <c r="C15" s="255" t="s">
        <v>129</v>
      </c>
      <c r="D15" s="255"/>
      <c r="E15" s="77">
        <v>39.46</v>
      </c>
      <c r="F15" s="161">
        <v>2394</v>
      </c>
      <c r="G15" s="150">
        <f t="shared" si="15"/>
        <v>94467.24</v>
      </c>
      <c r="H15" s="79" t="s">
        <v>115</v>
      </c>
      <c r="I15" s="148">
        <v>15</v>
      </c>
      <c r="J15" s="81">
        <v>1500</v>
      </c>
      <c r="K15" s="82">
        <f t="shared" si="1"/>
        <v>100</v>
      </c>
      <c r="L15" s="148">
        <v>15</v>
      </c>
      <c r="M15" s="83">
        <f t="shared" si="16"/>
        <v>1436.3999999999994</v>
      </c>
      <c r="N15" s="82">
        <f t="shared" si="3"/>
        <v>95.759999999999962</v>
      </c>
      <c r="O15" s="84">
        <f t="shared" si="4"/>
        <v>0</v>
      </c>
      <c r="P15" s="85">
        <f t="shared" si="5"/>
        <v>-4.2400000000000375</v>
      </c>
      <c r="Q15" s="149">
        <f t="shared" si="6"/>
        <v>0.95759999999999967</v>
      </c>
      <c r="R15" s="237"/>
      <c r="S15" s="88">
        <v>0.36458333333333331</v>
      </c>
      <c r="T15" s="88">
        <v>0.43402777777777779</v>
      </c>
      <c r="U15" s="150">
        <f t="shared" si="18"/>
        <v>7.9999999999999716</v>
      </c>
      <c r="V15" s="151">
        <f t="shared" si="17"/>
        <v>100.00000000000004</v>
      </c>
      <c r="W15" s="90"/>
      <c r="X15" s="90"/>
      <c r="Y15" s="90"/>
      <c r="Z15" s="90"/>
      <c r="AA15" s="232"/>
      <c r="AB15" s="232"/>
      <c r="AC15" s="92"/>
      <c r="AD15" s="93"/>
      <c r="AE15" s="84">
        <f t="shared" si="8"/>
        <v>-63.600000000000591</v>
      </c>
      <c r="AF15" s="149">
        <f t="shared" si="9"/>
        <v>0.95759999999999956</v>
      </c>
      <c r="AG15" s="237"/>
    </row>
    <row r="16" spans="1:33" ht="16.5" customHeight="1">
      <c r="A16" s="260" t="s">
        <v>577</v>
      </c>
      <c r="B16" s="161" t="s">
        <v>113</v>
      </c>
      <c r="C16" s="255" t="s">
        <v>132</v>
      </c>
      <c r="D16" s="255"/>
      <c r="E16" s="77">
        <v>54.5</v>
      </c>
      <c r="F16" s="161">
        <v>730</v>
      </c>
      <c r="G16" s="150">
        <f t="shared" si="15"/>
        <v>39785</v>
      </c>
      <c r="H16" s="79" t="s">
        <v>115</v>
      </c>
      <c r="I16" s="148">
        <v>19</v>
      </c>
      <c r="J16" s="81">
        <v>1500</v>
      </c>
      <c r="K16" s="82">
        <f t="shared" si="1"/>
        <v>78.94736842105263</v>
      </c>
      <c r="L16" s="148">
        <v>19</v>
      </c>
      <c r="M16" s="83">
        <f t="shared" si="16"/>
        <v>1459.9999999999973</v>
      </c>
      <c r="N16" s="82">
        <f t="shared" si="3"/>
        <v>76.842105263157748</v>
      </c>
      <c r="O16" s="84">
        <f t="shared" si="4"/>
        <v>0</v>
      </c>
      <c r="P16" s="85">
        <f t="shared" si="5"/>
        <v>-2.1052631578948819</v>
      </c>
      <c r="Q16" s="149">
        <f t="shared" si="6"/>
        <v>0.9733333333333315</v>
      </c>
      <c r="R16" s="237"/>
      <c r="S16" s="88">
        <v>0.70833333333333337</v>
      </c>
      <c r="T16" s="88">
        <v>0.72916666666666674</v>
      </c>
      <c r="U16" s="150" t="str">
        <f t="shared" si="18"/>
        <v/>
      </c>
      <c r="V16" s="151">
        <f t="shared" si="17"/>
        <v>30.000000000000053</v>
      </c>
      <c r="W16" s="90"/>
      <c r="X16" s="90"/>
      <c r="Y16" s="90"/>
      <c r="Z16" s="90"/>
      <c r="AA16" s="232"/>
      <c r="AB16" s="232"/>
      <c r="AC16" s="92"/>
      <c r="AD16" s="93"/>
      <c r="AE16" s="84">
        <f t="shared" si="8"/>
        <v>-40.000000000002728</v>
      </c>
      <c r="AF16" s="149">
        <f t="shared" si="9"/>
        <v>0.9733333333333315</v>
      </c>
      <c r="AG16" s="237"/>
    </row>
    <row r="17" spans="1:33" ht="16.5" customHeight="1">
      <c r="A17" s="260" t="s">
        <v>576</v>
      </c>
      <c r="B17" s="161" t="s">
        <v>113</v>
      </c>
      <c r="C17" s="255" t="s">
        <v>118</v>
      </c>
      <c r="D17" s="255"/>
      <c r="E17" s="77">
        <v>50.67</v>
      </c>
      <c r="F17" s="161">
        <v>1700</v>
      </c>
      <c r="G17" s="150">
        <f t="shared" si="15"/>
        <v>86139</v>
      </c>
      <c r="H17" s="79" t="s">
        <v>115</v>
      </c>
      <c r="I17" s="148">
        <v>15</v>
      </c>
      <c r="J17" s="81">
        <v>2000</v>
      </c>
      <c r="K17" s="82">
        <f t="shared" si="1"/>
        <v>133.33333333333334</v>
      </c>
      <c r="L17" s="148">
        <v>15</v>
      </c>
      <c r="M17" s="83">
        <f t="shared" si="16"/>
        <v>1924.5283018867935</v>
      </c>
      <c r="N17" s="82">
        <f t="shared" si="3"/>
        <v>128.3018867924529</v>
      </c>
      <c r="O17" s="84">
        <f t="shared" si="4"/>
        <v>0</v>
      </c>
      <c r="P17" s="85">
        <f t="shared" si="5"/>
        <v>-5.0314465408804381</v>
      </c>
      <c r="Q17" s="149">
        <f t="shared" si="6"/>
        <v>0.96226415094339668</v>
      </c>
      <c r="R17" s="237"/>
      <c r="S17" s="88">
        <v>0.73472222222222228</v>
      </c>
      <c r="T17" s="88">
        <v>0.77152777777777781</v>
      </c>
      <c r="U17" s="150">
        <f t="shared" si="18"/>
        <v>7.9999999999999716</v>
      </c>
      <c r="V17" s="151">
        <f t="shared" si="17"/>
        <v>52.999999999999972</v>
      </c>
      <c r="W17" s="90"/>
      <c r="X17" s="90"/>
      <c r="Y17" s="90"/>
      <c r="Z17" s="90"/>
      <c r="AA17" s="232"/>
      <c r="AB17" s="232"/>
      <c r="AC17" s="92"/>
      <c r="AD17" s="93"/>
      <c r="AE17" s="84">
        <f t="shared" si="8"/>
        <v>-75.471698113206457</v>
      </c>
      <c r="AF17" s="149">
        <f t="shared" si="9"/>
        <v>0.96226415094339679</v>
      </c>
      <c r="AG17" s="237"/>
    </row>
    <row r="18" spans="1:33" ht="16.5" customHeight="1">
      <c r="A18" s="260" t="s">
        <v>576</v>
      </c>
      <c r="B18" s="161" t="s">
        <v>113</v>
      </c>
      <c r="C18" s="156" t="s">
        <v>130</v>
      </c>
      <c r="D18" s="157"/>
      <c r="E18" s="77">
        <v>51.06</v>
      </c>
      <c r="F18" s="161">
        <v>3164</v>
      </c>
      <c r="G18" s="150">
        <f t="shared" si="15"/>
        <v>161553.84</v>
      </c>
      <c r="H18" s="79" t="s">
        <v>115</v>
      </c>
      <c r="I18" s="148">
        <v>13</v>
      </c>
      <c r="J18" s="81">
        <v>2000</v>
      </c>
      <c r="K18" s="82">
        <f t="shared" si="1"/>
        <v>153.84615384615384</v>
      </c>
      <c r="L18" s="148">
        <v>13</v>
      </c>
      <c r="M18" s="83">
        <f t="shared" si="16"/>
        <v>1917.5757575757582</v>
      </c>
      <c r="N18" s="82">
        <f t="shared" si="3"/>
        <v>147.50582750582754</v>
      </c>
      <c r="O18" s="84">
        <f t="shared" si="4"/>
        <v>0</v>
      </c>
      <c r="P18" s="85">
        <f t="shared" si="5"/>
        <v>-6.3403263403262997</v>
      </c>
      <c r="Q18" s="149">
        <f t="shared" si="6"/>
        <v>0.95878787878787908</v>
      </c>
      <c r="R18" s="237"/>
      <c r="S18" s="88">
        <v>0.77638888888888891</v>
      </c>
      <c r="T18" s="88">
        <v>0.84513888888888888</v>
      </c>
      <c r="U18" s="150">
        <f t="shared" si="18"/>
        <v>6.9999999999999751</v>
      </c>
      <c r="V18" s="151">
        <f t="shared" si="17"/>
        <v>98.999999999999972</v>
      </c>
      <c r="W18" s="90"/>
      <c r="X18" s="90"/>
      <c r="Y18" s="94"/>
      <c r="Z18" s="94"/>
      <c r="AA18" s="153"/>
      <c r="AB18" s="154"/>
      <c r="AC18" s="92"/>
      <c r="AD18" s="93"/>
      <c r="AE18" s="84">
        <f t="shared" si="8"/>
        <v>-82.424242424241811</v>
      </c>
      <c r="AF18" s="149">
        <f t="shared" si="9"/>
        <v>0.95878787878787908</v>
      </c>
      <c r="AG18" s="237"/>
    </row>
    <row r="19" spans="1:33" ht="16.5" customHeight="1">
      <c r="A19" s="260" t="s">
        <v>576</v>
      </c>
      <c r="B19" s="77" t="s">
        <v>574</v>
      </c>
      <c r="C19" s="238"/>
      <c r="D19" s="238"/>
      <c r="E19" s="155"/>
      <c r="F19" s="97"/>
      <c r="G19" s="82"/>
      <c r="H19" s="161"/>
      <c r="I19" s="98">
        <v>17</v>
      </c>
      <c r="J19" s="81">
        <v>1750</v>
      </c>
      <c r="K19" s="82">
        <f t="shared" si="1"/>
        <v>102.94117647058823</v>
      </c>
      <c r="L19" s="98">
        <v>17</v>
      </c>
      <c r="M19" s="83">
        <f>AVERAGE(M13:M18)</f>
        <v>1679.9877532259327</v>
      </c>
      <c r="N19" s="82">
        <f t="shared" si="3"/>
        <v>98.822809013290154</v>
      </c>
      <c r="O19" s="84">
        <f t="shared" si="4"/>
        <v>0</v>
      </c>
      <c r="P19" s="85">
        <f t="shared" si="5"/>
        <v>-4.1183674572980777</v>
      </c>
      <c r="Q19" s="149">
        <f t="shared" si="6"/>
        <v>0.95999300184339009</v>
      </c>
      <c r="R19" s="237"/>
      <c r="S19" s="88"/>
      <c r="T19" s="88"/>
      <c r="U19" s="150"/>
      <c r="V19" s="151"/>
      <c r="W19" s="82"/>
      <c r="X19" s="82"/>
      <c r="Y19" s="99">
        <f>SUM(Y13:Y18)</f>
        <v>0</v>
      </c>
      <c r="Z19" s="99">
        <f>SUM(Z13:Z18)</f>
        <v>0</v>
      </c>
      <c r="AA19" s="231"/>
      <c r="AB19" s="231"/>
      <c r="AC19" s="99">
        <v>6</v>
      </c>
      <c r="AD19" s="99">
        <f>SUM(AD13:AD18)</f>
        <v>0</v>
      </c>
      <c r="AE19" s="84">
        <f t="shared" si="8"/>
        <v>-70.012246774067307</v>
      </c>
      <c r="AF19" s="149">
        <f t="shared" si="9"/>
        <v>0.95999300184339009</v>
      </c>
      <c r="AG19" s="237"/>
    </row>
    <row r="20" spans="1:33" ht="15.75" customHeight="1">
      <c r="A20" s="257" t="s">
        <v>578</v>
      </c>
      <c r="B20" s="77" t="s">
        <v>113</v>
      </c>
      <c r="C20" s="255" t="s">
        <v>134</v>
      </c>
      <c r="D20" s="255"/>
      <c r="E20" s="77">
        <v>50.67</v>
      </c>
      <c r="F20" s="161">
        <v>1815</v>
      </c>
      <c r="G20" s="150">
        <f t="shared" ref="G20:G27" si="19">E20*F20</f>
        <v>91966.05</v>
      </c>
      <c r="H20" s="79" t="s">
        <v>115</v>
      </c>
      <c r="I20" s="148">
        <v>17</v>
      </c>
      <c r="J20" s="81">
        <v>2000</v>
      </c>
      <c r="K20" s="82">
        <f t="shared" si="1"/>
        <v>117.64705882352941</v>
      </c>
      <c r="L20" s="148">
        <v>17</v>
      </c>
      <c r="M20" s="83">
        <f t="shared" ref="M20:M27" si="20">F20/V20*60</f>
        <v>1910.5263157894726</v>
      </c>
      <c r="N20" s="82">
        <f t="shared" si="3"/>
        <v>112.38390092879251</v>
      </c>
      <c r="O20" s="84">
        <f t="shared" si="4"/>
        <v>0</v>
      </c>
      <c r="P20" s="85">
        <f t="shared" si="5"/>
        <v>-5.2631578947368922</v>
      </c>
      <c r="Q20" s="149">
        <f t="shared" si="6"/>
        <v>0.95526315789473637</v>
      </c>
      <c r="R20" s="237">
        <f>Q28</f>
        <v>0.95875602341539179</v>
      </c>
      <c r="S20" s="88">
        <v>0.29166666666666669</v>
      </c>
      <c r="T20" s="88">
        <v>0.33125000000000004</v>
      </c>
      <c r="U20" s="150"/>
      <c r="V20" s="151">
        <f t="shared" ref="V20:V27" si="21">(T20-S20)*24*60</f>
        <v>57.000000000000036</v>
      </c>
      <c r="W20" s="90"/>
      <c r="X20" s="90"/>
      <c r="Y20" s="100"/>
      <c r="Z20" s="100"/>
      <c r="AA20" s="232"/>
      <c r="AB20" s="232"/>
      <c r="AC20" s="92">
        <v>8</v>
      </c>
      <c r="AD20" s="93"/>
      <c r="AE20" s="84">
        <f t="shared" si="8"/>
        <v>-89.473684210527381</v>
      </c>
      <c r="AF20" s="149">
        <f t="shared" si="9"/>
        <v>0.95526315789473626</v>
      </c>
      <c r="AG20" s="237">
        <f>AF28</f>
        <v>0.95875602341539179</v>
      </c>
    </row>
    <row r="21" spans="1:33" ht="15.75" customHeight="1">
      <c r="A21" s="258" t="s">
        <v>579</v>
      </c>
      <c r="B21" s="77" t="s">
        <v>113</v>
      </c>
      <c r="C21" s="255" t="s">
        <v>135</v>
      </c>
      <c r="D21" s="255"/>
      <c r="E21" s="77">
        <v>57.73</v>
      </c>
      <c r="F21" s="161">
        <v>2967</v>
      </c>
      <c r="G21" s="150">
        <f t="shared" si="19"/>
        <v>171284.91</v>
      </c>
      <c r="H21" s="79" t="s">
        <v>115</v>
      </c>
      <c r="I21" s="148">
        <v>14</v>
      </c>
      <c r="J21" s="81">
        <v>2000</v>
      </c>
      <c r="K21" s="82">
        <f t="shared" si="1"/>
        <v>142.85714285714286</v>
      </c>
      <c r="L21" s="148">
        <v>14</v>
      </c>
      <c r="M21" s="83">
        <f t="shared" si="20"/>
        <v>1914.1935483870971</v>
      </c>
      <c r="N21" s="82">
        <f t="shared" si="3"/>
        <v>136.72811059907835</v>
      </c>
      <c r="O21" s="84">
        <f t="shared" si="4"/>
        <v>0</v>
      </c>
      <c r="P21" s="85">
        <f t="shared" si="5"/>
        <v>-6.1290322580645125</v>
      </c>
      <c r="Q21" s="149">
        <f t="shared" si="6"/>
        <v>0.95709677419354844</v>
      </c>
      <c r="R21" s="237"/>
      <c r="S21" s="88">
        <v>0.3354166666666667</v>
      </c>
      <c r="T21" s="88">
        <v>0.4</v>
      </c>
      <c r="U21" s="150">
        <f t="shared" ref="U21:U27" si="22">IF(S21=TIME(17,0,0),"",(S21-T20)*24*60)</f>
        <v>5.9999999999999787</v>
      </c>
      <c r="V21" s="151">
        <f t="shared" si="21"/>
        <v>92.999999999999986</v>
      </c>
      <c r="W21" s="90"/>
      <c r="X21" s="150"/>
      <c r="Y21" s="150"/>
      <c r="Z21" s="150"/>
      <c r="AA21" s="232"/>
      <c r="AB21" s="232"/>
      <c r="AC21" s="92"/>
      <c r="AD21" s="93"/>
      <c r="AE21" s="84">
        <f t="shared" si="8"/>
        <v>-85.806451612902947</v>
      </c>
      <c r="AF21" s="149">
        <f t="shared" si="9"/>
        <v>0.95709677419354855</v>
      </c>
      <c r="AG21" s="237"/>
    </row>
    <row r="22" spans="1:33" ht="15.75" customHeight="1">
      <c r="A22" s="258" t="s">
        <v>579</v>
      </c>
      <c r="B22" s="77" t="s">
        <v>113</v>
      </c>
      <c r="C22" s="255" t="s">
        <v>136</v>
      </c>
      <c r="D22" s="255"/>
      <c r="E22" s="77">
        <v>53.27</v>
      </c>
      <c r="F22" s="161">
        <v>1690</v>
      </c>
      <c r="G22" s="150">
        <f t="shared" si="19"/>
        <v>90026.3</v>
      </c>
      <c r="H22" s="79" t="s">
        <v>115</v>
      </c>
      <c r="I22" s="148">
        <v>16</v>
      </c>
      <c r="J22" s="81">
        <v>2000</v>
      </c>
      <c r="K22" s="82">
        <f t="shared" si="1"/>
        <v>125</v>
      </c>
      <c r="L22" s="148">
        <v>16</v>
      </c>
      <c r="M22" s="83">
        <f t="shared" si="20"/>
        <v>1913.2075471698124</v>
      </c>
      <c r="N22" s="82">
        <f t="shared" si="3"/>
        <v>119.57547169811328</v>
      </c>
      <c r="O22" s="84">
        <f t="shared" si="4"/>
        <v>0</v>
      </c>
      <c r="P22" s="85">
        <f t="shared" si="5"/>
        <v>-5.4245283018867241</v>
      </c>
      <c r="Q22" s="149">
        <f t="shared" si="6"/>
        <v>0.95660377358490623</v>
      </c>
      <c r="R22" s="237"/>
      <c r="S22" s="88">
        <v>0.40347222222222223</v>
      </c>
      <c r="T22" s="88">
        <v>0.44027777777777777</v>
      </c>
      <c r="U22" s="150">
        <f t="shared" si="22"/>
        <v>4.9999999999999822</v>
      </c>
      <c r="V22" s="151">
        <f t="shared" si="21"/>
        <v>52.999999999999972</v>
      </c>
      <c r="W22" s="90"/>
      <c r="X22" s="150"/>
      <c r="Y22" s="150"/>
      <c r="Z22" s="150"/>
      <c r="AA22" s="232"/>
      <c r="AB22" s="232"/>
      <c r="AC22" s="92"/>
      <c r="AD22" s="93"/>
      <c r="AE22" s="84">
        <f t="shared" si="8"/>
        <v>-86.792452830187585</v>
      </c>
      <c r="AF22" s="149">
        <f t="shared" si="9"/>
        <v>0.95660377358490623</v>
      </c>
      <c r="AG22" s="237"/>
    </row>
    <row r="23" spans="1:33" ht="15.75" customHeight="1">
      <c r="A23" s="258" t="s">
        <v>580</v>
      </c>
      <c r="B23" s="77" t="s">
        <v>113</v>
      </c>
      <c r="C23" s="255" t="s">
        <v>137</v>
      </c>
      <c r="D23" s="255"/>
      <c r="E23" s="77">
        <v>57.3</v>
      </c>
      <c r="F23" s="161">
        <v>2088</v>
      </c>
      <c r="G23" s="150">
        <f t="shared" si="19"/>
        <v>119642.4</v>
      </c>
      <c r="H23" s="79" t="s">
        <v>115</v>
      </c>
      <c r="I23" s="148">
        <v>16</v>
      </c>
      <c r="J23" s="81">
        <v>2000</v>
      </c>
      <c r="K23" s="82">
        <f t="shared" si="1"/>
        <v>125</v>
      </c>
      <c r="L23" s="148">
        <v>16</v>
      </c>
      <c r="M23" s="83">
        <f t="shared" si="20"/>
        <v>1927.384615384615</v>
      </c>
      <c r="N23" s="82">
        <f t="shared" si="3"/>
        <v>120.46153846153844</v>
      </c>
      <c r="O23" s="84">
        <f t="shared" si="4"/>
        <v>0</v>
      </c>
      <c r="P23" s="85">
        <f t="shared" si="5"/>
        <v>-4.5384615384615614</v>
      </c>
      <c r="Q23" s="149">
        <f t="shared" si="6"/>
        <v>0.96369230769230751</v>
      </c>
      <c r="R23" s="237"/>
      <c r="S23" s="88">
        <v>0.44444444444444442</v>
      </c>
      <c r="T23" s="88">
        <v>0.48958333333333331</v>
      </c>
      <c r="U23" s="150">
        <f t="shared" si="22"/>
        <v>5.9999999999999787</v>
      </c>
      <c r="V23" s="151">
        <f t="shared" si="21"/>
        <v>65.000000000000014</v>
      </c>
      <c r="W23" s="90"/>
      <c r="X23" s="150"/>
      <c r="Y23" s="150"/>
      <c r="Z23" s="150"/>
      <c r="AA23" s="232"/>
      <c r="AB23" s="232"/>
      <c r="AC23" s="92"/>
      <c r="AD23" s="93"/>
      <c r="AE23" s="84">
        <f t="shared" si="8"/>
        <v>-72.615384615384983</v>
      </c>
      <c r="AF23" s="149">
        <f t="shared" si="9"/>
        <v>0.96369230769230751</v>
      </c>
      <c r="AG23" s="237"/>
    </row>
    <row r="24" spans="1:33" ht="15.75" customHeight="1">
      <c r="A24" s="258" t="s">
        <v>579</v>
      </c>
      <c r="B24" s="77" t="s">
        <v>113</v>
      </c>
      <c r="C24" s="255" t="s">
        <v>138</v>
      </c>
      <c r="D24" s="255"/>
      <c r="E24" s="77">
        <v>50.49</v>
      </c>
      <c r="F24" s="161">
        <v>2349</v>
      </c>
      <c r="G24" s="150">
        <f t="shared" si="19"/>
        <v>118601.01000000001</v>
      </c>
      <c r="H24" s="79" t="s">
        <v>115</v>
      </c>
      <c r="I24" s="148">
        <v>15</v>
      </c>
      <c r="J24" s="81">
        <v>2000</v>
      </c>
      <c r="K24" s="82">
        <f t="shared" si="1"/>
        <v>133.33333333333334</v>
      </c>
      <c r="L24" s="148">
        <v>15</v>
      </c>
      <c r="M24" s="83">
        <f t="shared" si="20"/>
        <v>1904.594594594593</v>
      </c>
      <c r="N24" s="82">
        <f t="shared" si="3"/>
        <v>126.97297297297287</v>
      </c>
      <c r="O24" s="84">
        <f t="shared" si="4"/>
        <v>0</v>
      </c>
      <c r="P24" s="85">
        <f t="shared" si="5"/>
        <v>-6.3603603603604739</v>
      </c>
      <c r="Q24" s="149">
        <f t="shared" si="6"/>
        <v>0.9522972972972964</v>
      </c>
      <c r="R24" s="237"/>
      <c r="S24" s="88">
        <v>0.70833333333333337</v>
      </c>
      <c r="T24" s="88">
        <v>0.7597222222222223</v>
      </c>
      <c r="U24" s="150" t="str">
        <f t="shared" si="22"/>
        <v/>
      </c>
      <c r="V24" s="151">
        <f t="shared" si="21"/>
        <v>74.000000000000057</v>
      </c>
      <c r="W24" s="90"/>
      <c r="X24" s="90"/>
      <c r="Y24" s="150"/>
      <c r="Z24" s="150"/>
      <c r="AA24" s="232"/>
      <c r="AB24" s="232"/>
      <c r="AC24" s="92"/>
      <c r="AD24" s="93"/>
      <c r="AE24" s="84">
        <f t="shared" si="8"/>
        <v>-95.405405405407009</v>
      </c>
      <c r="AF24" s="149">
        <f t="shared" si="9"/>
        <v>0.95229729729729651</v>
      </c>
      <c r="AG24" s="237"/>
    </row>
    <row r="25" spans="1:33" ht="15.75" customHeight="1">
      <c r="A25" s="258" t="s">
        <v>579</v>
      </c>
      <c r="B25" s="77" t="s">
        <v>113</v>
      </c>
      <c r="C25" s="255" t="s">
        <v>140</v>
      </c>
      <c r="D25" s="255"/>
      <c r="E25" s="77">
        <v>50.67</v>
      </c>
      <c r="F25" s="161">
        <v>1000</v>
      </c>
      <c r="G25" s="150">
        <f t="shared" si="19"/>
        <v>50670</v>
      </c>
      <c r="H25" s="79">
        <v>2</v>
      </c>
      <c r="I25" s="148">
        <v>16</v>
      </c>
      <c r="J25" s="81">
        <v>2000</v>
      </c>
      <c r="K25" s="82">
        <f t="shared" si="1"/>
        <v>125</v>
      </c>
      <c r="L25" s="148">
        <v>16</v>
      </c>
      <c r="M25" s="83">
        <f t="shared" si="20"/>
        <v>1935.483870967739</v>
      </c>
      <c r="N25" s="82">
        <f t="shared" si="3"/>
        <v>120.96774193548369</v>
      </c>
      <c r="O25" s="84">
        <f t="shared" si="4"/>
        <v>0</v>
      </c>
      <c r="P25" s="85">
        <f t="shared" si="5"/>
        <v>-4.0322580645163129</v>
      </c>
      <c r="Q25" s="149">
        <f t="shared" si="6"/>
        <v>0.96774193548386944</v>
      </c>
      <c r="R25" s="237"/>
      <c r="S25" s="88">
        <v>0.76319444444444451</v>
      </c>
      <c r="T25" s="88">
        <v>0.78472222222222232</v>
      </c>
      <c r="U25" s="150">
        <f t="shared" si="22"/>
        <v>4.9999999999999822</v>
      </c>
      <c r="V25" s="151">
        <f t="shared" si="21"/>
        <v>31.00000000000005</v>
      </c>
      <c r="W25" s="90"/>
      <c r="X25" s="100"/>
      <c r="Y25" s="100"/>
      <c r="Z25" s="100"/>
      <c r="AA25" s="232"/>
      <c r="AB25" s="232"/>
      <c r="AC25" s="92"/>
      <c r="AD25" s="93"/>
      <c r="AE25" s="84">
        <f t="shared" si="8"/>
        <v>-64.516129032261006</v>
      </c>
      <c r="AF25" s="149">
        <f t="shared" si="9"/>
        <v>0.96774193548386944</v>
      </c>
      <c r="AG25" s="237"/>
    </row>
    <row r="26" spans="1:33" ht="15.75" customHeight="1">
      <c r="A26" s="258" t="s">
        <v>579</v>
      </c>
      <c r="B26" s="77" t="s">
        <v>113</v>
      </c>
      <c r="C26" s="251" t="s">
        <v>139</v>
      </c>
      <c r="D26" s="252"/>
      <c r="E26" s="77">
        <v>54.09</v>
      </c>
      <c r="F26" s="161">
        <v>2170</v>
      </c>
      <c r="G26" s="150">
        <f t="shared" si="19"/>
        <v>117375.3</v>
      </c>
      <c r="H26" s="79" t="s">
        <v>115</v>
      </c>
      <c r="I26" s="148">
        <v>18</v>
      </c>
      <c r="J26" s="81">
        <v>2000</v>
      </c>
      <c r="K26" s="82">
        <f t="shared" si="1"/>
        <v>111.11111111111111</v>
      </c>
      <c r="L26" s="148">
        <v>18</v>
      </c>
      <c r="M26" s="83">
        <f t="shared" si="20"/>
        <v>1914.7058823529387</v>
      </c>
      <c r="N26" s="82">
        <f t="shared" si="3"/>
        <v>106.3725490196077</v>
      </c>
      <c r="O26" s="84">
        <f t="shared" si="4"/>
        <v>0</v>
      </c>
      <c r="P26" s="85">
        <f t="shared" si="5"/>
        <v>-4.738562091503411</v>
      </c>
      <c r="Q26" s="149">
        <f t="shared" si="6"/>
        <v>0.9573529411764693</v>
      </c>
      <c r="R26" s="237"/>
      <c r="S26" s="88">
        <v>0.79027777777777786</v>
      </c>
      <c r="T26" s="88">
        <v>0.83750000000000013</v>
      </c>
      <c r="U26" s="150">
        <f t="shared" si="22"/>
        <v>7.9999999999999716</v>
      </c>
      <c r="V26" s="151">
        <f t="shared" si="21"/>
        <v>68.000000000000085</v>
      </c>
      <c r="W26" s="90">
        <f>T26</f>
        <v>0.83750000000000013</v>
      </c>
      <c r="X26" s="90">
        <f>S27</f>
        <v>0.87569444444444455</v>
      </c>
      <c r="Y26" s="107"/>
      <c r="Z26" s="107"/>
      <c r="AA26" s="227"/>
      <c r="AB26" s="228"/>
      <c r="AC26" s="92"/>
      <c r="AD26" s="93"/>
      <c r="AE26" s="84">
        <f t="shared" si="8"/>
        <v>-85.294117647061285</v>
      </c>
      <c r="AF26" s="149">
        <f t="shared" si="9"/>
        <v>0.95735294117646941</v>
      </c>
      <c r="AG26" s="237"/>
    </row>
    <row r="27" spans="1:33" ht="15.75" customHeight="1">
      <c r="A27" s="258" t="s">
        <v>579</v>
      </c>
      <c r="B27" s="77" t="s">
        <v>113</v>
      </c>
      <c r="C27" s="156" t="s">
        <v>140</v>
      </c>
      <c r="D27" s="157"/>
      <c r="E27" s="77">
        <v>50.67</v>
      </c>
      <c r="F27" s="161">
        <v>1888</v>
      </c>
      <c r="G27" s="150">
        <f t="shared" si="19"/>
        <v>95664.960000000006</v>
      </c>
      <c r="H27" s="79" t="s">
        <v>115</v>
      </c>
      <c r="I27" s="148">
        <v>16</v>
      </c>
      <c r="J27" s="81">
        <v>2000</v>
      </c>
      <c r="K27" s="82">
        <f t="shared" si="1"/>
        <v>125</v>
      </c>
      <c r="L27" s="148">
        <v>16</v>
      </c>
      <c r="M27" s="83">
        <f t="shared" si="20"/>
        <v>1920.0000000000018</v>
      </c>
      <c r="N27" s="82">
        <f t="shared" si="3"/>
        <v>120.00000000000011</v>
      </c>
      <c r="O27" s="84">
        <f t="shared" si="4"/>
        <v>0</v>
      </c>
      <c r="P27" s="85">
        <f t="shared" si="5"/>
        <v>-4.9999999999998863</v>
      </c>
      <c r="Q27" s="149">
        <f t="shared" si="6"/>
        <v>0.96000000000000096</v>
      </c>
      <c r="R27" s="237"/>
      <c r="S27" s="88">
        <v>0.87569444444444455</v>
      </c>
      <c r="T27" s="88">
        <v>0.91666666666666674</v>
      </c>
      <c r="U27" s="150">
        <f t="shared" si="22"/>
        <v>54.999999999999964</v>
      </c>
      <c r="V27" s="151">
        <f t="shared" si="21"/>
        <v>58.99999999999995</v>
      </c>
      <c r="W27" s="90"/>
      <c r="X27" s="90"/>
      <c r="Y27" s="94"/>
      <c r="Z27" s="94"/>
      <c r="AA27" s="153"/>
      <c r="AB27" s="154"/>
      <c r="AC27" s="92"/>
      <c r="AD27" s="93"/>
      <c r="AE27" s="84">
        <f t="shared" si="8"/>
        <v>-79.999999999998181</v>
      </c>
      <c r="AF27" s="149">
        <f t="shared" si="9"/>
        <v>0.96000000000000096</v>
      </c>
      <c r="AG27" s="237"/>
    </row>
    <row r="28" spans="1:33" ht="15.75" customHeight="1">
      <c r="A28" s="258" t="s">
        <v>579</v>
      </c>
      <c r="B28" s="77" t="s">
        <v>581</v>
      </c>
      <c r="C28" s="238"/>
      <c r="D28" s="238"/>
      <c r="E28" s="155"/>
      <c r="F28" s="161"/>
      <c r="G28" s="150"/>
      <c r="H28" s="161"/>
      <c r="I28" s="98">
        <v>16</v>
      </c>
      <c r="J28" s="81">
        <v>2000</v>
      </c>
      <c r="K28" s="82">
        <f t="shared" si="1"/>
        <v>125</v>
      </c>
      <c r="L28" s="98">
        <v>16</v>
      </c>
      <c r="M28" s="83">
        <f>AVERAGE(M20:M27)</f>
        <v>1917.5120468307837</v>
      </c>
      <c r="N28" s="82">
        <f t="shared" si="3"/>
        <v>119.84450292692398</v>
      </c>
      <c r="O28" s="84">
        <f t="shared" si="4"/>
        <v>0</v>
      </c>
      <c r="P28" s="85">
        <f t="shared" si="5"/>
        <v>-5.1554970730760203</v>
      </c>
      <c r="Q28" s="149">
        <f t="shared" si="6"/>
        <v>0.95875602341539179</v>
      </c>
      <c r="R28" s="237"/>
      <c r="S28" s="88"/>
      <c r="T28" s="88"/>
      <c r="U28" s="82"/>
      <c r="V28" s="151"/>
      <c r="W28" s="82"/>
      <c r="X28" s="82"/>
      <c r="Y28" s="99">
        <f>SUM(Y20:Y27)</f>
        <v>0</v>
      </c>
      <c r="Z28" s="99">
        <f>SUM(Z20:Z27)</f>
        <v>0</v>
      </c>
      <c r="AA28" s="231"/>
      <c r="AB28" s="231"/>
      <c r="AC28" s="99">
        <v>8</v>
      </c>
      <c r="AD28" s="99">
        <f>SUM(AD20:AD27)</f>
        <v>0</v>
      </c>
      <c r="AE28" s="84">
        <f t="shared" si="8"/>
        <v>-82.487953169216325</v>
      </c>
      <c r="AF28" s="149">
        <f t="shared" si="9"/>
        <v>0.95875602341539179</v>
      </c>
      <c r="AG28" s="237"/>
    </row>
    <row r="29" spans="1:33" ht="15.75" customHeight="1">
      <c r="A29" s="256" t="s">
        <v>582</v>
      </c>
      <c r="B29" s="77" t="s">
        <v>142</v>
      </c>
      <c r="C29" s="255" t="s">
        <v>143</v>
      </c>
      <c r="D29" s="255"/>
      <c r="E29" s="77">
        <v>31.29</v>
      </c>
      <c r="F29" s="161">
        <v>6200</v>
      </c>
      <c r="G29" s="150">
        <f t="shared" ref="G29:G37" si="23">E29*F29</f>
        <v>193998</v>
      </c>
      <c r="H29" s="79">
        <v>2</v>
      </c>
      <c r="I29" s="148">
        <v>18</v>
      </c>
      <c r="J29" s="81">
        <v>2400</v>
      </c>
      <c r="K29" s="82">
        <f t="shared" si="1"/>
        <v>133.33333333333334</v>
      </c>
      <c r="L29" s="148">
        <v>18</v>
      </c>
      <c r="M29" s="83">
        <f t="shared" ref="M29:M37" si="24">F29/V29*60</f>
        <v>2296.2962962962965</v>
      </c>
      <c r="N29" s="82">
        <f t="shared" si="3"/>
        <v>127.57201646090536</v>
      </c>
      <c r="O29" s="84">
        <f t="shared" si="4"/>
        <v>0</v>
      </c>
      <c r="P29" s="85">
        <f t="shared" si="5"/>
        <v>-5.7613168724279831</v>
      </c>
      <c r="Q29" s="149">
        <f t="shared" si="6"/>
        <v>0.95679012345679015</v>
      </c>
      <c r="R29" s="237">
        <f>Q38</f>
        <v>0.95769334638341763</v>
      </c>
      <c r="S29" s="88">
        <v>8.3333333333333329E-2</v>
      </c>
      <c r="T29" s="88">
        <v>0.19583333333333333</v>
      </c>
      <c r="U29" s="150"/>
      <c r="V29" s="151">
        <f t="shared" ref="V29:V37" si="25">(T29-S29)*24*60</f>
        <v>162</v>
      </c>
      <c r="W29" s="90">
        <f>T29</f>
        <v>0.19583333333333333</v>
      </c>
      <c r="X29" s="90">
        <f>S30</f>
        <v>0.21597222222222223</v>
      </c>
      <c r="Y29" s="90"/>
      <c r="Z29" s="90"/>
      <c r="AA29" s="232"/>
      <c r="AB29" s="232"/>
      <c r="AC29" s="92">
        <v>9</v>
      </c>
      <c r="AD29" s="93"/>
      <c r="AE29" s="84">
        <f t="shared" si="8"/>
        <v>-103.70370370370347</v>
      </c>
      <c r="AF29" s="149">
        <f t="shared" si="9"/>
        <v>0.95679012345679026</v>
      </c>
      <c r="AG29" s="237">
        <f>AF38</f>
        <v>0.95769334638341752</v>
      </c>
    </row>
    <row r="30" spans="1:33" ht="15.75" customHeight="1">
      <c r="A30" s="256" t="s">
        <v>582</v>
      </c>
      <c r="B30" s="77" t="s">
        <v>142</v>
      </c>
      <c r="C30" s="255" t="s">
        <v>144</v>
      </c>
      <c r="D30" s="255"/>
      <c r="E30" s="77">
        <v>26.37</v>
      </c>
      <c r="F30" s="161">
        <v>4400</v>
      </c>
      <c r="G30" s="150">
        <f t="shared" si="23"/>
        <v>116028</v>
      </c>
      <c r="H30" s="79">
        <v>2</v>
      </c>
      <c r="I30" s="148">
        <v>18</v>
      </c>
      <c r="J30" s="81">
        <v>2400</v>
      </c>
      <c r="K30" s="82">
        <f t="shared" si="1"/>
        <v>133.33333333333334</v>
      </c>
      <c r="L30" s="148">
        <v>18</v>
      </c>
      <c r="M30" s="83">
        <f t="shared" si="24"/>
        <v>2295.652173913044</v>
      </c>
      <c r="N30" s="82">
        <f t="shared" si="3"/>
        <v>127.536231884058</v>
      </c>
      <c r="O30" s="84">
        <f t="shared" si="4"/>
        <v>0</v>
      </c>
      <c r="P30" s="85">
        <f t="shared" si="5"/>
        <v>-5.7971014492753454</v>
      </c>
      <c r="Q30" s="149">
        <f t="shared" si="6"/>
        <v>0.95652173913043492</v>
      </c>
      <c r="R30" s="237"/>
      <c r="S30" s="88">
        <v>0.21597222222222223</v>
      </c>
      <c r="T30" s="88">
        <v>0.29583333333333334</v>
      </c>
      <c r="U30" s="150">
        <f t="shared" ref="U30:U37" si="26">(S30-T29)*24*60</f>
        <v>29.000000000000018</v>
      </c>
      <c r="V30" s="151">
        <f t="shared" si="25"/>
        <v>114.99999999999999</v>
      </c>
      <c r="W30" s="90"/>
      <c r="X30" s="90"/>
      <c r="Y30" s="90"/>
      <c r="Z30" s="90"/>
      <c r="AA30" s="232"/>
      <c r="AB30" s="232"/>
      <c r="AC30" s="92"/>
      <c r="AD30" s="93"/>
      <c r="AE30" s="84">
        <f t="shared" si="8"/>
        <v>-104.34782608695605</v>
      </c>
      <c r="AF30" s="149">
        <f t="shared" si="9"/>
        <v>0.95652173913043503</v>
      </c>
      <c r="AG30" s="237"/>
    </row>
    <row r="31" spans="1:33" ht="15.75" customHeight="1">
      <c r="A31" s="256" t="s">
        <v>582</v>
      </c>
      <c r="B31" s="77" t="s">
        <v>142</v>
      </c>
      <c r="C31" s="255" t="s">
        <v>180</v>
      </c>
      <c r="D31" s="255"/>
      <c r="E31" s="77">
        <v>28.29</v>
      </c>
      <c r="F31" s="161">
        <v>2528</v>
      </c>
      <c r="G31" s="150">
        <f t="shared" si="23"/>
        <v>71517.119999999995</v>
      </c>
      <c r="H31" s="79" t="s">
        <v>115</v>
      </c>
      <c r="I31" s="148">
        <v>19</v>
      </c>
      <c r="J31" s="81">
        <v>2400</v>
      </c>
      <c r="K31" s="82">
        <f t="shared" si="1"/>
        <v>126.31578947368421</v>
      </c>
      <c r="L31" s="148">
        <v>19</v>
      </c>
      <c r="M31" s="83">
        <f t="shared" si="24"/>
        <v>2298.1818181818185</v>
      </c>
      <c r="N31" s="82">
        <f t="shared" si="3"/>
        <v>120.95693779904308</v>
      </c>
      <c r="O31" s="84">
        <f t="shared" si="4"/>
        <v>0</v>
      </c>
      <c r="P31" s="85">
        <f t="shared" si="5"/>
        <v>-5.3588516746411301</v>
      </c>
      <c r="Q31" s="149">
        <f t="shared" si="6"/>
        <v>0.95757575757575775</v>
      </c>
      <c r="R31" s="237"/>
      <c r="S31" s="88">
        <v>0.30138888888888887</v>
      </c>
      <c r="T31" s="88">
        <v>0.34722222222222221</v>
      </c>
      <c r="U31" s="150">
        <f t="shared" si="26"/>
        <v>7.9999999999999716</v>
      </c>
      <c r="V31" s="151">
        <f t="shared" si="25"/>
        <v>66</v>
      </c>
      <c r="W31" s="90"/>
      <c r="X31" s="90"/>
      <c r="Y31" s="90"/>
      <c r="Z31" s="90"/>
      <c r="AA31" s="232"/>
      <c r="AB31" s="232"/>
      <c r="AC31" s="92"/>
      <c r="AD31" s="93"/>
      <c r="AE31" s="84">
        <f t="shared" si="8"/>
        <v>-101.81818181818153</v>
      </c>
      <c r="AF31" s="149">
        <f t="shared" si="9"/>
        <v>0.95757575757575775</v>
      </c>
      <c r="AG31" s="237"/>
    </row>
    <row r="32" spans="1:33" ht="15.75" customHeight="1">
      <c r="A32" s="256" t="s">
        <v>582</v>
      </c>
      <c r="B32" s="77" t="s">
        <v>142</v>
      </c>
      <c r="C32" s="255" t="s">
        <v>146</v>
      </c>
      <c r="D32" s="255"/>
      <c r="E32" s="77">
        <v>25.98</v>
      </c>
      <c r="F32" s="161">
        <v>4057</v>
      </c>
      <c r="G32" s="150">
        <f t="shared" si="23"/>
        <v>105400.86</v>
      </c>
      <c r="H32" s="79" t="s">
        <v>115</v>
      </c>
      <c r="I32" s="148">
        <v>19</v>
      </c>
      <c r="J32" s="81">
        <v>2400</v>
      </c>
      <c r="K32" s="82">
        <f t="shared" si="1"/>
        <v>126.31578947368421</v>
      </c>
      <c r="L32" s="148">
        <v>19</v>
      </c>
      <c r="M32" s="83">
        <f t="shared" si="24"/>
        <v>2296.4150943396216</v>
      </c>
      <c r="N32" s="82">
        <f t="shared" si="3"/>
        <v>120.8639523336643</v>
      </c>
      <c r="O32" s="84">
        <f t="shared" si="4"/>
        <v>0</v>
      </c>
      <c r="P32" s="85">
        <f t="shared" si="5"/>
        <v>-5.4518371400199044</v>
      </c>
      <c r="Q32" s="149">
        <f t="shared" si="6"/>
        <v>0.95683962264150912</v>
      </c>
      <c r="R32" s="237"/>
      <c r="S32" s="88">
        <v>0.3520833333333333</v>
      </c>
      <c r="T32" s="88">
        <v>0.42569444444444443</v>
      </c>
      <c r="U32" s="150">
        <f t="shared" si="26"/>
        <v>6.9999999999999751</v>
      </c>
      <c r="V32" s="151">
        <f t="shared" si="25"/>
        <v>106.00000000000003</v>
      </c>
      <c r="W32" s="90"/>
      <c r="X32" s="90"/>
      <c r="Y32" s="90"/>
      <c r="Z32" s="90"/>
      <c r="AA32" s="232"/>
      <c r="AB32" s="232"/>
      <c r="AC32" s="92"/>
      <c r="AD32" s="93"/>
      <c r="AE32" s="84">
        <f t="shared" si="8"/>
        <v>-103.58490566037835</v>
      </c>
      <c r="AF32" s="149">
        <f t="shared" si="9"/>
        <v>0.95683962264150901</v>
      </c>
      <c r="AG32" s="237"/>
    </row>
    <row r="33" spans="1:33" ht="15.75" customHeight="1">
      <c r="A33" s="256" t="s">
        <v>582</v>
      </c>
      <c r="B33" s="77" t="s">
        <v>142</v>
      </c>
      <c r="C33" s="255" t="s">
        <v>148</v>
      </c>
      <c r="D33" s="255"/>
      <c r="E33" s="77">
        <v>25.99</v>
      </c>
      <c r="F33" s="161">
        <v>1527</v>
      </c>
      <c r="G33" s="150">
        <f t="shared" si="23"/>
        <v>39686.729999999996</v>
      </c>
      <c r="H33" s="79" t="s">
        <v>115</v>
      </c>
      <c r="I33" s="148">
        <v>18</v>
      </c>
      <c r="J33" s="81">
        <v>2400</v>
      </c>
      <c r="K33" s="82">
        <f t="shared" si="1"/>
        <v>133.33333333333334</v>
      </c>
      <c r="L33" s="148">
        <v>18</v>
      </c>
      <c r="M33" s="83">
        <f t="shared" si="24"/>
        <v>2290.4999999999991</v>
      </c>
      <c r="N33" s="82">
        <f t="shared" si="3"/>
        <v>127.24999999999994</v>
      </c>
      <c r="O33" s="84">
        <f t="shared" si="4"/>
        <v>0</v>
      </c>
      <c r="P33" s="85">
        <f t="shared" si="5"/>
        <v>-6.0833333333333997</v>
      </c>
      <c r="Q33" s="149">
        <f t="shared" si="6"/>
        <v>0.95437499999999953</v>
      </c>
      <c r="R33" s="237"/>
      <c r="S33" s="88">
        <v>0.43055555555555552</v>
      </c>
      <c r="T33" s="88">
        <v>0.45833333333333331</v>
      </c>
      <c r="U33" s="150">
        <f t="shared" si="26"/>
        <v>6.9999999999999751</v>
      </c>
      <c r="V33" s="151">
        <f t="shared" si="25"/>
        <v>40.000000000000014</v>
      </c>
      <c r="W33" s="90"/>
      <c r="X33" s="90"/>
      <c r="Y33" s="90"/>
      <c r="Z33" s="90"/>
      <c r="AA33" s="232"/>
      <c r="AB33" s="232"/>
      <c r="AC33" s="92"/>
      <c r="AD33" s="93"/>
      <c r="AE33" s="84">
        <f t="shared" si="8"/>
        <v>-109.50000000000091</v>
      </c>
      <c r="AF33" s="149">
        <f t="shared" si="9"/>
        <v>0.95437499999999964</v>
      </c>
      <c r="AG33" s="237"/>
    </row>
    <row r="34" spans="1:33" ht="15.75" customHeight="1">
      <c r="A34" s="256" t="s">
        <v>582</v>
      </c>
      <c r="B34" s="77" t="s">
        <v>142</v>
      </c>
      <c r="C34" s="255" t="s">
        <v>181</v>
      </c>
      <c r="D34" s="255"/>
      <c r="E34" s="77">
        <v>25.98</v>
      </c>
      <c r="F34" s="161">
        <v>1733</v>
      </c>
      <c r="G34" s="150">
        <f t="shared" si="23"/>
        <v>45023.340000000004</v>
      </c>
      <c r="H34" s="79" t="s">
        <v>115</v>
      </c>
      <c r="I34" s="148">
        <v>17</v>
      </c>
      <c r="J34" s="81">
        <v>2400</v>
      </c>
      <c r="K34" s="82">
        <f t="shared" si="1"/>
        <v>141.1764705882353</v>
      </c>
      <c r="L34" s="148">
        <v>17</v>
      </c>
      <c r="M34" s="83">
        <f t="shared" si="24"/>
        <v>2310.666666666667</v>
      </c>
      <c r="N34" s="82">
        <f t="shared" si="3"/>
        <v>135.92156862745099</v>
      </c>
      <c r="O34" s="84">
        <f t="shared" si="4"/>
        <v>0</v>
      </c>
      <c r="P34" s="85">
        <f t="shared" si="5"/>
        <v>-5.2549019607843093</v>
      </c>
      <c r="Q34" s="149">
        <f t="shared" si="6"/>
        <v>0.96277777777777784</v>
      </c>
      <c r="R34" s="237"/>
      <c r="S34" s="88">
        <v>0.46319444444444441</v>
      </c>
      <c r="T34" s="88">
        <v>0.49444444444444441</v>
      </c>
      <c r="U34" s="150">
        <f t="shared" si="26"/>
        <v>6.9999999999999751</v>
      </c>
      <c r="V34" s="151">
        <f t="shared" si="25"/>
        <v>45</v>
      </c>
      <c r="W34" s="90">
        <f>T34</f>
        <v>0.49444444444444441</v>
      </c>
      <c r="X34" s="90">
        <f>S35</f>
        <v>0.53541666666666665</v>
      </c>
      <c r="Y34" s="90"/>
      <c r="Z34" s="90"/>
      <c r="AA34" s="232"/>
      <c r="AB34" s="232"/>
      <c r="AC34" s="92"/>
      <c r="AD34" s="93"/>
      <c r="AE34" s="84">
        <f t="shared" si="8"/>
        <v>-89.33333333333303</v>
      </c>
      <c r="AF34" s="149">
        <f t="shared" si="9"/>
        <v>0.96277777777777795</v>
      </c>
      <c r="AG34" s="237"/>
    </row>
    <row r="35" spans="1:33" ht="15.75" customHeight="1">
      <c r="A35" s="256" t="s">
        <v>582</v>
      </c>
      <c r="B35" s="77" t="s">
        <v>142</v>
      </c>
      <c r="C35" s="255" t="s">
        <v>145</v>
      </c>
      <c r="D35" s="255"/>
      <c r="E35" s="77">
        <v>24.43</v>
      </c>
      <c r="F35" s="161">
        <v>3936</v>
      </c>
      <c r="G35" s="150">
        <f t="shared" si="23"/>
        <v>96156.479999999996</v>
      </c>
      <c r="H35" s="79" t="s">
        <v>115</v>
      </c>
      <c r="I35" s="148">
        <v>14</v>
      </c>
      <c r="J35" s="81">
        <v>2400</v>
      </c>
      <c r="K35" s="82">
        <f t="shared" si="1"/>
        <v>171.42857142857142</v>
      </c>
      <c r="L35" s="148">
        <v>14</v>
      </c>
      <c r="M35" s="83">
        <f t="shared" si="24"/>
        <v>2292.8155339805835</v>
      </c>
      <c r="N35" s="82">
        <f t="shared" si="3"/>
        <v>163.77253814147025</v>
      </c>
      <c r="O35" s="84">
        <f t="shared" si="4"/>
        <v>0</v>
      </c>
      <c r="P35" s="85">
        <f t="shared" si="5"/>
        <v>-7.6560332871011667</v>
      </c>
      <c r="Q35" s="149">
        <f t="shared" si="6"/>
        <v>0.95533980582524314</v>
      </c>
      <c r="R35" s="237"/>
      <c r="S35" s="88">
        <v>0.53541666666666665</v>
      </c>
      <c r="T35" s="88">
        <v>0.6069444444444444</v>
      </c>
      <c r="U35" s="150">
        <f t="shared" si="26"/>
        <v>59.000000000000028</v>
      </c>
      <c r="V35" s="151">
        <f t="shared" si="25"/>
        <v>102.99999999999996</v>
      </c>
      <c r="W35" s="90"/>
      <c r="X35" s="90"/>
      <c r="Y35" s="90"/>
      <c r="Z35" s="90"/>
      <c r="AA35" s="232"/>
      <c r="AB35" s="232"/>
      <c r="AC35" s="92"/>
      <c r="AD35" s="93"/>
      <c r="AE35" s="84">
        <f t="shared" si="8"/>
        <v>-107.1844660194165</v>
      </c>
      <c r="AF35" s="149">
        <f t="shared" si="9"/>
        <v>0.95533980582524314</v>
      </c>
      <c r="AG35" s="237"/>
    </row>
    <row r="36" spans="1:33" ht="15.75" customHeight="1">
      <c r="A36" s="256" t="s">
        <v>583</v>
      </c>
      <c r="B36" s="77" t="s">
        <v>142</v>
      </c>
      <c r="C36" s="156" t="s">
        <v>144</v>
      </c>
      <c r="D36" s="157"/>
      <c r="E36" s="77">
        <v>26.37</v>
      </c>
      <c r="F36" s="161">
        <v>3146</v>
      </c>
      <c r="G36" s="150">
        <f t="shared" si="23"/>
        <v>82960.02</v>
      </c>
      <c r="H36" s="79" t="s">
        <v>115</v>
      </c>
      <c r="I36" s="148">
        <v>18</v>
      </c>
      <c r="J36" s="81">
        <v>2400</v>
      </c>
      <c r="K36" s="82">
        <f t="shared" si="1"/>
        <v>133.33333333333334</v>
      </c>
      <c r="L36" s="148">
        <v>18</v>
      </c>
      <c r="M36" s="83">
        <f t="shared" si="24"/>
        <v>2301.9512195121943</v>
      </c>
      <c r="N36" s="82">
        <f t="shared" si="3"/>
        <v>127.88617886178857</v>
      </c>
      <c r="O36" s="84">
        <f t="shared" si="4"/>
        <v>0</v>
      </c>
      <c r="P36" s="85">
        <f t="shared" si="5"/>
        <v>-5.4471544715447777</v>
      </c>
      <c r="Q36" s="149">
        <f t="shared" si="6"/>
        <v>0.95914634146341415</v>
      </c>
      <c r="R36" s="237"/>
      <c r="S36" s="88">
        <v>0.61249999999999993</v>
      </c>
      <c r="T36" s="88">
        <v>0.6694444444444444</v>
      </c>
      <c r="U36" s="150">
        <f t="shared" si="26"/>
        <v>7.9999999999999716</v>
      </c>
      <c r="V36" s="151">
        <f t="shared" si="25"/>
        <v>82.000000000000028</v>
      </c>
      <c r="W36" s="90"/>
      <c r="X36" s="90"/>
      <c r="Y36" s="90"/>
      <c r="Z36" s="90"/>
      <c r="AA36" s="153"/>
      <c r="AB36" s="154"/>
      <c r="AC36" s="92"/>
      <c r="AD36" s="93"/>
      <c r="AE36" s="84">
        <f t="shared" si="8"/>
        <v>-98.048780487805743</v>
      </c>
      <c r="AF36" s="149">
        <f t="shared" si="9"/>
        <v>0.95914634146341426</v>
      </c>
      <c r="AG36" s="237"/>
    </row>
    <row r="37" spans="1:33" ht="15.75" customHeight="1">
      <c r="A37" s="256" t="s">
        <v>582</v>
      </c>
      <c r="B37" s="77" t="s">
        <v>142</v>
      </c>
      <c r="C37" s="251" t="s">
        <v>143</v>
      </c>
      <c r="D37" s="252"/>
      <c r="E37" s="77">
        <v>31.29</v>
      </c>
      <c r="F37" s="161">
        <v>4569</v>
      </c>
      <c r="G37" s="150">
        <f t="shared" si="23"/>
        <v>142964.01</v>
      </c>
      <c r="H37" s="79" t="s">
        <v>115</v>
      </c>
      <c r="I37" s="148">
        <v>18</v>
      </c>
      <c r="J37" s="81">
        <v>2400</v>
      </c>
      <c r="K37" s="82">
        <f t="shared" si="1"/>
        <v>133.33333333333334</v>
      </c>
      <c r="L37" s="148">
        <v>18</v>
      </c>
      <c r="M37" s="83">
        <f t="shared" si="24"/>
        <v>2303.6974789915953</v>
      </c>
      <c r="N37" s="82">
        <f t="shared" si="3"/>
        <v>127.98319327731085</v>
      </c>
      <c r="O37" s="84">
        <f t="shared" si="4"/>
        <v>0</v>
      </c>
      <c r="P37" s="85">
        <f t="shared" si="5"/>
        <v>-5.3501400560224965</v>
      </c>
      <c r="Q37" s="149">
        <f t="shared" si="6"/>
        <v>0.9598739495798313</v>
      </c>
      <c r="R37" s="237"/>
      <c r="S37" s="88">
        <v>0.67430555555555549</v>
      </c>
      <c r="T37" s="88">
        <v>0.75694444444444442</v>
      </c>
      <c r="U37" s="150">
        <f t="shared" si="26"/>
        <v>6.9999999999999751</v>
      </c>
      <c r="V37" s="151">
        <f t="shared" si="25"/>
        <v>119.00000000000006</v>
      </c>
      <c r="W37" s="90"/>
      <c r="X37" s="90"/>
      <c r="Y37" s="94"/>
      <c r="Z37" s="94"/>
      <c r="AA37" s="153"/>
      <c r="AB37" s="154"/>
      <c r="AC37" s="92"/>
      <c r="AD37" s="93"/>
      <c r="AE37" s="84">
        <f t="shared" si="8"/>
        <v>-96.30252100840471</v>
      </c>
      <c r="AF37" s="149">
        <f t="shared" si="9"/>
        <v>0.95987394957983141</v>
      </c>
      <c r="AG37" s="237"/>
    </row>
    <row r="38" spans="1:33" ht="15.75" customHeight="1">
      <c r="A38" s="256" t="s">
        <v>582</v>
      </c>
      <c r="B38" s="77" t="s">
        <v>574</v>
      </c>
      <c r="C38" s="238"/>
      <c r="D38" s="238"/>
      <c r="E38" s="155"/>
      <c r="F38" s="161"/>
      <c r="G38" s="150"/>
      <c r="H38" s="161"/>
      <c r="I38" s="98">
        <v>17.666666666666668</v>
      </c>
      <c r="J38" s="81">
        <v>2400</v>
      </c>
      <c r="K38" s="82">
        <f t="shared" si="1"/>
        <v>135.84905660377356</v>
      </c>
      <c r="L38" s="98">
        <v>17.666666666666668</v>
      </c>
      <c r="M38" s="83">
        <f>AVERAGE(M29:M37)</f>
        <v>2298.4640313202021</v>
      </c>
      <c r="N38" s="82">
        <f t="shared" si="3"/>
        <v>130.10173762189822</v>
      </c>
      <c r="O38" s="84">
        <f t="shared" si="4"/>
        <v>0</v>
      </c>
      <c r="P38" s="85">
        <f t="shared" si="5"/>
        <v>-5.7473189818753383</v>
      </c>
      <c r="Q38" s="149">
        <f t="shared" si="6"/>
        <v>0.95769334638341763</v>
      </c>
      <c r="R38" s="237"/>
      <c r="S38" s="88"/>
      <c r="T38" s="88"/>
      <c r="U38" s="150"/>
      <c r="V38" s="151"/>
      <c r="W38" s="150"/>
      <c r="X38" s="150"/>
      <c r="Y38" s="99">
        <f>SUM(Y29:Y37)</f>
        <v>0</v>
      </c>
      <c r="Z38" s="99">
        <f>SUM(Z29:Z37)</f>
        <v>0</v>
      </c>
      <c r="AA38" s="231"/>
      <c r="AB38" s="231"/>
      <c r="AC38" s="99">
        <v>9</v>
      </c>
      <c r="AD38" s="99">
        <f>SUM(AD29:AD37)</f>
        <v>0</v>
      </c>
      <c r="AE38" s="84">
        <f t="shared" si="8"/>
        <v>-101.53596867979786</v>
      </c>
      <c r="AF38" s="149">
        <f t="shared" si="9"/>
        <v>0.95769334638341752</v>
      </c>
      <c r="AG38" s="237"/>
    </row>
    <row r="39" spans="1:33" ht="15.75" customHeight="1">
      <c r="A39" s="253" t="s">
        <v>584</v>
      </c>
      <c r="B39" s="77" t="s">
        <v>142</v>
      </c>
      <c r="C39" s="233" t="s">
        <v>151</v>
      </c>
      <c r="D39" s="233"/>
      <c r="E39" s="77">
        <v>26.18</v>
      </c>
      <c r="F39" s="161">
        <v>4000</v>
      </c>
      <c r="G39" s="150">
        <f t="shared" ref="G39:G46" si="27">E39*F39</f>
        <v>104720</v>
      </c>
      <c r="H39" s="79">
        <v>2</v>
      </c>
      <c r="I39" s="148">
        <v>20</v>
      </c>
      <c r="J39" s="81">
        <v>2400</v>
      </c>
      <c r="K39" s="82">
        <f t="shared" si="1"/>
        <v>120</v>
      </c>
      <c r="L39" s="148">
        <v>20</v>
      </c>
      <c r="M39" s="83">
        <f t="shared" ref="M39:M46" si="28">F39/V39*60</f>
        <v>2285.7142857142858</v>
      </c>
      <c r="N39" s="82">
        <f t="shared" si="3"/>
        <v>114.28571428571429</v>
      </c>
      <c r="O39" s="84">
        <f t="shared" si="4"/>
        <v>0</v>
      </c>
      <c r="P39" s="85">
        <f t="shared" si="5"/>
        <v>-5.7142857142857082</v>
      </c>
      <c r="Q39" s="149">
        <f t="shared" si="6"/>
        <v>0.95238095238095244</v>
      </c>
      <c r="R39" s="237">
        <f>Q47</f>
        <v>0.95423458502713321</v>
      </c>
      <c r="S39" s="88">
        <v>8.3333333333333329E-2</v>
      </c>
      <c r="T39" s="88">
        <v>0.15625</v>
      </c>
      <c r="U39" s="150"/>
      <c r="V39" s="151">
        <f t="shared" ref="V39:V46" si="29">(T39-S39)*24*60</f>
        <v>105</v>
      </c>
      <c r="W39" s="100">
        <f>T39</f>
        <v>0.15625</v>
      </c>
      <c r="X39" s="100">
        <f>S40</f>
        <v>0.17708333333333334</v>
      </c>
      <c r="Y39" s="100"/>
      <c r="Z39" s="100"/>
      <c r="AA39" s="232"/>
      <c r="AB39" s="232"/>
      <c r="AC39" s="92">
        <v>8</v>
      </c>
      <c r="AD39" s="93"/>
      <c r="AE39" s="84">
        <f t="shared" si="8"/>
        <v>-114.28571428571422</v>
      </c>
      <c r="AF39" s="149">
        <f t="shared" si="9"/>
        <v>0.95238095238095244</v>
      </c>
      <c r="AG39" s="237">
        <f>AF47</f>
        <v>0.95423458502713321</v>
      </c>
    </row>
    <row r="40" spans="1:33" ht="15.75" customHeight="1">
      <c r="A40" s="253" t="s">
        <v>585</v>
      </c>
      <c r="B40" s="77" t="s">
        <v>142</v>
      </c>
      <c r="C40" s="233" t="s">
        <v>152</v>
      </c>
      <c r="D40" s="233"/>
      <c r="E40" s="77">
        <v>26.18</v>
      </c>
      <c r="F40" s="161">
        <v>5300</v>
      </c>
      <c r="G40" s="150">
        <f t="shared" si="27"/>
        <v>138754</v>
      </c>
      <c r="H40" s="79">
        <v>2</v>
      </c>
      <c r="I40" s="148">
        <v>18</v>
      </c>
      <c r="J40" s="81">
        <v>2400</v>
      </c>
      <c r="K40" s="82">
        <f t="shared" si="1"/>
        <v>133.33333333333334</v>
      </c>
      <c r="L40" s="148">
        <v>18</v>
      </c>
      <c r="M40" s="83">
        <f t="shared" si="28"/>
        <v>2287.7697841726613</v>
      </c>
      <c r="N40" s="82">
        <f t="shared" si="3"/>
        <v>127.09832134292563</v>
      </c>
      <c r="O40" s="84">
        <f t="shared" si="4"/>
        <v>0</v>
      </c>
      <c r="P40" s="85">
        <f t="shared" si="5"/>
        <v>-6.2350119904077133</v>
      </c>
      <c r="Q40" s="149">
        <f t="shared" si="6"/>
        <v>0.95323741007194218</v>
      </c>
      <c r="R40" s="237"/>
      <c r="S40" s="88">
        <v>0.17708333333333334</v>
      </c>
      <c r="T40" s="88">
        <v>0.27361111111111114</v>
      </c>
      <c r="U40" s="150">
        <f t="shared" ref="U40:U46" si="30">(S40-T39)*24*60</f>
        <v>30.000000000000014</v>
      </c>
      <c r="V40" s="151">
        <f t="shared" si="29"/>
        <v>139.00000000000003</v>
      </c>
      <c r="W40" s="150"/>
      <c r="X40" s="150"/>
      <c r="Y40" s="150"/>
      <c r="Z40" s="150"/>
      <c r="AA40" s="232"/>
      <c r="AB40" s="232"/>
      <c r="AC40" s="92"/>
      <c r="AD40" s="93"/>
      <c r="AE40" s="84">
        <f t="shared" si="8"/>
        <v>-112.23021582733872</v>
      </c>
      <c r="AF40" s="149">
        <f t="shared" si="9"/>
        <v>0.95323741007194218</v>
      </c>
      <c r="AG40" s="237"/>
    </row>
    <row r="41" spans="1:33">
      <c r="A41" s="254" t="s">
        <v>585</v>
      </c>
      <c r="B41" s="77" t="s">
        <v>142</v>
      </c>
      <c r="C41" s="233" t="s">
        <v>153</v>
      </c>
      <c r="D41" s="233"/>
      <c r="E41" s="77">
        <v>34.1</v>
      </c>
      <c r="F41" s="161">
        <v>4000</v>
      </c>
      <c r="G41" s="150">
        <f t="shared" si="27"/>
        <v>136400</v>
      </c>
      <c r="H41" s="79">
        <v>2</v>
      </c>
      <c r="I41" s="148">
        <v>17</v>
      </c>
      <c r="J41" s="81">
        <v>1600</v>
      </c>
      <c r="K41" s="82">
        <f t="shared" si="1"/>
        <v>94.117647058823536</v>
      </c>
      <c r="L41" s="148">
        <v>17</v>
      </c>
      <c r="M41" s="83">
        <f t="shared" si="28"/>
        <v>1528.6624203821657</v>
      </c>
      <c r="N41" s="82">
        <f t="shared" si="3"/>
        <v>89.92131884600974</v>
      </c>
      <c r="O41" s="84">
        <f t="shared" si="4"/>
        <v>0</v>
      </c>
      <c r="P41" s="85">
        <f t="shared" si="5"/>
        <v>-4.1963282128137962</v>
      </c>
      <c r="Q41" s="149">
        <f t="shared" si="6"/>
        <v>0.9554140127388534</v>
      </c>
      <c r="R41" s="237"/>
      <c r="S41" s="88">
        <v>0.27708333333333335</v>
      </c>
      <c r="T41" s="88">
        <v>0.38611111111111113</v>
      </c>
      <c r="U41" s="150">
        <f t="shared" si="30"/>
        <v>4.9999999999999822</v>
      </c>
      <c r="V41" s="151">
        <f t="shared" si="29"/>
        <v>157</v>
      </c>
      <c r="W41" s="150"/>
      <c r="X41" s="150"/>
      <c r="Y41" s="150"/>
      <c r="Z41" s="150"/>
      <c r="AA41" s="232"/>
      <c r="AB41" s="232"/>
      <c r="AC41" s="92"/>
      <c r="AD41" s="93"/>
      <c r="AE41" s="84">
        <f t="shared" si="8"/>
        <v>-71.337579617834308</v>
      </c>
      <c r="AF41" s="149">
        <f t="shared" si="9"/>
        <v>0.95541401273885351</v>
      </c>
      <c r="AG41" s="237"/>
    </row>
    <row r="42" spans="1:33">
      <c r="A42" s="254" t="s">
        <v>586</v>
      </c>
      <c r="B42" s="77" t="s">
        <v>142</v>
      </c>
      <c r="C42" s="233" t="s">
        <v>154</v>
      </c>
      <c r="D42" s="233"/>
      <c r="E42" s="77">
        <v>25.99</v>
      </c>
      <c r="F42" s="161">
        <v>4214</v>
      </c>
      <c r="G42" s="150">
        <f t="shared" si="27"/>
        <v>109521.86</v>
      </c>
      <c r="H42" s="79" t="s">
        <v>115</v>
      </c>
      <c r="I42" s="148">
        <v>14</v>
      </c>
      <c r="J42" s="81">
        <v>2400</v>
      </c>
      <c r="K42" s="82">
        <f t="shared" si="1"/>
        <v>171.42857142857142</v>
      </c>
      <c r="L42" s="148">
        <v>14</v>
      </c>
      <c r="M42" s="83">
        <f t="shared" si="28"/>
        <v>2298.5454545454545</v>
      </c>
      <c r="N42" s="82">
        <f t="shared" si="3"/>
        <v>164.18181818181819</v>
      </c>
      <c r="O42" s="84">
        <f t="shared" si="4"/>
        <v>0</v>
      </c>
      <c r="P42" s="85">
        <f t="shared" si="5"/>
        <v>-7.2467532467532294</v>
      </c>
      <c r="Q42" s="149">
        <f t="shared" si="6"/>
        <v>0.95772727272727287</v>
      </c>
      <c r="R42" s="237"/>
      <c r="S42" s="88">
        <v>0.38958333333333334</v>
      </c>
      <c r="T42" s="88">
        <v>0.46597222222222223</v>
      </c>
      <c r="U42" s="150">
        <f t="shared" si="30"/>
        <v>4.9999999999999822</v>
      </c>
      <c r="V42" s="151">
        <f t="shared" si="29"/>
        <v>110.00000000000001</v>
      </c>
      <c r="W42" s="90"/>
      <c r="X42" s="90"/>
      <c r="Y42" s="90"/>
      <c r="Z42" s="90"/>
      <c r="AA42" s="232"/>
      <c r="AB42" s="232"/>
      <c r="AC42" s="92"/>
      <c r="AD42" s="93"/>
      <c r="AE42" s="84">
        <f t="shared" si="8"/>
        <v>-101.4545454545455</v>
      </c>
      <c r="AF42" s="149">
        <f t="shared" si="9"/>
        <v>0.95772727272727276</v>
      </c>
      <c r="AG42" s="237"/>
    </row>
    <row r="43" spans="1:33">
      <c r="A43" s="254" t="s">
        <v>586</v>
      </c>
      <c r="B43" s="77" t="s">
        <v>142</v>
      </c>
      <c r="C43" s="233" t="s">
        <v>155</v>
      </c>
      <c r="D43" s="233"/>
      <c r="E43" s="77">
        <v>23.89</v>
      </c>
      <c r="F43" s="161">
        <v>2442</v>
      </c>
      <c r="G43" s="150">
        <f t="shared" si="27"/>
        <v>58339.380000000005</v>
      </c>
      <c r="H43" s="79" t="s">
        <v>115</v>
      </c>
      <c r="I43" s="148">
        <v>17</v>
      </c>
      <c r="J43" s="81">
        <v>2400</v>
      </c>
      <c r="K43" s="82">
        <f t="shared" si="1"/>
        <v>141.1764705882353</v>
      </c>
      <c r="L43" s="148">
        <v>17</v>
      </c>
      <c r="M43" s="83">
        <f t="shared" si="28"/>
        <v>2289.3750000000027</v>
      </c>
      <c r="N43" s="82">
        <f t="shared" si="3"/>
        <v>134.66911764705898</v>
      </c>
      <c r="O43" s="84">
        <f t="shared" si="4"/>
        <v>0</v>
      </c>
      <c r="P43" s="85">
        <f t="shared" si="5"/>
        <v>-6.5073529411763218</v>
      </c>
      <c r="Q43" s="149">
        <f t="shared" si="6"/>
        <v>0.95390625000000107</v>
      </c>
      <c r="R43" s="237"/>
      <c r="S43" s="88">
        <v>0.46944444444444444</v>
      </c>
      <c r="T43" s="88">
        <v>0.51388888888888884</v>
      </c>
      <c r="U43" s="150">
        <f t="shared" si="30"/>
        <v>4.9999999999999822</v>
      </c>
      <c r="V43" s="151">
        <f t="shared" si="29"/>
        <v>63.999999999999929</v>
      </c>
      <c r="W43" s="90">
        <f>T43</f>
        <v>0.51388888888888884</v>
      </c>
      <c r="X43" s="90">
        <f>S44</f>
        <v>0.5527777777777777</v>
      </c>
      <c r="Y43" s="90"/>
      <c r="Z43" s="90"/>
      <c r="AA43" s="232"/>
      <c r="AB43" s="232"/>
      <c r="AC43" s="92"/>
      <c r="AD43" s="93"/>
      <c r="AE43" s="84">
        <f t="shared" si="8"/>
        <v>-110.62499999999727</v>
      </c>
      <c r="AF43" s="149">
        <f t="shared" si="9"/>
        <v>0.95390625000000118</v>
      </c>
      <c r="AG43" s="237"/>
    </row>
    <row r="44" spans="1:33">
      <c r="A44" s="254" t="s">
        <v>585</v>
      </c>
      <c r="B44" s="77" t="s">
        <v>142</v>
      </c>
      <c r="C44" s="233" t="s">
        <v>153</v>
      </c>
      <c r="D44" s="233"/>
      <c r="E44" s="77">
        <v>34.1</v>
      </c>
      <c r="F44" s="161">
        <v>3121</v>
      </c>
      <c r="G44" s="150">
        <f t="shared" si="27"/>
        <v>106426.1</v>
      </c>
      <c r="H44" s="79" t="s">
        <v>115</v>
      </c>
      <c r="I44" s="148">
        <v>17</v>
      </c>
      <c r="J44" s="81">
        <v>1600</v>
      </c>
      <c r="K44" s="82">
        <f t="shared" si="1"/>
        <v>94.117647058823536</v>
      </c>
      <c r="L44" s="148">
        <v>17</v>
      </c>
      <c r="M44" s="83">
        <f t="shared" si="28"/>
        <v>1522.4390243902433</v>
      </c>
      <c r="N44" s="82">
        <f t="shared" si="3"/>
        <v>89.555236728837841</v>
      </c>
      <c r="O44" s="84">
        <f t="shared" si="4"/>
        <v>0</v>
      </c>
      <c r="P44" s="85">
        <f t="shared" si="5"/>
        <v>-4.5624103299856955</v>
      </c>
      <c r="Q44" s="149">
        <f t="shared" si="6"/>
        <v>0.95152439024390201</v>
      </c>
      <c r="R44" s="237"/>
      <c r="S44" s="88">
        <v>0.5527777777777777</v>
      </c>
      <c r="T44" s="88">
        <v>0.6381944444444444</v>
      </c>
      <c r="U44" s="150">
        <f t="shared" si="30"/>
        <v>55.999999999999957</v>
      </c>
      <c r="V44" s="151">
        <f t="shared" si="29"/>
        <v>123.00000000000004</v>
      </c>
      <c r="W44" s="90"/>
      <c r="X44" s="90"/>
      <c r="Y44" s="90"/>
      <c r="Z44" s="90"/>
      <c r="AA44" s="232"/>
      <c r="AB44" s="232"/>
      <c r="AC44" s="92"/>
      <c r="AD44" s="93"/>
      <c r="AE44" s="84">
        <f t="shared" si="8"/>
        <v>-77.560975609756724</v>
      </c>
      <c r="AF44" s="149">
        <f t="shared" si="9"/>
        <v>0.95152439024390201</v>
      </c>
      <c r="AG44" s="237"/>
    </row>
    <row r="45" spans="1:33">
      <c r="A45" s="254" t="s">
        <v>585</v>
      </c>
      <c r="B45" s="77" t="s">
        <v>142</v>
      </c>
      <c r="C45" s="233" t="s">
        <v>152</v>
      </c>
      <c r="D45" s="233"/>
      <c r="E45" s="77">
        <v>26.18</v>
      </c>
      <c r="F45" s="161">
        <v>4197</v>
      </c>
      <c r="G45" s="150">
        <f t="shared" si="27"/>
        <v>109877.45999999999</v>
      </c>
      <c r="H45" s="79" t="s">
        <v>115</v>
      </c>
      <c r="I45" s="148">
        <v>18</v>
      </c>
      <c r="J45" s="81">
        <v>2400</v>
      </c>
      <c r="K45" s="82">
        <f t="shared" si="1"/>
        <v>133.33333333333334</v>
      </c>
      <c r="L45" s="148">
        <v>18</v>
      </c>
      <c r="M45" s="83">
        <f t="shared" si="28"/>
        <v>2289.2727272727288</v>
      </c>
      <c r="N45" s="82">
        <f t="shared" si="3"/>
        <v>127.18181818181827</v>
      </c>
      <c r="O45" s="84">
        <f t="shared" si="4"/>
        <v>0</v>
      </c>
      <c r="P45" s="85">
        <f t="shared" si="5"/>
        <v>-6.1515151515150706</v>
      </c>
      <c r="Q45" s="149">
        <f t="shared" si="6"/>
        <v>0.95386363636363702</v>
      </c>
      <c r="R45" s="237"/>
      <c r="S45" s="88">
        <v>0.64236111111111105</v>
      </c>
      <c r="T45" s="88">
        <v>0.71874999999999989</v>
      </c>
      <c r="U45" s="150">
        <f t="shared" si="30"/>
        <v>5.9999999999999787</v>
      </c>
      <c r="V45" s="151">
        <f t="shared" si="29"/>
        <v>109.99999999999993</v>
      </c>
      <c r="W45" s="90"/>
      <c r="X45" s="90"/>
      <c r="Y45" s="94"/>
      <c r="Z45" s="94"/>
      <c r="AA45" s="227"/>
      <c r="AB45" s="228"/>
      <c r="AC45" s="92"/>
      <c r="AD45" s="93"/>
      <c r="AE45" s="84">
        <f t="shared" si="8"/>
        <v>-110.72727272727116</v>
      </c>
      <c r="AF45" s="149">
        <f t="shared" si="9"/>
        <v>0.95386363636363702</v>
      </c>
      <c r="AG45" s="237"/>
    </row>
    <row r="46" spans="1:33">
      <c r="A46" s="254" t="s">
        <v>585</v>
      </c>
      <c r="B46" s="77" t="s">
        <v>142</v>
      </c>
      <c r="C46" s="233" t="s">
        <v>151</v>
      </c>
      <c r="D46" s="233"/>
      <c r="E46" s="77">
        <v>26.18</v>
      </c>
      <c r="F46" s="161">
        <v>3057</v>
      </c>
      <c r="G46" s="150">
        <f t="shared" si="27"/>
        <v>80032.259999999995</v>
      </c>
      <c r="H46" s="79" t="s">
        <v>115</v>
      </c>
      <c r="I46" s="148">
        <v>20</v>
      </c>
      <c r="J46" s="81">
        <v>2400</v>
      </c>
      <c r="K46" s="82">
        <f t="shared" si="1"/>
        <v>120</v>
      </c>
      <c r="L46" s="148">
        <v>20</v>
      </c>
      <c r="M46" s="83">
        <f t="shared" si="28"/>
        <v>2292.7499999999991</v>
      </c>
      <c r="N46" s="82">
        <f t="shared" si="3"/>
        <v>114.63749999999996</v>
      </c>
      <c r="O46" s="84">
        <f t="shared" si="4"/>
        <v>0</v>
      </c>
      <c r="P46" s="85">
        <f t="shared" si="5"/>
        <v>-5.3625000000000398</v>
      </c>
      <c r="Q46" s="149">
        <f t="shared" si="6"/>
        <v>0.95531249999999968</v>
      </c>
      <c r="R46" s="237"/>
      <c r="S46" s="88">
        <v>0.72291666666666654</v>
      </c>
      <c r="T46" s="88">
        <v>0.77847222222222212</v>
      </c>
      <c r="U46" s="150">
        <f t="shared" si="30"/>
        <v>5.9999999999999787</v>
      </c>
      <c r="V46" s="151">
        <f t="shared" si="29"/>
        <v>80.000000000000028</v>
      </c>
      <c r="W46" s="90"/>
      <c r="X46" s="90"/>
      <c r="Y46" s="94"/>
      <c r="Z46" s="94"/>
      <c r="AA46" s="227"/>
      <c r="AB46" s="228"/>
      <c r="AC46" s="92"/>
      <c r="AD46" s="93"/>
      <c r="AE46" s="84">
        <f t="shared" si="8"/>
        <v>-107.25000000000091</v>
      </c>
      <c r="AF46" s="149">
        <f t="shared" si="9"/>
        <v>0.95531249999999968</v>
      </c>
      <c r="AG46" s="237"/>
    </row>
    <row r="47" spans="1:33">
      <c r="A47" s="254" t="s">
        <v>585</v>
      </c>
      <c r="B47" s="97" t="s">
        <v>587</v>
      </c>
      <c r="C47" s="238"/>
      <c r="D47" s="238"/>
      <c r="E47" s="155"/>
      <c r="F47" s="97"/>
      <c r="G47" s="82"/>
      <c r="H47" s="161"/>
      <c r="I47" s="98">
        <v>17.625</v>
      </c>
      <c r="J47" s="81">
        <v>2200</v>
      </c>
      <c r="K47" s="82">
        <f t="shared" si="1"/>
        <v>124.822695035461</v>
      </c>
      <c r="L47" s="98">
        <v>17.625</v>
      </c>
      <c r="M47" s="83">
        <f>AVERAGE(M39:M46)</f>
        <v>2099.316087059693</v>
      </c>
      <c r="N47" s="82">
        <f t="shared" si="3"/>
        <v>119.11013259913152</v>
      </c>
      <c r="O47" s="84">
        <f t="shared" si="4"/>
        <v>0</v>
      </c>
      <c r="P47" s="85">
        <f t="shared" si="5"/>
        <v>-5.7125624363294776</v>
      </c>
      <c r="Q47" s="149">
        <f t="shared" si="6"/>
        <v>0.95423458502713321</v>
      </c>
      <c r="R47" s="237"/>
      <c r="S47" s="88"/>
      <c r="T47" s="88"/>
      <c r="U47" s="82"/>
      <c r="V47" s="151"/>
      <c r="W47" s="82"/>
      <c r="X47" s="82"/>
      <c r="Y47" s="99">
        <f>SUM(Y39:Y46)</f>
        <v>0</v>
      </c>
      <c r="Z47" s="99">
        <f>SUM(Z39:Z46)</f>
        <v>0</v>
      </c>
      <c r="AA47" s="231"/>
      <c r="AB47" s="231"/>
      <c r="AC47" s="99">
        <v>8</v>
      </c>
      <c r="AD47" s="99">
        <f>SUM(AD39:AD46)</f>
        <v>0</v>
      </c>
      <c r="AE47" s="84">
        <f t="shared" si="8"/>
        <v>-100.68391294030698</v>
      </c>
      <c r="AF47" s="149">
        <f t="shared" si="9"/>
        <v>0.95423458502713321</v>
      </c>
      <c r="AG47" s="237"/>
    </row>
    <row r="48" spans="1:33" ht="15.75" customHeight="1">
      <c r="A48" s="248" t="s">
        <v>588</v>
      </c>
      <c r="B48" s="77" t="s">
        <v>157</v>
      </c>
      <c r="C48" s="225" t="s">
        <v>158</v>
      </c>
      <c r="D48" s="226"/>
      <c r="E48" s="77">
        <v>21.13</v>
      </c>
      <c r="F48" s="161">
        <v>6619</v>
      </c>
      <c r="G48" s="150">
        <f t="shared" ref="G48:G50" si="31">E48*F48</f>
        <v>139859.47</v>
      </c>
      <c r="H48" s="79" t="s">
        <v>115</v>
      </c>
      <c r="I48" s="148">
        <v>10</v>
      </c>
      <c r="J48" s="81">
        <v>3000</v>
      </c>
      <c r="K48" s="82">
        <f t="shared" si="1"/>
        <v>300</v>
      </c>
      <c r="L48" s="148">
        <v>10</v>
      </c>
      <c r="M48" s="83">
        <f t="shared" ref="M48:M50" si="32">F48/V48*60</f>
        <v>2857.1223021582728</v>
      </c>
      <c r="N48" s="83">
        <f t="shared" si="3"/>
        <v>285.71223021582728</v>
      </c>
      <c r="O48" s="84">
        <f t="shared" si="4"/>
        <v>0</v>
      </c>
      <c r="P48" s="85">
        <f t="shared" si="5"/>
        <v>-14.287769784172724</v>
      </c>
      <c r="Q48" s="149">
        <f t="shared" si="6"/>
        <v>0.9523741007194243</v>
      </c>
      <c r="R48" s="243">
        <f>Q51</f>
        <v>0.95294261335117947</v>
      </c>
      <c r="S48" s="88">
        <v>0.20833333333333334</v>
      </c>
      <c r="T48" s="88">
        <v>0.30486111111111114</v>
      </c>
      <c r="U48" s="100"/>
      <c r="V48" s="151">
        <f t="shared" ref="V48:V50" si="33">(T48-S48)*24*60</f>
        <v>139.00000000000003</v>
      </c>
      <c r="W48" s="90"/>
      <c r="X48" s="90"/>
      <c r="Y48" s="94"/>
      <c r="Z48" s="94"/>
      <c r="AA48" s="227"/>
      <c r="AB48" s="228"/>
      <c r="AC48" s="92">
        <v>3</v>
      </c>
      <c r="AD48" s="93"/>
      <c r="AE48" s="84">
        <f t="shared" si="8"/>
        <v>-142.87769784172724</v>
      </c>
      <c r="AF48" s="149">
        <f t="shared" si="9"/>
        <v>0.9523741007194243</v>
      </c>
      <c r="AG48" s="243">
        <f>AF51</f>
        <v>0.95294261335117947</v>
      </c>
    </row>
    <row r="49" spans="1:33" ht="15.75" customHeight="1">
      <c r="A49" s="249" t="s">
        <v>588</v>
      </c>
      <c r="B49" s="77" t="s">
        <v>157</v>
      </c>
      <c r="C49" s="225" t="s">
        <v>159</v>
      </c>
      <c r="D49" s="226"/>
      <c r="E49" s="77">
        <v>27.17</v>
      </c>
      <c r="F49" s="161">
        <v>7843</v>
      </c>
      <c r="G49" s="150">
        <f t="shared" si="31"/>
        <v>213094.31000000003</v>
      </c>
      <c r="H49" s="79" t="s">
        <v>115</v>
      </c>
      <c r="I49" s="148">
        <v>10</v>
      </c>
      <c r="J49" s="81">
        <v>3000</v>
      </c>
      <c r="K49" s="82">
        <f t="shared" si="1"/>
        <v>300</v>
      </c>
      <c r="L49" s="148">
        <v>10</v>
      </c>
      <c r="M49" s="83">
        <f t="shared" si="32"/>
        <v>2852.0000000000005</v>
      </c>
      <c r="N49" s="83">
        <f t="shared" si="3"/>
        <v>285.20000000000005</v>
      </c>
      <c r="O49" s="84">
        <f t="shared" si="4"/>
        <v>0</v>
      </c>
      <c r="P49" s="85">
        <f t="shared" si="5"/>
        <v>-14.799999999999955</v>
      </c>
      <c r="Q49" s="149">
        <f t="shared" si="6"/>
        <v>0.95066666666666677</v>
      </c>
      <c r="R49" s="244"/>
      <c r="S49" s="88">
        <v>0.30833333333333335</v>
      </c>
      <c r="T49" s="88">
        <v>0.42291666666666666</v>
      </c>
      <c r="U49" s="150">
        <f t="shared" ref="U49:U50" si="34">(S49-T48)*24*60</f>
        <v>4.9999999999999822</v>
      </c>
      <c r="V49" s="151">
        <f t="shared" si="33"/>
        <v>164.99999999999997</v>
      </c>
      <c r="W49" s="90"/>
      <c r="X49" s="90"/>
      <c r="Y49" s="94"/>
      <c r="Z49" s="94"/>
      <c r="AA49" s="227"/>
      <c r="AB49" s="228"/>
      <c r="AC49" s="92"/>
      <c r="AD49" s="93"/>
      <c r="AE49" s="84">
        <f t="shared" si="8"/>
        <v>-147.99999999999955</v>
      </c>
      <c r="AF49" s="149">
        <f t="shared" si="9"/>
        <v>0.95066666666666677</v>
      </c>
      <c r="AG49" s="244"/>
    </row>
    <row r="50" spans="1:33" ht="15.75" customHeight="1">
      <c r="A50" s="249" t="s">
        <v>588</v>
      </c>
      <c r="B50" s="77" t="s">
        <v>157</v>
      </c>
      <c r="C50" s="225" t="s">
        <v>160</v>
      </c>
      <c r="D50" s="226"/>
      <c r="E50" s="77">
        <v>37.880000000000003</v>
      </c>
      <c r="F50" s="161">
        <v>2744</v>
      </c>
      <c r="G50" s="150">
        <f t="shared" si="31"/>
        <v>103942.72</v>
      </c>
      <c r="H50" s="79" t="s">
        <v>115</v>
      </c>
      <c r="I50" s="148">
        <v>13</v>
      </c>
      <c r="J50" s="81">
        <v>2000</v>
      </c>
      <c r="K50" s="82">
        <f t="shared" si="1"/>
        <v>153.84615384615384</v>
      </c>
      <c r="L50" s="148">
        <v>13</v>
      </c>
      <c r="M50" s="83">
        <f t="shared" si="32"/>
        <v>1914.4186046511625</v>
      </c>
      <c r="N50" s="83">
        <f t="shared" si="3"/>
        <v>147.26296958855096</v>
      </c>
      <c r="O50" s="84">
        <f t="shared" si="4"/>
        <v>0</v>
      </c>
      <c r="P50" s="85">
        <f t="shared" si="5"/>
        <v>-6.5831842576028805</v>
      </c>
      <c r="Q50" s="149">
        <f t="shared" si="6"/>
        <v>0.95720930232558132</v>
      </c>
      <c r="R50" s="244"/>
      <c r="S50" s="88">
        <v>0.42777777777777776</v>
      </c>
      <c r="T50" s="88">
        <v>0.48749999999999999</v>
      </c>
      <c r="U50" s="150">
        <f t="shared" si="34"/>
        <v>6.9999999999999751</v>
      </c>
      <c r="V50" s="151">
        <f t="shared" si="33"/>
        <v>86.000000000000014</v>
      </c>
      <c r="W50" s="90"/>
      <c r="X50" s="90"/>
      <c r="Y50" s="94"/>
      <c r="Z50" s="94"/>
      <c r="AA50" s="227"/>
      <c r="AB50" s="228"/>
      <c r="AC50" s="92"/>
      <c r="AD50" s="93"/>
      <c r="AE50" s="84">
        <f t="shared" si="8"/>
        <v>-85.581395348837532</v>
      </c>
      <c r="AF50" s="149">
        <f t="shared" si="9"/>
        <v>0.95720930232558121</v>
      </c>
      <c r="AG50" s="244"/>
    </row>
    <row r="51" spans="1:33" ht="15.75" customHeight="1">
      <c r="A51" s="250" t="s">
        <v>588</v>
      </c>
      <c r="B51" s="77" t="s">
        <v>587</v>
      </c>
      <c r="C51" s="229"/>
      <c r="D51" s="230"/>
      <c r="E51" s="160"/>
      <c r="F51" s="161"/>
      <c r="G51" s="150"/>
      <c r="H51" s="161"/>
      <c r="I51" s="98">
        <v>11</v>
      </c>
      <c r="J51" s="81">
        <v>2666.6666666666665</v>
      </c>
      <c r="K51" s="82">
        <f t="shared" si="1"/>
        <v>242.42424242424241</v>
      </c>
      <c r="L51" s="98">
        <v>11</v>
      </c>
      <c r="M51" s="83">
        <f>AVERAGE(M48:M50)</f>
        <v>2541.1803022698118</v>
      </c>
      <c r="N51" s="82">
        <f t="shared" si="3"/>
        <v>231.01639111543744</v>
      </c>
      <c r="O51" s="84">
        <f t="shared" si="4"/>
        <v>0</v>
      </c>
      <c r="P51" s="85">
        <f t="shared" si="5"/>
        <v>-11.407851308804965</v>
      </c>
      <c r="Q51" s="149">
        <f t="shared" si="6"/>
        <v>0.95294261335117947</v>
      </c>
      <c r="R51" s="245"/>
      <c r="S51" s="88"/>
      <c r="T51" s="88"/>
      <c r="U51" s="150"/>
      <c r="V51" s="151"/>
      <c r="W51" s="90"/>
      <c r="X51" s="90"/>
      <c r="Y51" s="99">
        <f>SUM(Y48:Y50)</f>
        <v>0</v>
      </c>
      <c r="Z51" s="99">
        <f>SUM(Z48:Z50)</f>
        <v>0</v>
      </c>
      <c r="AA51" s="246"/>
      <c r="AB51" s="247"/>
      <c r="AC51" s="99">
        <v>3</v>
      </c>
      <c r="AD51" s="99">
        <f>SUM(AD48:AD50)</f>
        <v>0</v>
      </c>
      <c r="AE51" s="84">
        <f t="shared" si="8"/>
        <v>-125.4863643968547</v>
      </c>
      <c r="AF51" s="149">
        <f t="shared" si="9"/>
        <v>0.95294261335117947</v>
      </c>
      <c r="AG51" s="245"/>
    </row>
    <row r="52" spans="1:33" ht="15.75" customHeight="1">
      <c r="A52" s="241" t="s">
        <v>589</v>
      </c>
      <c r="B52" s="77" t="s">
        <v>121</v>
      </c>
      <c r="C52" s="233" t="s">
        <v>162</v>
      </c>
      <c r="D52" s="233"/>
      <c r="E52" s="77">
        <v>46</v>
      </c>
      <c r="F52" s="109">
        <v>1376</v>
      </c>
      <c r="G52" s="150">
        <f t="shared" ref="G52:G59" si="35">E52*F52</f>
        <v>63296</v>
      </c>
      <c r="H52" s="79" t="s">
        <v>115</v>
      </c>
      <c r="I52" s="148">
        <v>16</v>
      </c>
      <c r="J52" s="81">
        <v>2000</v>
      </c>
      <c r="K52" s="82">
        <f t="shared" si="1"/>
        <v>125</v>
      </c>
      <c r="L52" s="148">
        <v>16</v>
      </c>
      <c r="M52" s="83">
        <f t="shared" ref="M52" si="36">F52/V52*60</f>
        <v>1919.9999999999998</v>
      </c>
      <c r="N52" s="83">
        <f t="shared" si="3"/>
        <v>119.99999999999999</v>
      </c>
      <c r="O52" s="84">
        <f t="shared" si="4"/>
        <v>0</v>
      </c>
      <c r="P52" s="85">
        <f t="shared" si="5"/>
        <v>-5.0000000000000142</v>
      </c>
      <c r="Q52" s="149">
        <f t="shared" si="6"/>
        <v>0.95999999999999985</v>
      </c>
      <c r="R52" s="237">
        <f>Q60</f>
        <v>0.95981037441655803</v>
      </c>
      <c r="S52" s="88">
        <v>0.20833333333333334</v>
      </c>
      <c r="T52" s="88">
        <v>0.23819444444444446</v>
      </c>
      <c r="U52" s="100"/>
      <c r="V52" s="151">
        <f t="shared" ref="V52:V59" si="37">(T52-S52)*24*60</f>
        <v>43.000000000000007</v>
      </c>
      <c r="W52" s="90"/>
      <c r="X52" s="90"/>
      <c r="Y52" s="100"/>
      <c r="Z52" s="100"/>
      <c r="AA52" s="232"/>
      <c r="AB52" s="232"/>
      <c r="AC52" s="92">
        <v>8</v>
      </c>
      <c r="AD52" s="93"/>
      <c r="AE52" s="84">
        <f t="shared" si="8"/>
        <v>-80.000000000000227</v>
      </c>
      <c r="AF52" s="149">
        <f t="shared" si="9"/>
        <v>0.95999999999999985</v>
      </c>
      <c r="AG52" s="237">
        <f>AF60</f>
        <v>0.95981037441655803</v>
      </c>
    </row>
    <row r="53" spans="1:33" ht="15.75" customHeight="1">
      <c r="A53" s="241" t="s">
        <v>590</v>
      </c>
      <c r="B53" s="77" t="s">
        <v>121</v>
      </c>
      <c r="C53" s="233" t="s">
        <v>163</v>
      </c>
      <c r="D53" s="233"/>
      <c r="E53" s="77">
        <v>46</v>
      </c>
      <c r="F53" s="109">
        <v>1493</v>
      </c>
      <c r="G53" s="150">
        <f t="shared" si="35"/>
        <v>68678</v>
      </c>
      <c r="H53" s="79" t="s">
        <v>115</v>
      </c>
      <c r="I53" s="148">
        <v>17</v>
      </c>
      <c r="J53" s="81">
        <v>2000</v>
      </c>
      <c r="K53" s="82">
        <f t="shared" si="1"/>
        <v>117.64705882352941</v>
      </c>
      <c r="L53" s="148">
        <v>17</v>
      </c>
      <c r="M53" s="83">
        <f>F53/V53*60</f>
        <v>1905.9574468085109</v>
      </c>
      <c r="N53" s="83">
        <f t="shared" si="3"/>
        <v>112.11514392991241</v>
      </c>
      <c r="O53" s="84">
        <f t="shared" si="4"/>
        <v>0</v>
      </c>
      <c r="P53" s="85">
        <f t="shared" si="5"/>
        <v>-5.5319148936169995</v>
      </c>
      <c r="Q53" s="149">
        <f t="shared" si="6"/>
        <v>0.95297872340425549</v>
      </c>
      <c r="R53" s="237"/>
      <c r="S53" s="88">
        <v>0.24375000000000002</v>
      </c>
      <c r="T53" s="88">
        <v>0.27638888888888891</v>
      </c>
      <c r="U53" s="150">
        <f t="shared" ref="U53:U59" si="38">IF(S53=TIME(17,0,0),"",(S53-T52)*24*60)</f>
        <v>8.0000000000000107</v>
      </c>
      <c r="V53" s="151">
        <f t="shared" si="37"/>
        <v>46.999999999999993</v>
      </c>
      <c r="W53" s="90"/>
      <c r="X53" s="90"/>
      <c r="Y53" s="90"/>
      <c r="Z53" s="90"/>
      <c r="AA53" s="232"/>
      <c r="AB53" s="232"/>
      <c r="AC53" s="92"/>
      <c r="AD53" s="93"/>
      <c r="AE53" s="84">
        <f t="shared" si="8"/>
        <v>-94.042553191489105</v>
      </c>
      <c r="AF53" s="149">
        <f t="shared" si="9"/>
        <v>0.95297872340425549</v>
      </c>
      <c r="AG53" s="237"/>
    </row>
    <row r="54" spans="1:33" ht="15.75" customHeight="1">
      <c r="A54" s="241" t="s">
        <v>590</v>
      </c>
      <c r="B54" s="77" t="s">
        <v>113</v>
      </c>
      <c r="C54" s="225" t="s">
        <v>164</v>
      </c>
      <c r="D54" s="226"/>
      <c r="E54" s="77">
        <v>51.44</v>
      </c>
      <c r="F54" s="109">
        <v>1622</v>
      </c>
      <c r="G54" s="150">
        <f t="shared" si="35"/>
        <v>83435.679999999993</v>
      </c>
      <c r="H54" s="79" t="s">
        <v>115</v>
      </c>
      <c r="I54" s="148">
        <v>25</v>
      </c>
      <c r="J54" s="81">
        <v>2000</v>
      </c>
      <c r="K54" s="82">
        <f t="shared" si="1"/>
        <v>80</v>
      </c>
      <c r="L54" s="148">
        <v>25</v>
      </c>
      <c r="M54" s="83">
        <f t="shared" ref="M54:M59" si="39">F54/V54*60</f>
        <v>1908.235294117648</v>
      </c>
      <c r="N54" s="83">
        <f t="shared" si="3"/>
        <v>76.329411764705924</v>
      </c>
      <c r="O54" s="84">
        <f t="shared" si="4"/>
        <v>0</v>
      </c>
      <c r="P54" s="85">
        <f t="shared" si="5"/>
        <v>-3.6705882352940762</v>
      </c>
      <c r="Q54" s="149">
        <f t="shared" si="6"/>
        <v>0.95411764705882407</v>
      </c>
      <c r="R54" s="237"/>
      <c r="S54" s="88">
        <v>0.28055555555555556</v>
      </c>
      <c r="T54" s="88">
        <v>0.31597222222222221</v>
      </c>
      <c r="U54" s="150">
        <f t="shared" si="38"/>
        <v>5.9999999999999787</v>
      </c>
      <c r="V54" s="151">
        <f t="shared" si="37"/>
        <v>50.999999999999979</v>
      </c>
      <c r="W54" s="90"/>
      <c r="X54" s="90"/>
      <c r="Y54" s="94"/>
      <c r="Z54" s="94"/>
      <c r="AA54" s="232"/>
      <c r="AB54" s="232"/>
      <c r="AC54" s="92"/>
      <c r="AD54" s="93"/>
      <c r="AE54" s="84">
        <f t="shared" si="8"/>
        <v>-91.764705882352018</v>
      </c>
      <c r="AF54" s="149">
        <f t="shared" si="9"/>
        <v>0.95411764705882396</v>
      </c>
      <c r="AG54" s="237"/>
    </row>
    <row r="55" spans="1:33" ht="15.75" customHeight="1">
      <c r="A55" s="241" t="s">
        <v>590</v>
      </c>
      <c r="B55" s="77" t="s">
        <v>113</v>
      </c>
      <c r="C55" s="158" t="s">
        <v>165</v>
      </c>
      <c r="D55" s="159"/>
      <c r="E55" s="77">
        <v>56.43</v>
      </c>
      <c r="F55" s="109">
        <v>948</v>
      </c>
      <c r="G55" s="150">
        <f t="shared" si="35"/>
        <v>53495.64</v>
      </c>
      <c r="H55" s="79" t="s">
        <v>115</v>
      </c>
      <c r="I55" s="148">
        <v>23</v>
      </c>
      <c r="J55" s="81">
        <v>2000</v>
      </c>
      <c r="K55" s="82">
        <f t="shared" si="1"/>
        <v>86.956521739130437</v>
      </c>
      <c r="L55" s="148">
        <v>23</v>
      </c>
      <c r="M55" s="83">
        <f t="shared" si="39"/>
        <v>1961.3793103448288</v>
      </c>
      <c r="N55" s="83">
        <f t="shared" si="3"/>
        <v>85.277361319340386</v>
      </c>
      <c r="O55" s="84">
        <f t="shared" si="4"/>
        <v>0</v>
      </c>
      <c r="P55" s="85">
        <f t="shared" si="5"/>
        <v>-1.6791604197900512</v>
      </c>
      <c r="Q55" s="149">
        <f t="shared" si="6"/>
        <v>0.98068965517241447</v>
      </c>
      <c r="R55" s="237"/>
      <c r="S55" s="88">
        <v>0.32152777777777775</v>
      </c>
      <c r="T55" s="88">
        <v>0.34166666666666662</v>
      </c>
      <c r="U55" s="150">
        <f t="shared" si="38"/>
        <v>7.9999999999999716</v>
      </c>
      <c r="V55" s="151">
        <f t="shared" si="37"/>
        <v>28.999999999999979</v>
      </c>
      <c r="W55" s="90"/>
      <c r="X55" s="90"/>
      <c r="Y55" s="94"/>
      <c r="Z55" s="94"/>
      <c r="AA55" s="232"/>
      <c r="AB55" s="232"/>
      <c r="AC55" s="92"/>
      <c r="AD55" s="93"/>
      <c r="AE55" s="84">
        <f t="shared" si="8"/>
        <v>-38.620689655171191</v>
      </c>
      <c r="AF55" s="149">
        <f t="shared" si="9"/>
        <v>0.98068965517241435</v>
      </c>
      <c r="AG55" s="237"/>
    </row>
    <row r="56" spans="1:33" ht="15.75" customHeight="1">
      <c r="A56" s="241" t="s">
        <v>590</v>
      </c>
      <c r="B56" s="77" t="s">
        <v>113</v>
      </c>
      <c r="C56" s="158" t="s">
        <v>166</v>
      </c>
      <c r="D56" s="159"/>
      <c r="E56" s="77">
        <v>56.43</v>
      </c>
      <c r="F56" s="109">
        <v>1746</v>
      </c>
      <c r="G56" s="150">
        <f t="shared" si="35"/>
        <v>98526.78</v>
      </c>
      <c r="H56" s="79" t="s">
        <v>115</v>
      </c>
      <c r="I56" s="148">
        <v>21</v>
      </c>
      <c r="J56" s="81">
        <v>2000</v>
      </c>
      <c r="K56" s="82">
        <f t="shared" si="1"/>
        <v>95.238095238095241</v>
      </c>
      <c r="L56" s="148">
        <v>21</v>
      </c>
      <c r="M56" s="83">
        <f t="shared" si="39"/>
        <v>1904.7272727272741</v>
      </c>
      <c r="N56" s="83">
        <f t="shared" si="3"/>
        <v>90.701298701298768</v>
      </c>
      <c r="O56" s="84">
        <f t="shared" si="4"/>
        <v>0</v>
      </c>
      <c r="P56" s="85">
        <f t="shared" si="5"/>
        <v>-4.5367965367964729</v>
      </c>
      <c r="Q56" s="149">
        <f t="shared" si="6"/>
        <v>0.95236363636363708</v>
      </c>
      <c r="R56" s="237"/>
      <c r="S56" s="88">
        <v>0.34722222222222215</v>
      </c>
      <c r="T56" s="88">
        <v>0.38541666666666657</v>
      </c>
      <c r="U56" s="150">
        <f t="shared" si="38"/>
        <v>7.9999999999999716</v>
      </c>
      <c r="V56" s="151">
        <f t="shared" si="37"/>
        <v>54.999999999999964</v>
      </c>
      <c r="W56" s="90"/>
      <c r="X56" s="90"/>
      <c r="Y56" s="94"/>
      <c r="Z56" s="94"/>
      <c r="AA56" s="232"/>
      <c r="AB56" s="232"/>
      <c r="AC56" s="92"/>
      <c r="AD56" s="93"/>
      <c r="AE56" s="84">
        <f t="shared" si="8"/>
        <v>-95.272727272725888</v>
      </c>
      <c r="AF56" s="149">
        <f t="shared" si="9"/>
        <v>0.95236363636363708</v>
      </c>
      <c r="AG56" s="237"/>
    </row>
    <row r="57" spans="1:33" ht="15.75" customHeight="1">
      <c r="A57" s="241" t="s">
        <v>590</v>
      </c>
      <c r="B57" s="77" t="s">
        <v>113</v>
      </c>
      <c r="C57" s="225" t="s">
        <v>167</v>
      </c>
      <c r="D57" s="226"/>
      <c r="E57" s="77">
        <v>55.56</v>
      </c>
      <c r="F57" s="109">
        <v>2865</v>
      </c>
      <c r="G57" s="150">
        <f t="shared" si="35"/>
        <v>159179.4</v>
      </c>
      <c r="H57" s="79" t="s">
        <v>115</v>
      </c>
      <c r="I57" s="148">
        <v>17</v>
      </c>
      <c r="J57" s="81">
        <v>2000</v>
      </c>
      <c r="K57" s="82">
        <f t="shared" si="1"/>
        <v>117.64705882352941</v>
      </c>
      <c r="L57" s="148">
        <v>17</v>
      </c>
      <c r="M57" s="83">
        <f t="shared" si="39"/>
        <v>1910</v>
      </c>
      <c r="N57" s="83">
        <f t="shared" si="3"/>
        <v>112.35294117647059</v>
      </c>
      <c r="O57" s="84">
        <f t="shared" si="4"/>
        <v>0</v>
      </c>
      <c r="P57" s="85">
        <f t="shared" si="5"/>
        <v>-5.2941176470588118</v>
      </c>
      <c r="Q57" s="149">
        <f t="shared" si="6"/>
        <v>0.95500000000000007</v>
      </c>
      <c r="R57" s="237"/>
      <c r="S57" s="88">
        <v>0.70833333333333337</v>
      </c>
      <c r="T57" s="88">
        <v>0.77083333333333337</v>
      </c>
      <c r="U57" s="150" t="str">
        <f t="shared" si="38"/>
        <v/>
      </c>
      <c r="V57" s="151">
        <f t="shared" si="37"/>
        <v>90</v>
      </c>
      <c r="W57" s="90"/>
      <c r="X57" s="90"/>
      <c r="Y57" s="94"/>
      <c r="Z57" s="94"/>
      <c r="AA57" s="227"/>
      <c r="AB57" s="228"/>
      <c r="AC57" s="92"/>
      <c r="AD57" s="93"/>
      <c r="AE57" s="84">
        <f t="shared" si="8"/>
        <v>-90</v>
      </c>
      <c r="AF57" s="149">
        <f t="shared" si="9"/>
        <v>0.95499999999999996</v>
      </c>
      <c r="AG57" s="237"/>
    </row>
    <row r="58" spans="1:33" ht="15.75" customHeight="1">
      <c r="A58" s="241" t="s">
        <v>590</v>
      </c>
      <c r="B58" s="77" t="s">
        <v>113</v>
      </c>
      <c r="C58" s="225" t="s">
        <v>168</v>
      </c>
      <c r="D58" s="226"/>
      <c r="E58" s="77">
        <v>58.17</v>
      </c>
      <c r="F58" s="109">
        <v>2002</v>
      </c>
      <c r="G58" s="150">
        <f t="shared" si="35"/>
        <v>116456.34</v>
      </c>
      <c r="H58" s="79" t="s">
        <v>115</v>
      </c>
      <c r="I58" s="148">
        <v>13</v>
      </c>
      <c r="J58" s="81">
        <v>2000</v>
      </c>
      <c r="K58" s="82">
        <f t="shared" si="1"/>
        <v>153.84615384615384</v>
      </c>
      <c r="L58" s="148">
        <v>13</v>
      </c>
      <c r="M58" s="83">
        <f t="shared" si="39"/>
        <v>1906.6666666666686</v>
      </c>
      <c r="N58" s="83">
        <f t="shared" si="3"/>
        <v>146.6666666666668</v>
      </c>
      <c r="O58" s="84">
        <f t="shared" si="4"/>
        <v>0</v>
      </c>
      <c r="P58" s="85">
        <f t="shared" si="5"/>
        <v>-7.1794871794870403</v>
      </c>
      <c r="Q58" s="149">
        <f t="shared" si="6"/>
        <v>0.95333333333333425</v>
      </c>
      <c r="R58" s="237"/>
      <c r="S58" s="88">
        <v>0.77430555555555558</v>
      </c>
      <c r="T58" s="88">
        <v>0.81805555555555554</v>
      </c>
      <c r="U58" s="150">
        <f t="shared" si="38"/>
        <v>4.9999999999999822</v>
      </c>
      <c r="V58" s="151">
        <f t="shared" si="37"/>
        <v>62.999999999999936</v>
      </c>
      <c r="W58" s="90"/>
      <c r="X58" s="90"/>
      <c r="Y58" s="94"/>
      <c r="Z58" s="94"/>
      <c r="AA58" s="227"/>
      <c r="AB58" s="228"/>
      <c r="AC58" s="92"/>
      <c r="AD58" s="93"/>
      <c r="AE58" s="84">
        <f t="shared" si="8"/>
        <v>-93.333333333331439</v>
      </c>
      <c r="AF58" s="149">
        <f t="shared" si="9"/>
        <v>0.95333333333333425</v>
      </c>
      <c r="AG58" s="237"/>
    </row>
    <row r="59" spans="1:33" ht="15.75" customHeight="1">
      <c r="A59" s="241" t="s">
        <v>590</v>
      </c>
      <c r="B59" s="77" t="s">
        <v>113</v>
      </c>
      <c r="C59" s="225" t="s">
        <v>169</v>
      </c>
      <c r="D59" s="226"/>
      <c r="E59" s="77">
        <v>54.09</v>
      </c>
      <c r="F59" s="109">
        <v>1261</v>
      </c>
      <c r="G59" s="150">
        <f t="shared" si="35"/>
        <v>68207.490000000005</v>
      </c>
      <c r="H59" s="79" t="s">
        <v>115</v>
      </c>
      <c r="I59" s="148">
        <v>14</v>
      </c>
      <c r="J59" s="81">
        <v>2000</v>
      </c>
      <c r="K59" s="82">
        <f t="shared" si="1"/>
        <v>142.85714285714286</v>
      </c>
      <c r="L59" s="148">
        <v>14</v>
      </c>
      <c r="M59" s="83">
        <f t="shared" si="39"/>
        <v>1939.9999999999989</v>
      </c>
      <c r="N59" s="83">
        <f t="shared" si="3"/>
        <v>138.5714285714285</v>
      </c>
      <c r="O59" s="84">
        <f t="shared" si="4"/>
        <v>0</v>
      </c>
      <c r="P59" s="85">
        <f t="shared" si="5"/>
        <v>-4.2857142857143629</v>
      </c>
      <c r="Q59" s="149">
        <f t="shared" si="6"/>
        <v>0.96999999999999942</v>
      </c>
      <c r="R59" s="237"/>
      <c r="S59" s="88">
        <v>0.82152777777777775</v>
      </c>
      <c r="T59" s="88">
        <v>0.84861111111111109</v>
      </c>
      <c r="U59" s="150">
        <f t="shared" si="38"/>
        <v>4.9999999999999822</v>
      </c>
      <c r="V59" s="151">
        <f t="shared" si="37"/>
        <v>39.000000000000021</v>
      </c>
      <c r="W59" s="90"/>
      <c r="X59" s="90"/>
      <c r="Y59" s="94"/>
      <c r="Z59" s="94"/>
      <c r="AA59" s="227"/>
      <c r="AB59" s="228"/>
      <c r="AC59" s="92"/>
      <c r="AD59" s="93"/>
      <c r="AE59" s="84">
        <f t="shared" si="8"/>
        <v>-60.000000000001137</v>
      </c>
      <c r="AF59" s="149">
        <f t="shared" si="9"/>
        <v>0.96999999999999942</v>
      </c>
      <c r="AG59" s="237"/>
    </row>
    <row r="60" spans="1:33">
      <c r="A60" s="242" t="s">
        <v>590</v>
      </c>
      <c r="B60" s="77" t="s">
        <v>587</v>
      </c>
      <c r="C60" s="238"/>
      <c r="D60" s="238"/>
      <c r="E60" s="155"/>
      <c r="F60" s="97"/>
      <c r="G60" s="82"/>
      <c r="H60" s="161"/>
      <c r="I60" s="98">
        <v>18.25</v>
      </c>
      <c r="J60" s="81">
        <v>2000</v>
      </c>
      <c r="K60" s="82">
        <f t="shared" si="1"/>
        <v>109.58904109589041</v>
      </c>
      <c r="L60" s="98">
        <v>18.25</v>
      </c>
      <c r="M60" s="83">
        <f>AVERAGE(M52:M59)</f>
        <v>1919.6207488331161</v>
      </c>
      <c r="N60" s="82">
        <f t="shared" si="3"/>
        <v>105.18469856619814</v>
      </c>
      <c r="O60" s="84">
        <f t="shared" si="4"/>
        <v>0</v>
      </c>
      <c r="P60" s="85">
        <f t="shared" si="5"/>
        <v>-4.404342529692272</v>
      </c>
      <c r="Q60" s="149">
        <f t="shared" si="6"/>
        <v>0.95981037441655803</v>
      </c>
      <c r="R60" s="237"/>
      <c r="S60" s="88"/>
      <c r="T60" s="88"/>
      <c r="U60" s="150"/>
      <c r="V60" s="151"/>
      <c r="W60" s="82"/>
      <c r="X60" s="82"/>
      <c r="Y60" s="99">
        <f>SUM(Y52:Y59)</f>
        <v>0</v>
      </c>
      <c r="Z60" s="99">
        <f>SUM(Z52:Z59)</f>
        <v>0</v>
      </c>
      <c r="AA60" s="231"/>
      <c r="AB60" s="231"/>
      <c r="AC60" s="99">
        <v>8</v>
      </c>
      <c r="AD60" s="99">
        <f>SUM(AD52:AD59)</f>
        <v>0</v>
      </c>
      <c r="AE60" s="84">
        <f>M60-J60</f>
        <v>-80.379251166883932</v>
      </c>
      <c r="AF60" s="149">
        <f t="shared" si="9"/>
        <v>0.95981037441655803</v>
      </c>
      <c r="AG60" s="237"/>
    </row>
    <row r="61" spans="1:33" ht="15.75" customHeight="1">
      <c r="A61" s="239" t="s">
        <v>591</v>
      </c>
      <c r="B61" s="161" t="s">
        <v>157</v>
      </c>
      <c r="C61" s="233" t="s">
        <v>171</v>
      </c>
      <c r="D61" s="233"/>
      <c r="E61" s="77">
        <v>35.119999999999997</v>
      </c>
      <c r="F61" s="109">
        <v>6141</v>
      </c>
      <c r="G61" s="150">
        <f t="shared" ref="G61:G65" si="40">E61*F61</f>
        <v>215671.91999999998</v>
      </c>
      <c r="H61" s="79" t="s">
        <v>115</v>
      </c>
      <c r="I61" s="148">
        <v>10</v>
      </c>
      <c r="J61" s="81">
        <v>3000</v>
      </c>
      <c r="K61" s="82">
        <f t="shared" si="1"/>
        <v>300</v>
      </c>
      <c r="L61" s="148">
        <v>10</v>
      </c>
      <c r="M61" s="83">
        <f t="shared" ref="M61:M65" si="41">F61/V61*60</f>
        <v>2856.2790697674427</v>
      </c>
      <c r="N61" s="82">
        <f t="shared" si="3"/>
        <v>285.62790697674427</v>
      </c>
      <c r="O61" s="84">
        <f t="shared" si="4"/>
        <v>0</v>
      </c>
      <c r="P61" s="85">
        <f t="shared" si="5"/>
        <v>-14.372093023255729</v>
      </c>
      <c r="Q61" s="149">
        <f t="shared" si="6"/>
        <v>0.95209302325581424</v>
      </c>
      <c r="R61" s="237">
        <f>Q66</f>
        <v>0.96527392445408966</v>
      </c>
      <c r="S61" s="88">
        <v>0.20833333333333334</v>
      </c>
      <c r="T61" s="88">
        <v>0.29791666666666666</v>
      </c>
      <c r="U61" s="150"/>
      <c r="V61" s="151">
        <f t="shared" ref="V61:V65" si="42">(T61-S61)*24*60</f>
        <v>128.99999999999997</v>
      </c>
      <c r="W61" s="90"/>
      <c r="X61" s="90"/>
      <c r="Y61" s="100"/>
      <c r="Z61" s="100"/>
      <c r="AA61" s="232"/>
      <c r="AB61" s="232"/>
      <c r="AC61" s="92">
        <v>5</v>
      </c>
      <c r="AD61" s="93"/>
      <c r="AE61" s="84">
        <f t="shared" ref="AE61:AE76" si="43">M61-J61</f>
        <v>-143.72093023255729</v>
      </c>
      <c r="AF61" s="149">
        <f t="shared" si="9"/>
        <v>0.95209302325581424</v>
      </c>
      <c r="AG61" s="237">
        <f>AF66</f>
        <v>0.96527392445408955</v>
      </c>
    </row>
    <row r="62" spans="1:33" ht="15.75" customHeight="1">
      <c r="A62" s="239" t="s">
        <v>591</v>
      </c>
      <c r="B62" s="161" t="s">
        <v>157</v>
      </c>
      <c r="C62" s="233" t="s">
        <v>172</v>
      </c>
      <c r="D62" s="233"/>
      <c r="E62" s="77">
        <v>26.78</v>
      </c>
      <c r="F62" s="109">
        <v>3227</v>
      </c>
      <c r="G62" s="150">
        <f t="shared" si="40"/>
        <v>86419.06</v>
      </c>
      <c r="H62" s="79" t="s">
        <v>115</v>
      </c>
      <c r="I62" s="148">
        <v>10</v>
      </c>
      <c r="J62" s="81">
        <v>3000</v>
      </c>
      <c r="K62" s="82">
        <f t="shared" si="1"/>
        <v>300</v>
      </c>
      <c r="L62" s="148">
        <v>10</v>
      </c>
      <c r="M62" s="83">
        <f t="shared" si="41"/>
        <v>2889.8507462686566</v>
      </c>
      <c r="N62" s="82">
        <f t="shared" si="3"/>
        <v>288.98507462686564</v>
      </c>
      <c r="O62" s="84">
        <f t="shared" si="4"/>
        <v>0</v>
      </c>
      <c r="P62" s="85">
        <f t="shared" si="5"/>
        <v>-11.014925373134361</v>
      </c>
      <c r="Q62" s="149">
        <f t="shared" si="6"/>
        <v>0.96328358208955212</v>
      </c>
      <c r="R62" s="237"/>
      <c r="S62" s="88">
        <v>0.30208333333333331</v>
      </c>
      <c r="T62" s="88">
        <v>0.34861111111111109</v>
      </c>
      <c r="U62" s="150">
        <f t="shared" ref="U62:U65" si="44">(S62-T61)*24*60</f>
        <v>5.9999999999999787</v>
      </c>
      <c r="V62" s="151">
        <f t="shared" si="42"/>
        <v>67</v>
      </c>
      <c r="W62" s="150"/>
      <c r="X62" s="150"/>
      <c r="Y62" s="150"/>
      <c r="Z62" s="150"/>
      <c r="AA62" s="232"/>
      <c r="AB62" s="232"/>
      <c r="AC62" s="92"/>
      <c r="AD62" s="93"/>
      <c r="AE62" s="84">
        <f t="shared" si="43"/>
        <v>-110.14925373134338</v>
      </c>
      <c r="AF62" s="149">
        <f t="shared" si="9"/>
        <v>0.96328358208955223</v>
      </c>
      <c r="AG62" s="237"/>
    </row>
    <row r="63" spans="1:33" ht="15.75" customHeight="1">
      <c r="A63" s="239" t="s">
        <v>591</v>
      </c>
      <c r="B63" s="161" t="s">
        <v>157</v>
      </c>
      <c r="C63" s="233" t="s">
        <v>173</v>
      </c>
      <c r="D63" s="233"/>
      <c r="E63" s="77">
        <v>35.869999999999997</v>
      </c>
      <c r="F63" s="109">
        <v>3416</v>
      </c>
      <c r="G63" s="150">
        <f t="shared" si="40"/>
        <v>122531.92</v>
      </c>
      <c r="H63" s="79" t="s">
        <v>115</v>
      </c>
      <c r="I63" s="148">
        <v>10</v>
      </c>
      <c r="J63" s="81">
        <v>3000</v>
      </c>
      <c r="K63" s="82">
        <f t="shared" si="1"/>
        <v>300</v>
      </c>
      <c r="L63" s="148">
        <v>10</v>
      </c>
      <c r="M63" s="83">
        <f t="shared" si="41"/>
        <v>2886.7605633802823</v>
      </c>
      <c r="N63" s="82">
        <f t="shared" si="3"/>
        <v>288.67605633802822</v>
      </c>
      <c r="O63" s="84">
        <f t="shared" si="4"/>
        <v>0</v>
      </c>
      <c r="P63" s="85">
        <f t="shared" si="5"/>
        <v>-11.323943661971782</v>
      </c>
      <c r="Q63" s="149">
        <f t="shared" si="6"/>
        <v>0.96225352112676077</v>
      </c>
      <c r="R63" s="237"/>
      <c r="S63" s="88">
        <v>0.35416666666666663</v>
      </c>
      <c r="T63" s="88">
        <v>0.40347222222222218</v>
      </c>
      <c r="U63" s="150">
        <f t="shared" si="44"/>
        <v>7.9999999999999716</v>
      </c>
      <c r="V63" s="151">
        <f t="shared" si="42"/>
        <v>70.999999999999986</v>
      </c>
      <c r="W63" s="150"/>
      <c r="X63" s="150"/>
      <c r="Y63" s="150"/>
      <c r="Z63" s="150"/>
      <c r="AA63" s="232"/>
      <c r="AB63" s="232"/>
      <c r="AC63" s="92"/>
      <c r="AD63" s="93"/>
      <c r="AE63" s="84">
        <f t="shared" si="43"/>
        <v>-113.23943661971771</v>
      </c>
      <c r="AF63" s="149">
        <f t="shared" si="9"/>
        <v>0.96225352112676077</v>
      </c>
      <c r="AG63" s="237"/>
    </row>
    <row r="64" spans="1:33" ht="15.75" customHeight="1">
      <c r="A64" s="239" t="s">
        <v>591</v>
      </c>
      <c r="B64" s="161" t="s">
        <v>157</v>
      </c>
      <c r="C64" s="233" t="s">
        <v>174</v>
      </c>
      <c r="D64" s="233"/>
      <c r="E64" s="77">
        <v>35.869999999999997</v>
      </c>
      <c r="F64" s="109">
        <v>1376</v>
      </c>
      <c r="G64" s="150">
        <f t="shared" si="40"/>
        <v>49357.119999999995</v>
      </c>
      <c r="H64" s="79" t="s">
        <v>115</v>
      </c>
      <c r="I64" s="148">
        <v>9</v>
      </c>
      <c r="J64" s="81">
        <v>3000</v>
      </c>
      <c r="K64" s="82">
        <f t="shared" si="1"/>
        <v>333.33333333333331</v>
      </c>
      <c r="L64" s="148">
        <v>9</v>
      </c>
      <c r="M64" s="83">
        <f t="shared" si="41"/>
        <v>2948.5714285714307</v>
      </c>
      <c r="N64" s="82">
        <f t="shared" si="3"/>
        <v>327.61904761904788</v>
      </c>
      <c r="O64" s="84">
        <f t="shared" si="4"/>
        <v>0</v>
      </c>
      <c r="P64" s="85">
        <f t="shared" si="5"/>
        <v>-5.7142857142854382</v>
      </c>
      <c r="Q64" s="149">
        <f t="shared" si="6"/>
        <v>0.98285714285714365</v>
      </c>
      <c r="R64" s="237"/>
      <c r="S64" s="88">
        <v>0.40902777777777771</v>
      </c>
      <c r="T64" s="88">
        <v>0.42847222222222214</v>
      </c>
      <c r="U64" s="150">
        <f t="shared" si="44"/>
        <v>7.9999999999999716</v>
      </c>
      <c r="V64" s="151">
        <f t="shared" si="42"/>
        <v>27.999999999999979</v>
      </c>
      <c r="W64" s="150"/>
      <c r="X64" s="150"/>
      <c r="Y64" s="150"/>
      <c r="Z64" s="150"/>
      <c r="AA64" s="232"/>
      <c r="AB64" s="232"/>
      <c r="AC64" s="92"/>
      <c r="AD64" s="93"/>
      <c r="AE64" s="84">
        <f t="shared" si="43"/>
        <v>-51.428571428569285</v>
      </c>
      <c r="AF64" s="149">
        <f t="shared" si="9"/>
        <v>0.98285714285714354</v>
      </c>
      <c r="AG64" s="237"/>
    </row>
    <row r="65" spans="1:33">
      <c r="A65" s="240" t="s">
        <v>591</v>
      </c>
      <c r="B65" s="161" t="s">
        <v>157</v>
      </c>
      <c r="C65" s="233" t="s">
        <v>175</v>
      </c>
      <c r="D65" s="233"/>
      <c r="E65" s="77">
        <v>33.770000000000003</v>
      </c>
      <c r="F65" s="109">
        <v>2463</v>
      </c>
      <c r="G65" s="150">
        <f t="shared" si="40"/>
        <v>83175.510000000009</v>
      </c>
      <c r="H65" s="79" t="s">
        <v>115</v>
      </c>
      <c r="I65" s="148">
        <v>12</v>
      </c>
      <c r="J65" s="81">
        <v>3000</v>
      </c>
      <c r="K65" s="82">
        <f t="shared" si="1"/>
        <v>250</v>
      </c>
      <c r="L65" s="148">
        <v>12</v>
      </c>
      <c r="M65" s="83">
        <f t="shared" si="41"/>
        <v>2897.6470588235306</v>
      </c>
      <c r="N65" s="82">
        <f t="shared" si="3"/>
        <v>241.47058823529423</v>
      </c>
      <c r="O65" s="84">
        <f t="shared" si="4"/>
        <v>0</v>
      </c>
      <c r="P65" s="85">
        <f t="shared" si="5"/>
        <v>-8.5294117647057703</v>
      </c>
      <c r="Q65" s="149">
        <f t="shared" si="6"/>
        <v>0.96588235294117697</v>
      </c>
      <c r="R65" s="237"/>
      <c r="S65" s="88">
        <v>0.43194444444444435</v>
      </c>
      <c r="T65" s="88">
        <v>0.46736111111111101</v>
      </c>
      <c r="U65" s="150">
        <f t="shared" si="44"/>
        <v>4.9999999999999822</v>
      </c>
      <c r="V65" s="151">
        <f t="shared" si="42"/>
        <v>50.999999999999979</v>
      </c>
      <c r="W65" s="90"/>
      <c r="X65" s="90"/>
      <c r="Y65" s="90"/>
      <c r="Z65" s="90"/>
      <c r="AA65" s="232"/>
      <c r="AB65" s="232"/>
      <c r="AC65" s="92"/>
      <c r="AD65" s="93"/>
      <c r="AE65" s="84">
        <f t="shared" si="43"/>
        <v>-102.35294117646936</v>
      </c>
      <c r="AF65" s="149">
        <f t="shared" si="9"/>
        <v>0.96588235294117686</v>
      </c>
      <c r="AG65" s="237"/>
    </row>
    <row r="66" spans="1:33">
      <c r="A66" s="240" t="s">
        <v>591</v>
      </c>
      <c r="B66" s="77" t="s">
        <v>587</v>
      </c>
      <c r="C66" s="238"/>
      <c r="D66" s="238"/>
      <c r="E66" s="155"/>
      <c r="F66" s="97"/>
      <c r="G66" s="82"/>
      <c r="H66" s="161"/>
      <c r="I66" s="98">
        <v>10.199999999999999</v>
      </c>
      <c r="J66" s="81">
        <v>3000</v>
      </c>
      <c r="K66" s="82">
        <f t="shared" si="1"/>
        <v>294.11764705882354</v>
      </c>
      <c r="L66" s="98">
        <v>10.199999999999999</v>
      </c>
      <c r="M66" s="83">
        <f>AVERAGE(M61:M65)</f>
        <v>2895.8217733622687</v>
      </c>
      <c r="N66" s="82">
        <f t="shared" si="3"/>
        <v>283.90409542767344</v>
      </c>
      <c r="O66" s="84">
        <f t="shared" si="4"/>
        <v>0</v>
      </c>
      <c r="P66" s="85">
        <f t="shared" si="5"/>
        <v>-10.213551631150096</v>
      </c>
      <c r="Q66" s="149">
        <f t="shared" si="6"/>
        <v>0.96527392445408966</v>
      </c>
      <c r="R66" s="237"/>
      <c r="S66" s="88"/>
      <c r="T66" s="88"/>
      <c r="U66" s="82"/>
      <c r="V66" s="151"/>
      <c r="W66" s="82"/>
      <c r="X66" s="82"/>
      <c r="Y66" s="99">
        <f>SUM(Y61:Y65)</f>
        <v>0</v>
      </c>
      <c r="Z66" s="99">
        <f>SUM(Z61:Z65)</f>
        <v>0</v>
      </c>
      <c r="AA66" s="231"/>
      <c r="AB66" s="231"/>
      <c r="AC66" s="99">
        <v>5</v>
      </c>
      <c r="AD66" s="99">
        <f>SUM(AD61:AD65)</f>
        <v>0</v>
      </c>
      <c r="AE66" s="84">
        <f t="shared" si="43"/>
        <v>-104.17822663773131</v>
      </c>
      <c r="AF66" s="149">
        <f t="shared" si="9"/>
        <v>0.96527392445408955</v>
      </c>
      <c r="AG66" s="237"/>
    </row>
    <row r="67" spans="1:33" ht="15.75" customHeight="1">
      <c r="A67" s="234" t="s">
        <v>592</v>
      </c>
      <c r="B67" s="161" t="s">
        <v>142</v>
      </c>
      <c r="C67" s="233" t="s">
        <v>177</v>
      </c>
      <c r="D67" s="233"/>
      <c r="E67" s="77">
        <v>19.02</v>
      </c>
      <c r="F67" s="161">
        <v>6700</v>
      </c>
      <c r="G67" s="150">
        <f t="shared" ref="G67:G75" si="45">E67*F67</f>
        <v>127434</v>
      </c>
      <c r="H67" s="79">
        <v>2</v>
      </c>
      <c r="I67" s="148">
        <v>14</v>
      </c>
      <c r="J67" s="81">
        <v>2400</v>
      </c>
      <c r="K67" s="82">
        <f t="shared" si="1"/>
        <v>171.42857142857142</v>
      </c>
      <c r="L67" s="148">
        <v>14</v>
      </c>
      <c r="M67" s="83">
        <f t="shared" ref="M67:M75" si="46">F67/V67*60</f>
        <v>2284.090909090909</v>
      </c>
      <c r="N67" s="82">
        <f t="shared" si="3"/>
        <v>163.14935064935065</v>
      </c>
      <c r="O67" s="84">
        <f t="shared" si="4"/>
        <v>0</v>
      </c>
      <c r="P67" s="85">
        <f t="shared" si="5"/>
        <v>-8.2792207792207648</v>
      </c>
      <c r="Q67" s="149">
        <f t="shared" si="6"/>
        <v>0.95170454545454553</v>
      </c>
      <c r="R67" s="237">
        <f>Q76</f>
        <v>0.95862429843896435</v>
      </c>
      <c r="S67" s="88">
        <v>8.3333333333333329E-2</v>
      </c>
      <c r="T67" s="88">
        <v>0.20555555555555555</v>
      </c>
      <c r="U67" s="100"/>
      <c r="V67" s="151">
        <f t="shared" ref="V67:V75" si="47">(T67-S67)*24*60</f>
        <v>176</v>
      </c>
      <c r="W67" s="90">
        <f>T67</f>
        <v>0.20555555555555555</v>
      </c>
      <c r="X67" s="90">
        <f>S68</f>
        <v>0.22708333333333333</v>
      </c>
      <c r="Y67" s="90"/>
      <c r="Z67" s="90"/>
      <c r="AA67" s="232"/>
      <c r="AB67" s="232"/>
      <c r="AC67" s="92">
        <v>9</v>
      </c>
      <c r="AD67" s="93"/>
      <c r="AE67" s="84">
        <f t="shared" si="43"/>
        <v>-115.90909090909099</v>
      </c>
      <c r="AF67" s="149">
        <f t="shared" si="9"/>
        <v>0.95170454545454541</v>
      </c>
      <c r="AG67" s="237">
        <f>AF76</f>
        <v>0.95862429843896435</v>
      </c>
    </row>
    <row r="68" spans="1:33" ht="15.75" customHeight="1">
      <c r="A68" s="235" t="s">
        <v>592</v>
      </c>
      <c r="B68" s="161" t="s">
        <v>142</v>
      </c>
      <c r="C68" s="233" t="s">
        <v>178</v>
      </c>
      <c r="D68" s="233"/>
      <c r="E68" s="77">
        <v>20.36</v>
      </c>
      <c r="F68" s="161">
        <v>2800</v>
      </c>
      <c r="G68" s="150">
        <f t="shared" si="45"/>
        <v>57008</v>
      </c>
      <c r="H68" s="79">
        <v>2</v>
      </c>
      <c r="I68" s="148">
        <v>17</v>
      </c>
      <c r="J68" s="81">
        <v>2400</v>
      </c>
      <c r="K68" s="82">
        <f t="shared" si="1"/>
        <v>141.1764705882353</v>
      </c>
      <c r="L68" s="148">
        <v>17</v>
      </c>
      <c r="M68" s="83">
        <f t="shared" si="46"/>
        <v>2301.3698630136978</v>
      </c>
      <c r="N68" s="82">
        <f t="shared" si="3"/>
        <v>135.37469782433516</v>
      </c>
      <c r="O68" s="84">
        <f t="shared" si="4"/>
        <v>0</v>
      </c>
      <c r="P68" s="85">
        <f t="shared" si="5"/>
        <v>-5.8017727639001464</v>
      </c>
      <c r="Q68" s="149">
        <f t="shared" si="6"/>
        <v>0.9589041095890406</v>
      </c>
      <c r="R68" s="237"/>
      <c r="S68" s="88">
        <v>0.22708333333333333</v>
      </c>
      <c r="T68" s="88">
        <v>0.27777777777777779</v>
      </c>
      <c r="U68" s="150">
        <f t="shared" ref="U68:U75" si="48">(S68-T67)*24*60</f>
        <v>31.000000000000011</v>
      </c>
      <c r="V68" s="151">
        <f t="shared" si="47"/>
        <v>73.000000000000014</v>
      </c>
      <c r="W68" s="90"/>
      <c r="X68" s="90"/>
      <c r="Y68" s="90"/>
      <c r="Z68" s="90"/>
      <c r="AA68" s="232"/>
      <c r="AB68" s="232"/>
      <c r="AC68" s="92"/>
      <c r="AD68" s="93"/>
      <c r="AE68" s="84">
        <f t="shared" si="43"/>
        <v>-98.630136986302205</v>
      </c>
      <c r="AF68" s="149">
        <f t="shared" si="9"/>
        <v>0.95890410958904071</v>
      </c>
      <c r="AG68" s="237"/>
    </row>
    <row r="69" spans="1:33" ht="15.75" customHeight="1">
      <c r="A69" s="235" t="s">
        <v>592</v>
      </c>
      <c r="B69" s="161" t="s">
        <v>142</v>
      </c>
      <c r="C69" s="233" t="s">
        <v>145</v>
      </c>
      <c r="D69" s="233"/>
      <c r="E69" s="77">
        <v>24.43</v>
      </c>
      <c r="F69" s="161">
        <v>4800</v>
      </c>
      <c r="G69" s="150">
        <f t="shared" si="45"/>
        <v>117264</v>
      </c>
      <c r="H69" s="79">
        <v>2</v>
      </c>
      <c r="I69" s="148">
        <v>14</v>
      </c>
      <c r="J69" s="81">
        <v>2400</v>
      </c>
      <c r="K69" s="82">
        <f t="shared" ref="K69:K83" si="49">J69/I69</f>
        <v>171.42857142857142</v>
      </c>
      <c r="L69" s="148">
        <v>14</v>
      </c>
      <c r="M69" s="83">
        <f t="shared" si="46"/>
        <v>2285.7142857142853</v>
      </c>
      <c r="N69" s="82">
        <f t="shared" ref="N69:N83" si="50">M69/L69</f>
        <v>163.26530612244895</v>
      </c>
      <c r="O69" s="84">
        <f t="shared" ref="O69:O83" si="51">L69-I69</f>
        <v>0</v>
      </c>
      <c r="P69" s="85">
        <f t="shared" ref="P69:P83" si="52">N69-K69</f>
        <v>-8.1632653061224687</v>
      </c>
      <c r="Q69" s="149">
        <f t="shared" ref="Q69:Q83" si="53">N69/K69</f>
        <v>0.95238095238095222</v>
      </c>
      <c r="R69" s="237"/>
      <c r="S69" s="88">
        <v>0.28263888888888888</v>
      </c>
      <c r="T69" s="88">
        <v>0.37013888888888891</v>
      </c>
      <c r="U69" s="150">
        <f t="shared" si="48"/>
        <v>6.9999999999999751</v>
      </c>
      <c r="V69" s="151">
        <f t="shared" si="47"/>
        <v>126.00000000000003</v>
      </c>
      <c r="W69" s="90"/>
      <c r="X69" s="90"/>
      <c r="Y69" s="90"/>
      <c r="Z69" s="90"/>
      <c r="AA69" s="232"/>
      <c r="AB69" s="232"/>
      <c r="AC69" s="92"/>
      <c r="AD69" s="93"/>
      <c r="AE69" s="84">
        <f t="shared" si="43"/>
        <v>-114.28571428571468</v>
      </c>
      <c r="AF69" s="149">
        <f t="shared" ref="AF69:AF83" si="54">M69/J69</f>
        <v>0.95238095238095222</v>
      </c>
      <c r="AG69" s="237"/>
    </row>
    <row r="70" spans="1:33" ht="15.75" customHeight="1">
      <c r="A70" s="235" t="s">
        <v>592</v>
      </c>
      <c r="B70" s="161" t="s">
        <v>142</v>
      </c>
      <c r="C70" s="233" t="s">
        <v>179</v>
      </c>
      <c r="D70" s="233"/>
      <c r="E70" s="77">
        <v>23.8</v>
      </c>
      <c r="F70" s="161">
        <v>2045</v>
      </c>
      <c r="G70" s="150">
        <f t="shared" si="45"/>
        <v>48671</v>
      </c>
      <c r="H70" s="79" t="s">
        <v>115</v>
      </c>
      <c r="I70" s="148">
        <v>16</v>
      </c>
      <c r="J70" s="81">
        <v>2400</v>
      </c>
      <c r="K70" s="82">
        <f t="shared" si="49"/>
        <v>150</v>
      </c>
      <c r="L70" s="148">
        <v>16</v>
      </c>
      <c r="M70" s="83">
        <f t="shared" si="46"/>
        <v>2315.094339622643</v>
      </c>
      <c r="N70" s="82">
        <f t="shared" si="50"/>
        <v>144.69339622641519</v>
      </c>
      <c r="O70" s="84">
        <f t="shared" si="51"/>
        <v>0</v>
      </c>
      <c r="P70" s="85">
        <f t="shared" si="52"/>
        <v>-5.3066037735848113</v>
      </c>
      <c r="Q70" s="149">
        <f t="shared" si="53"/>
        <v>0.96462264150943455</v>
      </c>
      <c r="R70" s="237"/>
      <c r="S70" s="88">
        <v>0.37569444444444444</v>
      </c>
      <c r="T70" s="88">
        <v>0.41249999999999998</v>
      </c>
      <c r="U70" s="150">
        <f t="shared" si="48"/>
        <v>7.9999999999999716</v>
      </c>
      <c r="V70" s="151">
        <f t="shared" si="47"/>
        <v>52.999999999999972</v>
      </c>
      <c r="W70" s="90"/>
      <c r="X70" s="90"/>
      <c r="Y70" s="90"/>
      <c r="Z70" s="90"/>
      <c r="AA70" s="232"/>
      <c r="AB70" s="232"/>
      <c r="AC70" s="92"/>
      <c r="AD70" s="93"/>
      <c r="AE70" s="84">
        <f t="shared" si="43"/>
        <v>-84.90566037735698</v>
      </c>
      <c r="AF70" s="149">
        <f t="shared" si="54"/>
        <v>0.96462264150943455</v>
      </c>
      <c r="AG70" s="237"/>
    </row>
    <row r="71" spans="1:33" ht="15.75" customHeight="1">
      <c r="A71" s="235" t="s">
        <v>592</v>
      </c>
      <c r="B71" s="161" t="s">
        <v>142</v>
      </c>
      <c r="C71" s="233" t="s">
        <v>149</v>
      </c>
      <c r="D71" s="233"/>
      <c r="E71" s="77">
        <v>24.25</v>
      </c>
      <c r="F71" s="161">
        <v>1475</v>
      </c>
      <c r="G71" s="150">
        <f t="shared" si="45"/>
        <v>35768.75</v>
      </c>
      <c r="H71" s="79" t="s">
        <v>115</v>
      </c>
      <c r="I71" s="148">
        <v>16</v>
      </c>
      <c r="J71" s="81">
        <v>2400</v>
      </c>
      <c r="K71" s="82">
        <f t="shared" si="49"/>
        <v>150</v>
      </c>
      <c r="L71" s="148">
        <v>16</v>
      </c>
      <c r="M71" s="83">
        <f t="shared" si="46"/>
        <v>2328.9473684210511</v>
      </c>
      <c r="N71" s="82">
        <f t="shared" si="50"/>
        <v>145.5592105263157</v>
      </c>
      <c r="O71" s="84">
        <f t="shared" si="51"/>
        <v>0</v>
      </c>
      <c r="P71" s="85">
        <f t="shared" si="52"/>
        <v>-4.4407894736843048</v>
      </c>
      <c r="Q71" s="149">
        <f t="shared" si="53"/>
        <v>0.97039473684210464</v>
      </c>
      <c r="R71" s="237"/>
      <c r="S71" s="88">
        <v>0.41597222222222219</v>
      </c>
      <c r="T71" s="88">
        <v>0.44236111111111109</v>
      </c>
      <c r="U71" s="150">
        <f t="shared" si="48"/>
        <v>4.9999999999999822</v>
      </c>
      <c r="V71" s="151">
        <f t="shared" si="47"/>
        <v>38.000000000000028</v>
      </c>
      <c r="W71" s="90"/>
      <c r="X71" s="90"/>
      <c r="Y71" s="90"/>
      <c r="Z71" s="90"/>
      <c r="AA71" s="232"/>
      <c r="AB71" s="232"/>
      <c r="AC71" s="92"/>
      <c r="AD71" s="93"/>
      <c r="AE71" s="84">
        <f t="shared" si="43"/>
        <v>-71.052631578948876</v>
      </c>
      <c r="AF71" s="149">
        <f t="shared" si="54"/>
        <v>0.97039473684210464</v>
      </c>
      <c r="AG71" s="237"/>
    </row>
    <row r="72" spans="1:33" ht="15.75" customHeight="1">
      <c r="A72" s="235" t="s">
        <v>592</v>
      </c>
      <c r="B72" s="161" t="s">
        <v>142</v>
      </c>
      <c r="C72" s="233" t="s">
        <v>182</v>
      </c>
      <c r="D72" s="233"/>
      <c r="E72" s="77">
        <v>20.51</v>
      </c>
      <c r="F72" s="161">
        <v>2600</v>
      </c>
      <c r="G72" s="150">
        <f t="shared" si="45"/>
        <v>53326.000000000007</v>
      </c>
      <c r="H72" s="79">
        <v>2</v>
      </c>
      <c r="I72" s="148">
        <v>14</v>
      </c>
      <c r="J72" s="81">
        <v>2400</v>
      </c>
      <c r="K72" s="82">
        <f t="shared" si="49"/>
        <v>171.42857142857142</v>
      </c>
      <c r="L72" s="148">
        <v>14</v>
      </c>
      <c r="M72" s="83">
        <f t="shared" si="46"/>
        <v>2294.1176470588234</v>
      </c>
      <c r="N72" s="82">
        <f t="shared" si="50"/>
        <v>163.8655462184874</v>
      </c>
      <c r="O72" s="84">
        <f t="shared" si="51"/>
        <v>0</v>
      </c>
      <c r="P72" s="85">
        <f t="shared" si="52"/>
        <v>-7.563025210084021</v>
      </c>
      <c r="Q72" s="149">
        <f t="shared" si="53"/>
        <v>0.95588235294117652</v>
      </c>
      <c r="R72" s="237"/>
      <c r="S72" s="88">
        <v>0.44652777777777775</v>
      </c>
      <c r="T72" s="88">
        <v>0.49374999999999997</v>
      </c>
      <c r="U72" s="150">
        <f t="shared" si="48"/>
        <v>5.9999999999999787</v>
      </c>
      <c r="V72" s="151">
        <f t="shared" si="47"/>
        <v>68</v>
      </c>
      <c r="W72" s="90">
        <f>T72</f>
        <v>0.49374999999999997</v>
      </c>
      <c r="X72" s="90">
        <f>S73</f>
        <v>0.53402777777777766</v>
      </c>
      <c r="Y72" s="90"/>
      <c r="Z72" s="90"/>
      <c r="AA72" s="232"/>
      <c r="AB72" s="232"/>
      <c r="AC72" s="92"/>
      <c r="AD72" s="93"/>
      <c r="AE72" s="84">
        <f t="shared" si="43"/>
        <v>-105.88235294117658</v>
      </c>
      <c r="AF72" s="149">
        <f t="shared" si="54"/>
        <v>0.95588235294117641</v>
      </c>
      <c r="AG72" s="237"/>
    </row>
    <row r="73" spans="1:33" ht="15.75" customHeight="1">
      <c r="A73" s="235" t="s">
        <v>592</v>
      </c>
      <c r="B73" s="161" t="s">
        <v>142</v>
      </c>
      <c r="C73" s="225" t="s">
        <v>182</v>
      </c>
      <c r="D73" s="226"/>
      <c r="E73" s="77">
        <v>20.51</v>
      </c>
      <c r="F73" s="161">
        <v>3375</v>
      </c>
      <c r="G73" s="150">
        <f t="shared" si="45"/>
        <v>69221.25</v>
      </c>
      <c r="H73" s="79" t="s">
        <v>115</v>
      </c>
      <c r="I73" s="148">
        <v>14</v>
      </c>
      <c r="J73" s="81">
        <v>2400</v>
      </c>
      <c r="K73" s="82">
        <f t="shared" si="49"/>
        <v>171.42857142857142</v>
      </c>
      <c r="L73" s="148">
        <v>14</v>
      </c>
      <c r="M73" s="83">
        <f t="shared" si="46"/>
        <v>2301.1363636363635</v>
      </c>
      <c r="N73" s="82">
        <f t="shared" si="50"/>
        <v>164.36688311688312</v>
      </c>
      <c r="O73" s="84">
        <f t="shared" si="51"/>
        <v>0</v>
      </c>
      <c r="P73" s="85">
        <f t="shared" si="52"/>
        <v>-7.0616883116883002</v>
      </c>
      <c r="Q73" s="149">
        <f t="shared" si="53"/>
        <v>0.95880681818181823</v>
      </c>
      <c r="R73" s="237"/>
      <c r="S73" s="88">
        <v>0.53402777777777766</v>
      </c>
      <c r="T73" s="88">
        <v>0.59513888888888877</v>
      </c>
      <c r="U73" s="150">
        <f t="shared" si="48"/>
        <v>57.999999999999872</v>
      </c>
      <c r="V73" s="151">
        <f t="shared" si="47"/>
        <v>88</v>
      </c>
      <c r="W73" s="90"/>
      <c r="X73" s="90"/>
      <c r="Y73" s="94"/>
      <c r="Z73" s="94"/>
      <c r="AA73" s="227"/>
      <c r="AB73" s="228"/>
      <c r="AC73" s="92"/>
      <c r="AD73" s="93"/>
      <c r="AE73" s="84">
        <f t="shared" si="43"/>
        <v>-98.863636363636488</v>
      </c>
      <c r="AF73" s="149">
        <f t="shared" si="54"/>
        <v>0.95880681818181812</v>
      </c>
      <c r="AG73" s="237"/>
    </row>
    <row r="74" spans="1:33" ht="15.75" customHeight="1">
      <c r="A74" s="235" t="s">
        <v>592</v>
      </c>
      <c r="B74" s="161" t="s">
        <v>142</v>
      </c>
      <c r="C74" s="225" t="s">
        <v>178</v>
      </c>
      <c r="D74" s="226"/>
      <c r="E74" s="77">
        <v>20.36</v>
      </c>
      <c r="F74" s="161">
        <v>2033</v>
      </c>
      <c r="G74" s="150">
        <f t="shared" si="45"/>
        <v>41391.879999999997</v>
      </c>
      <c r="H74" s="79" t="s">
        <v>115</v>
      </c>
      <c r="I74" s="148">
        <v>17</v>
      </c>
      <c r="J74" s="81">
        <v>2400</v>
      </c>
      <c r="K74" s="82">
        <f t="shared" si="49"/>
        <v>141.1764705882353</v>
      </c>
      <c r="L74" s="148">
        <v>17</v>
      </c>
      <c r="M74" s="83">
        <f t="shared" si="46"/>
        <v>2301.5094339622656</v>
      </c>
      <c r="N74" s="82">
        <f t="shared" si="50"/>
        <v>135.38290788013327</v>
      </c>
      <c r="O74" s="84">
        <f t="shared" si="51"/>
        <v>0</v>
      </c>
      <c r="P74" s="85">
        <f t="shared" si="52"/>
        <v>-5.79356270810203</v>
      </c>
      <c r="Q74" s="149">
        <f t="shared" si="53"/>
        <v>0.95896226415094399</v>
      </c>
      <c r="R74" s="237"/>
      <c r="S74" s="88">
        <v>0.60069444444444431</v>
      </c>
      <c r="T74" s="88">
        <v>0.63749999999999984</v>
      </c>
      <c r="U74" s="150">
        <f t="shared" si="48"/>
        <v>7.9999999999999716</v>
      </c>
      <c r="V74" s="151">
        <f t="shared" si="47"/>
        <v>52.999999999999972</v>
      </c>
      <c r="W74" s="90"/>
      <c r="X74" s="90"/>
      <c r="Y74" s="94"/>
      <c r="Z74" s="94"/>
      <c r="AA74" s="227"/>
      <c r="AB74" s="228"/>
      <c r="AC74" s="92"/>
      <c r="AD74" s="93"/>
      <c r="AE74" s="84">
        <f t="shared" si="43"/>
        <v>-98.490566037734425</v>
      </c>
      <c r="AF74" s="149">
        <f t="shared" si="54"/>
        <v>0.95896226415094399</v>
      </c>
      <c r="AG74" s="237"/>
    </row>
    <row r="75" spans="1:33" ht="15.75" customHeight="1">
      <c r="A75" s="235" t="s">
        <v>592</v>
      </c>
      <c r="B75" s="161" t="s">
        <v>142</v>
      </c>
      <c r="C75" s="225" t="s">
        <v>177</v>
      </c>
      <c r="D75" s="226"/>
      <c r="E75" s="77">
        <v>19.02</v>
      </c>
      <c r="F75" s="161">
        <v>5774</v>
      </c>
      <c r="G75" s="150">
        <f t="shared" si="45"/>
        <v>109821.48</v>
      </c>
      <c r="H75" s="79" t="s">
        <v>115</v>
      </c>
      <c r="I75" s="148">
        <v>14</v>
      </c>
      <c r="J75" s="81">
        <v>2400</v>
      </c>
      <c r="K75" s="82">
        <f t="shared" si="49"/>
        <v>171.42857142857142</v>
      </c>
      <c r="L75" s="148">
        <v>14</v>
      </c>
      <c r="M75" s="83">
        <f t="shared" si="46"/>
        <v>2294.3046357615904</v>
      </c>
      <c r="N75" s="82">
        <f t="shared" si="50"/>
        <v>163.8789025543993</v>
      </c>
      <c r="O75" s="84">
        <f t="shared" si="51"/>
        <v>0</v>
      </c>
      <c r="P75" s="85">
        <f t="shared" si="52"/>
        <v>-7.549668874172113</v>
      </c>
      <c r="Q75" s="149">
        <f t="shared" si="53"/>
        <v>0.95596026490066266</v>
      </c>
      <c r="R75" s="237"/>
      <c r="S75" s="88">
        <v>0.64097222222222205</v>
      </c>
      <c r="T75" s="88">
        <v>0.74583333333333313</v>
      </c>
      <c r="U75" s="150">
        <f t="shared" si="48"/>
        <v>4.9999999999999822</v>
      </c>
      <c r="V75" s="151">
        <f t="shared" si="47"/>
        <v>150.99999999999994</v>
      </c>
      <c r="W75" s="90"/>
      <c r="X75" s="90"/>
      <c r="Y75" s="94"/>
      <c r="Z75" s="94"/>
      <c r="AA75" s="227"/>
      <c r="AB75" s="228"/>
      <c r="AC75" s="92"/>
      <c r="AD75" s="93"/>
      <c r="AE75" s="84">
        <f t="shared" si="43"/>
        <v>-105.69536423840964</v>
      </c>
      <c r="AF75" s="149">
        <f t="shared" si="54"/>
        <v>0.95596026490066266</v>
      </c>
      <c r="AG75" s="237"/>
    </row>
    <row r="76" spans="1:33" ht="16.5" customHeight="1">
      <c r="A76" s="236" t="s">
        <v>592</v>
      </c>
      <c r="B76" s="77" t="s">
        <v>587</v>
      </c>
      <c r="C76" s="229"/>
      <c r="D76" s="230"/>
      <c r="E76" s="155"/>
      <c r="F76" s="97"/>
      <c r="G76" s="82"/>
      <c r="H76" s="161"/>
      <c r="I76" s="98">
        <v>15.111111111111111</v>
      </c>
      <c r="J76" s="81">
        <v>2400</v>
      </c>
      <c r="K76" s="82">
        <f t="shared" si="49"/>
        <v>158.8235294117647</v>
      </c>
      <c r="L76" s="98">
        <v>15.111111111111111</v>
      </c>
      <c r="M76" s="83">
        <f>AVERAGE(M67:M75)</f>
        <v>2300.6983162535143</v>
      </c>
      <c r="N76" s="82">
        <f t="shared" si="50"/>
        <v>152.25209445795315</v>
      </c>
      <c r="O76" s="84">
        <f t="shared" si="51"/>
        <v>0</v>
      </c>
      <c r="P76" s="85">
        <f t="shared" si="52"/>
        <v>-6.5714349538115471</v>
      </c>
      <c r="Q76" s="149">
        <f t="shared" si="53"/>
        <v>0.95862429843896435</v>
      </c>
      <c r="R76" s="237"/>
      <c r="S76" s="88"/>
      <c r="T76" s="88"/>
      <c r="U76" s="82"/>
      <c r="V76" s="151"/>
      <c r="W76" s="82"/>
      <c r="X76" s="82"/>
      <c r="Y76" s="99">
        <f>SUM(Y67:Y75)</f>
        <v>0</v>
      </c>
      <c r="Z76" s="99">
        <f>SUM(Z67:Z75)</f>
        <v>0</v>
      </c>
      <c r="AA76" s="231"/>
      <c r="AB76" s="231"/>
      <c r="AC76" s="99">
        <v>9</v>
      </c>
      <c r="AD76" s="99">
        <f>SUM(AD67:AD75)</f>
        <v>0</v>
      </c>
      <c r="AE76" s="84">
        <f t="shared" si="43"/>
        <v>-99.301683746485651</v>
      </c>
      <c r="AF76" s="149">
        <f t="shared" si="54"/>
        <v>0.95862429843896435</v>
      </c>
      <c r="AG76" s="237"/>
    </row>
    <row r="77" spans="1:33">
      <c r="D77" s="112"/>
      <c r="E77" s="112"/>
      <c r="H77" s="131"/>
    </row>
  </sheetData>
  <mergeCells count="198">
    <mergeCell ref="C74:D74"/>
    <mergeCell ref="AA74:AB74"/>
    <mergeCell ref="C75:D75"/>
    <mergeCell ref="AA75:AB75"/>
    <mergeCell ref="C76:D76"/>
    <mergeCell ref="AA76:AB76"/>
    <mergeCell ref="AA70:AB70"/>
    <mergeCell ref="C71:D71"/>
    <mergeCell ref="AA71:AB71"/>
    <mergeCell ref="C72:D72"/>
    <mergeCell ref="AA72:AB72"/>
    <mergeCell ref="C73:D73"/>
    <mergeCell ref="AA73:AB73"/>
    <mergeCell ref="A67:A76"/>
    <mergeCell ref="C67:D67"/>
    <mergeCell ref="R67:R76"/>
    <mergeCell ref="AA67:AB67"/>
    <mergeCell ref="AG67:AG76"/>
    <mergeCell ref="C68:D68"/>
    <mergeCell ref="AA68:AB68"/>
    <mergeCell ref="C69:D69"/>
    <mergeCell ref="AA69:AB69"/>
    <mergeCell ref="C70:D70"/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C60:D60"/>
    <mergeCell ref="AA60:AB60"/>
    <mergeCell ref="A61:A66"/>
    <mergeCell ref="C61:D61"/>
    <mergeCell ref="R61:R66"/>
    <mergeCell ref="AA61:AB61"/>
    <mergeCell ref="AA66:AB66"/>
    <mergeCell ref="AA56:AB56"/>
    <mergeCell ref="C57:D57"/>
    <mergeCell ref="AA57:AB57"/>
    <mergeCell ref="C58:D58"/>
    <mergeCell ref="AA58:AB58"/>
    <mergeCell ref="C59:D59"/>
    <mergeCell ref="AA59:AB59"/>
    <mergeCell ref="A52:A60"/>
    <mergeCell ref="C52:D52"/>
    <mergeCell ref="R52:R60"/>
    <mergeCell ref="AA52:AB52"/>
    <mergeCell ref="AG52:AG60"/>
    <mergeCell ref="C53:D53"/>
    <mergeCell ref="AA53:AB53"/>
    <mergeCell ref="C54:D54"/>
    <mergeCell ref="AA54:AB54"/>
    <mergeCell ref="AA55:AB55"/>
    <mergeCell ref="AG48:AG51"/>
    <mergeCell ref="C49:D49"/>
    <mergeCell ref="AA49:AB49"/>
    <mergeCell ref="C50:D50"/>
    <mergeCell ref="AA50:AB50"/>
    <mergeCell ref="C51:D51"/>
    <mergeCell ref="AA51:AB51"/>
    <mergeCell ref="AA45:AB45"/>
    <mergeCell ref="C46:D46"/>
    <mergeCell ref="AA46:AB46"/>
    <mergeCell ref="C47:D47"/>
    <mergeCell ref="AA47:AB47"/>
    <mergeCell ref="A48:A51"/>
    <mergeCell ref="C48:D48"/>
    <mergeCell ref="R48:R51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A35:AB35"/>
    <mergeCell ref="C37:D37"/>
    <mergeCell ref="C38:D38"/>
    <mergeCell ref="AA38:AB38"/>
    <mergeCell ref="A39:A47"/>
    <mergeCell ref="C39:D39"/>
    <mergeCell ref="R39:R47"/>
    <mergeCell ref="AA39:AB39"/>
    <mergeCell ref="AA44:AB44"/>
    <mergeCell ref="C45:D45"/>
    <mergeCell ref="AG29:AG38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C26:D26"/>
    <mergeCell ref="AA26:AB26"/>
    <mergeCell ref="C28:D28"/>
    <mergeCell ref="AA28:AB28"/>
    <mergeCell ref="A29:A38"/>
    <mergeCell ref="C29:D29"/>
    <mergeCell ref="R29:R38"/>
    <mergeCell ref="AA29:AB29"/>
    <mergeCell ref="AA34:AB34"/>
    <mergeCell ref="C35:D35"/>
    <mergeCell ref="AG20:AG28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16:AB16"/>
    <mergeCell ref="C17:D17"/>
    <mergeCell ref="AA17:AB17"/>
    <mergeCell ref="C19:D19"/>
    <mergeCell ref="AA19:AB19"/>
    <mergeCell ref="A20:A28"/>
    <mergeCell ref="C20:D20"/>
    <mergeCell ref="R20:R28"/>
    <mergeCell ref="AA20:AB20"/>
    <mergeCell ref="AA25:AB25"/>
    <mergeCell ref="A13:A19"/>
    <mergeCell ref="C13:D13"/>
    <mergeCell ref="R13:R19"/>
    <mergeCell ref="AA13:AB13"/>
    <mergeCell ref="AG13:AG19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AA1:AB2"/>
    <mergeCell ref="AE1:AG2"/>
  </mergeCells>
  <phoneticPr fontId="2" type="noConversion"/>
  <conditionalFormatting sqref="O64:O72 O60:O61 O76 O5:O10 O12:O14 O19:O36 O38:O57">
    <cfRule type="cellIs" dxfId="76" priority="69" operator="greaterThan">
      <formula>0</formula>
    </cfRule>
  </conditionalFormatting>
  <conditionalFormatting sqref="P5:P8 P64:P65 AE64:AE65 P67:P72 P29:P36 P61 P10 P12:P14 P20:P27 P52:P57 P39:P50 AE5:AE61 AE67:AE76">
    <cfRule type="cellIs" dxfId="75" priority="73" operator="lessThan">
      <formula>0</formula>
    </cfRule>
  </conditionalFormatting>
  <conditionalFormatting sqref="AF64:AF65 Q64:Q72 Q60:Q61 Q76 Q5:Q10 Q12:Q14 Q19:Q36 Q38:Q57 AF5:AF61 AF67:AF76">
    <cfRule type="cellIs" dxfId="74" priority="70" operator="greaterThan">
      <formula>1</formula>
    </cfRule>
    <cfRule type="cellIs" dxfId="73" priority="71" operator="lessThan">
      <formula>0.8</formula>
    </cfRule>
  </conditionalFormatting>
  <conditionalFormatting sqref="AG13:AG14 R13:R14 AG64 R64:R72 R19:R25 AG19:AG25 AG28:AG36 R28:R36 AG60:AG61 R60:R61 R76 AG5:AG10 R5:R10 R38:R57 AG38:AG57">
    <cfRule type="cellIs" dxfId="72" priority="75" operator="lessThan">
      <formula>0.8</formula>
    </cfRule>
  </conditionalFormatting>
  <conditionalFormatting sqref="AG48">
    <cfRule type="cellIs" dxfId="71" priority="77" operator="lessThan">
      <formula>0.8</formula>
    </cfRule>
  </conditionalFormatting>
  <conditionalFormatting sqref="AG20:AG25">
    <cfRule type="cellIs" dxfId="70" priority="74" operator="lessThan">
      <formula>0.8</formula>
    </cfRule>
  </conditionalFormatting>
  <conditionalFormatting sqref="AG29">
    <cfRule type="cellIs" dxfId="69" priority="76" operator="lessThan">
      <formula>0.8</formula>
    </cfRule>
  </conditionalFormatting>
  <conditionalFormatting sqref="AG39:AG46">
    <cfRule type="cellIs" dxfId="68" priority="72" operator="lessThan">
      <formula>0.8</formula>
    </cfRule>
  </conditionalFormatting>
  <conditionalFormatting sqref="AE66">
    <cfRule type="cellIs" dxfId="67" priority="68" operator="lessThan">
      <formula>0</formula>
    </cfRule>
  </conditionalFormatting>
  <conditionalFormatting sqref="AF66">
    <cfRule type="cellIs" dxfId="66" priority="66" operator="greaterThan">
      <formula>1</formula>
    </cfRule>
    <cfRule type="cellIs" dxfId="65" priority="67" operator="lessThan">
      <formula>0.8</formula>
    </cfRule>
  </conditionalFormatting>
  <conditionalFormatting sqref="O15:O16">
    <cfRule type="cellIs" dxfId="64" priority="61" operator="greaterThan">
      <formula>0</formula>
    </cfRule>
  </conditionalFormatting>
  <conditionalFormatting sqref="P15:P16">
    <cfRule type="cellIs" dxfId="63" priority="64" operator="lessThan">
      <formula>0</formula>
    </cfRule>
  </conditionalFormatting>
  <conditionalFormatting sqref="Q15:Q16">
    <cfRule type="cellIs" dxfId="62" priority="62" operator="greaterThan">
      <formula>1</formula>
    </cfRule>
    <cfRule type="cellIs" dxfId="61" priority="63" operator="lessThan">
      <formula>0.8</formula>
    </cfRule>
  </conditionalFormatting>
  <conditionalFormatting sqref="R15:R16 AG15:AG16">
    <cfRule type="cellIs" dxfId="60" priority="65" operator="lessThan">
      <formula>0.8</formula>
    </cfRule>
  </conditionalFormatting>
  <conditionalFormatting sqref="O11">
    <cfRule type="cellIs" dxfId="59" priority="57" operator="greaterThan">
      <formula>0</formula>
    </cfRule>
  </conditionalFormatting>
  <conditionalFormatting sqref="P11">
    <cfRule type="cellIs" dxfId="58" priority="60" operator="lessThan">
      <formula>0</formula>
    </cfRule>
  </conditionalFormatting>
  <conditionalFormatting sqref="Q11">
    <cfRule type="cellIs" dxfId="57" priority="58" operator="greaterThan">
      <formula>1</formula>
    </cfRule>
    <cfRule type="cellIs" dxfId="56" priority="59" operator="lessThan">
      <formula>0.8</formula>
    </cfRule>
  </conditionalFormatting>
  <conditionalFormatting sqref="O58">
    <cfRule type="cellIs" dxfId="55" priority="52" operator="greaterThan">
      <formula>0</formula>
    </cfRule>
  </conditionalFormatting>
  <conditionalFormatting sqref="P58">
    <cfRule type="cellIs" dxfId="54" priority="55" operator="lessThan">
      <formula>0</formula>
    </cfRule>
  </conditionalFormatting>
  <conditionalFormatting sqref="Q58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R58 AG58">
    <cfRule type="cellIs" dxfId="51" priority="56" operator="lessThan">
      <formula>0.8</formula>
    </cfRule>
  </conditionalFormatting>
  <conditionalFormatting sqref="AG27 R27">
    <cfRule type="cellIs" dxfId="50" priority="51" operator="lessThan">
      <formula>0.8</formula>
    </cfRule>
  </conditionalFormatting>
  <conditionalFormatting sqref="O63">
    <cfRule type="cellIs" dxfId="49" priority="46" operator="greaterThan">
      <formula>0</formula>
    </cfRule>
  </conditionalFormatting>
  <conditionalFormatting sqref="P63 AE63">
    <cfRule type="cellIs" dxfId="48" priority="49" operator="lessThan">
      <formula>0</formula>
    </cfRule>
  </conditionalFormatting>
  <conditionalFormatting sqref="Q63 AF63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R63 AG63">
    <cfRule type="cellIs" dxfId="45" priority="50" operator="lessThan">
      <formula>0.8</formula>
    </cfRule>
  </conditionalFormatting>
  <conditionalFormatting sqref="O37">
    <cfRule type="cellIs" dxfId="44" priority="41" operator="greaterThan">
      <formula>0</formula>
    </cfRule>
  </conditionalFormatting>
  <conditionalFormatting sqref="P37">
    <cfRule type="cellIs" dxfId="43" priority="44" operator="lessThan">
      <formula>0</formula>
    </cfRule>
  </conditionalFormatting>
  <conditionalFormatting sqref="Q37">
    <cfRule type="cellIs" dxfId="42" priority="42" operator="greaterThan">
      <formula>1</formula>
    </cfRule>
    <cfRule type="cellIs" dxfId="41" priority="43" operator="lessThan">
      <formula>0.8</formula>
    </cfRule>
  </conditionalFormatting>
  <conditionalFormatting sqref="R37 AG37">
    <cfRule type="cellIs" dxfId="40" priority="45" operator="lessThan">
      <formula>0.8</formula>
    </cfRule>
  </conditionalFormatting>
  <conditionalFormatting sqref="O73">
    <cfRule type="cellIs" dxfId="39" priority="36" operator="greaterThan">
      <formula>0</formula>
    </cfRule>
  </conditionalFormatting>
  <conditionalFormatting sqref="P73">
    <cfRule type="cellIs" dxfId="38" priority="39" operator="lessThan">
      <formula>0</formula>
    </cfRule>
  </conditionalFormatting>
  <conditionalFormatting sqref="Q73">
    <cfRule type="cellIs" dxfId="37" priority="37" operator="greaterThan">
      <formula>1</formula>
    </cfRule>
    <cfRule type="cellIs" dxfId="36" priority="38" operator="lessThan">
      <formula>0.8</formula>
    </cfRule>
  </conditionalFormatting>
  <conditionalFormatting sqref="R73">
    <cfRule type="cellIs" dxfId="35" priority="40" operator="lessThan">
      <formula>0.8</formula>
    </cfRule>
  </conditionalFormatting>
  <conditionalFormatting sqref="O17:O18">
    <cfRule type="cellIs" dxfId="34" priority="31" operator="greaterThan">
      <formula>0</formula>
    </cfRule>
  </conditionalFormatting>
  <conditionalFormatting sqref="P17:P18">
    <cfRule type="cellIs" dxfId="33" priority="34" operator="lessThan">
      <formula>0</formula>
    </cfRule>
  </conditionalFormatting>
  <conditionalFormatting sqref="Q17:Q18">
    <cfRule type="cellIs" dxfId="32" priority="32" operator="greaterThan">
      <formula>1</formula>
    </cfRule>
    <cfRule type="cellIs" dxfId="31" priority="33" operator="lessThan">
      <formula>0.8</formula>
    </cfRule>
  </conditionalFormatting>
  <conditionalFormatting sqref="R17:R18 AG17:AG18">
    <cfRule type="cellIs" dxfId="30" priority="35" operator="lessThan">
      <formula>0.8</formula>
    </cfRule>
  </conditionalFormatting>
  <conditionalFormatting sqref="O59">
    <cfRule type="cellIs" dxfId="29" priority="26" operator="greaterThan">
      <formula>0</formula>
    </cfRule>
  </conditionalFormatting>
  <conditionalFormatting sqref="P59">
    <cfRule type="cellIs" dxfId="28" priority="29" operator="lessThan">
      <formula>0</formula>
    </cfRule>
  </conditionalFormatting>
  <conditionalFormatting sqref="Q59">
    <cfRule type="cellIs" dxfId="27" priority="27" operator="greaterThan">
      <formula>1</formula>
    </cfRule>
    <cfRule type="cellIs" dxfId="26" priority="28" operator="lessThan">
      <formula>0.8</formula>
    </cfRule>
  </conditionalFormatting>
  <conditionalFormatting sqref="AG59 R59">
    <cfRule type="cellIs" dxfId="25" priority="30" operator="lessThan">
      <formula>0.8</formula>
    </cfRule>
  </conditionalFormatting>
  <conditionalFormatting sqref="R26 AG26">
    <cfRule type="cellIs" dxfId="24" priority="25" operator="lessThan">
      <formula>0.8</formula>
    </cfRule>
  </conditionalFormatting>
  <conditionalFormatting sqref="AG26">
    <cfRule type="cellIs" dxfId="23" priority="24" operator="lessThan">
      <formula>0.8</formula>
    </cfRule>
  </conditionalFormatting>
  <conditionalFormatting sqref="O62">
    <cfRule type="cellIs" dxfId="22" priority="19" operator="greaterThan">
      <formula>0</formula>
    </cfRule>
  </conditionalFormatting>
  <conditionalFormatting sqref="P62 AE62">
    <cfRule type="cellIs" dxfId="21" priority="22" operator="lessThan">
      <formula>0</formula>
    </cfRule>
  </conditionalFormatting>
  <conditionalFormatting sqref="Q62 AF62">
    <cfRule type="cellIs" dxfId="20" priority="20" operator="greaterThan">
      <formula>1</formula>
    </cfRule>
    <cfRule type="cellIs" dxfId="19" priority="21" operator="lessThan">
      <formula>0.8</formula>
    </cfRule>
  </conditionalFormatting>
  <conditionalFormatting sqref="R62 AG62">
    <cfRule type="cellIs" dxfId="18" priority="23" operator="lessThan">
      <formula>0.8</formula>
    </cfRule>
  </conditionalFormatting>
  <conditionalFormatting sqref="P9">
    <cfRule type="cellIs" dxfId="17" priority="18" operator="lessThan">
      <formula>0</formula>
    </cfRule>
  </conditionalFormatting>
  <conditionalFormatting sqref="P19">
    <cfRule type="cellIs" dxfId="16" priority="17" operator="lessThan">
      <formula>0</formula>
    </cfRule>
  </conditionalFormatting>
  <conditionalFormatting sqref="P28">
    <cfRule type="cellIs" dxfId="15" priority="16" operator="lessThan">
      <formula>0</formula>
    </cfRule>
  </conditionalFormatting>
  <conditionalFormatting sqref="P38">
    <cfRule type="cellIs" dxfId="14" priority="15" operator="lessThan">
      <formula>0</formula>
    </cfRule>
  </conditionalFormatting>
  <conditionalFormatting sqref="P51">
    <cfRule type="cellIs" dxfId="13" priority="14" operator="lessThan">
      <formula>0</formula>
    </cfRule>
  </conditionalFormatting>
  <conditionalFormatting sqref="P60">
    <cfRule type="cellIs" dxfId="12" priority="13" operator="lessThan">
      <formula>0</formula>
    </cfRule>
  </conditionalFormatting>
  <conditionalFormatting sqref="P66">
    <cfRule type="cellIs" dxfId="11" priority="12" operator="lessThan">
      <formula>0</formula>
    </cfRule>
  </conditionalFormatting>
  <conditionalFormatting sqref="P76">
    <cfRule type="cellIs" dxfId="10" priority="11" operator="lessThan">
      <formula>0</formula>
    </cfRule>
  </conditionalFormatting>
  <conditionalFormatting sqref="O74">
    <cfRule type="cellIs" dxfId="9" priority="6" operator="greaterThan">
      <formula>0</formula>
    </cfRule>
  </conditionalFormatting>
  <conditionalFormatting sqref="P74">
    <cfRule type="cellIs" dxfId="8" priority="9" operator="lessThan">
      <formula>0</formula>
    </cfRule>
  </conditionalFormatting>
  <conditionalFormatting sqref="Q74">
    <cfRule type="cellIs" dxfId="7" priority="7" operator="greaterThan">
      <formula>1</formula>
    </cfRule>
    <cfRule type="cellIs" dxfId="6" priority="8" operator="lessThan">
      <formula>0.8</formula>
    </cfRule>
  </conditionalFormatting>
  <conditionalFormatting sqref="R74">
    <cfRule type="cellIs" dxfId="5" priority="10" operator="lessThan">
      <formula>0.8</formula>
    </cfRule>
  </conditionalFormatting>
  <conditionalFormatting sqref="O75">
    <cfRule type="cellIs" dxfId="4" priority="1" operator="greaterThan">
      <formula>0</formula>
    </cfRule>
  </conditionalFormatting>
  <conditionalFormatting sqref="P75">
    <cfRule type="cellIs" dxfId="3" priority="4" operator="lessThan">
      <formula>0</formula>
    </cfRule>
  </conditionalFormatting>
  <conditionalFormatting sqref="Q75">
    <cfRule type="cellIs" dxfId="2" priority="2" operator="greaterThan">
      <formula>1</formula>
    </cfRule>
    <cfRule type="cellIs" dxfId="1" priority="3" operator="lessThan">
      <formula>0.8</formula>
    </cfRule>
  </conditionalFormatting>
  <conditionalFormatting sqref="R75">
    <cfRule type="cellIs" dxfId="0" priority="5" operator="lessThan">
      <formula>0.8</formula>
    </cfRule>
  </conditionalFormatting>
  <dataValidations count="1">
    <dataValidation type="list" allowBlank="1" showInputMessage="1" showErrorMessage="1" sqref="AB9 AA5:AB8 AB65 AB11:AB61 AA9:AA65 AA66:AB76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C7" sqref="C7:D7"/>
    </sheetView>
  </sheetViews>
  <sheetFormatPr defaultColWidth="8.75" defaultRowHeight="15.75"/>
  <cols>
    <col min="1" max="1" width="8.75" style="2"/>
    <col min="2" max="2" width="17.875" style="2" customWidth="1"/>
    <col min="3" max="3" width="9.25" style="10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212" t="s">
        <v>414</v>
      </c>
      <c r="C1" s="212"/>
      <c r="D1" s="212"/>
      <c r="E1" s="212"/>
      <c r="F1" s="212"/>
      <c r="G1" s="212"/>
      <c r="H1" s="212"/>
      <c r="I1" s="212"/>
      <c r="J1" s="212"/>
      <c r="K1" s="1"/>
      <c r="L1" s="1"/>
      <c r="M1" s="1"/>
      <c r="N1" s="1"/>
      <c r="O1" s="1"/>
      <c r="P1" s="1"/>
    </row>
    <row r="2" spans="2:17" ht="27.75" customHeight="1">
      <c r="B2" s="213"/>
      <c r="C2" s="213"/>
      <c r="D2" s="213"/>
      <c r="E2" s="213"/>
      <c r="F2" s="213"/>
      <c r="G2" s="213"/>
      <c r="H2" s="213"/>
      <c r="I2" s="213"/>
      <c r="J2" s="213"/>
      <c r="K2" s="3"/>
      <c r="L2" s="3"/>
      <c r="M2" s="3"/>
      <c r="N2" s="1"/>
      <c r="O2" s="1"/>
      <c r="P2" s="1"/>
    </row>
    <row r="3" spans="2:17" ht="46.5" customHeight="1">
      <c r="B3" s="4" t="s">
        <v>415</v>
      </c>
      <c r="C3" s="214" t="str">
        <f>TEXT('1004 4度C'!A2,"yyyy.mm.ddaaaa")</f>
        <v>2026.10.04星期日</v>
      </c>
      <c r="D3" s="215"/>
      <c r="E3" s="4" t="s">
        <v>416</v>
      </c>
      <c r="F3" s="216">
        <f>'1004 4度C'!D1</f>
        <v>198735</v>
      </c>
      <c r="G3" s="217"/>
      <c r="H3" s="4" t="s">
        <v>3</v>
      </c>
      <c r="I3" s="218">
        <f>'1004 4度C'!F1</f>
        <v>6690404.4700000007</v>
      </c>
      <c r="J3" s="219"/>
      <c r="K3" s="5"/>
      <c r="L3" s="6"/>
      <c r="M3" s="7"/>
      <c r="N3" s="7"/>
    </row>
    <row r="4" spans="2:17" ht="28.5" customHeight="1">
      <c r="B4" s="220" t="s">
        <v>417</v>
      </c>
      <c r="C4" s="206" t="s">
        <v>418</v>
      </c>
      <c r="D4" s="207"/>
      <c r="E4" s="223" t="s">
        <v>6</v>
      </c>
      <c r="F4" s="224"/>
      <c r="G4" s="223" t="s">
        <v>419</v>
      </c>
      <c r="H4" s="224"/>
      <c r="I4" s="223" t="s">
        <v>420</v>
      </c>
      <c r="J4" s="224"/>
      <c r="K4" s="204" t="s">
        <v>421</v>
      </c>
      <c r="L4" s="205"/>
      <c r="M4" s="205" t="s">
        <v>422</v>
      </c>
      <c r="N4" s="205"/>
    </row>
    <row r="5" spans="2:17" ht="28.5" customHeight="1">
      <c r="B5" s="221"/>
      <c r="C5" s="206" t="s">
        <v>423</v>
      </c>
      <c r="D5" s="207"/>
      <c r="E5" s="206" t="s">
        <v>424</v>
      </c>
      <c r="F5" s="207"/>
      <c r="G5" s="208" t="s">
        <v>425</v>
      </c>
      <c r="H5" s="209"/>
      <c r="I5" s="210" t="s">
        <v>195</v>
      </c>
      <c r="J5" s="211"/>
      <c r="K5" s="8" t="s">
        <v>426</v>
      </c>
      <c r="L5" s="9" t="s">
        <v>427</v>
      </c>
      <c r="M5" s="8" t="s">
        <v>426</v>
      </c>
      <c r="N5" s="9" t="s">
        <v>428</v>
      </c>
    </row>
    <row r="6" spans="2:17" ht="28.5" customHeight="1">
      <c r="B6" s="221"/>
      <c r="C6" s="206" t="s">
        <v>18</v>
      </c>
      <c r="D6" s="207"/>
      <c r="E6" s="198">
        <f>AVERAGE(D13:M13)</f>
        <v>151.18063818112358</v>
      </c>
      <c r="F6" s="199">
        <f>AVERAGE(D31:O31,D13:J13)</f>
        <v>156.04444296574806</v>
      </c>
      <c r="G6" s="200">
        <f>AVERAGE(D13:J13)</f>
        <v>156.04444296574806</v>
      </c>
      <c r="H6" s="201"/>
      <c r="I6" s="200">
        <f>AVERAGE(K13:M13)</f>
        <v>139.8317603503331</v>
      </c>
      <c r="J6" s="201"/>
      <c r="K6" s="202">
        <f>'1004 4度C'!Y2</f>
        <v>0</v>
      </c>
      <c r="L6" s="187">
        <f>'1004 4度C'!Z2</f>
        <v>0</v>
      </c>
      <c r="M6" s="203">
        <f>'1004 4度C'!AC2</f>
        <v>64</v>
      </c>
      <c r="N6" s="187">
        <f>'1004 4度C'!AD2</f>
        <v>0</v>
      </c>
    </row>
    <row r="7" spans="2:17" ht="28.5" customHeight="1">
      <c r="B7" s="221"/>
      <c r="C7" s="188" t="s">
        <v>19</v>
      </c>
      <c r="D7" s="189"/>
      <c r="E7" s="190">
        <f>AVERAGE(D14:M14)</f>
        <v>145.01447881036515</v>
      </c>
      <c r="F7" s="191">
        <f>AVERAGE(D32:O32,D14:J14)</f>
        <v>149.86525806781339</v>
      </c>
      <c r="G7" s="192">
        <f>AVERAGE(D14:J14)</f>
        <v>149.86525806781339</v>
      </c>
      <c r="H7" s="193"/>
      <c r="I7" s="192">
        <f>AVERAGE(K14:M14)</f>
        <v>133.69599387631925</v>
      </c>
      <c r="J7" s="193"/>
      <c r="K7" s="202"/>
      <c r="L7" s="187"/>
      <c r="M7" s="203"/>
      <c r="N7" s="187"/>
    </row>
    <row r="8" spans="2:17" ht="28.5" customHeight="1">
      <c r="B8" s="222"/>
      <c r="C8" s="188" t="s">
        <v>20</v>
      </c>
      <c r="D8" s="189"/>
      <c r="E8" s="194">
        <f>AVERAGE(D15:M15)</f>
        <v>0.95900351781123017</v>
      </c>
      <c r="F8" s="195">
        <f>AVERAGE(D15:J15,D33:O33)</f>
        <v>0.96022261980929535</v>
      </c>
      <c r="G8" s="196">
        <f>AVERAGE(D15:J15)</f>
        <v>0.96022261980929535</v>
      </c>
      <c r="H8" s="197"/>
      <c r="I8" s="196">
        <f>AVERAGE(K15:M15)</f>
        <v>0.95615894648241095</v>
      </c>
      <c r="J8" s="197"/>
      <c r="K8" s="202"/>
      <c r="L8" s="187"/>
      <c r="M8" s="203"/>
      <c r="N8" s="187"/>
    </row>
    <row r="9" spans="2:17" ht="28.5" customHeight="1" thickBot="1">
      <c r="H9" s="11"/>
      <c r="K9" s="12" t="s">
        <v>199</v>
      </c>
      <c r="N9" s="7"/>
      <c r="O9" s="7"/>
      <c r="P9" s="7"/>
      <c r="Q9" s="7"/>
    </row>
    <row r="10" spans="2:17" ht="30" customHeight="1">
      <c r="B10" s="170" t="s">
        <v>200</v>
      </c>
      <c r="C10" s="171"/>
      <c r="D10" s="172" t="s">
        <v>429</v>
      </c>
      <c r="E10" s="173"/>
      <c r="F10" s="173"/>
      <c r="G10" s="173"/>
      <c r="H10" s="173"/>
      <c r="I10" s="173"/>
      <c r="J10" s="174"/>
      <c r="K10" s="175" t="s">
        <v>202</v>
      </c>
      <c r="L10" s="176"/>
      <c r="M10" s="177"/>
      <c r="P10" s="13"/>
      <c r="Q10" s="13"/>
    </row>
    <row r="11" spans="2:17" ht="17.25" customHeight="1">
      <c r="B11" s="178" t="s">
        <v>430</v>
      </c>
      <c r="C11" s="179"/>
      <c r="D11" s="14">
        <v>1</v>
      </c>
      <c r="E11" s="15">
        <v>2</v>
      </c>
      <c r="F11" s="15">
        <v>3</v>
      </c>
      <c r="G11" s="15">
        <v>4</v>
      </c>
      <c r="H11" s="15">
        <v>5</v>
      </c>
      <c r="I11" s="15">
        <v>6</v>
      </c>
      <c r="J11" s="16">
        <v>7</v>
      </c>
      <c r="K11" s="14">
        <v>1</v>
      </c>
      <c r="L11" s="15">
        <v>2</v>
      </c>
      <c r="M11" s="16">
        <v>3</v>
      </c>
      <c r="P11" s="13"/>
      <c r="Q11" s="13"/>
    </row>
    <row r="12" spans="2:17" ht="34.15" customHeight="1">
      <c r="B12" s="180"/>
      <c r="C12" s="181"/>
      <c r="D12" s="17" t="s">
        <v>26</v>
      </c>
      <c r="E12" s="18" t="s">
        <v>27</v>
      </c>
      <c r="F12" s="18" t="s">
        <v>28</v>
      </c>
      <c r="G12" s="18" t="s">
        <v>29</v>
      </c>
      <c r="H12" s="18" t="s">
        <v>30</v>
      </c>
      <c r="I12" s="18" t="s">
        <v>31</v>
      </c>
      <c r="J12" s="19" t="s">
        <v>32</v>
      </c>
      <c r="K12" s="17" t="s">
        <v>33</v>
      </c>
      <c r="L12" s="18" t="s">
        <v>34</v>
      </c>
      <c r="M12" s="19" t="s">
        <v>35</v>
      </c>
    </row>
    <row r="13" spans="2:17" ht="40.15" customHeight="1">
      <c r="B13" s="182" t="s">
        <v>36</v>
      </c>
      <c r="C13" s="20" t="s">
        <v>318</v>
      </c>
      <c r="D13" s="21">
        <f>SUMIFS('1004 4度C'!$K:$K,'1004 4度C'!$A:$A,"新豐6線",'1004 4度C'!$B:$B,"平均")</f>
        <v>133.33333333333334</v>
      </c>
      <c r="E13" s="22">
        <f>SUMIFS('1004 4度C'!$K:$K,'1004 4度C'!$A:$A,"新豐2線",'1004 4度C'!$B:$B,"平均")</f>
        <v>84.905660377358487</v>
      </c>
      <c r="F13" s="23">
        <f>SUMIFS('1004 4度C'!$K:$K,'1004 4度C'!$A:$A,"新豐5線",'1004 4度C'!$B:$B,"平均")</f>
        <v>102.94117647058823</v>
      </c>
      <c r="G13" s="23">
        <f>SUMIFS('1004 4度C'!$K:$K,'1004 4度C'!$A:$A,"新豐7線",'1004 4度C'!$B:$B,"平均")</f>
        <v>125</v>
      </c>
      <c r="H13" s="23">
        <f>SUMIFS('1004 4度C'!$K:$K,'1004 4度C'!$A:$A,"新豐3線",'1004 4度C'!$B:$B,"平均")</f>
        <v>242.42424242424241</v>
      </c>
      <c r="I13" s="23">
        <f>SUMIFS('1004 4度C'!$K:$K,'1004 4度C'!$A:$A,"新豐1線",'1004 4度C'!$B:$B,"平均")</f>
        <v>109.58904109589041</v>
      </c>
      <c r="J13" s="24">
        <f>SUMIFS('1004 4度C'!$K:$K,'1004 4度C'!$A:$A,"新豐10線",'1004 4度C'!$B:$B,"平均")</f>
        <v>294.11764705882354</v>
      </c>
      <c r="K13" s="25">
        <f>SUMIFS('1004 4度C'!$K:$K,'1004 4度C'!$A:$A,"新豐8線",'1004 4度C'!$B:$B,"平均")</f>
        <v>135.84905660377356</v>
      </c>
      <c r="L13" s="26">
        <f>SUMIFS('1004 4度C'!$K:$K,'1004 4度C'!$A:$A,"新豐9線",'1004 4度C'!$B:$B,"平均")</f>
        <v>124.822695035461</v>
      </c>
      <c r="M13" s="24">
        <f>SUMIFS('1004 4度C'!$K:$K,'1004 4度C'!$A:$A,"新豐4線",'1004 4度C'!$B:$B,"平均")</f>
        <v>158.8235294117647</v>
      </c>
    </row>
    <row r="14" spans="2:17" ht="39.6" customHeight="1">
      <c r="B14" s="183"/>
      <c r="C14" s="27" t="s">
        <v>431</v>
      </c>
      <c r="D14" s="28">
        <f>SUMIFS('1004 4度C'!$N:$N,'1004 4度C'!$A:$A,"新豐6線",'1004 4度C'!$B:$B,"平均")</f>
        <v>128.58981054787503</v>
      </c>
      <c r="E14" s="29">
        <f>SUMIFS('1004 4度C'!$N:$N,'1004 4度C'!$A:$A,"新豐2線",'1004 4度C'!$B:$B,"平均")</f>
        <v>80.961736502651675</v>
      </c>
      <c r="F14" s="29">
        <f>SUMIFS('1004 4度C'!$N:$N,'1004 4度C'!$A:$A,"新豐5線",'1004 4度C'!$B:$B,"平均")</f>
        <v>98.582173674929535</v>
      </c>
      <c r="G14" s="29">
        <f>SUMIFS('1004 4度C'!$N:$N,'1004 4度C'!$A:$A,"新豐7線",'1004 4度C'!$B:$B,"平均")</f>
        <v>120.3927998317001</v>
      </c>
      <c r="H14" s="29">
        <f>SUMIFS('1004 4度C'!$N:$N,'1004 4度C'!$A:$A,"新豐3線",'1004 4度C'!$B:$B,"平均")</f>
        <v>231.43028469786157</v>
      </c>
      <c r="I14" s="29">
        <f>SUMIFS('1004 4度C'!$N:$N,'1004 4度C'!$A:$A,"新豐1線",'1004 4度C'!$B:$B,"平均")</f>
        <v>105.71138688768471</v>
      </c>
      <c r="J14" s="30">
        <f>SUMIFS('1004 4度C'!$N:$N,'1004 4度C'!$A:$A,"新豐10線",'1004 4度C'!$B:$B,"平均")</f>
        <v>283.38861433199116</v>
      </c>
      <c r="K14" s="31">
        <f>SUMIFS('1004 4度C'!$N:$N,'1004 4度C'!$A:$A,"新豐8線",'1004 4度C'!$B:$B,"平均")</f>
        <v>130.10702259947294</v>
      </c>
      <c r="L14" s="32">
        <f>SUMIFS('1004 4度C'!$N:$N,'1004 4度C'!$A:$A,"新豐9線",'1004 4度C'!$B:$B,"平均")</f>
        <v>119.27705476828234</v>
      </c>
      <c r="M14" s="30">
        <f>SUMIFS('1004 4度C'!$N:$N,'1004 4度C'!$A:$A,"新豐4線",'1004 4度C'!$B:$B,"平均")</f>
        <v>151.70390426120247</v>
      </c>
    </row>
    <row r="15" spans="2:17" ht="40.15" customHeight="1">
      <c r="B15" s="184"/>
      <c r="C15" s="33" t="s">
        <v>206</v>
      </c>
      <c r="D15" s="34">
        <f t="shared" ref="D15:M15" si="0">D14/D13</f>
        <v>0.96442357910906262</v>
      </c>
      <c r="E15" s="35">
        <f t="shared" si="0"/>
        <v>0.9535493410312309</v>
      </c>
      <c r="F15" s="35">
        <f t="shared" si="0"/>
        <v>0.95765540141360128</v>
      </c>
      <c r="G15" s="35">
        <f t="shared" si="0"/>
        <v>0.96314239865360085</v>
      </c>
      <c r="H15" s="35">
        <f t="shared" si="0"/>
        <v>0.95464992437867902</v>
      </c>
      <c r="I15" s="35">
        <f t="shared" si="0"/>
        <v>0.96461640535012305</v>
      </c>
      <c r="J15" s="36">
        <f t="shared" si="0"/>
        <v>0.96352128872876996</v>
      </c>
      <c r="K15" s="34">
        <f t="shared" si="0"/>
        <v>0.95773224969056492</v>
      </c>
      <c r="L15" s="35">
        <f t="shared" si="0"/>
        <v>0.95557185922317101</v>
      </c>
      <c r="M15" s="36">
        <f t="shared" si="0"/>
        <v>0.95517273053349705</v>
      </c>
    </row>
    <row r="16" spans="2:17" ht="17.25" customHeight="1">
      <c r="B16" s="185" t="s">
        <v>432</v>
      </c>
      <c r="C16" s="37" t="s">
        <v>41</v>
      </c>
      <c r="D16" s="38">
        <f>VLOOKUP("新豐6線",'1004 4度C'!$A:$T,19,0)</f>
        <v>0.70833333333333337</v>
      </c>
      <c r="E16" s="39">
        <f>VLOOKUP("新豐2線",'1004 4度C'!$A:$T,19,0)</f>
        <v>0.16666666666666666</v>
      </c>
      <c r="F16" s="39">
        <f>VLOOKUP("新豐5線",'1004 4度C'!$A:$T,19,0)</f>
        <v>0.25</v>
      </c>
      <c r="G16" s="39">
        <f>VLOOKUP("新豐7線",'1004 4度C'!$A:$T,19,0)</f>
        <v>0.29166666666666669</v>
      </c>
      <c r="H16" s="39">
        <f>VLOOKUP("新豐3線",'1004 4度C'!$A:$T,19,0)</f>
        <v>0.20833333333333334</v>
      </c>
      <c r="I16" s="39">
        <f>VLOOKUP("新豐1線",'1004 4度C'!$A:$T,19,0)</f>
        <v>0.20833333333333334</v>
      </c>
      <c r="J16" s="40">
        <f>VLOOKUP("新豐10線",'1004 4度C'!$A:$T,19,0)</f>
        <v>0.20833333333333334</v>
      </c>
      <c r="K16" s="41">
        <f>VLOOKUP("新豐8線",'1004 4度C'!$A:$T,19,0)</f>
        <v>8.3333333333333329E-2</v>
      </c>
      <c r="L16" s="42">
        <f>VLOOKUP("新豐9線",'1004 4度C'!$A:$T,19,0)</f>
        <v>8.3333333333333329E-2</v>
      </c>
      <c r="M16" s="43">
        <f>VLOOKUP("新豐4線",'1004 4度C'!$A:$T,19,0)</f>
        <v>8.3333333333333329E-2</v>
      </c>
    </row>
    <row r="17" spans="2:13" ht="17.25" customHeight="1">
      <c r="B17" s="186"/>
      <c r="C17" s="37" t="s">
        <v>433</v>
      </c>
      <c r="D17" s="41">
        <f>LOOKUP(2,1/(('1004 4度C'!$A:$A="新豐6線")*('1004 4度C'!$T:$T&lt;&gt;"")),'1004 4度C'!$T:$T)</f>
        <v>0.9145833333333333</v>
      </c>
      <c r="E17" s="39">
        <f>LOOKUP(2,1/(('1004 4度C'!$A:$A="新豐2線")*('1004 4度C'!$T:$T&lt;&gt;"")),'1004 4度C'!$T:$T)</f>
        <v>0.64861111111111114</v>
      </c>
      <c r="F17" s="39">
        <f>LOOKUP(2,1/(('1004 4度C'!$A:$A="新豐5線")*('1004 4度C'!$T:$T&lt;&gt;"")),'1004 4度C'!$T:$T)</f>
        <v>0.85694444444444451</v>
      </c>
      <c r="G17" s="39">
        <f>LOOKUP(2,1/(('1004 4度C'!$A:$A="新豐7線")*('1004 4度C'!$T:$T&lt;&gt;"")),'1004 4度C'!$T:$T)</f>
        <v>0.91388888888888897</v>
      </c>
      <c r="H17" s="39">
        <f>LOOKUP(2,1/(('1004 4度C'!$A:$A="新豐3線")*('1004 4度C'!$T:$T&lt;&gt;"")),'1004 4度C'!$T:$T)</f>
        <v>0.49583333333333329</v>
      </c>
      <c r="I17" s="39">
        <f>LOOKUP(2,1/(('1004 4度C'!$A:$A="新豐1線")*('1004 4度C'!$T:$T&lt;&gt;"")),'1004 4度C'!$T:$T)</f>
        <v>0.8618055555555556</v>
      </c>
      <c r="J17" s="40">
        <f>LOOKUP(2,1/(('1004 4度C'!$A:$A="新豐10線")*('1004 4度C'!$T:$T&lt;&gt;"")),'1004 4度C'!$T:$T)</f>
        <v>0.4597222222222222</v>
      </c>
      <c r="K17" s="38">
        <f>LOOKUP(2,1/(('1004 4度C'!$A:$A="新豐8線")*('1004 4度C'!$T:$T&lt;&gt;"")),'1004 4度C'!$T:$T)</f>
        <v>0.78402777777777766</v>
      </c>
      <c r="L17" s="39">
        <f>LOOKUP(2,1/(('1004 4度C'!$A:$A="新豐9線")*('1004 4度C'!$T:$T&lt;&gt;"")),'1004 4度C'!$T:$T)</f>
        <v>0.77916666666666656</v>
      </c>
      <c r="M17" s="40">
        <f>LOOKUP(2,1/(('1004 4度C'!$A:$A="新豐4線")*('1004 4度C'!$T:$T&lt;&gt;"")),'1004 4度C'!$T:$T)</f>
        <v>0.79027777777777763</v>
      </c>
    </row>
    <row r="18" spans="2:13" ht="17.25" customHeight="1">
      <c r="B18" s="164" t="s">
        <v>434</v>
      </c>
      <c r="C18" s="44" t="s">
        <v>435</v>
      </c>
      <c r="D18" s="45">
        <f>SUMIFS('1004 4度C'!$Y:$Y,'1004 4度C'!$A:$A,"新豐6線",'1004 4度C'!$B:$B,"平均")</f>
        <v>0</v>
      </c>
      <c r="E18" s="46">
        <f>SUMIFS('1004 4度C'!$Y:$Y,'1004 4度C'!$A:$A,"新豐2線",'1004 4度C'!$B:$B,"平均")</f>
        <v>0</v>
      </c>
      <c r="F18" s="46">
        <f>SUMIFS('1004 4度C'!$Y:$Y,'1004 4度C'!$A:$A,"新豐5線",'1004 4度C'!$B:$B,"平均")</f>
        <v>0</v>
      </c>
      <c r="G18" s="46">
        <f>SUMIFS('1004 4度C'!$Y:$Y,'1004 4度C'!$A:$A,"新豐7線",'1004 4度C'!$B:$B,"平均")</f>
        <v>0</v>
      </c>
      <c r="H18" s="46">
        <f>SUMIFS('1004 4度C'!$Y:$Y,'1004 4度C'!$A:$A,"新豐3線",'1004 4度C'!$B:$B,"平均")</f>
        <v>0</v>
      </c>
      <c r="I18" s="46">
        <f>SUMIFS('1004 4度C'!$Y:$Y,'1004 4度C'!$A:$A,"新豐1線",'1004 4度C'!$B:$B,"平均")</f>
        <v>0</v>
      </c>
      <c r="J18" s="47">
        <f>SUMIFS('1004 4度C'!$Y:$Y,'1004 4度C'!$A:$A,"新豐10線",'1004 4度C'!$B:$B,"平均")</f>
        <v>0</v>
      </c>
      <c r="K18" s="48">
        <f>SUMIFS('1004 4度C'!$Y:$Y,'1004 4度C'!$A:$A,"新豐8線",'1004 4度C'!$B:$B,"平均")</f>
        <v>0</v>
      </c>
      <c r="L18" s="46">
        <f>SUMIFS('1004 4度C'!$Y:$Y,'1004 4度C'!$A:$A,"新豐9線",'1004 4度C'!$B:$B,"平均")</f>
        <v>0</v>
      </c>
      <c r="M18" s="47">
        <f>SUMIFS('1004 4度C'!$Y:$Y,'1004 4度C'!$A:$A,"新豐4線",'1004 4度C'!$B:$B,"平均")</f>
        <v>0</v>
      </c>
    </row>
    <row r="19" spans="2:13" ht="17.25" customHeight="1">
      <c r="B19" s="165"/>
      <c r="C19" s="44" t="s">
        <v>436</v>
      </c>
      <c r="D19" s="45">
        <f>SUMIFS('1004 4度C'!$Z:$Z,'1004 4度C'!$A:$A,"新豐6線",'1004 4度C'!$B:$B,"平均")</f>
        <v>0</v>
      </c>
      <c r="E19" s="46">
        <f>SUMIFS('1004 4度C'!$Z:$Z,'1004 4度C'!$A:$A,"新豐2線",'1004 4度C'!$B:$B,"平均")</f>
        <v>0</v>
      </c>
      <c r="F19" s="46">
        <f>SUMIFS('1004 4度C'!$Z:$Z,'1004 4度C'!$A:$A,"新豐5線",'1004 4度C'!$B:$B,"平均")</f>
        <v>0</v>
      </c>
      <c r="G19" s="46">
        <f>SUMIFS('1004 4度C'!$Z:$Z,'1004 4度C'!$A:$A,"新豐7線",'1004 4度C'!$B:$B,"平均")</f>
        <v>0</v>
      </c>
      <c r="H19" s="46">
        <f>SUMIFS('1004 4度C'!$Z:$Z,'1004 4度C'!$A:$A,"新豐3線",'1004 4度C'!$B:$B,"平均")</f>
        <v>0</v>
      </c>
      <c r="I19" s="46">
        <f>SUMIFS('1004 4度C'!$Z:$Z,'1004 4度C'!$A:$A,"新豐1線",'1004 4度C'!$B:$B,"平均")</f>
        <v>0</v>
      </c>
      <c r="J19" s="47">
        <f>SUMIFS('1004 4度C'!$Z:$Z,'1004 4度C'!$A:$A,"新豐10線",'1004 4度C'!$B:$B,"平均")</f>
        <v>0</v>
      </c>
      <c r="K19" s="48">
        <f>SUMIFS('1004 4度C'!$Z:$Z,'1004 4度C'!$A:$A,"新豐8線",'1004 4度C'!$B:$B,"平均")</f>
        <v>0</v>
      </c>
      <c r="L19" s="46">
        <f>SUMIFS('1004 4度C'!$Z:$Z,'1004 4度C'!$A:$A,"新豐9線",'1004 4度C'!$B:$B,"平均")</f>
        <v>0</v>
      </c>
      <c r="M19" s="47">
        <f>SUMIFS('1004 4度C'!$Z:$Z,'1004 4度C'!$A:$A,"新豐4線",'1004 4度C'!$B:$B,"平均")</f>
        <v>0</v>
      </c>
    </row>
    <row r="20" spans="2:13" ht="17.25" customHeight="1">
      <c r="B20" s="164" t="s">
        <v>437</v>
      </c>
      <c r="C20" s="44" t="s">
        <v>435</v>
      </c>
      <c r="D20" s="45">
        <f>SUMIFS('1004 4度C'!$AC:$AC,'1004 4度C'!$A:$A,"新豐6線",'1004 4度C'!$B:$B,"平均")</f>
        <v>4</v>
      </c>
      <c r="E20" s="46">
        <f>SUMIFS('1004 4度C'!$AC:$AC,'1004 4度C'!$A:$A,"新豐2線",'1004 4度C'!$B:$B,"平均")</f>
        <v>3</v>
      </c>
      <c r="F20" s="46">
        <f>SUMIFS('1004 4度C'!$AC:$AC,'1004 4度C'!$A:$A,"新豐5線",'1004 4度C'!$B:$B,"平均")</f>
        <v>6</v>
      </c>
      <c r="G20" s="46">
        <f>SUMIFS('1004 4度C'!$AC:$AC,'1004 4度C'!$A:$A,"新豐7線",'1004 4度C'!$B:$B,"平均")</f>
        <v>9</v>
      </c>
      <c r="H20" s="46">
        <f>SUMIFS('1004 4度C'!$AC:$AC,'1004 4度C'!$A:$A,"新豐3線",'1004 4度C'!$B:$B,"平均")</f>
        <v>3</v>
      </c>
      <c r="I20" s="46">
        <f>SUMIFS('1004 4度C'!$AC:$AC,'1004 4度C'!$A:$A,"新豐1線",'1004 4度C'!$B:$B,"平均")</f>
        <v>8</v>
      </c>
      <c r="J20" s="47">
        <f>SUMIFS('1004 4度C'!$AC:$AC,'1004 4度C'!$A:$A,"新豐10線",'1004 4度C'!$B:$B,"平均")</f>
        <v>5</v>
      </c>
      <c r="K20" s="48">
        <f>SUMIFS('1004 4度C'!$AC:$AC,'1004 4度C'!$A:$A,"新豐8線",'1004 4度C'!$B:$B,"平均")</f>
        <v>9</v>
      </c>
      <c r="L20" s="46">
        <f>SUMIFS('1004 4度C'!$AC:$AC,'1004 4度C'!$A:$A,"新豐9線",'1004 4度C'!$B:$B,"平均")</f>
        <v>8</v>
      </c>
      <c r="M20" s="47">
        <f>SUMIFS('1004 4度C'!$AC:$AC,'1004 4度C'!$A:$A,"新豐4線",'1004 4度C'!$B:$B,"平均")</f>
        <v>9</v>
      </c>
    </row>
    <row r="21" spans="2:13" ht="17.25" customHeight="1">
      <c r="B21" s="165"/>
      <c r="C21" s="44" t="s">
        <v>214</v>
      </c>
      <c r="D21" s="45">
        <f>SUMIFS('1004 4度C'!$AD:$AD,'1004 4度C'!$A:$A,"新豐6線",'1004 4度C'!$B:$B,"平均")</f>
        <v>0</v>
      </c>
      <c r="E21" s="46">
        <f>SUMIFS('1004 4度C'!$AD:$AD,'1004 4度C'!$A:$A,"新豐2線",'1004 4度C'!$B:$B,"平均")</f>
        <v>0</v>
      </c>
      <c r="F21" s="46">
        <f>SUMIFS('1004 4度C'!$AD:$AD,'1004 4度C'!$A:$A,"新豐5線",'1004 4度C'!$B:$B,"平均")</f>
        <v>0</v>
      </c>
      <c r="G21" s="46">
        <f>SUMIFS('1004 4度C'!$AD:$AD,'1004 4度C'!$A:$A,"新豐7線",'1004 4度C'!$B:$B,"平均")</f>
        <v>0</v>
      </c>
      <c r="H21" s="46">
        <f>SUMIFS('1004 4度C'!$AD:$AD,'1004 4度C'!$A:$A,"新豐3線",'1004 4度C'!$B:$B,"平均")</f>
        <v>0</v>
      </c>
      <c r="I21" s="46">
        <f>SUMIFS('1004 4度C'!$AD:$AD,'1004 4度C'!$A:$A,"新豐1線",'1004 4度C'!$B:$B,"平均")</f>
        <v>0</v>
      </c>
      <c r="J21" s="47">
        <f>SUMIFS('1004 4度C'!$AD:$AD,'1004 4度C'!$A:$A,"新豐10線",'1004 4度C'!$B:$B,"平均")</f>
        <v>0</v>
      </c>
      <c r="K21" s="48">
        <f>SUMIFS('1004 4度C'!$AD:$AD,'1004 4度C'!$A:$A,"新豐8線",'1004 4度C'!$B:$B,"平均")</f>
        <v>0</v>
      </c>
      <c r="L21" s="46">
        <f>SUMIFS('1004 4度C'!$AD:$AD,'1004 4度C'!$A:$A,"新豐9線",'1004 4度C'!$B:$B,"平均")</f>
        <v>0</v>
      </c>
      <c r="M21" s="47">
        <f>SUMIFS('1004 4度C'!$AD:$AD,'1004 4度C'!$A:$A,"新豐4線",'1004 4度C'!$B:$B,"平均")</f>
        <v>0</v>
      </c>
    </row>
    <row r="22" spans="2:13" ht="17.25" customHeight="1">
      <c r="B22" s="166" t="s">
        <v>438</v>
      </c>
      <c r="C22" s="167"/>
      <c r="D22" s="49">
        <f>SUMIFS('1004 4度C'!$I:$I,'1004 4度C'!$A:$A,"新豐6線",'1004 4度C'!$B:$B,"平均")</f>
        <v>15</v>
      </c>
      <c r="E22" s="50">
        <f>SUMIFS('1004 4度C'!$I:$I,'1004 4度C'!$A:$A,"新豐2線",'1004 4度C'!$B:$B,"平均")</f>
        <v>17.666666666666668</v>
      </c>
      <c r="F22" s="50">
        <f>SUMIFS('1004 4度C'!$I:$I,'1004 4度C'!$A:$A,"新豐5線",'1004 4度C'!$B:$B,"平均")</f>
        <v>17</v>
      </c>
      <c r="G22" s="50">
        <f>SUMIFS('1004 4度C'!$I:$I,'1004 4度C'!$A:$A,"新豐7線",'1004 4度C'!$B:$B,"平均")</f>
        <v>16</v>
      </c>
      <c r="H22" s="50">
        <f>SUMIFS('1004 4度C'!$I:$I,'1004 4度C'!$A:$A,"新豐3線",'1004 4度C'!$B:$B,"平均")</f>
        <v>11</v>
      </c>
      <c r="I22" s="50">
        <f>SUMIFS('1004 4度C'!$I:$I,'1004 4度C'!$A:$A,"新豐1線",'1004 4度C'!$B:$B,"平均")</f>
        <v>18.25</v>
      </c>
      <c r="J22" s="51">
        <f>SUMIFS('1004 4度C'!$I:$I,'1004 4度C'!$A:$A,"新豐10線",'1004 4度C'!$B:$B,"平均")</f>
        <v>10.199999999999999</v>
      </c>
      <c r="K22" s="49">
        <f>SUMIFS('1004 4度C'!$I:$I,'1004 4度C'!$A:$A,"新豐8線",'1004 4度C'!$B:$B,"平均")</f>
        <v>17.666666666666668</v>
      </c>
      <c r="L22" s="50">
        <f>SUMIFS('1004 4度C'!$I:$I,'1004 4度C'!$A:$A,"新豐9線",'1004 4度C'!$B:$B,"平均")</f>
        <v>17.625</v>
      </c>
      <c r="M22" s="51">
        <f>SUMIFS('1004 4度C'!$I:$I,'1004 4度C'!$A:$A,"新豐4線",'1004 4度C'!$B:$B,"平均")</f>
        <v>15.111111111111111</v>
      </c>
    </row>
    <row r="23" spans="2:13" ht="17.25" customHeight="1">
      <c r="B23" s="166" t="s">
        <v>50</v>
      </c>
      <c r="C23" s="167"/>
      <c r="D23" s="52" t="s">
        <v>51</v>
      </c>
      <c r="E23" s="53" t="s">
        <v>52</v>
      </c>
      <c r="F23" s="53" t="s">
        <v>439</v>
      </c>
      <c r="G23" s="53" t="s">
        <v>439</v>
      </c>
      <c r="H23" s="53" t="s">
        <v>55</v>
      </c>
      <c r="I23" s="53" t="s">
        <v>51</v>
      </c>
      <c r="J23" s="54" t="s">
        <v>55</v>
      </c>
      <c r="K23" s="52" t="s">
        <v>440</v>
      </c>
      <c r="L23" s="53" t="s">
        <v>219</v>
      </c>
      <c r="M23" s="54" t="s">
        <v>219</v>
      </c>
    </row>
    <row r="24" spans="2:13" ht="17.25" customHeight="1">
      <c r="B24" s="166" t="s">
        <v>221</v>
      </c>
      <c r="C24" s="167"/>
      <c r="D24" s="52"/>
      <c r="E24" s="53"/>
      <c r="F24" s="53" t="s">
        <v>58</v>
      </c>
      <c r="G24" s="53" t="s">
        <v>51</v>
      </c>
      <c r="H24" s="53"/>
      <c r="I24" s="53"/>
      <c r="J24" s="54"/>
      <c r="K24" s="52"/>
      <c r="L24" s="53"/>
      <c r="M24" s="54"/>
    </row>
    <row r="25" spans="2:13" ht="17.25" customHeight="1" thickBot="1">
      <c r="B25" s="168" t="s">
        <v>441</v>
      </c>
      <c r="C25" s="169"/>
      <c r="D25" s="55"/>
      <c r="E25" s="56" t="s">
        <v>60</v>
      </c>
      <c r="F25" s="162" t="s">
        <v>442</v>
      </c>
      <c r="G25" s="163"/>
      <c r="H25" s="56" t="s">
        <v>443</v>
      </c>
      <c r="I25" s="56" t="s">
        <v>444</v>
      </c>
      <c r="J25" s="57" t="s">
        <v>443</v>
      </c>
      <c r="K25" s="58"/>
      <c r="L25" s="56"/>
      <c r="M25" s="5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2" type="noConversion"/>
  <conditionalFormatting sqref="D15:M15">
    <cfRule type="cellIs" dxfId="33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9"/>
  <sheetViews>
    <sheetView zoomScale="80" zoomScaleNormal="80"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75"/>
  <cols>
    <col min="1" max="1" width="15.125" style="67" customWidth="1"/>
    <col min="2" max="2" width="19.375" style="67" customWidth="1"/>
    <col min="3" max="3" width="15.25" style="67" customWidth="1"/>
    <col min="4" max="4" width="17.5" style="67" customWidth="1"/>
    <col min="5" max="5" width="7.5" style="67" customWidth="1"/>
    <col min="6" max="7" width="14.375" style="67" customWidth="1"/>
    <col min="8" max="8" width="8" style="67" customWidth="1"/>
    <col min="9" max="9" width="5.875" style="67" customWidth="1"/>
    <col min="10" max="10" width="10.625" style="67" customWidth="1"/>
    <col min="11" max="11" width="14.625" style="67" customWidth="1"/>
    <col min="12" max="12" width="7.25" style="67" customWidth="1"/>
    <col min="13" max="13" width="8" style="67" customWidth="1"/>
    <col min="14" max="14" width="12" style="67" customWidth="1"/>
    <col min="15" max="15" width="6" style="67" customWidth="1"/>
    <col min="16" max="16" width="9.25" style="67" customWidth="1"/>
    <col min="17" max="17" width="11.5" style="67" customWidth="1"/>
    <col min="18" max="18" width="8.5" style="67" customWidth="1"/>
    <col min="19" max="19" width="10.125" style="67" customWidth="1"/>
    <col min="20" max="20" width="7.625" style="67" customWidth="1"/>
    <col min="21" max="21" width="10.25" style="67" customWidth="1"/>
    <col min="22" max="22" width="8.75" style="113" customWidth="1"/>
    <col min="23" max="23" width="7.375" style="67" customWidth="1"/>
    <col min="24" max="24" width="6.875" style="67" customWidth="1"/>
    <col min="25" max="26" width="8.75" style="67" customWidth="1"/>
    <col min="27" max="27" width="12.75" style="67" customWidth="1"/>
    <col min="28" max="28" width="18.875" style="67" customWidth="1"/>
    <col min="29" max="30" width="15.125" style="67" customWidth="1"/>
    <col min="31" max="31" width="13.125" style="67" bestFit="1" customWidth="1"/>
    <col min="32" max="32" width="10.375" style="67" customWidth="1"/>
    <col min="33" max="33" width="9.375" style="67" customWidth="1"/>
    <col min="34" max="34" width="8" style="67"/>
    <col min="35" max="35" width="24.625" style="67" bestFit="1" customWidth="1"/>
    <col min="36" max="16384" width="8" style="67"/>
  </cols>
  <sheetData>
    <row r="1" spans="1:33" ht="36.75" customHeight="1">
      <c r="A1" s="59" t="s">
        <v>445</v>
      </c>
      <c r="B1" s="59"/>
      <c r="C1" s="60" t="s">
        <v>446</v>
      </c>
      <c r="D1" s="61">
        <f>SUM(F5:F78)</f>
        <v>198735</v>
      </c>
      <c r="E1" s="134" t="s">
        <v>447</v>
      </c>
      <c r="F1" s="59">
        <f>SUM(G5:G78)</f>
        <v>6690404.4700000007</v>
      </c>
      <c r="G1" s="59" t="s">
        <v>448</v>
      </c>
      <c r="H1" s="63">
        <f>L9+L13+L53+L62+L20+L68+L40+L49+L30+L78</f>
        <v>155.51944444444447</v>
      </c>
      <c r="I1" s="277" t="s">
        <v>449</v>
      </c>
      <c r="J1" s="277"/>
      <c r="K1" s="277"/>
      <c r="L1" s="277" t="s">
        <v>450</v>
      </c>
      <c r="M1" s="277"/>
      <c r="N1" s="277"/>
      <c r="O1" s="277" t="s">
        <v>451</v>
      </c>
      <c r="P1" s="277"/>
      <c r="Q1" s="277"/>
      <c r="R1" s="277"/>
      <c r="S1" s="277" t="s">
        <v>452</v>
      </c>
      <c r="T1" s="277"/>
      <c r="U1" s="277"/>
      <c r="V1" s="277"/>
      <c r="W1" s="277"/>
      <c r="X1" s="277"/>
      <c r="Y1" s="64" t="s">
        <v>453</v>
      </c>
      <c r="Z1" s="65" t="s">
        <v>454</v>
      </c>
      <c r="AA1" s="278" t="s">
        <v>455</v>
      </c>
      <c r="AB1" s="278"/>
      <c r="AC1" s="66" t="s">
        <v>456</v>
      </c>
      <c r="AD1" s="65" t="s">
        <v>457</v>
      </c>
      <c r="AE1" s="277" t="s">
        <v>458</v>
      </c>
      <c r="AF1" s="279"/>
      <c r="AG1" s="279"/>
    </row>
    <row r="2" spans="1:33" ht="26.25" customHeight="1">
      <c r="A2" s="68">
        <v>46299</v>
      </c>
      <c r="B2" s="69" t="s">
        <v>459</v>
      </c>
      <c r="C2" s="60" t="s">
        <v>460</v>
      </c>
      <c r="D2" s="70">
        <f>AVERAGE(N9,N13,N53,N62,N20,N68,N30,N40,N49,N78)</f>
        <v>145.01447881036515</v>
      </c>
      <c r="E2" s="71" t="s">
        <v>80</v>
      </c>
      <c r="F2" s="72">
        <f>F1/D1</f>
        <v>33.664953178856273</v>
      </c>
      <c r="G2" s="59" t="s">
        <v>461</v>
      </c>
      <c r="H2" s="145">
        <f>COUNT(H5:H78)</f>
        <v>13</v>
      </c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74">
        <f>SUM(Y9+Y13+Y20+Y30+Y40+Y49+Y53+Y62+Y68+Y78)</f>
        <v>0</v>
      </c>
      <c r="Z2" s="74">
        <f>SUM(Z9+Z13+Z20+Z30+Z40+Z49+Z53+Z62+Z68+Z78)</f>
        <v>0</v>
      </c>
      <c r="AA2" s="278"/>
      <c r="AB2" s="278"/>
      <c r="AC2" s="74">
        <f>SUM(AC9+AC13+AC20+AC30+AC40+AC49+AC53+AC62+AC68+AC78)</f>
        <v>64</v>
      </c>
      <c r="AD2" s="74">
        <f>SUM(AD9+AD13+AD20+AD30+AD40+AD49+AD53+AD62+AD68+AD78)</f>
        <v>0</v>
      </c>
      <c r="AE2" s="279"/>
      <c r="AF2" s="279"/>
      <c r="AG2" s="279"/>
    </row>
    <row r="3" spans="1:33" ht="40.5" customHeight="1">
      <c r="A3" s="232" t="s">
        <v>462</v>
      </c>
      <c r="B3" s="232" t="s">
        <v>463</v>
      </c>
      <c r="C3" s="232" t="s">
        <v>464</v>
      </c>
      <c r="D3" s="232"/>
      <c r="E3" s="275" t="s">
        <v>465</v>
      </c>
      <c r="F3" s="232" t="s">
        <v>466</v>
      </c>
      <c r="G3" s="275" t="s">
        <v>467</v>
      </c>
      <c r="H3" s="269" t="s">
        <v>468</v>
      </c>
      <c r="I3" s="267" t="s">
        <v>469</v>
      </c>
      <c r="J3" s="264" t="s">
        <v>470</v>
      </c>
      <c r="K3" s="274" t="s">
        <v>471</v>
      </c>
      <c r="L3" s="267" t="s">
        <v>469</v>
      </c>
      <c r="M3" s="264" t="s">
        <v>472</v>
      </c>
      <c r="N3" s="274" t="s">
        <v>473</v>
      </c>
      <c r="O3" s="267" t="s">
        <v>474</v>
      </c>
      <c r="P3" s="274" t="s">
        <v>473</v>
      </c>
      <c r="Q3" s="265" t="s">
        <v>475</v>
      </c>
      <c r="R3" s="241" t="s">
        <v>476</v>
      </c>
      <c r="S3" s="232" t="s">
        <v>94</v>
      </c>
      <c r="T3" s="232"/>
      <c r="U3" s="269" t="s">
        <v>95</v>
      </c>
      <c r="V3" s="269" t="s">
        <v>477</v>
      </c>
      <c r="W3" s="232" t="s">
        <v>478</v>
      </c>
      <c r="X3" s="232"/>
      <c r="Y3" s="270" t="s">
        <v>479</v>
      </c>
      <c r="Z3" s="231"/>
      <c r="AA3" s="271" t="s">
        <v>480</v>
      </c>
      <c r="AB3" s="272"/>
      <c r="AC3" s="270" t="s">
        <v>481</v>
      </c>
      <c r="AD3" s="231"/>
      <c r="AE3" s="264" t="s">
        <v>482</v>
      </c>
      <c r="AF3" s="265" t="s">
        <v>475</v>
      </c>
      <c r="AG3" s="241" t="s">
        <v>476</v>
      </c>
    </row>
    <row r="4" spans="1:33" ht="15.75" customHeight="1">
      <c r="A4" s="232"/>
      <c r="B4" s="232"/>
      <c r="C4" s="232"/>
      <c r="D4" s="232"/>
      <c r="E4" s="276"/>
      <c r="F4" s="232"/>
      <c r="G4" s="276"/>
      <c r="H4" s="269"/>
      <c r="I4" s="267"/>
      <c r="J4" s="264"/>
      <c r="K4" s="274"/>
      <c r="L4" s="267"/>
      <c r="M4" s="264"/>
      <c r="N4" s="274"/>
      <c r="O4" s="267"/>
      <c r="P4" s="274"/>
      <c r="Q4" s="265"/>
      <c r="R4" s="241"/>
      <c r="S4" s="134" t="s">
        <v>104</v>
      </c>
      <c r="T4" s="134" t="s">
        <v>105</v>
      </c>
      <c r="U4" s="269"/>
      <c r="V4" s="269"/>
      <c r="W4" s="134" t="s">
        <v>483</v>
      </c>
      <c r="X4" s="134" t="s">
        <v>484</v>
      </c>
      <c r="Y4" s="133" t="s">
        <v>485</v>
      </c>
      <c r="Z4" s="133" t="s">
        <v>109</v>
      </c>
      <c r="AA4" s="273"/>
      <c r="AB4" s="272"/>
      <c r="AC4" s="133" t="s">
        <v>486</v>
      </c>
      <c r="AD4" s="133" t="s">
        <v>487</v>
      </c>
      <c r="AE4" s="264"/>
      <c r="AF4" s="265"/>
      <c r="AG4" s="241"/>
    </row>
    <row r="5" spans="1:33">
      <c r="A5" s="266" t="s">
        <v>488</v>
      </c>
      <c r="B5" s="77" t="s">
        <v>113</v>
      </c>
      <c r="C5" s="268" t="s">
        <v>114</v>
      </c>
      <c r="D5" s="268"/>
      <c r="E5" s="77">
        <v>50.92</v>
      </c>
      <c r="F5" s="146">
        <v>2694</v>
      </c>
      <c r="G5" s="134">
        <f t="shared" ref="G5:G8" si="0">E5*F5</f>
        <v>137178.48000000001</v>
      </c>
      <c r="H5" s="79" t="s">
        <v>115</v>
      </c>
      <c r="I5" s="143">
        <v>15</v>
      </c>
      <c r="J5" s="81">
        <v>2000</v>
      </c>
      <c r="K5" s="82">
        <f t="shared" ref="K5:K68" si="1">J5/I5</f>
        <v>133.33333333333334</v>
      </c>
      <c r="L5" s="143">
        <v>15</v>
      </c>
      <c r="M5" s="83">
        <f t="shared" ref="M5:M8" si="2">F5/V5*60</f>
        <v>1924.2857142857138</v>
      </c>
      <c r="N5" s="82">
        <f t="shared" ref="N5:N68" si="3">M5/L5</f>
        <v>128.28571428571425</v>
      </c>
      <c r="O5" s="84">
        <f t="shared" ref="O5:O68" si="4">L5-I5</f>
        <v>0</v>
      </c>
      <c r="P5" s="85">
        <f t="shared" ref="P5:P68" si="5">N5-K5</f>
        <v>-5.0476190476190936</v>
      </c>
      <c r="Q5" s="139">
        <f t="shared" ref="Q5:Q68" si="6">N5/K5</f>
        <v>0.96214285714285686</v>
      </c>
      <c r="R5" s="237">
        <f>Q9</f>
        <v>0.96442357910906262</v>
      </c>
      <c r="S5" s="88">
        <v>0.70833333333333337</v>
      </c>
      <c r="T5" s="88">
        <v>0.76666666666666672</v>
      </c>
      <c r="U5" s="134"/>
      <c r="V5" s="144">
        <f t="shared" ref="V5:V8" si="7">(T5-S5)*24*60</f>
        <v>84.000000000000028</v>
      </c>
      <c r="W5" s="90"/>
      <c r="X5" s="90"/>
      <c r="Y5" s="91"/>
      <c r="Z5" s="91"/>
      <c r="AA5" s="232"/>
      <c r="AB5" s="232"/>
      <c r="AC5" s="92">
        <v>4</v>
      </c>
      <c r="AD5" s="93"/>
      <c r="AE5" s="84">
        <f t="shared" ref="AE5:AE61" si="8">M5-J5</f>
        <v>-75.714285714286234</v>
      </c>
      <c r="AF5" s="139">
        <f t="shared" ref="AF5:AF68" si="9">M5/J5</f>
        <v>0.96214285714285686</v>
      </c>
      <c r="AG5" s="237">
        <f>AF9</f>
        <v>0.96442357910906273</v>
      </c>
    </row>
    <row r="6" spans="1:33">
      <c r="A6" s="267" t="s">
        <v>489</v>
      </c>
      <c r="B6" s="77" t="s">
        <v>113</v>
      </c>
      <c r="C6" s="268" t="s">
        <v>117</v>
      </c>
      <c r="D6" s="268"/>
      <c r="E6" s="77">
        <v>50.98</v>
      </c>
      <c r="F6" s="146">
        <v>1000</v>
      </c>
      <c r="G6" s="134">
        <f t="shared" si="0"/>
        <v>50980</v>
      </c>
      <c r="H6" s="79">
        <v>2</v>
      </c>
      <c r="I6" s="143">
        <v>16</v>
      </c>
      <c r="J6" s="81">
        <v>2000</v>
      </c>
      <c r="K6" s="82">
        <f t="shared" si="1"/>
        <v>125</v>
      </c>
      <c r="L6" s="143">
        <v>16</v>
      </c>
      <c r="M6" s="83">
        <f t="shared" si="2"/>
        <v>1935.483870967739</v>
      </c>
      <c r="N6" s="82">
        <f t="shared" si="3"/>
        <v>120.96774193548369</v>
      </c>
      <c r="O6" s="84">
        <f t="shared" si="4"/>
        <v>0</v>
      </c>
      <c r="P6" s="85">
        <f t="shared" si="5"/>
        <v>-4.0322580645163129</v>
      </c>
      <c r="Q6" s="139">
        <f t="shared" si="6"/>
        <v>0.96774193548386944</v>
      </c>
      <c r="R6" s="237"/>
      <c r="S6" s="88">
        <v>0.77222222222222225</v>
      </c>
      <c r="T6" s="88">
        <v>0.79375000000000007</v>
      </c>
      <c r="U6" s="134">
        <f t="shared" ref="U6:U8" si="10">IF(S6=TIME(17,0,0),"",(S6-T5)*24*60)</f>
        <v>7.9999999999999716</v>
      </c>
      <c r="V6" s="144">
        <f t="shared" si="7"/>
        <v>31.00000000000005</v>
      </c>
      <c r="W6" s="90"/>
      <c r="X6" s="90"/>
      <c r="Y6" s="90"/>
      <c r="Z6" s="90"/>
      <c r="AA6" s="232"/>
      <c r="AB6" s="232"/>
      <c r="AC6" s="92"/>
      <c r="AD6" s="93"/>
      <c r="AE6" s="84">
        <f t="shared" si="8"/>
        <v>-64.516129032261006</v>
      </c>
      <c r="AF6" s="139">
        <f t="shared" si="9"/>
        <v>0.96774193548386944</v>
      </c>
      <c r="AG6" s="237"/>
    </row>
    <row r="7" spans="1:33">
      <c r="A7" s="267" t="s">
        <v>489</v>
      </c>
      <c r="B7" s="77" t="s">
        <v>113</v>
      </c>
      <c r="C7" s="262" t="s">
        <v>131</v>
      </c>
      <c r="D7" s="263"/>
      <c r="E7" s="77">
        <v>56.43</v>
      </c>
      <c r="F7" s="146">
        <v>1446</v>
      </c>
      <c r="G7" s="134">
        <f t="shared" si="0"/>
        <v>81597.78</v>
      </c>
      <c r="H7" s="79" t="s">
        <v>115</v>
      </c>
      <c r="I7" s="143">
        <v>13</v>
      </c>
      <c r="J7" s="81">
        <v>2000</v>
      </c>
      <c r="K7" s="82">
        <f t="shared" si="1"/>
        <v>153.84615384615384</v>
      </c>
      <c r="L7" s="143">
        <v>13</v>
      </c>
      <c r="M7" s="83">
        <f t="shared" si="2"/>
        <v>1928</v>
      </c>
      <c r="N7" s="82">
        <f t="shared" si="3"/>
        <v>148.30769230769232</v>
      </c>
      <c r="O7" s="84">
        <f t="shared" si="4"/>
        <v>0</v>
      </c>
      <c r="P7" s="85">
        <f t="shared" si="5"/>
        <v>-5.5384615384615188</v>
      </c>
      <c r="Q7" s="139">
        <f t="shared" si="6"/>
        <v>0.96400000000000008</v>
      </c>
      <c r="R7" s="237"/>
      <c r="S7" s="88">
        <v>0.7993055555555556</v>
      </c>
      <c r="T7" s="88">
        <v>0.8305555555555556</v>
      </c>
      <c r="U7" s="134">
        <f t="shared" si="10"/>
        <v>7.9999999999999716</v>
      </c>
      <c r="V7" s="144">
        <f t="shared" si="7"/>
        <v>45</v>
      </c>
      <c r="W7" s="90">
        <f>T7</f>
        <v>0.8305555555555556</v>
      </c>
      <c r="X7" s="90">
        <f>S8</f>
        <v>0.87083333333333335</v>
      </c>
      <c r="Y7" s="94"/>
      <c r="Z7" s="94"/>
      <c r="AA7" s="227"/>
      <c r="AB7" s="228"/>
      <c r="AC7" s="92"/>
      <c r="AD7" s="95"/>
      <c r="AE7" s="84">
        <f t="shared" si="8"/>
        <v>-72</v>
      </c>
      <c r="AF7" s="139">
        <f t="shared" si="9"/>
        <v>0.96399999999999997</v>
      </c>
      <c r="AG7" s="237"/>
    </row>
    <row r="8" spans="1:33">
      <c r="A8" s="267" t="s">
        <v>489</v>
      </c>
      <c r="B8" s="77" t="s">
        <v>113</v>
      </c>
      <c r="C8" s="262" t="s">
        <v>117</v>
      </c>
      <c r="D8" s="263"/>
      <c r="E8" s="77">
        <v>50.98</v>
      </c>
      <c r="F8" s="146">
        <v>2024</v>
      </c>
      <c r="G8" s="134">
        <f t="shared" si="0"/>
        <v>103183.51999999999</v>
      </c>
      <c r="H8" s="79" t="s">
        <v>115</v>
      </c>
      <c r="I8" s="143">
        <v>16</v>
      </c>
      <c r="J8" s="81">
        <v>2000</v>
      </c>
      <c r="K8" s="82">
        <f t="shared" si="1"/>
        <v>125</v>
      </c>
      <c r="L8" s="143">
        <v>16</v>
      </c>
      <c r="M8" s="83">
        <f t="shared" si="2"/>
        <v>1927.6190476190498</v>
      </c>
      <c r="N8" s="82">
        <f t="shared" si="3"/>
        <v>120.47619047619061</v>
      </c>
      <c r="O8" s="84">
        <f t="shared" si="4"/>
        <v>0</v>
      </c>
      <c r="P8" s="85">
        <f t="shared" si="5"/>
        <v>-4.5238095238093905</v>
      </c>
      <c r="Q8" s="139">
        <f t="shared" si="6"/>
        <v>0.96380952380952489</v>
      </c>
      <c r="R8" s="237"/>
      <c r="S8" s="88">
        <v>0.87083333333333335</v>
      </c>
      <c r="T8" s="88">
        <v>0.9145833333333333</v>
      </c>
      <c r="U8" s="134">
        <f t="shared" si="10"/>
        <v>57.999999999999957</v>
      </c>
      <c r="V8" s="144">
        <f t="shared" si="7"/>
        <v>62.999999999999936</v>
      </c>
      <c r="W8" s="100"/>
      <c r="X8" s="100"/>
      <c r="Y8" s="107"/>
      <c r="Z8" s="107"/>
      <c r="AA8" s="227"/>
      <c r="AB8" s="228"/>
      <c r="AC8" s="92"/>
      <c r="AD8" s="95"/>
      <c r="AE8" s="84">
        <f t="shared" si="8"/>
        <v>-72.380952380950248</v>
      </c>
      <c r="AF8" s="139">
        <f t="shared" si="9"/>
        <v>0.96380952380952489</v>
      </c>
      <c r="AG8" s="237"/>
    </row>
    <row r="9" spans="1:33">
      <c r="A9" s="267" t="s">
        <v>489</v>
      </c>
      <c r="B9" s="77" t="s">
        <v>490</v>
      </c>
      <c r="C9" s="238"/>
      <c r="D9" s="238"/>
      <c r="E9" s="140"/>
      <c r="F9" s="97"/>
      <c r="G9" s="82"/>
      <c r="H9" s="146"/>
      <c r="I9" s="98">
        <v>15</v>
      </c>
      <c r="J9" s="81">
        <v>2000</v>
      </c>
      <c r="K9" s="82">
        <f t="shared" si="1"/>
        <v>133.33333333333334</v>
      </c>
      <c r="L9" s="98">
        <v>15</v>
      </c>
      <c r="M9" s="83">
        <f>AVERAGE(M5:M8)</f>
        <v>1928.8471582181255</v>
      </c>
      <c r="N9" s="82">
        <f t="shared" si="3"/>
        <v>128.58981054787503</v>
      </c>
      <c r="O9" s="84">
        <f t="shared" si="4"/>
        <v>0</v>
      </c>
      <c r="P9" s="85">
        <f t="shared" si="5"/>
        <v>-4.7435227854583104</v>
      </c>
      <c r="Q9" s="139">
        <f t="shared" si="6"/>
        <v>0.96442357910906262</v>
      </c>
      <c r="R9" s="237"/>
      <c r="S9" s="88"/>
      <c r="T9" s="88"/>
      <c r="U9" s="134"/>
      <c r="V9" s="144"/>
      <c r="W9" s="82"/>
      <c r="X9" s="82"/>
      <c r="Y9" s="99">
        <f>SUM(Y5:Y8)</f>
        <v>0</v>
      </c>
      <c r="Z9" s="99">
        <f>SUM(Z5:Z8)</f>
        <v>0</v>
      </c>
      <c r="AA9" s="231"/>
      <c r="AB9" s="231"/>
      <c r="AC9" s="99">
        <v>4</v>
      </c>
      <c r="AD9" s="99">
        <f>SUM(AD5:AD8)</f>
        <v>0</v>
      </c>
      <c r="AE9" s="84">
        <f t="shared" si="8"/>
        <v>-71.152841781874486</v>
      </c>
      <c r="AF9" s="139">
        <f t="shared" si="9"/>
        <v>0.96442357910906273</v>
      </c>
      <c r="AG9" s="237"/>
    </row>
    <row r="10" spans="1:33" ht="15.75" customHeight="1">
      <c r="A10" s="261" t="s">
        <v>491</v>
      </c>
      <c r="B10" s="77" t="s">
        <v>121</v>
      </c>
      <c r="C10" s="262" t="s">
        <v>122</v>
      </c>
      <c r="D10" s="263"/>
      <c r="E10" s="77">
        <v>39.619999999999997</v>
      </c>
      <c r="F10" s="146">
        <v>5035</v>
      </c>
      <c r="G10" s="134">
        <f t="shared" ref="G10:G12" si="11">E10*F10</f>
        <v>199486.69999999998</v>
      </c>
      <c r="H10" s="79" t="s">
        <v>115</v>
      </c>
      <c r="I10" s="143">
        <v>19</v>
      </c>
      <c r="J10" s="81">
        <v>1500</v>
      </c>
      <c r="K10" s="82">
        <f t="shared" si="1"/>
        <v>78.94736842105263</v>
      </c>
      <c r="L10" s="143">
        <v>19</v>
      </c>
      <c r="M10" s="83">
        <f t="shared" ref="M10:M12" si="12">F10/V10*60</f>
        <v>1431.7535545023698</v>
      </c>
      <c r="N10" s="82">
        <f t="shared" si="3"/>
        <v>75.355450236966831</v>
      </c>
      <c r="O10" s="84">
        <f t="shared" si="4"/>
        <v>0</v>
      </c>
      <c r="P10" s="85">
        <f t="shared" si="5"/>
        <v>-3.5919181840857988</v>
      </c>
      <c r="Q10" s="139">
        <f t="shared" si="6"/>
        <v>0.95450236966824653</v>
      </c>
      <c r="R10" s="237">
        <f>Q13</f>
        <v>0.9535493410312309</v>
      </c>
      <c r="S10" s="88">
        <v>0.16666666666666666</v>
      </c>
      <c r="T10" s="88">
        <v>0.31319444444444444</v>
      </c>
      <c r="U10" s="134"/>
      <c r="V10" s="144">
        <f t="shared" ref="V10:V12" si="13">(T10-S10)*24*60</f>
        <v>211</v>
      </c>
      <c r="W10" s="90">
        <f>T10</f>
        <v>0.31319444444444444</v>
      </c>
      <c r="X10" s="90">
        <f>S11</f>
        <v>0.33333333333333331</v>
      </c>
      <c r="Y10" s="90"/>
      <c r="Z10" s="90"/>
      <c r="AA10" s="232"/>
      <c r="AB10" s="232"/>
      <c r="AC10" s="92">
        <v>3</v>
      </c>
      <c r="AD10" s="93"/>
      <c r="AE10" s="84">
        <f t="shared" si="8"/>
        <v>-68.246445497630248</v>
      </c>
      <c r="AF10" s="139">
        <f t="shared" si="9"/>
        <v>0.95450236966824653</v>
      </c>
      <c r="AG10" s="237">
        <f>AF13</f>
        <v>0.9535493410312309</v>
      </c>
    </row>
    <row r="11" spans="1:33" ht="15.75" customHeight="1">
      <c r="A11" s="261" t="s">
        <v>491</v>
      </c>
      <c r="B11" s="77" t="s">
        <v>121</v>
      </c>
      <c r="C11" s="262" t="s">
        <v>123</v>
      </c>
      <c r="D11" s="263"/>
      <c r="E11" s="77">
        <v>39.799999999999997</v>
      </c>
      <c r="F11" s="146">
        <v>4600</v>
      </c>
      <c r="G11" s="134">
        <f t="shared" si="11"/>
        <v>183080</v>
      </c>
      <c r="H11" s="79">
        <v>2</v>
      </c>
      <c r="I11" s="143">
        <v>17</v>
      </c>
      <c r="J11" s="81">
        <v>1500</v>
      </c>
      <c r="K11" s="82">
        <f t="shared" si="1"/>
        <v>88.235294117647058</v>
      </c>
      <c r="L11" s="143">
        <v>17</v>
      </c>
      <c r="M11" s="83">
        <f t="shared" si="12"/>
        <v>1430.0518134715023</v>
      </c>
      <c r="N11" s="82">
        <f t="shared" si="3"/>
        <v>84.120694910088375</v>
      </c>
      <c r="O11" s="84">
        <f t="shared" si="4"/>
        <v>0</v>
      </c>
      <c r="P11" s="85">
        <f t="shared" si="5"/>
        <v>-4.1145992075586832</v>
      </c>
      <c r="Q11" s="139">
        <f t="shared" si="6"/>
        <v>0.95336787564766823</v>
      </c>
      <c r="R11" s="237"/>
      <c r="S11" s="88">
        <v>0.33333333333333331</v>
      </c>
      <c r="T11" s="88">
        <v>0.46736111111111112</v>
      </c>
      <c r="U11" s="134">
        <f t="shared" ref="U11:U12" si="14">IF(S11=TIME(17,0,0),"",(S11-T10)*24*60)</f>
        <v>28.999999999999979</v>
      </c>
      <c r="V11" s="144">
        <f t="shared" si="13"/>
        <v>193.00000000000003</v>
      </c>
      <c r="W11" s="90">
        <f>T11</f>
        <v>0.46736111111111112</v>
      </c>
      <c r="X11" s="90">
        <f>S12</f>
        <v>0.54861111111111116</v>
      </c>
      <c r="Y11" s="90"/>
      <c r="Z11" s="90"/>
      <c r="AA11" s="232"/>
      <c r="AB11" s="232"/>
      <c r="AC11" s="92"/>
      <c r="AD11" s="93"/>
      <c r="AE11" s="84">
        <f t="shared" si="8"/>
        <v>-69.948186528497672</v>
      </c>
      <c r="AF11" s="139">
        <f t="shared" si="9"/>
        <v>0.95336787564766823</v>
      </c>
      <c r="AG11" s="237"/>
    </row>
    <row r="12" spans="1:33" ht="15.75" customHeight="1">
      <c r="A12" s="261" t="s">
        <v>491</v>
      </c>
      <c r="B12" s="77" t="s">
        <v>121</v>
      </c>
      <c r="C12" s="262" t="s">
        <v>123</v>
      </c>
      <c r="D12" s="263"/>
      <c r="E12" s="77">
        <v>39.799999999999997</v>
      </c>
      <c r="F12" s="146">
        <v>3430</v>
      </c>
      <c r="G12" s="134">
        <f t="shared" si="11"/>
        <v>136514</v>
      </c>
      <c r="H12" s="79" t="s">
        <v>115</v>
      </c>
      <c r="I12" s="143">
        <v>17</v>
      </c>
      <c r="J12" s="81">
        <v>1500</v>
      </c>
      <c r="K12" s="82">
        <f t="shared" si="1"/>
        <v>88.235294117647058</v>
      </c>
      <c r="L12" s="143">
        <v>17</v>
      </c>
      <c r="M12" s="83">
        <f t="shared" si="12"/>
        <v>1429.166666666667</v>
      </c>
      <c r="N12" s="82">
        <f t="shared" si="3"/>
        <v>84.068627450980415</v>
      </c>
      <c r="O12" s="84">
        <f t="shared" si="4"/>
        <v>0</v>
      </c>
      <c r="P12" s="85">
        <f t="shared" si="5"/>
        <v>-4.166666666666643</v>
      </c>
      <c r="Q12" s="139">
        <f t="shared" si="6"/>
        <v>0.95277777777777806</v>
      </c>
      <c r="R12" s="237"/>
      <c r="S12" s="88">
        <v>0.54861111111111116</v>
      </c>
      <c r="T12" s="88">
        <v>0.64861111111111114</v>
      </c>
      <c r="U12" s="134">
        <f t="shared" si="14"/>
        <v>117.00000000000006</v>
      </c>
      <c r="V12" s="144">
        <f t="shared" si="13"/>
        <v>143.99999999999997</v>
      </c>
      <c r="W12" s="90"/>
      <c r="X12" s="90"/>
      <c r="Y12" s="90"/>
      <c r="Z12" s="90"/>
      <c r="AA12" s="232"/>
      <c r="AB12" s="232"/>
      <c r="AC12" s="92"/>
      <c r="AD12" s="93"/>
      <c r="AE12" s="84">
        <f t="shared" si="8"/>
        <v>-70.83333333333303</v>
      </c>
      <c r="AF12" s="139">
        <f t="shared" si="9"/>
        <v>0.95277777777777795</v>
      </c>
      <c r="AG12" s="237"/>
    </row>
    <row r="13" spans="1:33" ht="16.5" customHeight="1">
      <c r="A13" s="261" t="s">
        <v>492</v>
      </c>
      <c r="B13" s="77" t="s">
        <v>119</v>
      </c>
      <c r="C13" s="238"/>
      <c r="D13" s="238"/>
      <c r="E13" s="140"/>
      <c r="F13" s="81"/>
      <c r="G13" s="83"/>
      <c r="H13" s="146"/>
      <c r="I13" s="98">
        <v>17.666666666666668</v>
      </c>
      <c r="J13" s="81">
        <v>1500</v>
      </c>
      <c r="K13" s="82">
        <f t="shared" si="1"/>
        <v>84.905660377358487</v>
      </c>
      <c r="L13" s="98">
        <v>17.666666666666668</v>
      </c>
      <c r="M13" s="83">
        <f>AVERAGE(M10:M12)</f>
        <v>1430.3240115468464</v>
      </c>
      <c r="N13" s="82">
        <f t="shared" si="3"/>
        <v>80.961736502651675</v>
      </c>
      <c r="O13" s="84">
        <f t="shared" si="4"/>
        <v>0</v>
      </c>
      <c r="P13" s="85">
        <f t="shared" si="5"/>
        <v>-3.9439238747068117</v>
      </c>
      <c r="Q13" s="139">
        <f t="shared" si="6"/>
        <v>0.9535493410312309</v>
      </c>
      <c r="R13" s="237"/>
      <c r="S13" s="88"/>
      <c r="T13" s="88"/>
      <c r="U13" s="82"/>
      <c r="V13" s="144"/>
      <c r="W13" s="82"/>
      <c r="X13" s="82"/>
      <c r="Y13" s="99">
        <f>SUM(Y10:Y12)</f>
        <v>0</v>
      </c>
      <c r="Z13" s="99">
        <f>SUM(Z10:Z12)</f>
        <v>0</v>
      </c>
      <c r="AA13" s="231"/>
      <c r="AB13" s="231"/>
      <c r="AC13" s="99">
        <v>3</v>
      </c>
      <c r="AD13" s="99">
        <f>SUM(AD10:AD12)</f>
        <v>0</v>
      </c>
      <c r="AE13" s="84">
        <f t="shared" si="8"/>
        <v>-69.67598845315365</v>
      </c>
      <c r="AF13" s="139">
        <f t="shared" si="9"/>
        <v>0.9535493410312309</v>
      </c>
      <c r="AG13" s="237"/>
    </row>
    <row r="14" spans="1:33" ht="16.5" customHeight="1">
      <c r="A14" s="259" t="s">
        <v>493</v>
      </c>
      <c r="B14" s="146" t="s">
        <v>125</v>
      </c>
      <c r="C14" s="255" t="s">
        <v>126</v>
      </c>
      <c r="D14" s="255"/>
      <c r="E14" s="77">
        <v>31.11</v>
      </c>
      <c r="F14" s="146">
        <v>2096</v>
      </c>
      <c r="G14" s="134">
        <f t="shared" ref="G14:G19" si="15">E14*F14</f>
        <v>65206.559999999998</v>
      </c>
      <c r="H14" s="79" t="s">
        <v>115</v>
      </c>
      <c r="I14" s="143">
        <v>14</v>
      </c>
      <c r="J14" s="81">
        <v>2000</v>
      </c>
      <c r="K14" s="82">
        <f t="shared" si="1"/>
        <v>142.85714285714286</v>
      </c>
      <c r="L14" s="143">
        <v>14</v>
      </c>
      <c r="M14" s="83">
        <f t="shared" ref="M14:M19" si="16">F14/V14*60</f>
        <v>1905.4545454545455</v>
      </c>
      <c r="N14" s="82">
        <f t="shared" si="3"/>
        <v>136.10389610389612</v>
      </c>
      <c r="O14" s="84">
        <f t="shared" si="4"/>
        <v>0</v>
      </c>
      <c r="P14" s="85">
        <f t="shared" si="5"/>
        <v>-6.7532467532467422</v>
      </c>
      <c r="Q14" s="139">
        <f t="shared" si="6"/>
        <v>0.95272727272727276</v>
      </c>
      <c r="R14" s="237">
        <f>Q20</f>
        <v>0.95765540141360128</v>
      </c>
      <c r="S14" s="88">
        <v>0.25</v>
      </c>
      <c r="T14" s="88">
        <v>0.29583333333333334</v>
      </c>
      <c r="U14" s="134"/>
      <c r="V14" s="144">
        <f t="shared" ref="V14:V19" si="17">(T14-S14)*24*60</f>
        <v>66</v>
      </c>
      <c r="W14" s="90"/>
      <c r="X14" s="90"/>
      <c r="Y14" s="100"/>
      <c r="Z14" s="100"/>
      <c r="AA14" s="232"/>
      <c r="AB14" s="232"/>
      <c r="AC14" s="92">
        <v>6</v>
      </c>
      <c r="AD14" s="93"/>
      <c r="AE14" s="84">
        <f t="shared" si="8"/>
        <v>-94.545454545454504</v>
      </c>
      <c r="AF14" s="139">
        <f t="shared" si="9"/>
        <v>0.95272727272727276</v>
      </c>
      <c r="AG14" s="237">
        <f>AF20</f>
        <v>0.95765540141360117</v>
      </c>
    </row>
    <row r="15" spans="1:33" ht="16.5" customHeight="1">
      <c r="A15" s="260" t="s">
        <v>494</v>
      </c>
      <c r="B15" s="146" t="s">
        <v>127</v>
      </c>
      <c r="C15" s="255" t="s">
        <v>128</v>
      </c>
      <c r="D15" s="255"/>
      <c r="E15" s="77">
        <v>41</v>
      </c>
      <c r="F15" s="146">
        <v>1747</v>
      </c>
      <c r="G15" s="134">
        <f t="shared" si="15"/>
        <v>71627</v>
      </c>
      <c r="H15" s="79" t="s">
        <v>115</v>
      </c>
      <c r="I15" s="143">
        <v>26</v>
      </c>
      <c r="J15" s="81">
        <v>1500</v>
      </c>
      <c r="K15" s="82">
        <f t="shared" si="1"/>
        <v>57.692307692307693</v>
      </c>
      <c r="L15" s="143">
        <v>26</v>
      </c>
      <c r="M15" s="83">
        <f t="shared" si="16"/>
        <v>1435.8904109589043</v>
      </c>
      <c r="N15" s="82">
        <f t="shared" si="3"/>
        <v>55.226554267650165</v>
      </c>
      <c r="O15" s="84">
        <f t="shared" si="4"/>
        <v>0</v>
      </c>
      <c r="P15" s="85">
        <f t="shared" si="5"/>
        <v>-2.4657534246575281</v>
      </c>
      <c r="Q15" s="139">
        <f t="shared" si="6"/>
        <v>0.95726027397260283</v>
      </c>
      <c r="R15" s="237"/>
      <c r="S15" s="88">
        <v>0.30138888888888887</v>
      </c>
      <c r="T15" s="88">
        <v>0.3520833333333333</v>
      </c>
      <c r="U15" s="134">
        <f t="shared" ref="U15:U19" si="18">IF(S15=TIME(17,0,0),"",(S15-T14)*24*60)</f>
        <v>7.9999999999999716</v>
      </c>
      <c r="V15" s="144">
        <f t="shared" si="17"/>
        <v>72.999999999999986</v>
      </c>
      <c r="W15" s="90"/>
      <c r="X15" s="90"/>
      <c r="Y15" s="90"/>
      <c r="Z15" s="90"/>
      <c r="AA15" s="232"/>
      <c r="AB15" s="232"/>
      <c r="AC15" s="92"/>
      <c r="AD15" s="93"/>
      <c r="AE15" s="84">
        <f t="shared" si="8"/>
        <v>-64.10958904109566</v>
      </c>
      <c r="AF15" s="139">
        <f t="shared" si="9"/>
        <v>0.95726027397260294</v>
      </c>
      <c r="AG15" s="237"/>
    </row>
    <row r="16" spans="1:33" ht="16.5" customHeight="1">
      <c r="A16" s="260" t="s">
        <v>494</v>
      </c>
      <c r="B16" s="146" t="s">
        <v>121</v>
      </c>
      <c r="C16" s="255" t="s">
        <v>129</v>
      </c>
      <c r="D16" s="255"/>
      <c r="E16" s="77">
        <v>39.46</v>
      </c>
      <c r="F16" s="146">
        <v>2370</v>
      </c>
      <c r="G16" s="134">
        <f t="shared" si="15"/>
        <v>93520.2</v>
      </c>
      <c r="H16" s="79" t="s">
        <v>115</v>
      </c>
      <c r="I16" s="143">
        <v>15</v>
      </c>
      <c r="J16" s="81">
        <v>1500</v>
      </c>
      <c r="K16" s="82">
        <f t="shared" si="1"/>
        <v>100</v>
      </c>
      <c r="L16" s="143">
        <v>15</v>
      </c>
      <c r="M16" s="83">
        <f t="shared" si="16"/>
        <v>1436.3636363636367</v>
      </c>
      <c r="N16" s="82">
        <f t="shared" si="3"/>
        <v>95.757575757575779</v>
      </c>
      <c r="O16" s="84">
        <f t="shared" si="4"/>
        <v>0</v>
      </c>
      <c r="P16" s="85">
        <f t="shared" si="5"/>
        <v>-4.2424242424242209</v>
      </c>
      <c r="Q16" s="139">
        <f t="shared" si="6"/>
        <v>0.95757575757575775</v>
      </c>
      <c r="R16" s="237"/>
      <c r="S16" s="88">
        <v>0.35624999999999996</v>
      </c>
      <c r="T16" s="88">
        <v>0.42499999999999993</v>
      </c>
      <c r="U16" s="134">
        <f t="shared" si="18"/>
        <v>5.9999999999999787</v>
      </c>
      <c r="V16" s="144">
        <f t="shared" si="17"/>
        <v>98.999999999999972</v>
      </c>
      <c r="W16" s="90"/>
      <c r="X16" s="90"/>
      <c r="Y16" s="90"/>
      <c r="Z16" s="90"/>
      <c r="AA16" s="232"/>
      <c r="AB16" s="232"/>
      <c r="AC16" s="92"/>
      <c r="AD16" s="93"/>
      <c r="AE16" s="84">
        <f t="shared" si="8"/>
        <v>-63.636363636363285</v>
      </c>
      <c r="AF16" s="139">
        <f t="shared" si="9"/>
        <v>0.95757575757575786</v>
      </c>
      <c r="AG16" s="237"/>
    </row>
    <row r="17" spans="1:33" ht="16.5" customHeight="1">
      <c r="A17" s="260" t="s">
        <v>494</v>
      </c>
      <c r="B17" s="146" t="s">
        <v>113</v>
      </c>
      <c r="C17" s="255" t="s">
        <v>132</v>
      </c>
      <c r="D17" s="255"/>
      <c r="E17" s="77">
        <v>54.5</v>
      </c>
      <c r="F17" s="146">
        <v>872</v>
      </c>
      <c r="G17" s="134">
        <f t="shared" si="15"/>
        <v>47524</v>
      </c>
      <c r="H17" s="79" t="s">
        <v>115</v>
      </c>
      <c r="I17" s="143">
        <v>19</v>
      </c>
      <c r="J17" s="81">
        <v>1500</v>
      </c>
      <c r="K17" s="82">
        <f t="shared" si="1"/>
        <v>78.94736842105263</v>
      </c>
      <c r="L17" s="143">
        <v>19</v>
      </c>
      <c r="M17" s="83">
        <f t="shared" si="16"/>
        <v>1453.3333333333321</v>
      </c>
      <c r="N17" s="82">
        <f t="shared" si="3"/>
        <v>76.491228070175382</v>
      </c>
      <c r="O17" s="84">
        <f t="shared" si="4"/>
        <v>0</v>
      </c>
      <c r="P17" s="85">
        <f t="shared" si="5"/>
        <v>-2.4561403508772486</v>
      </c>
      <c r="Q17" s="139">
        <f t="shared" si="6"/>
        <v>0.96888888888888813</v>
      </c>
      <c r="R17" s="237"/>
      <c r="S17" s="88">
        <v>0.70833333333333337</v>
      </c>
      <c r="T17" s="88">
        <v>0.73333333333333339</v>
      </c>
      <c r="U17" s="134" t="str">
        <f t="shared" si="18"/>
        <v/>
      </c>
      <c r="V17" s="144">
        <f t="shared" si="17"/>
        <v>36.000000000000028</v>
      </c>
      <c r="W17" s="90"/>
      <c r="X17" s="90"/>
      <c r="Y17" s="90"/>
      <c r="Z17" s="90"/>
      <c r="AA17" s="232"/>
      <c r="AB17" s="232"/>
      <c r="AC17" s="92"/>
      <c r="AD17" s="93"/>
      <c r="AE17" s="84">
        <f t="shared" si="8"/>
        <v>-46.666666666667879</v>
      </c>
      <c r="AF17" s="139">
        <f t="shared" si="9"/>
        <v>0.96888888888888813</v>
      </c>
      <c r="AG17" s="237"/>
    </row>
    <row r="18" spans="1:33" ht="16.5" customHeight="1">
      <c r="A18" s="260" t="s">
        <v>494</v>
      </c>
      <c r="B18" s="146" t="s">
        <v>113</v>
      </c>
      <c r="C18" s="255" t="s">
        <v>118</v>
      </c>
      <c r="D18" s="255"/>
      <c r="E18" s="77">
        <v>50.67</v>
      </c>
      <c r="F18" s="146">
        <v>2269</v>
      </c>
      <c r="G18" s="134">
        <f t="shared" si="15"/>
        <v>114970.23000000001</v>
      </c>
      <c r="H18" s="79" t="s">
        <v>115</v>
      </c>
      <c r="I18" s="143">
        <v>15</v>
      </c>
      <c r="J18" s="81">
        <v>2000</v>
      </c>
      <c r="K18" s="82">
        <f t="shared" si="1"/>
        <v>133.33333333333334</v>
      </c>
      <c r="L18" s="143">
        <v>15</v>
      </c>
      <c r="M18" s="83">
        <f t="shared" si="16"/>
        <v>1917.4647887323924</v>
      </c>
      <c r="N18" s="82">
        <f t="shared" si="3"/>
        <v>127.83098591549283</v>
      </c>
      <c r="O18" s="84">
        <f t="shared" si="4"/>
        <v>0</v>
      </c>
      <c r="P18" s="85">
        <f t="shared" si="5"/>
        <v>-5.502347417840511</v>
      </c>
      <c r="Q18" s="139">
        <f t="shared" si="6"/>
        <v>0.95873239436619617</v>
      </c>
      <c r="R18" s="237"/>
      <c r="S18" s="88">
        <v>0.7368055555555556</v>
      </c>
      <c r="T18" s="88">
        <v>0.7861111111111112</v>
      </c>
      <c r="U18" s="134">
        <f t="shared" si="18"/>
        <v>4.9999999999999822</v>
      </c>
      <c r="V18" s="144">
        <f t="shared" si="17"/>
        <v>71.000000000000071</v>
      </c>
      <c r="W18" s="90"/>
      <c r="X18" s="90"/>
      <c r="Y18" s="90"/>
      <c r="Z18" s="90"/>
      <c r="AA18" s="232"/>
      <c r="AB18" s="232"/>
      <c r="AC18" s="92"/>
      <c r="AD18" s="93"/>
      <c r="AE18" s="84">
        <f t="shared" si="8"/>
        <v>-82.535211267607565</v>
      </c>
      <c r="AF18" s="139">
        <f t="shared" si="9"/>
        <v>0.95873239436619617</v>
      </c>
      <c r="AG18" s="237"/>
    </row>
    <row r="19" spans="1:33" ht="16.5" customHeight="1">
      <c r="A19" s="260" t="s">
        <v>494</v>
      </c>
      <c r="B19" s="146" t="s">
        <v>113</v>
      </c>
      <c r="C19" s="141" t="s">
        <v>130</v>
      </c>
      <c r="D19" s="142"/>
      <c r="E19" s="77">
        <v>51.06</v>
      </c>
      <c r="F19" s="146">
        <v>3051</v>
      </c>
      <c r="G19" s="134">
        <f t="shared" si="15"/>
        <v>155784.06</v>
      </c>
      <c r="H19" s="79" t="s">
        <v>115</v>
      </c>
      <c r="I19" s="143">
        <v>13</v>
      </c>
      <c r="J19" s="81">
        <v>2000</v>
      </c>
      <c r="K19" s="82">
        <f t="shared" si="1"/>
        <v>153.84615384615384</v>
      </c>
      <c r="L19" s="143">
        <v>13</v>
      </c>
      <c r="M19" s="83">
        <f t="shared" si="16"/>
        <v>1906.8750000000007</v>
      </c>
      <c r="N19" s="82">
        <f t="shared" si="3"/>
        <v>146.68269230769235</v>
      </c>
      <c r="O19" s="84">
        <f t="shared" si="4"/>
        <v>0</v>
      </c>
      <c r="P19" s="85">
        <f t="shared" si="5"/>
        <v>-7.1634615384614904</v>
      </c>
      <c r="Q19" s="139">
        <f t="shared" si="6"/>
        <v>0.95343750000000027</v>
      </c>
      <c r="R19" s="237"/>
      <c r="S19" s="88">
        <v>0.79027777777777786</v>
      </c>
      <c r="T19" s="88">
        <v>0.85694444444444451</v>
      </c>
      <c r="U19" s="134">
        <f t="shared" si="18"/>
        <v>5.9999999999999787</v>
      </c>
      <c r="V19" s="144">
        <f t="shared" si="17"/>
        <v>95.999999999999972</v>
      </c>
      <c r="W19" s="90"/>
      <c r="X19" s="90"/>
      <c r="Y19" s="94"/>
      <c r="Z19" s="94"/>
      <c r="AA19" s="137"/>
      <c r="AB19" s="138"/>
      <c r="AC19" s="92"/>
      <c r="AD19" s="93"/>
      <c r="AE19" s="84">
        <f t="shared" si="8"/>
        <v>-93.124999999999318</v>
      </c>
      <c r="AF19" s="139">
        <f t="shared" si="9"/>
        <v>0.95343750000000038</v>
      </c>
      <c r="AG19" s="237"/>
    </row>
    <row r="20" spans="1:33" ht="16.5" customHeight="1">
      <c r="A20" s="260" t="s">
        <v>494</v>
      </c>
      <c r="B20" s="77" t="s">
        <v>490</v>
      </c>
      <c r="C20" s="238"/>
      <c r="D20" s="238"/>
      <c r="E20" s="140"/>
      <c r="F20" s="97"/>
      <c r="G20" s="82"/>
      <c r="H20" s="146"/>
      <c r="I20" s="98">
        <v>17</v>
      </c>
      <c r="J20" s="81">
        <v>1750</v>
      </c>
      <c r="K20" s="82">
        <f t="shared" si="1"/>
        <v>102.94117647058823</v>
      </c>
      <c r="L20" s="98">
        <v>17</v>
      </c>
      <c r="M20" s="83">
        <f>AVERAGE(M14:M19)</f>
        <v>1675.896952473802</v>
      </c>
      <c r="N20" s="82">
        <f t="shared" si="3"/>
        <v>98.582173674929535</v>
      </c>
      <c r="O20" s="84">
        <f t="shared" si="4"/>
        <v>0</v>
      </c>
      <c r="P20" s="85">
        <f t="shared" si="5"/>
        <v>-4.3590027956586965</v>
      </c>
      <c r="Q20" s="139">
        <f t="shared" si="6"/>
        <v>0.95765540141360128</v>
      </c>
      <c r="R20" s="237"/>
      <c r="S20" s="88"/>
      <c r="T20" s="88"/>
      <c r="U20" s="134"/>
      <c r="V20" s="144"/>
      <c r="W20" s="82"/>
      <c r="X20" s="82"/>
      <c r="Y20" s="99">
        <f>SUM(Y14:Y19)</f>
        <v>0</v>
      </c>
      <c r="Z20" s="99">
        <f>SUM(Z14:Z19)</f>
        <v>0</v>
      </c>
      <c r="AA20" s="231"/>
      <c r="AB20" s="231"/>
      <c r="AC20" s="99">
        <v>6</v>
      </c>
      <c r="AD20" s="99">
        <f>SUM(AD14:AD19)</f>
        <v>0</v>
      </c>
      <c r="AE20" s="84">
        <f t="shared" si="8"/>
        <v>-74.103047526197997</v>
      </c>
      <c r="AF20" s="139">
        <f t="shared" si="9"/>
        <v>0.95765540141360117</v>
      </c>
      <c r="AG20" s="237"/>
    </row>
    <row r="21" spans="1:33" ht="15.75" customHeight="1">
      <c r="A21" s="257" t="s">
        <v>495</v>
      </c>
      <c r="B21" s="77" t="s">
        <v>113</v>
      </c>
      <c r="C21" s="255" t="s">
        <v>134</v>
      </c>
      <c r="D21" s="255"/>
      <c r="E21" s="77">
        <v>50.67</v>
      </c>
      <c r="F21" s="146">
        <v>1788</v>
      </c>
      <c r="G21" s="134">
        <f t="shared" ref="G21:G29" si="19">E21*F21</f>
        <v>90597.96</v>
      </c>
      <c r="H21" s="79" t="s">
        <v>115</v>
      </c>
      <c r="I21" s="143">
        <v>17</v>
      </c>
      <c r="J21" s="81">
        <v>2000</v>
      </c>
      <c r="K21" s="82">
        <f t="shared" si="1"/>
        <v>117.64705882352941</v>
      </c>
      <c r="L21" s="143">
        <v>17</v>
      </c>
      <c r="M21" s="83">
        <f t="shared" ref="M21:M29" si="20">F21/V21*60</f>
        <v>1915.7142857142844</v>
      </c>
      <c r="N21" s="82">
        <f t="shared" si="3"/>
        <v>112.68907563025202</v>
      </c>
      <c r="O21" s="84">
        <f t="shared" si="4"/>
        <v>0</v>
      </c>
      <c r="P21" s="85">
        <f t="shared" si="5"/>
        <v>-4.9579831932773857</v>
      </c>
      <c r="Q21" s="139">
        <f t="shared" si="6"/>
        <v>0.95785714285714219</v>
      </c>
      <c r="R21" s="237">
        <f>Q30</f>
        <v>0.96314239865360085</v>
      </c>
      <c r="S21" s="88">
        <v>0.29166666666666669</v>
      </c>
      <c r="T21" s="88">
        <v>0.3305555555555556</v>
      </c>
      <c r="U21" s="134"/>
      <c r="V21" s="144">
        <f t="shared" ref="V21:V29" si="21">(T21-S21)*24*60</f>
        <v>56.000000000000043</v>
      </c>
      <c r="W21" s="90"/>
      <c r="X21" s="90"/>
      <c r="Y21" s="100"/>
      <c r="Z21" s="100"/>
      <c r="AA21" s="232"/>
      <c r="AB21" s="232"/>
      <c r="AC21" s="92">
        <v>9</v>
      </c>
      <c r="AD21" s="93"/>
      <c r="AE21" s="84">
        <f t="shared" si="8"/>
        <v>-84.285714285715585</v>
      </c>
      <c r="AF21" s="139">
        <f t="shared" si="9"/>
        <v>0.95785714285714219</v>
      </c>
      <c r="AG21" s="237">
        <f>AF30</f>
        <v>0.96314239865360085</v>
      </c>
    </row>
    <row r="22" spans="1:33" ht="15.75" customHeight="1">
      <c r="A22" s="258" t="s">
        <v>496</v>
      </c>
      <c r="B22" s="77" t="s">
        <v>113</v>
      </c>
      <c r="C22" s="255" t="s">
        <v>135</v>
      </c>
      <c r="D22" s="255"/>
      <c r="E22" s="77">
        <v>57.73</v>
      </c>
      <c r="F22" s="146">
        <v>2987</v>
      </c>
      <c r="G22" s="134">
        <f t="shared" si="19"/>
        <v>172439.50999999998</v>
      </c>
      <c r="H22" s="79" t="s">
        <v>115</v>
      </c>
      <c r="I22" s="143">
        <v>14</v>
      </c>
      <c r="J22" s="81">
        <v>2000</v>
      </c>
      <c r="K22" s="82">
        <f t="shared" si="1"/>
        <v>142.85714285714286</v>
      </c>
      <c r="L22" s="143">
        <v>14</v>
      </c>
      <c r="M22" s="83">
        <f t="shared" si="20"/>
        <v>1906.5957446808513</v>
      </c>
      <c r="N22" s="82">
        <f t="shared" si="3"/>
        <v>136.18541033434653</v>
      </c>
      <c r="O22" s="84">
        <f t="shared" si="4"/>
        <v>0</v>
      </c>
      <c r="P22" s="85">
        <f t="shared" si="5"/>
        <v>-6.6717325227963329</v>
      </c>
      <c r="Q22" s="139">
        <f t="shared" si="6"/>
        <v>0.95329787234042562</v>
      </c>
      <c r="R22" s="237"/>
      <c r="S22" s="88">
        <v>0.33611111111111114</v>
      </c>
      <c r="T22" s="88">
        <v>0.40138888888888891</v>
      </c>
      <c r="U22" s="134">
        <f t="shared" ref="U22:U29" si="22">IF(S22=TIME(17,0,0),"",(S22-T21)*24*60)</f>
        <v>7.9999999999999716</v>
      </c>
      <c r="V22" s="144">
        <f t="shared" si="21"/>
        <v>93.999999999999986</v>
      </c>
      <c r="W22" s="90"/>
      <c r="X22" s="134"/>
      <c r="Y22" s="134"/>
      <c r="Z22" s="134"/>
      <c r="AA22" s="232"/>
      <c r="AB22" s="232"/>
      <c r="AC22" s="92"/>
      <c r="AD22" s="93"/>
      <c r="AE22" s="84">
        <f t="shared" si="8"/>
        <v>-93.40425531914866</v>
      </c>
      <c r="AF22" s="139">
        <f t="shared" si="9"/>
        <v>0.95329787234042562</v>
      </c>
      <c r="AG22" s="237"/>
    </row>
    <row r="23" spans="1:33" ht="15.75" customHeight="1">
      <c r="A23" s="258" t="s">
        <v>497</v>
      </c>
      <c r="B23" s="77" t="s">
        <v>113</v>
      </c>
      <c r="C23" s="255" t="s">
        <v>136</v>
      </c>
      <c r="D23" s="255"/>
      <c r="E23" s="77">
        <v>53.27</v>
      </c>
      <c r="F23" s="146">
        <v>1584</v>
      </c>
      <c r="G23" s="134">
        <f t="shared" si="19"/>
        <v>84379.680000000008</v>
      </c>
      <c r="H23" s="79" t="s">
        <v>115</v>
      </c>
      <c r="I23" s="143">
        <v>16</v>
      </c>
      <c r="J23" s="81">
        <v>2000</v>
      </c>
      <c r="K23" s="82">
        <f t="shared" si="1"/>
        <v>125</v>
      </c>
      <c r="L23" s="143">
        <v>16</v>
      </c>
      <c r="M23" s="83">
        <f t="shared" si="20"/>
        <v>1939.5918367346944</v>
      </c>
      <c r="N23" s="82">
        <f t="shared" si="3"/>
        <v>121.2244897959184</v>
      </c>
      <c r="O23" s="84">
        <f t="shared" si="4"/>
        <v>0</v>
      </c>
      <c r="P23" s="85">
        <f t="shared" si="5"/>
        <v>-3.7755102040815984</v>
      </c>
      <c r="Q23" s="139">
        <f t="shared" si="6"/>
        <v>0.96979591836734724</v>
      </c>
      <c r="R23" s="237"/>
      <c r="S23" s="88">
        <v>0.40555555555555556</v>
      </c>
      <c r="T23" s="88">
        <v>0.43958333333333333</v>
      </c>
      <c r="U23" s="134">
        <f t="shared" si="22"/>
        <v>5.9999999999999787</v>
      </c>
      <c r="V23" s="144">
        <f t="shared" si="21"/>
        <v>48.999999999999986</v>
      </c>
      <c r="W23" s="90"/>
      <c r="X23" s="134"/>
      <c r="Y23" s="134"/>
      <c r="Z23" s="134"/>
      <c r="AA23" s="232"/>
      <c r="AB23" s="232"/>
      <c r="AC23" s="92"/>
      <c r="AD23" s="93"/>
      <c r="AE23" s="84">
        <f t="shared" si="8"/>
        <v>-60.408163265305575</v>
      </c>
      <c r="AF23" s="139">
        <f t="shared" si="9"/>
        <v>0.96979591836734724</v>
      </c>
      <c r="AG23" s="237"/>
    </row>
    <row r="24" spans="1:33" ht="15.75" customHeight="1">
      <c r="A24" s="258" t="s">
        <v>495</v>
      </c>
      <c r="B24" s="77" t="s">
        <v>113</v>
      </c>
      <c r="C24" s="255" t="s">
        <v>137</v>
      </c>
      <c r="D24" s="255"/>
      <c r="E24" s="77">
        <v>57.3</v>
      </c>
      <c r="F24" s="146">
        <v>1100</v>
      </c>
      <c r="G24" s="134">
        <f t="shared" si="19"/>
        <v>63030</v>
      </c>
      <c r="H24" s="79">
        <v>2</v>
      </c>
      <c r="I24" s="143">
        <v>16</v>
      </c>
      <c r="J24" s="81">
        <v>2000</v>
      </c>
      <c r="K24" s="82">
        <f t="shared" si="1"/>
        <v>125</v>
      </c>
      <c r="L24" s="143">
        <v>16</v>
      </c>
      <c r="M24" s="83">
        <f t="shared" si="20"/>
        <v>1941.1764705882326</v>
      </c>
      <c r="N24" s="82">
        <f t="shared" si="3"/>
        <v>121.32352941176454</v>
      </c>
      <c r="O24" s="84">
        <f t="shared" si="4"/>
        <v>0</v>
      </c>
      <c r="P24" s="85">
        <f t="shared" si="5"/>
        <v>-3.6764705882354605</v>
      </c>
      <c r="Q24" s="139">
        <f t="shared" si="6"/>
        <v>0.97058823529411631</v>
      </c>
      <c r="R24" s="237"/>
      <c r="S24" s="88">
        <v>0.44513888888888886</v>
      </c>
      <c r="T24" s="88">
        <v>0.46875</v>
      </c>
      <c r="U24" s="134">
        <f t="shared" si="22"/>
        <v>7.9999999999999716</v>
      </c>
      <c r="V24" s="144">
        <f t="shared" si="21"/>
        <v>34.000000000000043</v>
      </c>
      <c r="W24" s="90">
        <f>T24</f>
        <v>0.46875</v>
      </c>
      <c r="X24" s="90">
        <f>S25</f>
        <v>0.55277777777777781</v>
      </c>
      <c r="Y24" s="134"/>
      <c r="Z24" s="134"/>
      <c r="AA24" s="232"/>
      <c r="AB24" s="232"/>
      <c r="AC24" s="92"/>
      <c r="AD24" s="93"/>
      <c r="AE24" s="84">
        <f t="shared" si="8"/>
        <v>-58.823529411767367</v>
      </c>
      <c r="AF24" s="139">
        <f t="shared" si="9"/>
        <v>0.97058823529411631</v>
      </c>
      <c r="AG24" s="237"/>
    </row>
    <row r="25" spans="1:33" ht="15.75" customHeight="1">
      <c r="A25" s="258" t="s">
        <v>496</v>
      </c>
      <c r="B25" s="77" t="s">
        <v>113</v>
      </c>
      <c r="C25" s="255" t="s">
        <v>137</v>
      </c>
      <c r="D25" s="255"/>
      <c r="E25" s="77">
        <v>57.3</v>
      </c>
      <c r="F25" s="146">
        <v>2658</v>
      </c>
      <c r="G25" s="134">
        <f t="shared" si="19"/>
        <v>152303.4</v>
      </c>
      <c r="H25" s="79" t="s">
        <v>115</v>
      </c>
      <c r="I25" s="143">
        <v>16</v>
      </c>
      <c r="J25" s="81">
        <v>2000</v>
      </c>
      <c r="K25" s="82">
        <f t="shared" si="1"/>
        <v>125</v>
      </c>
      <c r="L25" s="143">
        <v>16</v>
      </c>
      <c r="M25" s="83">
        <f t="shared" si="20"/>
        <v>1921.4457831325294</v>
      </c>
      <c r="N25" s="82">
        <f t="shared" si="3"/>
        <v>120.09036144578309</v>
      </c>
      <c r="O25" s="84">
        <f t="shared" si="4"/>
        <v>0</v>
      </c>
      <c r="P25" s="85">
        <f t="shared" si="5"/>
        <v>-4.9096385542169116</v>
      </c>
      <c r="Q25" s="139">
        <f t="shared" si="6"/>
        <v>0.96072289156626467</v>
      </c>
      <c r="R25" s="237"/>
      <c r="S25" s="88">
        <v>0.55277777777777781</v>
      </c>
      <c r="T25" s="88">
        <v>0.61041666666666672</v>
      </c>
      <c r="U25" s="134">
        <f t="shared" si="22"/>
        <v>121.00000000000006</v>
      </c>
      <c r="V25" s="144">
        <f t="shared" si="21"/>
        <v>83.000000000000028</v>
      </c>
      <c r="W25" s="90"/>
      <c r="X25" s="90"/>
      <c r="Y25" s="134"/>
      <c r="Z25" s="134"/>
      <c r="AA25" s="232"/>
      <c r="AB25" s="232"/>
      <c r="AC25" s="92"/>
      <c r="AD25" s="93"/>
      <c r="AE25" s="84">
        <f t="shared" si="8"/>
        <v>-78.554216867470586</v>
      </c>
      <c r="AF25" s="139">
        <f t="shared" si="9"/>
        <v>0.96072289156626467</v>
      </c>
      <c r="AG25" s="237"/>
    </row>
    <row r="26" spans="1:33" ht="15.75" customHeight="1">
      <c r="A26" s="258" t="s">
        <v>496</v>
      </c>
      <c r="B26" s="77" t="s">
        <v>113</v>
      </c>
      <c r="C26" s="255" t="s">
        <v>138</v>
      </c>
      <c r="D26" s="255"/>
      <c r="E26" s="77">
        <v>50.49</v>
      </c>
      <c r="F26" s="146">
        <v>2487</v>
      </c>
      <c r="G26" s="134">
        <f t="shared" si="19"/>
        <v>125568.63</v>
      </c>
      <c r="H26" s="79" t="s">
        <v>115</v>
      </c>
      <c r="I26" s="143">
        <v>15</v>
      </c>
      <c r="J26" s="81">
        <v>2000</v>
      </c>
      <c r="K26" s="82">
        <f t="shared" si="1"/>
        <v>133.33333333333334</v>
      </c>
      <c r="L26" s="143">
        <v>15</v>
      </c>
      <c r="M26" s="83">
        <f t="shared" si="20"/>
        <v>1913.076923076922</v>
      </c>
      <c r="N26" s="82">
        <f t="shared" si="3"/>
        <v>127.53846153846146</v>
      </c>
      <c r="O26" s="84">
        <f t="shared" si="4"/>
        <v>0</v>
      </c>
      <c r="P26" s="85">
        <f t="shared" si="5"/>
        <v>-5.7948717948718809</v>
      </c>
      <c r="Q26" s="139">
        <f t="shared" si="6"/>
        <v>0.95653846153846089</v>
      </c>
      <c r="R26" s="237"/>
      <c r="S26" s="88">
        <v>0.70833333333333337</v>
      </c>
      <c r="T26" s="88">
        <v>0.76250000000000007</v>
      </c>
      <c r="U26" s="134" t="str">
        <f t="shared" si="22"/>
        <v/>
      </c>
      <c r="V26" s="144">
        <f t="shared" si="21"/>
        <v>78.000000000000043</v>
      </c>
      <c r="W26" s="90"/>
      <c r="X26" s="100"/>
      <c r="Y26" s="100"/>
      <c r="Z26" s="100"/>
      <c r="AA26" s="232"/>
      <c r="AB26" s="232"/>
      <c r="AC26" s="92"/>
      <c r="AD26" s="93"/>
      <c r="AE26" s="84">
        <f t="shared" si="8"/>
        <v>-86.923076923078042</v>
      </c>
      <c r="AF26" s="139">
        <f t="shared" si="9"/>
        <v>0.956538461538461</v>
      </c>
      <c r="AG26" s="237"/>
    </row>
    <row r="27" spans="1:33" ht="15.75" customHeight="1">
      <c r="A27" s="258" t="s">
        <v>496</v>
      </c>
      <c r="B27" s="77" t="s">
        <v>113</v>
      </c>
      <c r="C27" s="251" t="s">
        <v>139</v>
      </c>
      <c r="D27" s="252"/>
      <c r="E27" s="77">
        <v>54.09</v>
      </c>
      <c r="F27" s="146">
        <v>2214</v>
      </c>
      <c r="G27" s="134">
        <f t="shared" si="19"/>
        <v>119755.26000000001</v>
      </c>
      <c r="H27" s="79" t="s">
        <v>115</v>
      </c>
      <c r="I27" s="143">
        <v>18</v>
      </c>
      <c r="J27" s="81">
        <v>2000</v>
      </c>
      <c r="K27" s="82">
        <f t="shared" si="1"/>
        <v>111.11111111111111</v>
      </c>
      <c r="L27" s="143">
        <v>18</v>
      </c>
      <c r="M27" s="83">
        <f t="shared" si="20"/>
        <v>1925.2173913043457</v>
      </c>
      <c r="N27" s="82">
        <f t="shared" si="3"/>
        <v>106.95652173913032</v>
      </c>
      <c r="O27" s="84">
        <f t="shared" si="4"/>
        <v>0</v>
      </c>
      <c r="P27" s="85">
        <f t="shared" si="5"/>
        <v>-4.1545893719807907</v>
      </c>
      <c r="Q27" s="139">
        <f t="shared" si="6"/>
        <v>0.96260869565217289</v>
      </c>
      <c r="R27" s="237"/>
      <c r="S27" s="88">
        <v>0.76666666666666672</v>
      </c>
      <c r="T27" s="88">
        <v>0.81458333333333344</v>
      </c>
      <c r="U27" s="134">
        <f t="shared" si="22"/>
        <v>5.9999999999999787</v>
      </c>
      <c r="V27" s="144">
        <f t="shared" si="21"/>
        <v>69.000000000000071</v>
      </c>
      <c r="W27" s="90"/>
      <c r="X27" s="100"/>
      <c r="Y27" s="107"/>
      <c r="Z27" s="107"/>
      <c r="AA27" s="227"/>
      <c r="AB27" s="228"/>
      <c r="AC27" s="92"/>
      <c r="AD27" s="93"/>
      <c r="AE27" s="84">
        <f t="shared" si="8"/>
        <v>-74.782608695654289</v>
      </c>
      <c r="AF27" s="139">
        <f t="shared" si="9"/>
        <v>0.96260869565217289</v>
      </c>
      <c r="AG27" s="237"/>
    </row>
    <row r="28" spans="1:33" ht="15.75" customHeight="1">
      <c r="A28" s="258" t="s">
        <v>496</v>
      </c>
      <c r="B28" s="77" t="s">
        <v>113</v>
      </c>
      <c r="C28" s="141" t="s">
        <v>140</v>
      </c>
      <c r="D28" s="142"/>
      <c r="E28" s="77">
        <v>50.67</v>
      </c>
      <c r="F28" s="146">
        <v>1000</v>
      </c>
      <c r="G28" s="134">
        <f t="shared" si="19"/>
        <v>50670</v>
      </c>
      <c r="H28" s="79">
        <v>2</v>
      </c>
      <c r="I28" s="143">
        <v>16</v>
      </c>
      <c r="J28" s="81">
        <v>2000</v>
      </c>
      <c r="K28" s="82">
        <f t="shared" si="1"/>
        <v>125</v>
      </c>
      <c r="L28" s="143">
        <v>16</v>
      </c>
      <c r="M28" s="83">
        <f t="shared" si="20"/>
        <v>1935.483870967739</v>
      </c>
      <c r="N28" s="82">
        <f t="shared" si="3"/>
        <v>120.96774193548369</v>
      </c>
      <c r="O28" s="84">
        <f t="shared" si="4"/>
        <v>0</v>
      </c>
      <c r="P28" s="85">
        <f t="shared" si="5"/>
        <v>-4.0322580645163129</v>
      </c>
      <c r="Q28" s="139">
        <f t="shared" si="6"/>
        <v>0.96774193548386944</v>
      </c>
      <c r="R28" s="237"/>
      <c r="S28" s="88">
        <v>0.81944444444444453</v>
      </c>
      <c r="T28" s="88">
        <v>0.84097222222222234</v>
      </c>
      <c r="U28" s="134">
        <f t="shared" si="22"/>
        <v>6.9999999999999751</v>
      </c>
      <c r="V28" s="144">
        <f t="shared" si="21"/>
        <v>31.00000000000005</v>
      </c>
      <c r="W28" s="90"/>
      <c r="X28" s="90"/>
      <c r="Y28" s="94"/>
      <c r="Z28" s="94"/>
      <c r="AA28" s="137"/>
      <c r="AB28" s="138"/>
      <c r="AC28" s="92"/>
      <c r="AD28" s="93"/>
      <c r="AE28" s="84">
        <f t="shared" si="8"/>
        <v>-64.516129032261006</v>
      </c>
      <c r="AF28" s="139">
        <f t="shared" si="9"/>
        <v>0.96774193548386944</v>
      </c>
      <c r="AG28" s="237"/>
    </row>
    <row r="29" spans="1:33" ht="15.75" customHeight="1">
      <c r="A29" s="258" t="s">
        <v>496</v>
      </c>
      <c r="B29" s="77" t="s">
        <v>113</v>
      </c>
      <c r="C29" s="251" t="s">
        <v>140</v>
      </c>
      <c r="D29" s="252"/>
      <c r="E29" s="77">
        <v>50.67</v>
      </c>
      <c r="F29" s="146">
        <v>1486</v>
      </c>
      <c r="G29" s="134">
        <f t="shared" si="19"/>
        <v>75295.62</v>
      </c>
      <c r="H29" s="79" t="s">
        <v>115</v>
      </c>
      <c r="I29" s="143">
        <v>16</v>
      </c>
      <c r="J29" s="81">
        <v>2000</v>
      </c>
      <c r="K29" s="82">
        <f t="shared" si="1"/>
        <v>125</v>
      </c>
      <c r="L29" s="143">
        <v>16</v>
      </c>
      <c r="M29" s="83">
        <f t="shared" si="20"/>
        <v>1938.2608695652173</v>
      </c>
      <c r="N29" s="82">
        <f t="shared" si="3"/>
        <v>121.14130434782608</v>
      </c>
      <c r="O29" s="84">
        <f t="shared" si="4"/>
        <v>0</v>
      </c>
      <c r="P29" s="85">
        <f t="shared" si="5"/>
        <v>-3.8586956521739211</v>
      </c>
      <c r="Q29" s="139">
        <f t="shared" si="6"/>
        <v>0.96913043478260863</v>
      </c>
      <c r="R29" s="237"/>
      <c r="S29" s="88">
        <v>0.88194444444444453</v>
      </c>
      <c r="T29" s="88">
        <v>0.91388888888888897</v>
      </c>
      <c r="U29" s="134">
        <f t="shared" si="22"/>
        <v>58.99999999999995</v>
      </c>
      <c r="V29" s="144">
        <f t="shared" si="21"/>
        <v>46</v>
      </c>
      <c r="W29" s="90"/>
      <c r="X29" s="90"/>
      <c r="Y29" s="94"/>
      <c r="Z29" s="94"/>
      <c r="AA29" s="137"/>
      <c r="AB29" s="138"/>
      <c r="AC29" s="92"/>
      <c r="AD29" s="93"/>
      <c r="AE29" s="84">
        <f t="shared" si="8"/>
        <v>-61.739130434782737</v>
      </c>
      <c r="AF29" s="139">
        <f t="shared" si="9"/>
        <v>0.96913043478260863</v>
      </c>
      <c r="AG29" s="237"/>
    </row>
    <row r="30" spans="1:33" ht="15.75" customHeight="1">
      <c r="A30" s="258" t="s">
        <v>133</v>
      </c>
      <c r="B30" s="77" t="s">
        <v>490</v>
      </c>
      <c r="C30" s="238"/>
      <c r="D30" s="238"/>
      <c r="E30" s="140"/>
      <c r="F30" s="146"/>
      <c r="G30" s="134"/>
      <c r="H30" s="146"/>
      <c r="I30" s="98">
        <v>16</v>
      </c>
      <c r="J30" s="81">
        <v>2000</v>
      </c>
      <c r="K30" s="82">
        <f t="shared" si="1"/>
        <v>125</v>
      </c>
      <c r="L30" s="98">
        <v>16</v>
      </c>
      <c r="M30" s="83">
        <f>AVERAGE(M21:M29)</f>
        <v>1926.2847973072016</v>
      </c>
      <c r="N30" s="82">
        <f t="shared" si="3"/>
        <v>120.3927998317001</v>
      </c>
      <c r="O30" s="84">
        <f t="shared" si="4"/>
        <v>0</v>
      </c>
      <c r="P30" s="85">
        <f t="shared" si="5"/>
        <v>-4.6072001682998973</v>
      </c>
      <c r="Q30" s="139">
        <f t="shared" si="6"/>
        <v>0.96314239865360085</v>
      </c>
      <c r="R30" s="237"/>
      <c r="S30" s="88"/>
      <c r="T30" s="88"/>
      <c r="U30" s="82"/>
      <c r="V30" s="144"/>
      <c r="W30" s="82"/>
      <c r="X30" s="82"/>
      <c r="Y30" s="99">
        <f>SUM(Y21:Y29)</f>
        <v>0</v>
      </c>
      <c r="Z30" s="99">
        <f>SUM(Z21:Z29)</f>
        <v>0</v>
      </c>
      <c r="AA30" s="231"/>
      <c r="AB30" s="231"/>
      <c r="AC30" s="99">
        <v>9</v>
      </c>
      <c r="AD30" s="99">
        <f>SUM(AD21:AD29)</f>
        <v>0</v>
      </c>
      <c r="AE30" s="84">
        <f t="shared" si="8"/>
        <v>-73.715202692798357</v>
      </c>
      <c r="AF30" s="139">
        <f t="shared" si="9"/>
        <v>0.96314239865360085</v>
      </c>
      <c r="AG30" s="237"/>
    </row>
    <row r="31" spans="1:33" ht="15.75" customHeight="1">
      <c r="A31" s="256" t="s">
        <v>498</v>
      </c>
      <c r="B31" s="77" t="s">
        <v>142</v>
      </c>
      <c r="C31" s="255" t="s">
        <v>143</v>
      </c>
      <c r="D31" s="255"/>
      <c r="E31" s="77">
        <v>31.29</v>
      </c>
      <c r="F31" s="146">
        <v>6500</v>
      </c>
      <c r="G31" s="134">
        <f t="shared" ref="G31:G39" si="23">E31*F31</f>
        <v>203385</v>
      </c>
      <c r="H31" s="79">
        <v>2</v>
      </c>
      <c r="I31" s="143">
        <v>18</v>
      </c>
      <c r="J31" s="81">
        <v>2400</v>
      </c>
      <c r="K31" s="82">
        <f t="shared" si="1"/>
        <v>133.33333333333334</v>
      </c>
      <c r="L31" s="143">
        <v>18</v>
      </c>
      <c r="M31" s="83">
        <f t="shared" ref="M31:M39" si="24">F31/V31*60</f>
        <v>2294.1176470588234</v>
      </c>
      <c r="N31" s="82">
        <f t="shared" si="3"/>
        <v>127.45098039215685</v>
      </c>
      <c r="O31" s="84">
        <f t="shared" si="4"/>
        <v>0</v>
      </c>
      <c r="P31" s="85">
        <f t="shared" si="5"/>
        <v>-5.8823529411764923</v>
      </c>
      <c r="Q31" s="139">
        <f t="shared" si="6"/>
        <v>0.95588235294117629</v>
      </c>
      <c r="R31" s="237">
        <f>Q40</f>
        <v>0.95773224969056492</v>
      </c>
      <c r="S31" s="88">
        <v>8.3333333333333329E-2</v>
      </c>
      <c r="T31" s="88">
        <v>0.2013888888888889</v>
      </c>
      <c r="U31" s="134"/>
      <c r="V31" s="144">
        <f t="shared" ref="V31:V39" si="25">(T31-S31)*24*60</f>
        <v>170</v>
      </c>
      <c r="W31" s="90">
        <f>T31</f>
        <v>0.2013888888888889</v>
      </c>
      <c r="X31" s="90">
        <f>S32</f>
        <v>0.22291666666666668</v>
      </c>
      <c r="Y31" s="90"/>
      <c r="Z31" s="90"/>
      <c r="AA31" s="232"/>
      <c r="AB31" s="232"/>
      <c r="AC31" s="92">
        <v>9</v>
      </c>
      <c r="AD31" s="93"/>
      <c r="AE31" s="84">
        <f t="shared" si="8"/>
        <v>-105.88235294117658</v>
      </c>
      <c r="AF31" s="139">
        <f t="shared" si="9"/>
        <v>0.95588235294117641</v>
      </c>
      <c r="AG31" s="237">
        <f>AF40</f>
        <v>0.95773224969056481</v>
      </c>
    </row>
    <row r="32" spans="1:33" ht="15.75" customHeight="1">
      <c r="A32" s="256" t="s">
        <v>498</v>
      </c>
      <c r="B32" s="77" t="s">
        <v>142</v>
      </c>
      <c r="C32" s="255" t="s">
        <v>144</v>
      </c>
      <c r="D32" s="255"/>
      <c r="E32" s="77">
        <v>26.37</v>
      </c>
      <c r="F32" s="146">
        <v>4700</v>
      </c>
      <c r="G32" s="134">
        <f t="shared" si="23"/>
        <v>123939</v>
      </c>
      <c r="H32" s="79">
        <v>2</v>
      </c>
      <c r="I32" s="143">
        <v>18</v>
      </c>
      <c r="J32" s="81">
        <v>2400</v>
      </c>
      <c r="K32" s="82">
        <f t="shared" si="1"/>
        <v>133.33333333333334</v>
      </c>
      <c r="L32" s="143">
        <v>18</v>
      </c>
      <c r="M32" s="83">
        <f t="shared" si="24"/>
        <v>2292.6829268292686</v>
      </c>
      <c r="N32" s="82">
        <f t="shared" si="3"/>
        <v>127.37127371273715</v>
      </c>
      <c r="O32" s="84">
        <f t="shared" si="4"/>
        <v>0</v>
      </c>
      <c r="P32" s="85">
        <f t="shared" si="5"/>
        <v>-5.9620596205961931</v>
      </c>
      <c r="Q32" s="139">
        <f t="shared" si="6"/>
        <v>0.9552845528455286</v>
      </c>
      <c r="R32" s="237"/>
      <c r="S32" s="88">
        <v>0.22291666666666668</v>
      </c>
      <c r="T32" s="88">
        <v>0.30833333333333335</v>
      </c>
      <c r="U32" s="134">
        <f t="shared" ref="U32:U39" si="26">(S32-T31)*24*60</f>
        <v>31.000000000000011</v>
      </c>
      <c r="V32" s="144">
        <f t="shared" si="25"/>
        <v>122.99999999999999</v>
      </c>
      <c r="W32" s="90"/>
      <c r="X32" s="90"/>
      <c r="Y32" s="90"/>
      <c r="Z32" s="90"/>
      <c r="AA32" s="232"/>
      <c r="AB32" s="232"/>
      <c r="AC32" s="92"/>
      <c r="AD32" s="93"/>
      <c r="AE32" s="84">
        <f t="shared" si="8"/>
        <v>-107.31707317073142</v>
      </c>
      <c r="AF32" s="139">
        <f t="shared" si="9"/>
        <v>0.9552845528455286</v>
      </c>
      <c r="AG32" s="237"/>
    </row>
    <row r="33" spans="1:33" ht="15.75" customHeight="1">
      <c r="A33" s="256" t="s">
        <v>498</v>
      </c>
      <c r="B33" s="77" t="s">
        <v>142</v>
      </c>
      <c r="C33" s="255" t="s">
        <v>180</v>
      </c>
      <c r="D33" s="255"/>
      <c r="E33" s="77">
        <v>28.29</v>
      </c>
      <c r="F33" s="146">
        <v>2592</v>
      </c>
      <c r="G33" s="134">
        <f t="shared" si="23"/>
        <v>73327.679999999993</v>
      </c>
      <c r="H33" s="79" t="s">
        <v>115</v>
      </c>
      <c r="I33" s="143">
        <v>19</v>
      </c>
      <c r="J33" s="81">
        <v>2400</v>
      </c>
      <c r="K33" s="82">
        <f t="shared" si="1"/>
        <v>126.31578947368421</v>
      </c>
      <c r="L33" s="143">
        <v>19</v>
      </c>
      <c r="M33" s="83">
        <f t="shared" si="24"/>
        <v>2287.0588235294117</v>
      </c>
      <c r="N33" s="82">
        <f t="shared" si="3"/>
        <v>120.37151702786377</v>
      </c>
      <c r="O33" s="84">
        <f t="shared" si="4"/>
        <v>0</v>
      </c>
      <c r="P33" s="85">
        <f t="shared" si="5"/>
        <v>-5.944272445820431</v>
      </c>
      <c r="Q33" s="139">
        <f t="shared" si="6"/>
        <v>0.95294117647058829</v>
      </c>
      <c r="R33" s="237"/>
      <c r="S33" s="88">
        <v>0.31180555555555556</v>
      </c>
      <c r="T33" s="88">
        <v>0.35902777777777778</v>
      </c>
      <c r="U33" s="134">
        <f t="shared" si="26"/>
        <v>4.9999999999999822</v>
      </c>
      <c r="V33" s="144">
        <f t="shared" si="25"/>
        <v>68</v>
      </c>
      <c r="W33" s="90"/>
      <c r="X33" s="90"/>
      <c r="Y33" s="90"/>
      <c r="Z33" s="90"/>
      <c r="AA33" s="232"/>
      <c r="AB33" s="232"/>
      <c r="AC33" s="92"/>
      <c r="AD33" s="93"/>
      <c r="AE33" s="84">
        <f t="shared" si="8"/>
        <v>-112.94117647058829</v>
      </c>
      <c r="AF33" s="139">
        <f t="shared" si="9"/>
        <v>0.95294117647058818</v>
      </c>
      <c r="AG33" s="237"/>
    </row>
    <row r="34" spans="1:33" ht="15.75" customHeight="1">
      <c r="A34" s="256" t="s">
        <v>498</v>
      </c>
      <c r="B34" s="77" t="s">
        <v>142</v>
      </c>
      <c r="C34" s="255" t="s">
        <v>146</v>
      </c>
      <c r="D34" s="255"/>
      <c r="E34" s="77">
        <v>25.98</v>
      </c>
      <c r="F34" s="146">
        <v>4429</v>
      </c>
      <c r="G34" s="134">
        <f t="shared" si="23"/>
        <v>115065.42</v>
      </c>
      <c r="H34" s="79" t="s">
        <v>115</v>
      </c>
      <c r="I34" s="143">
        <v>19</v>
      </c>
      <c r="J34" s="81">
        <v>2400</v>
      </c>
      <c r="K34" s="82">
        <f t="shared" si="1"/>
        <v>126.31578947368421</v>
      </c>
      <c r="L34" s="143">
        <v>19</v>
      </c>
      <c r="M34" s="83">
        <f t="shared" si="24"/>
        <v>2290.8620689655177</v>
      </c>
      <c r="N34" s="82">
        <f t="shared" si="3"/>
        <v>120.57168784029041</v>
      </c>
      <c r="O34" s="84">
        <f t="shared" si="4"/>
        <v>0</v>
      </c>
      <c r="P34" s="85">
        <f t="shared" si="5"/>
        <v>-5.7441016333937966</v>
      </c>
      <c r="Q34" s="139">
        <f t="shared" si="6"/>
        <v>0.95452586206896572</v>
      </c>
      <c r="R34" s="237"/>
      <c r="S34" s="88">
        <v>0.36388888888888887</v>
      </c>
      <c r="T34" s="88">
        <v>0.44444444444444442</v>
      </c>
      <c r="U34" s="134">
        <f t="shared" si="26"/>
        <v>6.9999999999999751</v>
      </c>
      <c r="V34" s="144">
        <f t="shared" si="25"/>
        <v>115.99999999999999</v>
      </c>
      <c r="W34" s="90"/>
      <c r="X34" s="90"/>
      <c r="Y34" s="90"/>
      <c r="Z34" s="90"/>
      <c r="AA34" s="232"/>
      <c r="AB34" s="232"/>
      <c r="AC34" s="92"/>
      <c r="AD34" s="93"/>
      <c r="AE34" s="84">
        <f t="shared" si="8"/>
        <v>-109.13793103448234</v>
      </c>
      <c r="AF34" s="139">
        <f t="shared" si="9"/>
        <v>0.95452586206896572</v>
      </c>
      <c r="AG34" s="237"/>
    </row>
    <row r="35" spans="1:33" ht="15.75" customHeight="1">
      <c r="A35" s="256" t="s">
        <v>498</v>
      </c>
      <c r="B35" s="77" t="s">
        <v>142</v>
      </c>
      <c r="C35" s="255" t="s">
        <v>148</v>
      </c>
      <c r="D35" s="255"/>
      <c r="E35" s="77">
        <v>25.99</v>
      </c>
      <c r="F35" s="146">
        <v>1783</v>
      </c>
      <c r="G35" s="134">
        <f t="shared" si="23"/>
        <v>46340.17</v>
      </c>
      <c r="H35" s="79" t="s">
        <v>115</v>
      </c>
      <c r="I35" s="143">
        <v>18</v>
      </c>
      <c r="J35" s="81">
        <v>2400</v>
      </c>
      <c r="K35" s="82">
        <f t="shared" si="1"/>
        <v>133.33333333333334</v>
      </c>
      <c r="L35" s="143">
        <v>18</v>
      </c>
      <c r="M35" s="83">
        <f t="shared" si="24"/>
        <v>2325.6521739130435</v>
      </c>
      <c r="N35" s="82">
        <f t="shared" si="3"/>
        <v>129.20289855072463</v>
      </c>
      <c r="O35" s="84">
        <f t="shared" si="4"/>
        <v>0</v>
      </c>
      <c r="P35" s="85">
        <f t="shared" si="5"/>
        <v>-4.1304347826087167</v>
      </c>
      <c r="Q35" s="139">
        <f t="shared" si="6"/>
        <v>0.96902173913043466</v>
      </c>
      <c r="R35" s="237"/>
      <c r="S35" s="88">
        <v>0.44861111111111107</v>
      </c>
      <c r="T35" s="88">
        <v>0.48055555555555551</v>
      </c>
      <c r="U35" s="134">
        <f t="shared" si="26"/>
        <v>5.9999999999999787</v>
      </c>
      <c r="V35" s="144">
        <f t="shared" si="25"/>
        <v>46</v>
      </c>
      <c r="W35" s="90"/>
      <c r="X35" s="90"/>
      <c r="Y35" s="90"/>
      <c r="Z35" s="90"/>
      <c r="AA35" s="232"/>
      <c r="AB35" s="232"/>
      <c r="AC35" s="92"/>
      <c r="AD35" s="93"/>
      <c r="AE35" s="84">
        <f t="shared" si="8"/>
        <v>-74.347826086956502</v>
      </c>
      <c r="AF35" s="139">
        <f t="shared" si="9"/>
        <v>0.96902173913043477</v>
      </c>
      <c r="AG35" s="237"/>
    </row>
    <row r="36" spans="1:33" ht="15.75" customHeight="1">
      <c r="A36" s="256" t="s">
        <v>498</v>
      </c>
      <c r="B36" s="77" t="s">
        <v>142</v>
      </c>
      <c r="C36" s="255" t="s">
        <v>181</v>
      </c>
      <c r="D36" s="255"/>
      <c r="E36" s="77">
        <v>25.98</v>
      </c>
      <c r="F36" s="146">
        <v>1921</v>
      </c>
      <c r="G36" s="134">
        <f t="shared" si="23"/>
        <v>49907.58</v>
      </c>
      <c r="H36" s="79" t="s">
        <v>115</v>
      </c>
      <c r="I36" s="143">
        <v>17</v>
      </c>
      <c r="J36" s="81">
        <v>2400</v>
      </c>
      <c r="K36" s="82">
        <f t="shared" si="1"/>
        <v>141.1764705882353</v>
      </c>
      <c r="L36" s="143">
        <v>17</v>
      </c>
      <c r="M36" s="83">
        <f t="shared" si="24"/>
        <v>2305.2000000000007</v>
      </c>
      <c r="N36" s="82">
        <f t="shared" si="3"/>
        <v>135.60000000000005</v>
      </c>
      <c r="O36" s="84">
        <f t="shared" si="4"/>
        <v>0</v>
      </c>
      <c r="P36" s="85">
        <f t="shared" si="5"/>
        <v>-5.576470588235253</v>
      </c>
      <c r="Q36" s="139">
        <f t="shared" si="6"/>
        <v>0.96050000000000024</v>
      </c>
      <c r="R36" s="237"/>
      <c r="S36" s="88">
        <v>0.48611111111111105</v>
      </c>
      <c r="T36" s="88">
        <v>0.52083333333333326</v>
      </c>
      <c r="U36" s="134">
        <f t="shared" si="26"/>
        <v>7.9999999999999716</v>
      </c>
      <c r="V36" s="144">
        <f t="shared" si="25"/>
        <v>49.999999999999986</v>
      </c>
      <c r="W36" s="90"/>
      <c r="X36" s="90"/>
      <c r="Y36" s="90"/>
      <c r="Z36" s="90"/>
      <c r="AA36" s="232"/>
      <c r="AB36" s="232"/>
      <c r="AC36" s="92"/>
      <c r="AD36" s="93"/>
      <c r="AE36" s="84">
        <f t="shared" si="8"/>
        <v>-94.799999999999272</v>
      </c>
      <c r="AF36" s="139">
        <f t="shared" si="9"/>
        <v>0.96050000000000035</v>
      </c>
      <c r="AG36" s="237"/>
    </row>
    <row r="37" spans="1:33" ht="15.75" customHeight="1">
      <c r="A37" s="256" t="s">
        <v>498</v>
      </c>
      <c r="B37" s="77" t="s">
        <v>142</v>
      </c>
      <c r="C37" s="255" t="s">
        <v>145</v>
      </c>
      <c r="D37" s="255"/>
      <c r="E37" s="77">
        <v>24.43</v>
      </c>
      <c r="F37" s="146">
        <v>5678</v>
      </c>
      <c r="G37" s="134">
        <f t="shared" si="23"/>
        <v>138713.54</v>
      </c>
      <c r="H37" s="79" t="s">
        <v>115</v>
      </c>
      <c r="I37" s="143">
        <v>14</v>
      </c>
      <c r="J37" s="81">
        <v>2400</v>
      </c>
      <c r="K37" s="82">
        <f t="shared" si="1"/>
        <v>171.42857142857142</v>
      </c>
      <c r="L37" s="143">
        <v>14</v>
      </c>
      <c r="M37" s="83">
        <f t="shared" si="24"/>
        <v>2286.4429530201351</v>
      </c>
      <c r="N37" s="82">
        <f t="shared" si="3"/>
        <v>163.31735378715251</v>
      </c>
      <c r="O37" s="84">
        <f t="shared" si="4"/>
        <v>0</v>
      </c>
      <c r="P37" s="85">
        <f t="shared" si="5"/>
        <v>-8.1112176414189037</v>
      </c>
      <c r="Q37" s="139">
        <f t="shared" si="6"/>
        <v>0.95268456375838972</v>
      </c>
      <c r="R37" s="237"/>
      <c r="S37" s="88">
        <v>0.5263888888888888</v>
      </c>
      <c r="T37" s="88">
        <v>0.62986111111111098</v>
      </c>
      <c r="U37" s="134">
        <f t="shared" si="26"/>
        <v>7.9999999999999716</v>
      </c>
      <c r="V37" s="144">
        <f t="shared" si="25"/>
        <v>148.99999999999994</v>
      </c>
      <c r="W37" s="90"/>
      <c r="X37" s="90"/>
      <c r="Y37" s="90"/>
      <c r="Z37" s="90"/>
      <c r="AA37" s="232"/>
      <c r="AB37" s="232"/>
      <c r="AC37" s="92"/>
      <c r="AD37" s="93"/>
      <c r="AE37" s="84">
        <f t="shared" si="8"/>
        <v>-113.55704697986494</v>
      </c>
      <c r="AF37" s="139">
        <f t="shared" si="9"/>
        <v>0.95268456375838961</v>
      </c>
      <c r="AG37" s="237"/>
    </row>
    <row r="38" spans="1:33" ht="15.75" customHeight="1">
      <c r="A38" s="256" t="s">
        <v>498</v>
      </c>
      <c r="B38" s="77" t="s">
        <v>142</v>
      </c>
      <c r="C38" s="141" t="s">
        <v>144</v>
      </c>
      <c r="D38" s="142"/>
      <c r="E38" s="77">
        <v>26.37</v>
      </c>
      <c r="F38" s="146">
        <v>3229</v>
      </c>
      <c r="G38" s="134">
        <f t="shared" si="23"/>
        <v>85148.73000000001</v>
      </c>
      <c r="H38" s="79" t="s">
        <v>115</v>
      </c>
      <c r="I38" s="143">
        <v>18</v>
      </c>
      <c r="J38" s="81">
        <v>2400</v>
      </c>
      <c r="K38" s="82">
        <f t="shared" si="1"/>
        <v>133.33333333333334</v>
      </c>
      <c r="L38" s="143">
        <v>18</v>
      </c>
      <c r="M38" s="83">
        <f t="shared" si="24"/>
        <v>2306.4285714285706</v>
      </c>
      <c r="N38" s="82">
        <f t="shared" si="3"/>
        <v>128.1349206349206</v>
      </c>
      <c r="O38" s="84">
        <f t="shared" si="4"/>
        <v>0</v>
      </c>
      <c r="P38" s="85">
        <f t="shared" si="5"/>
        <v>-5.1984126984127386</v>
      </c>
      <c r="Q38" s="139">
        <f t="shared" si="6"/>
        <v>0.96101190476190446</v>
      </c>
      <c r="R38" s="237"/>
      <c r="S38" s="88">
        <v>0.63333333333333319</v>
      </c>
      <c r="T38" s="88">
        <v>0.69166666666666654</v>
      </c>
      <c r="U38" s="134">
        <f t="shared" si="26"/>
        <v>4.9999999999999822</v>
      </c>
      <c r="V38" s="144">
        <f t="shared" si="25"/>
        <v>84.000000000000028</v>
      </c>
      <c r="W38" s="90"/>
      <c r="X38" s="90"/>
      <c r="Y38" s="90"/>
      <c r="Z38" s="90"/>
      <c r="AA38" s="137"/>
      <c r="AB38" s="138"/>
      <c r="AC38" s="92"/>
      <c r="AD38" s="93"/>
      <c r="AE38" s="84">
        <f t="shared" si="8"/>
        <v>-93.571428571429351</v>
      </c>
      <c r="AF38" s="139">
        <f t="shared" si="9"/>
        <v>0.96101190476190446</v>
      </c>
      <c r="AG38" s="237"/>
    </row>
    <row r="39" spans="1:33" ht="15.75" customHeight="1">
      <c r="A39" s="256" t="s">
        <v>498</v>
      </c>
      <c r="B39" s="77" t="s">
        <v>142</v>
      </c>
      <c r="C39" s="251" t="s">
        <v>143</v>
      </c>
      <c r="D39" s="252"/>
      <c r="E39" s="77">
        <v>31.29</v>
      </c>
      <c r="F39" s="146">
        <v>4827</v>
      </c>
      <c r="G39" s="134">
        <f t="shared" si="23"/>
        <v>151036.82999999999</v>
      </c>
      <c r="H39" s="79" t="s">
        <v>115</v>
      </c>
      <c r="I39" s="143">
        <v>18</v>
      </c>
      <c r="J39" s="81">
        <v>2400</v>
      </c>
      <c r="K39" s="82">
        <f t="shared" si="1"/>
        <v>133.33333333333334</v>
      </c>
      <c r="L39" s="143">
        <v>18</v>
      </c>
      <c r="M39" s="83">
        <f t="shared" si="24"/>
        <v>2298.571428571428</v>
      </c>
      <c r="N39" s="82">
        <f t="shared" si="3"/>
        <v>127.69841269841267</v>
      </c>
      <c r="O39" s="84">
        <f t="shared" si="4"/>
        <v>0</v>
      </c>
      <c r="P39" s="85">
        <f t="shared" si="5"/>
        <v>-5.6349206349206753</v>
      </c>
      <c r="Q39" s="139">
        <f t="shared" si="6"/>
        <v>0.95773809523809494</v>
      </c>
      <c r="R39" s="237"/>
      <c r="S39" s="88">
        <v>0.69652777777777763</v>
      </c>
      <c r="T39" s="88">
        <v>0.78402777777777766</v>
      </c>
      <c r="U39" s="134">
        <f t="shared" si="26"/>
        <v>6.9999999999999751</v>
      </c>
      <c r="V39" s="144">
        <f t="shared" si="25"/>
        <v>126.00000000000003</v>
      </c>
      <c r="W39" s="90"/>
      <c r="X39" s="90"/>
      <c r="Y39" s="94"/>
      <c r="Z39" s="94"/>
      <c r="AA39" s="137"/>
      <c r="AB39" s="138"/>
      <c r="AC39" s="92"/>
      <c r="AD39" s="93"/>
      <c r="AE39" s="84">
        <f t="shared" si="8"/>
        <v>-101.42857142857201</v>
      </c>
      <c r="AF39" s="139">
        <f t="shared" si="9"/>
        <v>0.95773809523809494</v>
      </c>
      <c r="AG39" s="237"/>
    </row>
    <row r="40" spans="1:33" ht="15.75" customHeight="1">
      <c r="A40" s="256" t="s">
        <v>498</v>
      </c>
      <c r="B40" s="77" t="s">
        <v>490</v>
      </c>
      <c r="C40" s="238"/>
      <c r="D40" s="238"/>
      <c r="E40" s="140"/>
      <c r="F40" s="146"/>
      <c r="G40" s="134"/>
      <c r="H40" s="146"/>
      <c r="I40" s="98">
        <v>17.666666666666668</v>
      </c>
      <c r="J40" s="81">
        <v>2400</v>
      </c>
      <c r="K40" s="82">
        <f t="shared" si="1"/>
        <v>135.84905660377356</v>
      </c>
      <c r="L40" s="98">
        <v>17.666666666666668</v>
      </c>
      <c r="M40" s="83">
        <f>AVERAGE(M31:M39)</f>
        <v>2298.5573992573554</v>
      </c>
      <c r="N40" s="82">
        <f t="shared" si="3"/>
        <v>130.10702259947294</v>
      </c>
      <c r="O40" s="84">
        <f t="shared" si="4"/>
        <v>0</v>
      </c>
      <c r="P40" s="85">
        <f t="shared" si="5"/>
        <v>-5.7420340043006206</v>
      </c>
      <c r="Q40" s="139">
        <f t="shared" si="6"/>
        <v>0.95773224969056492</v>
      </c>
      <c r="R40" s="237"/>
      <c r="S40" s="88"/>
      <c r="T40" s="88"/>
      <c r="U40" s="134"/>
      <c r="V40" s="144"/>
      <c r="W40" s="134"/>
      <c r="X40" s="134"/>
      <c r="Y40" s="99">
        <f>SUM(Y31:Y39)</f>
        <v>0</v>
      </c>
      <c r="Z40" s="99">
        <f>SUM(Z31:Z39)</f>
        <v>0</v>
      </c>
      <c r="AA40" s="231"/>
      <c r="AB40" s="231"/>
      <c r="AC40" s="99">
        <v>9</v>
      </c>
      <c r="AD40" s="99">
        <f>SUM(AD31:AD39)</f>
        <v>0</v>
      </c>
      <c r="AE40" s="84">
        <f t="shared" si="8"/>
        <v>-101.44260074264457</v>
      </c>
      <c r="AF40" s="139">
        <f t="shared" si="9"/>
        <v>0.95773224969056481</v>
      </c>
      <c r="AG40" s="237"/>
    </row>
    <row r="41" spans="1:33" ht="15.75" customHeight="1">
      <c r="A41" s="253" t="s">
        <v>499</v>
      </c>
      <c r="B41" s="77" t="s">
        <v>142</v>
      </c>
      <c r="C41" s="233" t="s">
        <v>151</v>
      </c>
      <c r="D41" s="233"/>
      <c r="E41" s="77">
        <v>26.18</v>
      </c>
      <c r="F41" s="146">
        <v>4300</v>
      </c>
      <c r="G41" s="134">
        <f t="shared" ref="G41:G48" si="27">E41*F41</f>
        <v>112574</v>
      </c>
      <c r="H41" s="79">
        <v>2</v>
      </c>
      <c r="I41" s="143">
        <v>20</v>
      </c>
      <c r="J41" s="81">
        <v>2400</v>
      </c>
      <c r="K41" s="82">
        <f t="shared" si="1"/>
        <v>120</v>
      </c>
      <c r="L41" s="143">
        <v>20</v>
      </c>
      <c r="M41" s="83">
        <f t="shared" ref="M41:M48" si="28">F41/V41*60</f>
        <v>2283.1858407079653</v>
      </c>
      <c r="N41" s="82">
        <f t="shared" si="3"/>
        <v>114.15929203539827</v>
      </c>
      <c r="O41" s="84">
        <f t="shared" si="4"/>
        <v>0</v>
      </c>
      <c r="P41" s="85">
        <f t="shared" si="5"/>
        <v>-5.8407079646017337</v>
      </c>
      <c r="Q41" s="139">
        <f t="shared" si="6"/>
        <v>0.95132743362831884</v>
      </c>
      <c r="R41" s="237">
        <f>Q49</f>
        <v>0.95557185922317101</v>
      </c>
      <c r="S41" s="88">
        <v>8.3333333333333329E-2</v>
      </c>
      <c r="T41" s="88">
        <v>0.16180555555555554</v>
      </c>
      <c r="U41" s="134"/>
      <c r="V41" s="144">
        <f t="shared" ref="V41:V48" si="29">(T41-S41)*24*60</f>
        <v>112.99999999999997</v>
      </c>
      <c r="W41" s="100">
        <f>T41</f>
        <v>0.16180555555555554</v>
      </c>
      <c r="X41" s="100">
        <f>S42</f>
        <v>0.18263888888888888</v>
      </c>
      <c r="Y41" s="100"/>
      <c r="Z41" s="100"/>
      <c r="AA41" s="232"/>
      <c r="AB41" s="232"/>
      <c r="AC41" s="92">
        <v>8</v>
      </c>
      <c r="AD41" s="93"/>
      <c r="AE41" s="84">
        <f t="shared" si="8"/>
        <v>-116.81415929203467</v>
      </c>
      <c r="AF41" s="139">
        <f t="shared" si="9"/>
        <v>0.95132743362831884</v>
      </c>
      <c r="AG41" s="237">
        <f>AF49</f>
        <v>0.95557185922317101</v>
      </c>
    </row>
    <row r="42" spans="1:33" ht="15.75" customHeight="1">
      <c r="A42" s="253" t="s">
        <v>499</v>
      </c>
      <c r="B42" s="77" t="s">
        <v>142</v>
      </c>
      <c r="C42" s="233" t="s">
        <v>152</v>
      </c>
      <c r="D42" s="233"/>
      <c r="E42" s="77">
        <v>26.18</v>
      </c>
      <c r="F42" s="146">
        <v>5600</v>
      </c>
      <c r="G42" s="134">
        <f t="shared" si="27"/>
        <v>146608</v>
      </c>
      <c r="H42" s="79">
        <v>2</v>
      </c>
      <c r="I42" s="143">
        <v>18</v>
      </c>
      <c r="J42" s="81">
        <v>2400</v>
      </c>
      <c r="K42" s="82">
        <f t="shared" si="1"/>
        <v>133.33333333333334</v>
      </c>
      <c r="L42" s="143">
        <v>18</v>
      </c>
      <c r="M42" s="83">
        <f t="shared" si="28"/>
        <v>2285.7142857142858</v>
      </c>
      <c r="N42" s="82">
        <f t="shared" si="3"/>
        <v>126.98412698412699</v>
      </c>
      <c r="O42" s="84">
        <f t="shared" si="4"/>
        <v>0</v>
      </c>
      <c r="P42" s="85">
        <f t="shared" si="5"/>
        <v>-6.3492063492063551</v>
      </c>
      <c r="Q42" s="139">
        <f t="shared" si="6"/>
        <v>0.95238095238095233</v>
      </c>
      <c r="R42" s="237"/>
      <c r="S42" s="88">
        <v>0.18263888888888888</v>
      </c>
      <c r="T42" s="88">
        <v>0.28472222222222221</v>
      </c>
      <c r="U42" s="134">
        <f t="shared" ref="U42:U48" si="30">(S42-T41)*24*60</f>
        <v>30.000000000000014</v>
      </c>
      <c r="V42" s="144">
        <f t="shared" si="29"/>
        <v>147</v>
      </c>
      <c r="W42" s="134"/>
      <c r="X42" s="134"/>
      <c r="Y42" s="134"/>
      <c r="Z42" s="134"/>
      <c r="AA42" s="232"/>
      <c r="AB42" s="232"/>
      <c r="AC42" s="92"/>
      <c r="AD42" s="93"/>
      <c r="AE42" s="84">
        <f t="shared" si="8"/>
        <v>-114.28571428571422</v>
      </c>
      <c r="AF42" s="139">
        <f t="shared" si="9"/>
        <v>0.95238095238095244</v>
      </c>
      <c r="AG42" s="237"/>
    </row>
    <row r="43" spans="1:33">
      <c r="A43" s="254" t="s">
        <v>499</v>
      </c>
      <c r="B43" s="77" t="s">
        <v>142</v>
      </c>
      <c r="C43" s="233" t="s">
        <v>153</v>
      </c>
      <c r="D43" s="233"/>
      <c r="E43" s="77">
        <v>34.1</v>
      </c>
      <c r="F43" s="146">
        <v>2800</v>
      </c>
      <c r="G43" s="134">
        <f t="shared" si="27"/>
        <v>95480</v>
      </c>
      <c r="H43" s="79">
        <v>2</v>
      </c>
      <c r="I43" s="143">
        <v>17</v>
      </c>
      <c r="J43" s="81">
        <v>1600</v>
      </c>
      <c r="K43" s="82">
        <f t="shared" si="1"/>
        <v>94.117647058823536</v>
      </c>
      <c r="L43" s="143">
        <v>17</v>
      </c>
      <c r="M43" s="83">
        <f t="shared" si="28"/>
        <v>1527.272727272727</v>
      </c>
      <c r="N43" s="82">
        <f t="shared" si="3"/>
        <v>89.839572192513359</v>
      </c>
      <c r="O43" s="84">
        <f t="shared" si="4"/>
        <v>0</v>
      </c>
      <c r="P43" s="85">
        <f t="shared" si="5"/>
        <v>-4.2780748663101775</v>
      </c>
      <c r="Q43" s="139">
        <f t="shared" si="6"/>
        <v>0.95454545454545436</v>
      </c>
      <c r="R43" s="237"/>
      <c r="S43" s="88">
        <v>0.2895833333333333</v>
      </c>
      <c r="T43" s="88">
        <v>0.3659722222222222</v>
      </c>
      <c r="U43" s="134">
        <f t="shared" si="30"/>
        <v>6.9999999999999751</v>
      </c>
      <c r="V43" s="144">
        <f t="shared" si="29"/>
        <v>110.00000000000001</v>
      </c>
      <c r="W43" s="134"/>
      <c r="X43" s="134"/>
      <c r="Y43" s="134"/>
      <c r="Z43" s="134"/>
      <c r="AA43" s="232"/>
      <c r="AB43" s="232"/>
      <c r="AC43" s="92"/>
      <c r="AD43" s="93"/>
      <c r="AE43" s="84">
        <f t="shared" si="8"/>
        <v>-72.727272727272975</v>
      </c>
      <c r="AF43" s="139">
        <f t="shared" si="9"/>
        <v>0.95454545454545436</v>
      </c>
      <c r="AG43" s="237"/>
    </row>
    <row r="44" spans="1:33">
      <c r="A44" s="254" t="s">
        <v>499</v>
      </c>
      <c r="B44" s="77" t="s">
        <v>142</v>
      </c>
      <c r="C44" s="233" t="s">
        <v>154</v>
      </c>
      <c r="D44" s="233"/>
      <c r="E44" s="77">
        <v>25.99</v>
      </c>
      <c r="F44" s="146">
        <v>4569</v>
      </c>
      <c r="G44" s="134">
        <f t="shared" si="27"/>
        <v>118748.31</v>
      </c>
      <c r="H44" s="79" t="s">
        <v>115</v>
      </c>
      <c r="I44" s="143">
        <v>14</v>
      </c>
      <c r="J44" s="81">
        <v>2400</v>
      </c>
      <c r="K44" s="82">
        <f t="shared" si="1"/>
        <v>171.42857142857142</v>
      </c>
      <c r="L44" s="143">
        <v>14</v>
      </c>
      <c r="M44" s="83">
        <f t="shared" si="28"/>
        <v>2284.5000000000005</v>
      </c>
      <c r="N44" s="82">
        <f t="shared" si="3"/>
        <v>163.17857142857147</v>
      </c>
      <c r="O44" s="84">
        <f t="shared" si="4"/>
        <v>0</v>
      </c>
      <c r="P44" s="85">
        <f t="shared" si="5"/>
        <v>-8.2499999999999432</v>
      </c>
      <c r="Q44" s="139">
        <f t="shared" si="6"/>
        <v>0.95187500000000036</v>
      </c>
      <c r="R44" s="237"/>
      <c r="S44" s="88">
        <v>0.37013888888888885</v>
      </c>
      <c r="T44" s="88">
        <v>0.45347222222222217</v>
      </c>
      <c r="U44" s="134">
        <f t="shared" si="30"/>
        <v>5.9999999999999787</v>
      </c>
      <c r="V44" s="144">
        <f t="shared" si="29"/>
        <v>119.99999999999997</v>
      </c>
      <c r="W44" s="90"/>
      <c r="X44" s="90"/>
      <c r="Y44" s="90"/>
      <c r="Z44" s="90"/>
      <c r="AA44" s="232"/>
      <c r="AB44" s="232"/>
      <c r="AC44" s="92"/>
      <c r="AD44" s="93"/>
      <c r="AE44" s="84">
        <f t="shared" si="8"/>
        <v>-115.49999999999955</v>
      </c>
      <c r="AF44" s="139">
        <f t="shared" si="9"/>
        <v>0.95187500000000014</v>
      </c>
      <c r="AG44" s="237"/>
    </row>
    <row r="45" spans="1:33">
      <c r="A45" s="254" t="s">
        <v>499</v>
      </c>
      <c r="B45" s="77" t="s">
        <v>142</v>
      </c>
      <c r="C45" s="233" t="s">
        <v>155</v>
      </c>
      <c r="D45" s="233"/>
      <c r="E45" s="77">
        <v>23.89</v>
      </c>
      <c r="F45" s="146">
        <v>2700</v>
      </c>
      <c r="G45" s="134">
        <f t="shared" si="27"/>
        <v>64503</v>
      </c>
      <c r="H45" s="79" t="s">
        <v>115</v>
      </c>
      <c r="I45" s="143">
        <v>17</v>
      </c>
      <c r="J45" s="81">
        <v>2400</v>
      </c>
      <c r="K45" s="82">
        <f t="shared" si="1"/>
        <v>141.1764705882353</v>
      </c>
      <c r="L45" s="143">
        <v>17</v>
      </c>
      <c r="M45" s="83">
        <f t="shared" si="28"/>
        <v>2314.2857142857119</v>
      </c>
      <c r="N45" s="82">
        <f t="shared" si="3"/>
        <v>136.13445378151246</v>
      </c>
      <c r="O45" s="84">
        <f t="shared" si="4"/>
        <v>0</v>
      </c>
      <c r="P45" s="85">
        <f t="shared" si="5"/>
        <v>-5.0420168067228417</v>
      </c>
      <c r="Q45" s="139">
        <f t="shared" si="6"/>
        <v>0.96428571428571319</v>
      </c>
      <c r="R45" s="237"/>
      <c r="S45" s="88">
        <v>0.45694444444444438</v>
      </c>
      <c r="T45" s="88">
        <v>0.50555555555555554</v>
      </c>
      <c r="U45" s="134">
        <f t="shared" si="30"/>
        <v>4.9999999999999822</v>
      </c>
      <c r="V45" s="144">
        <f t="shared" si="29"/>
        <v>70.000000000000071</v>
      </c>
      <c r="W45" s="90"/>
      <c r="X45" s="90"/>
      <c r="Y45" s="90"/>
      <c r="Z45" s="90"/>
      <c r="AA45" s="232"/>
      <c r="AB45" s="232"/>
      <c r="AC45" s="92"/>
      <c r="AD45" s="93"/>
      <c r="AE45" s="84">
        <f t="shared" si="8"/>
        <v>-85.714285714288053</v>
      </c>
      <c r="AF45" s="139">
        <f t="shared" si="9"/>
        <v>0.9642857142857133</v>
      </c>
      <c r="AG45" s="237"/>
    </row>
    <row r="46" spans="1:33">
      <c r="A46" s="254" t="s">
        <v>499</v>
      </c>
      <c r="B46" s="77" t="s">
        <v>142</v>
      </c>
      <c r="C46" s="233" t="s">
        <v>153</v>
      </c>
      <c r="D46" s="233"/>
      <c r="E46" s="77">
        <v>34.1</v>
      </c>
      <c r="F46" s="146">
        <v>4587</v>
      </c>
      <c r="G46" s="134">
        <f t="shared" si="27"/>
        <v>156416.70000000001</v>
      </c>
      <c r="H46" s="79" t="s">
        <v>115</v>
      </c>
      <c r="I46" s="143">
        <v>17</v>
      </c>
      <c r="J46" s="81">
        <v>1600</v>
      </c>
      <c r="K46" s="82">
        <f t="shared" si="1"/>
        <v>94.117647058823536</v>
      </c>
      <c r="L46" s="143">
        <v>17</v>
      </c>
      <c r="M46" s="83">
        <f t="shared" si="28"/>
        <v>1529</v>
      </c>
      <c r="N46" s="82">
        <f t="shared" si="3"/>
        <v>89.941176470588232</v>
      </c>
      <c r="O46" s="84">
        <f t="shared" si="4"/>
        <v>0</v>
      </c>
      <c r="P46" s="85">
        <f t="shared" si="5"/>
        <v>-4.1764705882353041</v>
      </c>
      <c r="Q46" s="139">
        <f t="shared" si="6"/>
        <v>0.95562499999999995</v>
      </c>
      <c r="R46" s="237"/>
      <c r="S46" s="88">
        <v>0.50972222222222219</v>
      </c>
      <c r="T46" s="88">
        <v>0.63472222222222219</v>
      </c>
      <c r="U46" s="134">
        <f t="shared" si="30"/>
        <v>5.9999999999999787</v>
      </c>
      <c r="V46" s="144">
        <f t="shared" si="29"/>
        <v>180</v>
      </c>
      <c r="W46" s="90"/>
      <c r="X46" s="90"/>
      <c r="Y46" s="90"/>
      <c r="Z46" s="90"/>
      <c r="AA46" s="232"/>
      <c r="AB46" s="232"/>
      <c r="AC46" s="92"/>
      <c r="AD46" s="93"/>
      <c r="AE46" s="84">
        <f t="shared" si="8"/>
        <v>-71</v>
      </c>
      <c r="AF46" s="139">
        <f t="shared" si="9"/>
        <v>0.95562499999999995</v>
      </c>
      <c r="AG46" s="237"/>
    </row>
    <row r="47" spans="1:33">
      <c r="A47" s="254" t="s">
        <v>499</v>
      </c>
      <c r="B47" s="77" t="s">
        <v>142</v>
      </c>
      <c r="C47" s="233" t="s">
        <v>152</v>
      </c>
      <c r="D47" s="233"/>
      <c r="E47" s="77">
        <v>26.18</v>
      </c>
      <c r="F47" s="146">
        <v>4249</v>
      </c>
      <c r="G47" s="134">
        <f t="shared" si="27"/>
        <v>111238.81999999999</v>
      </c>
      <c r="H47" s="79" t="s">
        <v>115</v>
      </c>
      <c r="I47" s="143">
        <v>18</v>
      </c>
      <c r="J47" s="81">
        <v>2400</v>
      </c>
      <c r="K47" s="82">
        <f t="shared" si="1"/>
        <v>133.33333333333334</v>
      </c>
      <c r="L47" s="143">
        <v>18</v>
      </c>
      <c r="M47" s="83">
        <f t="shared" si="28"/>
        <v>2296.756756756758</v>
      </c>
      <c r="N47" s="82">
        <f t="shared" si="3"/>
        <v>127.59759759759767</v>
      </c>
      <c r="O47" s="84">
        <f t="shared" si="4"/>
        <v>0</v>
      </c>
      <c r="P47" s="85">
        <f t="shared" si="5"/>
        <v>-5.7357357357356733</v>
      </c>
      <c r="Q47" s="139">
        <f t="shared" si="6"/>
        <v>0.95698198198198248</v>
      </c>
      <c r="R47" s="237"/>
      <c r="S47" s="88">
        <v>0.63958333333333328</v>
      </c>
      <c r="T47" s="88">
        <v>0.71666666666666656</v>
      </c>
      <c r="U47" s="134">
        <f t="shared" si="30"/>
        <v>6.9999999999999751</v>
      </c>
      <c r="V47" s="144">
        <f t="shared" si="29"/>
        <v>110.99999999999993</v>
      </c>
      <c r="W47" s="90"/>
      <c r="X47" s="90"/>
      <c r="Y47" s="94"/>
      <c r="Z47" s="94"/>
      <c r="AA47" s="227"/>
      <c r="AB47" s="228"/>
      <c r="AC47" s="92"/>
      <c r="AD47" s="93"/>
      <c r="AE47" s="84">
        <f t="shared" si="8"/>
        <v>-103.24324324324198</v>
      </c>
      <c r="AF47" s="139">
        <f t="shared" si="9"/>
        <v>0.95698198198198248</v>
      </c>
      <c r="AG47" s="237"/>
    </row>
    <row r="48" spans="1:33">
      <c r="A48" s="254" t="s">
        <v>499</v>
      </c>
      <c r="B48" s="77" t="s">
        <v>142</v>
      </c>
      <c r="C48" s="233" t="s">
        <v>151</v>
      </c>
      <c r="D48" s="233"/>
      <c r="E48" s="77">
        <v>26.18</v>
      </c>
      <c r="F48" s="146">
        <v>3178</v>
      </c>
      <c r="G48" s="134">
        <f t="shared" si="27"/>
        <v>83200.039999999994</v>
      </c>
      <c r="H48" s="79" t="s">
        <v>115</v>
      </c>
      <c r="I48" s="143">
        <v>20</v>
      </c>
      <c r="J48" s="81">
        <v>2400</v>
      </c>
      <c r="K48" s="82">
        <f t="shared" si="1"/>
        <v>120</v>
      </c>
      <c r="L48" s="143">
        <v>20</v>
      </c>
      <c r="M48" s="83">
        <f t="shared" si="28"/>
        <v>2297.3493975903607</v>
      </c>
      <c r="N48" s="82">
        <f t="shared" si="3"/>
        <v>114.86746987951804</v>
      </c>
      <c r="O48" s="84">
        <f t="shared" si="4"/>
        <v>0</v>
      </c>
      <c r="P48" s="85">
        <f t="shared" si="5"/>
        <v>-5.1325301204819596</v>
      </c>
      <c r="Q48" s="139">
        <f t="shared" si="6"/>
        <v>0.95722891566265034</v>
      </c>
      <c r="R48" s="237"/>
      <c r="S48" s="88">
        <v>0.72152777777777766</v>
      </c>
      <c r="T48" s="88">
        <v>0.77916666666666656</v>
      </c>
      <c r="U48" s="134">
        <f t="shared" si="30"/>
        <v>6.9999999999999751</v>
      </c>
      <c r="V48" s="144">
        <f t="shared" si="29"/>
        <v>83.000000000000028</v>
      </c>
      <c r="W48" s="90"/>
      <c r="X48" s="90"/>
      <c r="Y48" s="94"/>
      <c r="Z48" s="94"/>
      <c r="AA48" s="227"/>
      <c r="AB48" s="228"/>
      <c r="AC48" s="92"/>
      <c r="AD48" s="93"/>
      <c r="AE48" s="84">
        <f t="shared" si="8"/>
        <v>-102.6506024096393</v>
      </c>
      <c r="AF48" s="139">
        <f t="shared" si="9"/>
        <v>0.95722891566265034</v>
      </c>
      <c r="AG48" s="237"/>
    </row>
    <row r="49" spans="1:33">
      <c r="A49" s="254" t="s">
        <v>499</v>
      </c>
      <c r="B49" s="97" t="s">
        <v>490</v>
      </c>
      <c r="C49" s="238"/>
      <c r="D49" s="238"/>
      <c r="E49" s="140"/>
      <c r="F49" s="97"/>
      <c r="G49" s="82"/>
      <c r="H49" s="146"/>
      <c r="I49" s="98">
        <v>17.625</v>
      </c>
      <c r="J49" s="81">
        <v>2200</v>
      </c>
      <c r="K49" s="82">
        <f t="shared" si="1"/>
        <v>124.822695035461</v>
      </c>
      <c r="L49" s="98">
        <v>17.625</v>
      </c>
      <c r="M49" s="83">
        <f>AVERAGE(M41:M48)</f>
        <v>2102.2580902909763</v>
      </c>
      <c r="N49" s="82">
        <f t="shared" si="3"/>
        <v>119.27705476828234</v>
      </c>
      <c r="O49" s="84">
        <f t="shared" si="4"/>
        <v>0</v>
      </c>
      <c r="P49" s="85">
        <f t="shared" si="5"/>
        <v>-5.5456402671786549</v>
      </c>
      <c r="Q49" s="139">
        <f t="shared" si="6"/>
        <v>0.95557185922317101</v>
      </c>
      <c r="R49" s="237"/>
      <c r="S49" s="88"/>
      <c r="T49" s="88"/>
      <c r="U49" s="82"/>
      <c r="V49" s="144"/>
      <c r="W49" s="82"/>
      <c r="X49" s="82"/>
      <c r="Y49" s="99">
        <f>SUM(Y41:Y48)</f>
        <v>0</v>
      </c>
      <c r="Z49" s="99">
        <f>SUM(Z41:Z48)</f>
        <v>0</v>
      </c>
      <c r="AA49" s="231"/>
      <c r="AB49" s="231"/>
      <c r="AC49" s="99">
        <v>8</v>
      </c>
      <c r="AD49" s="99">
        <f>SUM(AD41:AD48)</f>
        <v>0</v>
      </c>
      <c r="AE49" s="84">
        <f t="shared" si="8"/>
        <v>-97.74190970902373</v>
      </c>
      <c r="AF49" s="139">
        <f t="shared" si="9"/>
        <v>0.95557185922317101</v>
      </c>
      <c r="AG49" s="237"/>
    </row>
    <row r="50" spans="1:33" ht="15.75" customHeight="1">
      <c r="A50" s="248" t="s">
        <v>500</v>
      </c>
      <c r="B50" s="77" t="s">
        <v>157</v>
      </c>
      <c r="C50" s="225" t="s">
        <v>158</v>
      </c>
      <c r="D50" s="226"/>
      <c r="E50" s="77">
        <v>21.13</v>
      </c>
      <c r="F50" s="146">
        <v>6634</v>
      </c>
      <c r="G50" s="134">
        <f t="shared" ref="G50:G52" si="31">E50*F50</f>
        <v>140176.41999999998</v>
      </c>
      <c r="H50" s="79" t="s">
        <v>115</v>
      </c>
      <c r="I50" s="143">
        <v>10</v>
      </c>
      <c r="J50" s="81">
        <v>3000</v>
      </c>
      <c r="K50" s="82">
        <f t="shared" si="1"/>
        <v>300</v>
      </c>
      <c r="L50" s="143">
        <v>10</v>
      </c>
      <c r="M50" s="83">
        <f t="shared" ref="M50:M52" si="32">F50/V50*60</f>
        <v>2863.5971223021575</v>
      </c>
      <c r="N50" s="83">
        <f t="shared" si="3"/>
        <v>286.35971223021573</v>
      </c>
      <c r="O50" s="84">
        <f t="shared" si="4"/>
        <v>0</v>
      </c>
      <c r="P50" s="85">
        <f t="shared" si="5"/>
        <v>-13.640287769784265</v>
      </c>
      <c r="Q50" s="139">
        <f t="shared" si="6"/>
        <v>0.95453237410071912</v>
      </c>
      <c r="R50" s="243">
        <f>Q53</f>
        <v>0.95464992437867902</v>
      </c>
      <c r="S50" s="88">
        <v>0.20833333333333334</v>
      </c>
      <c r="T50" s="88">
        <v>0.30486111111111114</v>
      </c>
      <c r="U50" s="100"/>
      <c r="V50" s="144">
        <f t="shared" ref="V50:V52" si="33">(T50-S50)*24*60</f>
        <v>139.00000000000003</v>
      </c>
      <c r="W50" s="90"/>
      <c r="X50" s="90"/>
      <c r="Y50" s="94"/>
      <c r="Z50" s="94"/>
      <c r="AA50" s="227"/>
      <c r="AB50" s="228"/>
      <c r="AC50" s="92">
        <v>3</v>
      </c>
      <c r="AD50" s="93"/>
      <c r="AE50" s="84">
        <f t="shared" si="8"/>
        <v>-136.40287769784254</v>
      </c>
      <c r="AF50" s="139">
        <f t="shared" si="9"/>
        <v>0.95453237410071912</v>
      </c>
      <c r="AG50" s="243">
        <f>AF53</f>
        <v>0.95464992437867902</v>
      </c>
    </row>
    <row r="51" spans="1:33" ht="15.75" customHeight="1">
      <c r="A51" s="249" t="s">
        <v>500</v>
      </c>
      <c r="B51" s="77" t="s">
        <v>157</v>
      </c>
      <c r="C51" s="225" t="s">
        <v>159</v>
      </c>
      <c r="D51" s="226"/>
      <c r="E51" s="77">
        <v>27.17</v>
      </c>
      <c r="F51" s="146">
        <v>7856</v>
      </c>
      <c r="G51" s="134">
        <f t="shared" si="31"/>
        <v>213447.52000000002</v>
      </c>
      <c r="H51" s="79" t="s">
        <v>115</v>
      </c>
      <c r="I51" s="143">
        <v>10</v>
      </c>
      <c r="J51" s="81">
        <v>3000</v>
      </c>
      <c r="K51" s="82">
        <f t="shared" si="1"/>
        <v>300</v>
      </c>
      <c r="L51" s="143">
        <v>10</v>
      </c>
      <c r="M51" s="83">
        <f t="shared" si="32"/>
        <v>2856.7272727272734</v>
      </c>
      <c r="N51" s="83">
        <f t="shared" si="3"/>
        <v>285.67272727272734</v>
      </c>
      <c r="O51" s="84">
        <f t="shared" si="4"/>
        <v>0</v>
      </c>
      <c r="P51" s="85">
        <f t="shared" si="5"/>
        <v>-14.327272727272657</v>
      </c>
      <c r="Q51" s="139">
        <f t="shared" si="6"/>
        <v>0.95224242424242445</v>
      </c>
      <c r="R51" s="244"/>
      <c r="S51" s="88">
        <v>0.31041666666666667</v>
      </c>
      <c r="T51" s="88">
        <v>0.42499999999999999</v>
      </c>
      <c r="U51" s="134">
        <f t="shared" ref="U51:U52" si="34">(S51-T50)*24*60</f>
        <v>7.9999999999999716</v>
      </c>
      <c r="V51" s="144">
        <f t="shared" si="33"/>
        <v>164.99999999999997</v>
      </c>
      <c r="W51" s="90"/>
      <c r="X51" s="90"/>
      <c r="Y51" s="94"/>
      <c r="Z51" s="94"/>
      <c r="AA51" s="227"/>
      <c r="AB51" s="228"/>
      <c r="AC51" s="92"/>
      <c r="AD51" s="93"/>
      <c r="AE51" s="84">
        <f t="shared" si="8"/>
        <v>-143.27272727272657</v>
      </c>
      <c r="AF51" s="139">
        <f t="shared" si="9"/>
        <v>0.95224242424242445</v>
      </c>
      <c r="AG51" s="244"/>
    </row>
    <row r="52" spans="1:33" ht="15.75" customHeight="1">
      <c r="A52" s="249" t="s">
        <v>500</v>
      </c>
      <c r="B52" s="77" t="s">
        <v>157</v>
      </c>
      <c r="C52" s="225" t="s">
        <v>160</v>
      </c>
      <c r="D52" s="226"/>
      <c r="E52" s="77">
        <v>37.880000000000003</v>
      </c>
      <c r="F52" s="146">
        <v>3067</v>
      </c>
      <c r="G52" s="134">
        <f t="shared" si="31"/>
        <v>116177.96</v>
      </c>
      <c r="H52" s="79" t="s">
        <v>115</v>
      </c>
      <c r="I52" s="143">
        <v>13</v>
      </c>
      <c r="J52" s="81">
        <v>2000</v>
      </c>
      <c r="K52" s="82">
        <f t="shared" si="1"/>
        <v>153.84615384615384</v>
      </c>
      <c r="L52" s="143">
        <v>13</v>
      </c>
      <c r="M52" s="83">
        <f t="shared" si="32"/>
        <v>1916.8750000000005</v>
      </c>
      <c r="N52" s="83">
        <f t="shared" si="3"/>
        <v>147.45192307692312</v>
      </c>
      <c r="O52" s="84">
        <f t="shared" si="4"/>
        <v>0</v>
      </c>
      <c r="P52" s="85">
        <f t="shared" si="5"/>
        <v>-6.3942307692307168</v>
      </c>
      <c r="Q52" s="139">
        <f t="shared" si="6"/>
        <v>0.95843750000000039</v>
      </c>
      <c r="R52" s="244"/>
      <c r="S52" s="88">
        <v>0.42916666666666664</v>
      </c>
      <c r="T52" s="88">
        <v>0.49583333333333329</v>
      </c>
      <c r="U52" s="134">
        <f t="shared" si="34"/>
        <v>5.9999999999999787</v>
      </c>
      <c r="V52" s="144">
        <f t="shared" si="33"/>
        <v>95.999999999999972</v>
      </c>
      <c r="W52" s="90"/>
      <c r="X52" s="90"/>
      <c r="Y52" s="94"/>
      <c r="Z52" s="94"/>
      <c r="AA52" s="227"/>
      <c r="AB52" s="228"/>
      <c r="AC52" s="92"/>
      <c r="AD52" s="93"/>
      <c r="AE52" s="84">
        <f t="shared" si="8"/>
        <v>-83.124999999999545</v>
      </c>
      <c r="AF52" s="139">
        <f t="shared" si="9"/>
        <v>0.95843750000000028</v>
      </c>
      <c r="AG52" s="244"/>
    </row>
    <row r="53" spans="1:33" ht="15.75" customHeight="1">
      <c r="A53" s="250" t="s">
        <v>500</v>
      </c>
      <c r="B53" s="77" t="s">
        <v>490</v>
      </c>
      <c r="C53" s="229"/>
      <c r="D53" s="230"/>
      <c r="E53" s="132"/>
      <c r="F53" s="146"/>
      <c r="G53" s="134"/>
      <c r="H53" s="146"/>
      <c r="I53" s="98">
        <v>11</v>
      </c>
      <c r="J53" s="81">
        <v>2666.6666666666665</v>
      </c>
      <c r="K53" s="82">
        <f t="shared" si="1"/>
        <v>242.42424242424241</v>
      </c>
      <c r="L53" s="98">
        <v>11</v>
      </c>
      <c r="M53" s="83">
        <f>AVERAGE(M50:M52)</f>
        <v>2545.7331316764771</v>
      </c>
      <c r="N53" s="82">
        <f t="shared" si="3"/>
        <v>231.43028469786157</v>
      </c>
      <c r="O53" s="84">
        <f t="shared" si="4"/>
        <v>0</v>
      </c>
      <c r="P53" s="85">
        <f t="shared" si="5"/>
        <v>-10.993957726380842</v>
      </c>
      <c r="Q53" s="139">
        <f t="shared" si="6"/>
        <v>0.95464992437867902</v>
      </c>
      <c r="R53" s="245"/>
      <c r="S53" s="88"/>
      <c r="T53" s="88"/>
      <c r="U53" s="134"/>
      <c r="V53" s="144"/>
      <c r="W53" s="90"/>
      <c r="X53" s="90"/>
      <c r="Y53" s="99">
        <f>SUM(Y50:Y52)</f>
        <v>0</v>
      </c>
      <c r="Z53" s="99">
        <f>SUM(Z50:Z52)</f>
        <v>0</v>
      </c>
      <c r="AA53" s="246"/>
      <c r="AB53" s="247"/>
      <c r="AC53" s="99">
        <v>3</v>
      </c>
      <c r="AD53" s="99">
        <f>SUM(AD50:AD52)</f>
        <v>0</v>
      </c>
      <c r="AE53" s="84">
        <f t="shared" si="8"/>
        <v>-120.9335349901894</v>
      </c>
      <c r="AF53" s="139">
        <f t="shared" si="9"/>
        <v>0.95464992437867902</v>
      </c>
      <c r="AG53" s="245"/>
    </row>
    <row r="54" spans="1:33" ht="15.75" customHeight="1">
      <c r="A54" s="241" t="s">
        <v>501</v>
      </c>
      <c r="B54" s="77" t="s">
        <v>121</v>
      </c>
      <c r="C54" s="233" t="s">
        <v>162</v>
      </c>
      <c r="D54" s="233"/>
      <c r="E54" s="77">
        <v>46</v>
      </c>
      <c r="F54" s="109">
        <v>1416</v>
      </c>
      <c r="G54" s="134">
        <f t="shared" ref="G54:G61" si="35">E54*F54</f>
        <v>65136</v>
      </c>
      <c r="H54" s="79" t="s">
        <v>115</v>
      </c>
      <c r="I54" s="143">
        <v>16</v>
      </c>
      <c r="J54" s="81">
        <v>2000</v>
      </c>
      <c r="K54" s="82">
        <f t="shared" si="1"/>
        <v>125</v>
      </c>
      <c r="L54" s="143">
        <v>16</v>
      </c>
      <c r="M54" s="83">
        <f t="shared" ref="M54" si="36">F54/V54*60</f>
        <v>1930.9090909090908</v>
      </c>
      <c r="N54" s="83">
        <f t="shared" si="3"/>
        <v>120.68181818181817</v>
      </c>
      <c r="O54" s="84">
        <f t="shared" si="4"/>
        <v>0</v>
      </c>
      <c r="P54" s="85">
        <f t="shared" si="5"/>
        <v>-4.3181818181818272</v>
      </c>
      <c r="Q54" s="139">
        <f t="shared" si="6"/>
        <v>0.96545454545454534</v>
      </c>
      <c r="R54" s="237">
        <f>Q62</f>
        <v>0.96461640535012305</v>
      </c>
      <c r="S54" s="88">
        <v>0.20833333333333334</v>
      </c>
      <c r="T54" s="88">
        <v>0.2388888888888889</v>
      </c>
      <c r="U54" s="100"/>
      <c r="V54" s="144">
        <f t="shared" ref="V54:V61" si="37">(T54-S54)*24*60</f>
        <v>44</v>
      </c>
      <c r="W54" s="90"/>
      <c r="X54" s="90"/>
      <c r="Y54" s="100"/>
      <c r="Z54" s="100"/>
      <c r="AA54" s="232"/>
      <c r="AB54" s="232"/>
      <c r="AC54" s="92">
        <v>8</v>
      </c>
      <c r="AD54" s="93"/>
      <c r="AE54" s="84">
        <f t="shared" si="8"/>
        <v>-69.090909090909236</v>
      </c>
      <c r="AF54" s="139">
        <f t="shared" si="9"/>
        <v>0.96545454545454534</v>
      </c>
      <c r="AG54" s="237">
        <f>AF62</f>
        <v>0.96461640535012305</v>
      </c>
    </row>
    <row r="55" spans="1:33" ht="15.75" customHeight="1">
      <c r="A55" s="241" t="s">
        <v>501</v>
      </c>
      <c r="B55" s="77" t="s">
        <v>121</v>
      </c>
      <c r="C55" s="233" t="s">
        <v>163</v>
      </c>
      <c r="D55" s="233"/>
      <c r="E55" s="77">
        <v>46</v>
      </c>
      <c r="F55" s="109">
        <v>1423</v>
      </c>
      <c r="G55" s="134">
        <f t="shared" si="35"/>
        <v>65458</v>
      </c>
      <c r="H55" s="79" t="s">
        <v>115</v>
      </c>
      <c r="I55" s="143">
        <v>17</v>
      </c>
      <c r="J55" s="81">
        <v>2000</v>
      </c>
      <c r="K55" s="82">
        <f t="shared" si="1"/>
        <v>117.64705882352941</v>
      </c>
      <c r="L55" s="143">
        <v>17</v>
      </c>
      <c r="M55" s="83">
        <f>F55/V55*60</f>
        <v>1940.4545454545455</v>
      </c>
      <c r="N55" s="83">
        <f t="shared" si="3"/>
        <v>114.14438502673796</v>
      </c>
      <c r="O55" s="84">
        <f t="shared" si="4"/>
        <v>0</v>
      </c>
      <c r="P55" s="85">
        <f t="shared" si="5"/>
        <v>-3.5026737967914414</v>
      </c>
      <c r="Q55" s="139">
        <f t="shared" si="6"/>
        <v>0.97022727272727272</v>
      </c>
      <c r="R55" s="237"/>
      <c r="S55" s="88">
        <v>0.24444444444444446</v>
      </c>
      <c r="T55" s="88">
        <v>0.27500000000000002</v>
      </c>
      <c r="U55" s="134">
        <f t="shared" ref="U55:U61" si="38">IF(S55=TIME(17,0,0),"",(S55-T54)*24*60)</f>
        <v>8.0000000000000107</v>
      </c>
      <c r="V55" s="144">
        <f t="shared" si="37"/>
        <v>44</v>
      </c>
      <c r="W55" s="90"/>
      <c r="X55" s="90"/>
      <c r="Y55" s="90"/>
      <c r="Z55" s="90"/>
      <c r="AA55" s="232"/>
      <c r="AB55" s="232"/>
      <c r="AC55" s="92"/>
      <c r="AD55" s="93"/>
      <c r="AE55" s="84">
        <f t="shared" si="8"/>
        <v>-59.545454545454504</v>
      </c>
      <c r="AF55" s="139">
        <f t="shared" si="9"/>
        <v>0.97022727272727272</v>
      </c>
      <c r="AG55" s="237"/>
    </row>
    <row r="56" spans="1:33" ht="15.75" customHeight="1">
      <c r="A56" s="241" t="s">
        <v>501</v>
      </c>
      <c r="B56" s="77" t="s">
        <v>113</v>
      </c>
      <c r="C56" s="225" t="s">
        <v>164</v>
      </c>
      <c r="D56" s="226"/>
      <c r="E56" s="77">
        <v>51.44</v>
      </c>
      <c r="F56" s="109">
        <v>1568</v>
      </c>
      <c r="G56" s="134">
        <f t="shared" si="35"/>
        <v>80657.919999999998</v>
      </c>
      <c r="H56" s="79" t="s">
        <v>115</v>
      </c>
      <c r="I56" s="143">
        <v>25</v>
      </c>
      <c r="J56" s="81">
        <v>2000</v>
      </c>
      <c r="K56" s="82">
        <f t="shared" si="1"/>
        <v>80</v>
      </c>
      <c r="L56" s="143">
        <v>25</v>
      </c>
      <c r="M56" s="83">
        <f t="shared" ref="M56:M61" si="39">F56/V56*60</f>
        <v>1920.0000000000005</v>
      </c>
      <c r="N56" s="83">
        <f t="shared" si="3"/>
        <v>76.800000000000011</v>
      </c>
      <c r="O56" s="84">
        <f t="shared" si="4"/>
        <v>0</v>
      </c>
      <c r="P56" s="85">
        <f t="shared" si="5"/>
        <v>-3.1999999999999886</v>
      </c>
      <c r="Q56" s="139">
        <f t="shared" si="6"/>
        <v>0.96000000000000019</v>
      </c>
      <c r="R56" s="237"/>
      <c r="S56" s="88">
        <v>0.27847222222222223</v>
      </c>
      <c r="T56" s="88">
        <v>0.3125</v>
      </c>
      <c r="U56" s="134">
        <f t="shared" si="38"/>
        <v>4.9999999999999822</v>
      </c>
      <c r="V56" s="144">
        <f t="shared" si="37"/>
        <v>48.999999999999986</v>
      </c>
      <c r="W56" s="90"/>
      <c r="X56" s="90"/>
      <c r="Y56" s="94"/>
      <c r="Z56" s="94"/>
      <c r="AA56" s="232"/>
      <c r="AB56" s="232"/>
      <c r="AC56" s="92"/>
      <c r="AD56" s="93"/>
      <c r="AE56" s="84">
        <f t="shared" si="8"/>
        <v>-79.999999999999545</v>
      </c>
      <c r="AF56" s="139">
        <f t="shared" si="9"/>
        <v>0.96000000000000019</v>
      </c>
      <c r="AG56" s="237"/>
    </row>
    <row r="57" spans="1:33" ht="15.75" customHeight="1">
      <c r="A57" s="241" t="s">
        <v>501</v>
      </c>
      <c r="B57" s="77" t="s">
        <v>113</v>
      </c>
      <c r="C57" s="135" t="s">
        <v>165</v>
      </c>
      <c r="D57" s="136"/>
      <c r="E57" s="77">
        <v>56.43</v>
      </c>
      <c r="F57" s="109">
        <v>758</v>
      </c>
      <c r="G57" s="134">
        <f t="shared" si="35"/>
        <v>42773.94</v>
      </c>
      <c r="H57" s="79" t="s">
        <v>115</v>
      </c>
      <c r="I57" s="143">
        <v>23</v>
      </c>
      <c r="J57" s="81">
        <v>2000</v>
      </c>
      <c r="K57" s="82">
        <f t="shared" si="1"/>
        <v>86.956521739130437</v>
      </c>
      <c r="L57" s="143">
        <v>23</v>
      </c>
      <c r="M57" s="83">
        <f t="shared" si="39"/>
        <v>1977.3913043478262</v>
      </c>
      <c r="N57" s="83">
        <f t="shared" si="3"/>
        <v>85.973534971644625</v>
      </c>
      <c r="O57" s="84">
        <f t="shared" si="4"/>
        <v>0</v>
      </c>
      <c r="P57" s="85">
        <f t="shared" si="5"/>
        <v>-0.98298676748581215</v>
      </c>
      <c r="Q57" s="139">
        <f t="shared" si="6"/>
        <v>0.9886956521739132</v>
      </c>
      <c r="R57" s="237"/>
      <c r="S57" s="88">
        <v>0.31666666666666665</v>
      </c>
      <c r="T57" s="88">
        <v>0.33263888888888887</v>
      </c>
      <c r="U57" s="134">
        <f t="shared" si="38"/>
        <v>5.9999999999999787</v>
      </c>
      <c r="V57" s="144">
        <f t="shared" si="37"/>
        <v>23</v>
      </c>
      <c r="W57" s="90"/>
      <c r="X57" s="90"/>
      <c r="Y57" s="94"/>
      <c r="Z57" s="94"/>
      <c r="AA57" s="232"/>
      <c r="AB57" s="232"/>
      <c r="AC57" s="92"/>
      <c r="AD57" s="93"/>
      <c r="AE57" s="84">
        <f t="shared" si="8"/>
        <v>-22.608695652173765</v>
      </c>
      <c r="AF57" s="139">
        <f t="shared" si="9"/>
        <v>0.98869565217391309</v>
      </c>
      <c r="AG57" s="237"/>
    </row>
    <row r="58" spans="1:33" ht="15.75" customHeight="1">
      <c r="A58" s="241" t="s">
        <v>501</v>
      </c>
      <c r="B58" s="77" t="s">
        <v>113</v>
      </c>
      <c r="C58" s="135" t="s">
        <v>166</v>
      </c>
      <c r="D58" s="136"/>
      <c r="E58" s="77">
        <v>56.43</v>
      </c>
      <c r="F58" s="109">
        <v>1881</v>
      </c>
      <c r="G58" s="134">
        <f t="shared" si="35"/>
        <v>106144.83</v>
      </c>
      <c r="H58" s="79" t="s">
        <v>115</v>
      </c>
      <c r="I58" s="143">
        <v>21</v>
      </c>
      <c r="J58" s="81">
        <v>2000</v>
      </c>
      <c r="K58" s="82">
        <f t="shared" si="1"/>
        <v>95.238095238095241</v>
      </c>
      <c r="L58" s="143">
        <v>21</v>
      </c>
      <c r="M58" s="83">
        <f t="shared" si="39"/>
        <v>1912.8813559322025</v>
      </c>
      <c r="N58" s="83">
        <f t="shared" si="3"/>
        <v>91.089588377723928</v>
      </c>
      <c r="O58" s="84">
        <f t="shared" si="4"/>
        <v>0</v>
      </c>
      <c r="P58" s="85">
        <f t="shared" si="5"/>
        <v>-4.1485068603713131</v>
      </c>
      <c r="Q58" s="139">
        <f t="shared" si="6"/>
        <v>0.95644067796610122</v>
      </c>
      <c r="R58" s="237"/>
      <c r="S58" s="88">
        <v>0.33749999999999997</v>
      </c>
      <c r="T58" s="88">
        <v>0.37847222222222221</v>
      </c>
      <c r="U58" s="134">
        <f t="shared" si="38"/>
        <v>6.9999999999999751</v>
      </c>
      <c r="V58" s="144">
        <f t="shared" si="37"/>
        <v>59.000000000000028</v>
      </c>
      <c r="W58" s="90"/>
      <c r="X58" s="90"/>
      <c r="Y58" s="94"/>
      <c r="Z58" s="94"/>
      <c r="AA58" s="232"/>
      <c r="AB58" s="232"/>
      <c r="AC58" s="92"/>
      <c r="AD58" s="93"/>
      <c r="AE58" s="84">
        <f t="shared" si="8"/>
        <v>-87.118644067797504</v>
      </c>
      <c r="AF58" s="139">
        <f t="shared" si="9"/>
        <v>0.95644067796610122</v>
      </c>
      <c r="AG58" s="237"/>
    </row>
    <row r="59" spans="1:33" ht="15.75" customHeight="1">
      <c r="A59" s="241" t="s">
        <v>501</v>
      </c>
      <c r="B59" s="77" t="s">
        <v>113</v>
      </c>
      <c r="C59" s="225" t="s">
        <v>167</v>
      </c>
      <c r="D59" s="226"/>
      <c r="E59" s="77">
        <v>55.56</v>
      </c>
      <c r="F59" s="109">
        <v>2946</v>
      </c>
      <c r="G59" s="134">
        <f t="shared" si="35"/>
        <v>163679.76</v>
      </c>
      <c r="H59" s="79" t="s">
        <v>115</v>
      </c>
      <c r="I59" s="143">
        <v>17</v>
      </c>
      <c r="J59" s="81">
        <v>2000</v>
      </c>
      <c r="K59" s="82">
        <f t="shared" si="1"/>
        <v>117.64705882352941</v>
      </c>
      <c r="L59" s="143">
        <v>17</v>
      </c>
      <c r="M59" s="83">
        <f t="shared" si="39"/>
        <v>1900.6451612903229</v>
      </c>
      <c r="N59" s="83">
        <f t="shared" si="3"/>
        <v>111.80265654648959</v>
      </c>
      <c r="O59" s="84">
        <f t="shared" si="4"/>
        <v>0</v>
      </c>
      <c r="P59" s="85">
        <f t="shared" si="5"/>
        <v>-5.8444022770398192</v>
      </c>
      <c r="Q59" s="139">
        <f t="shared" si="6"/>
        <v>0.95032258064516151</v>
      </c>
      <c r="R59" s="237"/>
      <c r="S59" s="88">
        <v>0.70833333333333337</v>
      </c>
      <c r="T59" s="88">
        <v>0.7729166666666667</v>
      </c>
      <c r="U59" s="134" t="str">
        <f t="shared" si="38"/>
        <v/>
      </c>
      <c r="V59" s="144">
        <f t="shared" si="37"/>
        <v>92.999999999999986</v>
      </c>
      <c r="W59" s="90"/>
      <c r="X59" s="90"/>
      <c r="Y59" s="94"/>
      <c r="Z59" s="94"/>
      <c r="AA59" s="227"/>
      <c r="AB59" s="228"/>
      <c r="AC59" s="92"/>
      <c r="AD59" s="93"/>
      <c r="AE59" s="84">
        <f t="shared" si="8"/>
        <v>-99.354838709677097</v>
      </c>
      <c r="AF59" s="139">
        <f t="shared" si="9"/>
        <v>0.9503225806451614</v>
      </c>
      <c r="AG59" s="237"/>
    </row>
    <row r="60" spans="1:33" ht="15.75" customHeight="1">
      <c r="A60" s="241" t="s">
        <v>501</v>
      </c>
      <c r="B60" s="77" t="s">
        <v>113</v>
      </c>
      <c r="C60" s="225" t="s">
        <v>168</v>
      </c>
      <c r="D60" s="226"/>
      <c r="E60" s="77">
        <v>58.17</v>
      </c>
      <c r="F60" s="109">
        <v>2119</v>
      </c>
      <c r="G60" s="134">
        <f t="shared" si="35"/>
        <v>123262.23000000001</v>
      </c>
      <c r="H60" s="79" t="s">
        <v>115</v>
      </c>
      <c r="I60" s="143">
        <v>13</v>
      </c>
      <c r="J60" s="81">
        <v>2000</v>
      </c>
      <c r="K60" s="82">
        <f t="shared" si="1"/>
        <v>153.84615384615384</v>
      </c>
      <c r="L60" s="143">
        <v>13</v>
      </c>
      <c r="M60" s="83">
        <f t="shared" si="39"/>
        <v>1926.363636363634</v>
      </c>
      <c r="N60" s="83">
        <f t="shared" si="3"/>
        <v>148.18181818181799</v>
      </c>
      <c r="O60" s="84">
        <f t="shared" si="4"/>
        <v>0</v>
      </c>
      <c r="P60" s="85">
        <f t="shared" si="5"/>
        <v>-5.6643356643358516</v>
      </c>
      <c r="Q60" s="139">
        <f t="shared" si="6"/>
        <v>0.96318181818181692</v>
      </c>
      <c r="R60" s="237"/>
      <c r="S60" s="88">
        <v>0.77847222222222223</v>
      </c>
      <c r="T60" s="88">
        <v>0.82430555555555562</v>
      </c>
      <c r="U60" s="134">
        <f t="shared" si="38"/>
        <v>7.9999999999999716</v>
      </c>
      <c r="V60" s="144">
        <f t="shared" si="37"/>
        <v>66.000000000000085</v>
      </c>
      <c r="W60" s="90"/>
      <c r="X60" s="90"/>
      <c r="Y60" s="94"/>
      <c r="Z60" s="94"/>
      <c r="AA60" s="227"/>
      <c r="AB60" s="228"/>
      <c r="AC60" s="92"/>
      <c r="AD60" s="93"/>
      <c r="AE60" s="84">
        <f t="shared" si="8"/>
        <v>-73.636363636366013</v>
      </c>
      <c r="AF60" s="139">
        <f t="shared" si="9"/>
        <v>0.96318181818181703</v>
      </c>
      <c r="AG60" s="237"/>
    </row>
    <row r="61" spans="1:33" ht="15.75" customHeight="1">
      <c r="A61" s="241" t="s">
        <v>501</v>
      </c>
      <c r="B61" s="77" t="s">
        <v>113</v>
      </c>
      <c r="C61" s="225" t="s">
        <v>169</v>
      </c>
      <c r="D61" s="226"/>
      <c r="E61" s="77">
        <v>54.09</v>
      </c>
      <c r="F61" s="109">
        <v>1476</v>
      </c>
      <c r="G61" s="134">
        <f t="shared" si="35"/>
        <v>79836.840000000011</v>
      </c>
      <c r="H61" s="79" t="s">
        <v>115</v>
      </c>
      <c r="I61" s="143">
        <v>14</v>
      </c>
      <c r="J61" s="81">
        <v>2000</v>
      </c>
      <c r="K61" s="82">
        <f t="shared" si="1"/>
        <v>142.85714285714286</v>
      </c>
      <c r="L61" s="143">
        <v>14</v>
      </c>
      <c r="M61" s="83">
        <f t="shared" si="39"/>
        <v>1925.217391304348</v>
      </c>
      <c r="N61" s="83">
        <f t="shared" si="3"/>
        <v>137.51552795031057</v>
      </c>
      <c r="O61" s="84">
        <f t="shared" si="4"/>
        <v>0</v>
      </c>
      <c r="P61" s="85">
        <f t="shared" si="5"/>
        <v>-5.3416149068322909</v>
      </c>
      <c r="Q61" s="139">
        <f t="shared" si="6"/>
        <v>0.962608695652174</v>
      </c>
      <c r="R61" s="237"/>
      <c r="S61" s="88">
        <v>0.82986111111111116</v>
      </c>
      <c r="T61" s="88">
        <v>0.8618055555555556</v>
      </c>
      <c r="U61" s="134">
        <f t="shared" si="38"/>
        <v>7.9999999999999716</v>
      </c>
      <c r="V61" s="144">
        <f t="shared" si="37"/>
        <v>46</v>
      </c>
      <c r="W61" s="90"/>
      <c r="X61" s="90"/>
      <c r="Y61" s="94"/>
      <c r="Z61" s="94"/>
      <c r="AA61" s="227"/>
      <c r="AB61" s="228"/>
      <c r="AC61" s="92"/>
      <c r="AD61" s="93"/>
      <c r="AE61" s="84">
        <f t="shared" si="8"/>
        <v>-74.782608695652016</v>
      </c>
      <c r="AF61" s="139">
        <f t="shared" si="9"/>
        <v>0.962608695652174</v>
      </c>
      <c r="AG61" s="237"/>
    </row>
    <row r="62" spans="1:33">
      <c r="A62" s="242" t="s">
        <v>501</v>
      </c>
      <c r="B62" s="77" t="s">
        <v>490</v>
      </c>
      <c r="C62" s="238"/>
      <c r="D62" s="238"/>
      <c r="E62" s="140"/>
      <c r="F62" s="97"/>
      <c r="G62" s="82"/>
      <c r="H62" s="146"/>
      <c r="I62" s="98">
        <v>18.25</v>
      </c>
      <c r="J62" s="81">
        <v>2000</v>
      </c>
      <c r="K62" s="82">
        <f t="shared" si="1"/>
        <v>109.58904109589041</v>
      </c>
      <c r="L62" s="98">
        <v>18.25</v>
      </c>
      <c r="M62" s="83">
        <f>AVERAGE(M54:M61)</f>
        <v>1929.2328107002461</v>
      </c>
      <c r="N62" s="82">
        <f t="shared" si="3"/>
        <v>105.71138688768471</v>
      </c>
      <c r="O62" s="84">
        <f t="shared" si="4"/>
        <v>0</v>
      </c>
      <c r="P62" s="85">
        <f t="shared" si="5"/>
        <v>-3.8776542082056977</v>
      </c>
      <c r="Q62" s="139">
        <f t="shared" si="6"/>
        <v>0.96461640535012305</v>
      </c>
      <c r="R62" s="237"/>
      <c r="S62" s="88"/>
      <c r="T62" s="88"/>
      <c r="U62" s="134"/>
      <c r="V62" s="144"/>
      <c r="W62" s="82"/>
      <c r="X62" s="82"/>
      <c r="Y62" s="99">
        <f>SUM(Y54:Y61)</f>
        <v>0</v>
      </c>
      <c r="Z62" s="99">
        <f>SUM(Z54:Z61)</f>
        <v>0</v>
      </c>
      <c r="AA62" s="231"/>
      <c r="AB62" s="231"/>
      <c r="AC62" s="99">
        <v>8</v>
      </c>
      <c r="AD62" s="99">
        <f>SUM(AD54:AD61)</f>
        <v>0</v>
      </c>
      <c r="AE62" s="84">
        <f>M62-J62</f>
        <v>-70.767189299753909</v>
      </c>
      <c r="AF62" s="139">
        <f t="shared" si="9"/>
        <v>0.96461640535012305</v>
      </c>
      <c r="AG62" s="237"/>
    </row>
    <row r="63" spans="1:33" ht="15.75" customHeight="1">
      <c r="A63" s="239" t="s">
        <v>502</v>
      </c>
      <c r="B63" s="146" t="s">
        <v>157</v>
      </c>
      <c r="C63" s="233" t="s">
        <v>171</v>
      </c>
      <c r="D63" s="233"/>
      <c r="E63" s="77">
        <v>35.119999999999997</v>
      </c>
      <c r="F63" s="109">
        <v>5964</v>
      </c>
      <c r="G63" s="134">
        <f t="shared" ref="G63:G67" si="40">E63*F63</f>
        <v>209455.68</v>
      </c>
      <c r="H63" s="79" t="s">
        <v>115</v>
      </c>
      <c r="I63" s="143">
        <v>10</v>
      </c>
      <c r="J63" s="81">
        <v>3000</v>
      </c>
      <c r="K63" s="82">
        <f t="shared" si="1"/>
        <v>300</v>
      </c>
      <c r="L63" s="143">
        <v>10</v>
      </c>
      <c r="M63" s="83">
        <f t="shared" ref="M63:M67" si="41">F63/V63*60</f>
        <v>2862.7200000000003</v>
      </c>
      <c r="N63" s="82">
        <f t="shared" si="3"/>
        <v>286.27200000000005</v>
      </c>
      <c r="O63" s="84">
        <f t="shared" si="4"/>
        <v>0</v>
      </c>
      <c r="P63" s="85">
        <f t="shared" si="5"/>
        <v>-13.727999999999952</v>
      </c>
      <c r="Q63" s="139">
        <f t="shared" si="6"/>
        <v>0.9542400000000002</v>
      </c>
      <c r="R63" s="237">
        <f>Q68</f>
        <v>0.96352128872876996</v>
      </c>
      <c r="S63" s="88">
        <v>0.20833333333333334</v>
      </c>
      <c r="T63" s="88">
        <v>0.2951388888888889</v>
      </c>
      <c r="U63" s="134"/>
      <c r="V63" s="144">
        <f t="shared" ref="V63:V67" si="42">(T63-S63)*24*60</f>
        <v>124.99999999999999</v>
      </c>
      <c r="W63" s="90"/>
      <c r="X63" s="90"/>
      <c r="Y63" s="100"/>
      <c r="Z63" s="100"/>
      <c r="AA63" s="232"/>
      <c r="AB63" s="232"/>
      <c r="AC63" s="92">
        <v>5</v>
      </c>
      <c r="AD63" s="93"/>
      <c r="AE63" s="84">
        <f t="shared" ref="AE63:AE78" si="43">M63-J63</f>
        <v>-137.27999999999975</v>
      </c>
      <c r="AF63" s="139">
        <f t="shared" si="9"/>
        <v>0.95424000000000009</v>
      </c>
      <c r="AG63" s="237">
        <f>AF68</f>
        <v>0.96352128872876985</v>
      </c>
    </row>
    <row r="64" spans="1:33" ht="15.75" customHeight="1">
      <c r="A64" s="239" t="s">
        <v>502</v>
      </c>
      <c r="B64" s="146" t="s">
        <v>157</v>
      </c>
      <c r="C64" s="233" t="s">
        <v>172</v>
      </c>
      <c r="D64" s="233"/>
      <c r="E64" s="77">
        <v>26.78</v>
      </c>
      <c r="F64" s="109">
        <v>2770</v>
      </c>
      <c r="G64" s="134">
        <f t="shared" si="40"/>
        <v>74180.600000000006</v>
      </c>
      <c r="H64" s="79" t="s">
        <v>115</v>
      </c>
      <c r="I64" s="143">
        <v>10</v>
      </c>
      <c r="J64" s="81">
        <v>3000</v>
      </c>
      <c r="K64" s="82">
        <f t="shared" si="1"/>
        <v>300</v>
      </c>
      <c r="L64" s="143">
        <v>10</v>
      </c>
      <c r="M64" s="83">
        <f t="shared" si="41"/>
        <v>2865.5172413793089</v>
      </c>
      <c r="N64" s="82">
        <f t="shared" si="3"/>
        <v>286.55172413793088</v>
      </c>
      <c r="O64" s="84">
        <f t="shared" si="4"/>
        <v>0</v>
      </c>
      <c r="P64" s="85">
        <f t="shared" si="5"/>
        <v>-13.448275862069124</v>
      </c>
      <c r="Q64" s="139">
        <f t="shared" si="6"/>
        <v>0.95517241379310291</v>
      </c>
      <c r="R64" s="237"/>
      <c r="S64" s="88">
        <v>0.3</v>
      </c>
      <c r="T64" s="88">
        <v>0.34027777777777779</v>
      </c>
      <c r="U64" s="134">
        <f t="shared" ref="U64:U67" si="44">(S64-T63)*24*60</f>
        <v>6.9999999999999751</v>
      </c>
      <c r="V64" s="144">
        <f t="shared" si="42"/>
        <v>58.000000000000036</v>
      </c>
      <c r="W64" s="134"/>
      <c r="X64" s="134"/>
      <c r="Y64" s="134"/>
      <c r="Z64" s="134"/>
      <c r="AA64" s="232"/>
      <c r="AB64" s="232"/>
      <c r="AC64" s="92"/>
      <c r="AD64" s="93"/>
      <c r="AE64" s="84">
        <f t="shared" si="43"/>
        <v>-134.48275862069113</v>
      </c>
      <c r="AF64" s="139">
        <f t="shared" si="9"/>
        <v>0.95517241379310291</v>
      </c>
      <c r="AG64" s="237"/>
    </row>
    <row r="65" spans="1:33" ht="15.75" customHeight="1">
      <c r="A65" s="239" t="s">
        <v>502</v>
      </c>
      <c r="B65" s="146" t="s">
        <v>157</v>
      </c>
      <c r="C65" s="233" t="s">
        <v>173</v>
      </c>
      <c r="D65" s="233"/>
      <c r="E65" s="77">
        <v>35.869999999999997</v>
      </c>
      <c r="F65" s="109">
        <v>3220</v>
      </c>
      <c r="G65" s="134">
        <f t="shared" si="40"/>
        <v>115501.4</v>
      </c>
      <c r="H65" s="79" t="s">
        <v>115</v>
      </c>
      <c r="I65" s="143">
        <v>10</v>
      </c>
      <c r="J65" s="81">
        <v>3000</v>
      </c>
      <c r="K65" s="82">
        <f t="shared" si="1"/>
        <v>300</v>
      </c>
      <c r="L65" s="143">
        <v>10</v>
      </c>
      <c r="M65" s="83">
        <f t="shared" si="41"/>
        <v>2883.5820895522388</v>
      </c>
      <c r="N65" s="82">
        <f t="shared" si="3"/>
        <v>288.35820895522386</v>
      </c>
      <c r="O65" s="84">
        <f t="shared" si="4"/>
        <v>0</v>
      </c>
      <c r="P65" s="85">
        <f t="shared" si="5"/>
        <v>-11.641791044776141</v>
      </c>
      <c r="Q65" s="139">
        <f t="shared" si="6"/>
        <v>0.9611940298507462</v>
      </c>
      <c r="R65" s="237"/>
      <c r="S65" s="88">
        <v>0.34583333333333333</v>
      </c>
      <c r="T65" s="88">
        <v>0.3923611111111111</v>
      </c>
      <c r="U65" s="134">
        <f t="shared" si="44"/>
        <v>7.9999999999999716</v>
      </c>
      <c r="V65" s="144">
        <f t="shared" si="42"/>
        <v>67</v>
      </c>
      <c r="W65" s="134"/>
      <c r="X65" s="134"/>
      <c r="Y65" s="134"/>
      <c r="Z65" s="134"/>
      <c r="AA65" s="232"/>
      <c r="AB65" s="232"/>
      <c r="AC65" s="92"/>
      <c r="AD65" s="93"/>
      <c r="AE65" s="84">
        <f t="shared" si="43"/>
        <v>-116.41791044776119</v>
      </c>
      <c r="AF65" s="139">
        <f t="shared" si="9"/>
        <v>0.96119402985074631</v>
      </c>
      <c r="AG65" s="237"/>
    </row>
    <row r="66" spans="1:33" ht="15.75" customHeight="1">
      <c r="A66" s="239" t="s">
        <v>502</v>
      </c>
      <c r="B66" s="146" t="s">
        <v>157</v>
      </c>
      <c r="C66" s="233" t="s">
        <v>174</v>
      </c>
      <c r="D66" s="233"/>
      <c r="E66" s="77">
        <v>35.869999999999997</v>
      </c>
      <c r="F66" s="109">
        <v>1178</v>
      </c>
      <c r="G66" s="134">
        <f t="shared" si="40"/>
        <v>42254.86</v>
      </c>
      <c r="H66" s="79" t="s">
        <v>115</v>
      </c>
      <c r="I66" s="143">
        <v>9</v>
      </c>
      <c r="J66" s="81">
        <v>3000</v>
      </c>
      <c r="K66" s="82">
        <f t="shared" si="1"/>
        <v>333.33333333333331</v>
      </c>
      <c r="L66" s="143">
        <v>9</v>
      </c>
      <c r="M66" s="83">
        <f t="shared" si="41"/>
        <v>2945.0000000000009</v>
      </c>
      <c r="N66" s="82">
        <f t="shared" si="3"/>
        <v>327.22222222222234</v>
      </c>
      <c r="O66" s="84">
        <f t="shared" si="4"/>
        <v>0</v>
      </c>
      <c r="P66" s="85">
        <f t="shared" si="5"/>
        <v>-6.1111111111109722</v>
      </c>
      <c r="Q66" s="139">
        <f t="shared" si="6"/>
        <v>0.98166666666666713</v>
      </c>
      <c r="R66" s="237"/>
      <c r="S66" s="88">
        <v>0.39791666666666664</v>
      </c>
      <c r="T66" s="88">
        <v>0.4145833333333333</v>
      </c>
      <c r="U66" s="134">
        <f t="shared" si="44"/>
        <v>7.9999999999999716</v>
      </c>
      <c r="V66" s="144">
        <f t="shared" si="42"/>
        <v>23.999999999999993</v>
      </c>
      <c r="W66" s="134"/>
      <c r="X66" s="134"/>
      <c r="Y66" s="134"/>
      <c r="Z66" s="134"/>
      <c r="AA66" s="232"/>
      <c r="AB66" s="232"/>
      <c r="AC66" s="92"/>
      <c r="AD66" s="93"/>
      <c r="AE66" s="84">
        <f t="shared" si="43"/>
        <v>-54.999999999999091</v>
      </c>
      <c r="AF66" s="139">
        <f t="shared" si="9"/>
        <v>0.98166666666666702</v>
      </c>
      <c r="AG66" s="237"/>
    </row>
    <row r="67" spans="1:33">
      <c r="A67" s="240" t="s">
        <v>502</v>
      </c>
      <c r="B67" s="146" t="s">
        <v>157</v>
      </c>
      <c r="C67" s="233" t="s">
        <v>175</v>
      </c>
      <c r="D67" s="233"/>
      <c r="E67" s="77">
        <v>33.770000000000003</v>
      </c>
      <c r="F67" s="109">
        <v>2896</v>
      </c>
      <c r="G67" s="134">
        <f t="shared" si="40"/>
        <v>97797.920000000013</v>
      </c>
      <c r="H67" s="79" t="s">
        <v>115</v>
      </c>
      <c r="I67" s="143">
        <v>12</v>
      </c>
      <c r="J67" s="81">
        <v>3000</v>
      </c>
      <c r="K67" s="82">
        <f t="shared" si="1"/>
        <v>250</v>
      </c>
      <c r="L67" s="143">
        <v>12</v>
      </c>
      <c r="M67" s="83">
        <f t="shared" si="41"/>
        <v>2895.9999999999986</v>
      </c>
      <c r="N67" s="82">
        <f t="shared" si="3"/>
        <v>241.33333333333323</v>
      </c>
      <c r="O67" s="84">
        <f t="shared" si="4"/>
        <v>0</v>
      </c>
      <c r="P67" s="85">
        <f t="shared" si="5"/>
        <v>-8.6666666666667709</v>
      </c>
      <c r="Q67" s="139">
        <f t="shared" si="6"/>
        <v>0.96533333333333293</v>
      </c>
      <c r="R67" s="237"/>
      <c r="S67" s="88">
        <v>0.41805555555555551</v>
      </c>
      <c r="T67" s="88">
        <v>0.4597222222222222</v>
      </c>
      <c r="U67" s="134">
        <f t="shared" si="44"/>
        <v>4.9999999999999822</v>
      </c>
      <c r="V67" s="144">
        <f t="shared" si="42"/>
        <v>60.000000000000028</v>
      </c>
      <c r="W67" s="90"/>
      <c r="X67" s="90"/>
      <c r="Y67" s="90"/>
      <c r="Z67" s="90"/>
      <c r="AA67" s="232"/>
      <c r="AB67" s="232"/>
      <c r="AC67" s="92"/>
      <c r="AD67" s="93"/>
      <c r="AE67" s="84">
        <f t="shared" si="43"/>
        <v>-104.00000000000136</v>
      </c>
      <c r="AF67" s="139">
        <f t="shared" si="9"/>
        <v>0.96533333333333293</v>
      </c>
      <c r="AG67" s="237"/>
    </row>
    <row r="68" spans="1:33">
      <c r="A68" s="240" t="s">
        <v>502</v>
      </c>
      <c r="B68" s="77" t="s">
        <v>490</v>
      </c>
      <c r="C68" s="238"/>
      <c r="D68" s="238"/>
      <c r="E68" s="140"/>
      <c r="F68" s="97"/>
      <c r="G68" s="82"/>
      <c r="H68" s="146"/>
      <c r="I68" s="98">
        <v>10.199999999999999</v>
      </c>
      <c r="J68" s="81">
        <v>3000</v>
      </c>
      <c r="K68" s="82">
        <f t="shared" si="1"/>
        <v>294.11764705882354</v>
      </c>
      <c r="L68" s="98">
        <v>10.199999999999999</v>
      </c>
      <c r="M68" s="83">
        <f>AVERAGE(M63:M67)</f>
        <v>2890.5638661863095</v>
      </c>
      <c r="N68" s="82">
        <f t="shared" si="3"/>
        <v>283.38861433199116</v>
      </c>
      <c r="O68" s="84">
        <f t="shared" si="4"/>
        <v>0</v>
      </c>
      <c r="P68" s="85">
        <f t="shared" si="5"/>
        <v>-10.729032726832372</v>
      </c>
      <c r="Q68" s="139">
        <f t="shared" si="6"/>
        <v>0.96352128872876996</v>
      </c>
      <c r="R68" s="237"/>
      <c r="S68" s="88"/>
      <c r="T68" s="88"/>
      <c r="U68" s="82"/>
      <c r="V68" s="144"/>
      <c r="W68" s="82"/>
      <c r="X68" s="82"/>
      <c r="Y68" s="99">
        <f>SUM(Y63:Y67)</f>
        <v>0</v>
      </c>
      <c r="Z68" s="99">
        <f>SUM(Z63:Z67)</f>
        <v>0</v>
      </c>
      <c r="AA68" s="231"/>
      <c r="AB68" s="231"/>
      <c r="AC68" s="99">
        <v>5</v>
      </c>
      <c r="AD68" s="99">
        <f>SUM(AD63:AD67)</f>
        <v>0</v>
      </c>
      <c r="AE68" s="84">
        <f t="shared" si="43"/>
        <v>-109.4361338136905</v>
      </c>
      <c r="AF68" s="139">
        <f t="shared" si="9"/>
        <v>0.96352128872876985</v>
      </c>
      <c r="AG68" s="237"/>
    </row>
    <row r="69" spans="1:33" ht="15.75" customHeight="1">
      <c r="A69" s="234" t="s">
        <v>503</v>
      </c>
      <c r="B69" s="146" t="s">
        <v>142</v>
      </c>
      <c r="C69" s="233" t="s">
        <v>177</v>
      </c>
      <c r="D69" s="233"/>
      <c r="E69" s="77">
        <v>19.02</v>
      </c>
      <c r="F69" s="146">
        <v>7100</v>
      </c>
      <c r="G69" s="134">
        <f t="shared" ref="G69:G77" si="45">E69*F69</f>
        <v>135042</v>
      </c>
      <c r="H69" s="79">
        <v>2</v>
      </c>
      <c r="I69" s="143">
        <v>14</v>
      </c>
      <c r="J69" s="81">
        <v>2400</v>
      </c>
      <c r="K69" s="82">
        <f t="shared" ref="K69:K78" si="46">J69/I69</f>
        <v>171.42857142857142</v>
      </c>
      <c r="L69" s="143">
        <v>14</v>
      </c>
      <c r="M69" s="83">
        <f t="shared" ref="M69:M77" si="47">F69/V69*60</f>
        <v>2290.3225806451605</v>
      </c>
      <c r="N69" s="82">
        <f t="shared" ref="N69:N78" si="48">M69/L69</f>
        <v>163.5944700460829</v>
      </c>
      <c r="O69" s="84">
        <f t="shared" ref="O69:O78" si="49">L69-I69</f>
        <v>0</v>
      </c>
      <c r="P69" s="85">
        <f t="shared" ref="P69:P78" si="50">N69-K69</f>
        <v>-7.8341013824885124</v>
      </c>
      <c r="Q69" s="139">
        <f t="shared" ref="Q69:Q78" si="51">N69/K69</f>
        <v>0.95430107526881702</v>
      </c>
      <c r="R69" s="237">
        <f>Q78</f>
        <v>0.95517273053349705</v>
      </c>
      <c r="S69" s="88">
        <v>8.3333333333333329E-2</v>
      </c>
      <c r="T69" s="88">
        <v>0.21250000000000002</v>
      </c>
      <c r="U69" s="100"/>
      <c r="V69" s="144">
        <f t="shared" ref="V69:V77" si="52">(T69-S69)*24*60</f>
        <v>186.00000000000006</v>
      </c>
      <c r="W69" s="90">
        <f>T69</f>
        <v>0.21250000000000002</v>
      </c>
      <c r="X69" s="90">
        <f>S70</f>
        <v>0.23194444444444445</v>
      </c>
      <c r="Y69" s="90"/>
      <c r="Z69" s="90"/>
      <c r="AA69" s="232"/>
      <c r="AB69" s="232"/>
      <c r="AC69" s="92">
        <v>9</v>
      </c>
      <c r="AD69" s="93"/>
      <c r="AE69" s="84">
        <f t="shared" si="43"/>
        <v>-109.67741935483946</v>
      </c>
      <c r="AF69" s="139">
        <f t="shared" ref="AF69:AF78" si="53">M69/J69</f>
        <v>0.95430107526881691</v>
      </c>
      <c r="AG69" s="237">
        <f>AF78</f>
        <v>0.95517273053349694</v>
      </c>
    </row>
    <row r="70" spans="1:33" ht="15.75" customHeight="1">
      <c r="A70" s="235" t="s">
        <v>503</v>
      </c>
      <c r="B70" s="146" t="s">
        <v>142</v>
      </c>
      <c r="C70" s="233" t="s">
        <v>178</v>
      </c>
      <c r="D70" s="233"/>
      <c r="E70" s="77">
        <v>20.36</v>
      </c>
      <c r="F70" s="146">
        <v>2900</v>
      </c>
      <c r="G70" s="134">
        <f t="shared" si="45"/>
        <v>59044</v>
      </c>
      <c r="H70" s="79">
        <v>2</v>
      </c>
      <c r="I70" s="143">
        <v>17</v>
      </c>
      <c r="J70" s="81">
        <v>2400</v>
      </c>
      <c r="K70" s="82">
        <f t="shared" si="46"/>
        <v>141.1764705882353</v>
      </c>
      <c r="L70" s="143">
        <v>17</v>
      </c>
      <c r="M70" s="83">
        <f t="shared" si="47"/>
        <v>2289.4736842105272</v>
      </c>
      <c r="N70" s="82">
        <f t="shared" si="48"/>
        <v>134.67492260061925</v>
      </c>
      <c r="O70" s="84">
        <f t="shared" si="49"/>
        <v>0</v>
      </c>
      <c r="P70" s="85">
        <f t="shared" si="50"/>
        <v>-6.5015479876160498</v>
      </c>
      <c r="Q70" s="139">
        <f t="shared" si="51"/>
        <v>0.95394736842105299</v>
      </c>
      <c r="R70" s="237"/>
      <c r="S70" s="88">
        <v>0.23194444444444445</v>
      </c>
      <c r="T70" s="88">
        <v>0.28472222222222221</v>
      </c>
      <c r="U70" s="134">
        <f t="shared" ref="U70:U77" si="54">(S70-T69)*24*60</f>
        <v>27.999999999999979</v>
      </c>
      <c r="V70" s="144">
        <f t="shared" si="52"/>
        <v>75.999999999999972</v>
      </c>
      <c r="W70" s="90"/>
      <c r="X70" s="90"/>
      <c r="Y70" s="90"/>
      <c r="Z70" s="90"/>
      <c r="AA70" s="232"/>
      <c r="AB70" s="232"/>
      <c r="AC70" s="92"/>
      <c r="AD70" s="93"/>
      <c r="AE70" s="84">
        <f t="shared" si="43"/>
        <v>-110.52631578947285</v>
      </c>
      <c r="AF70" s="139">
        <f t="shared" si="53"/>
        <v>0.95394736842105299</v>
      </c>
      <c r="AG70" s="237"/>
    </row>
    <row r="71" spans="1:33" ht="15.75" customHeight="1">
      <c r="A71" s="235" t="s">
        <v>503</v>
      </c>
      <c r="B71" s="146" t="s">
        <v>142</v>
      </c>
      <c r="C71" s="233" t="s">
        <v>145</v>
      </c>
      <c r="D71" s="233"/>
      <c r="E71" s="77">
        <v>24.43</v>
      </c>
      <c r="F71" s="146">
        <v>3500</v>
      </c>
      <c r="G71" s="134">
        <f t="shared" si="45"/>
        <v>85505</v>
      </c>
      <c r="H71" s="79">
        <v>2</v>
      </c>
      <c r="I71" s="143">
        <v>14</v>
      </c>
      <c r="J71" s="81">
        <v>2400</v>
      </c>
      <c r="K71" s="82">
        <f t="shared" si="46"/>
        <v>171.42857142857142</v>
      </c>
      <c r="L71" s="143">
        <v>14</v>
      </c>
      <c r="M71" s="83">
        <f t="shared" si="47"/>
        <v>2282.608695652174</v>
      </c>
      <c r="N71" s="82">
        <f t="shared" si="48"/>
        <v>163.04347826086956</v>
      </c>
      <c r="O71" s="84">
        <f t="shared" si="49"/>
        <v>0</v>
      </c>
      <c r="P71" s="85">
        <f t="shared" si="50"/>
        <v>-8.3850931677018536</v>
      </c>
      <c r="Q71" s="139">
        <f t="shared" si="51"/>
        <v>0.95108695652173914</v>
      </c>
      <c r="R71" s="237"/>
      <c r="S71" s="88">
        <v>0.28888888888888886</v>
      </c>
      <c r="T71" s="88">
        <v>0.35277777777777775</v>
      </c>
      <c r="U71" s="134">
        <f t="shared" si="54"/>
        <v>5.9999999999999787</v>
      </c>
      <c r="V71" s="144">
        <f t="shared" si="52"/>
        <v>92</v>
      </c>
      <c r="W71" s="90"/>
      <c r="X71" s="90"/>
      <c r="Y71" s="90"/>
      <c r="Z71" s="90"/>
      <c r="AA71" s="232"/>
      <c r="AB71" s="232"/>
      <c r="AC71" s="92"/>
      <c r="AD71" s="93"/>
      <c r="AE71" s="84">
        <f t="shared" si="43"/>
        <v>-117.39130434782601</v>
      </c>
      <c r="AF71" s="139">
        <f t="shared" si="53"/>
        <v>0.95108695652173914</v>
      </c>
      <c r="AG71" s="237"/>
    </row>
    <row r="72" spans="1:33" ht="15.75" customHeight="1">
      <c r="A72" s="235" t="s">
        <v>503</v>
      </c>
      <c r="B72" s="146" t="s">
        <v>142</v>
      </c>
      <c r="C72" s="233" t="s">
        <v>179</v>
      </c>
      <c r="D72" s="233"/>
      <c r="E72" s="77">
        <v>23.8</v>
      </c>
      <c r="F72" s="146">
        <v>2231</v>
      </c>
      <c r="G72" s="134">
        <f t="shared" si="45"/>
        <v>53097.8</v>
      </c>
      <c r="H72" s="79" t="s">
        <v>115</v>
      </c>
      <c r="I72" s="143">
        <v>16</v>
      </c>
      <c r="J72" s="81">
        <v>2400</v>
      </c>
      <c r="K72" s="82">
        <f t="shared" si="46"/>
        <v>150</v>
      </c>
      <c r="L72" s="143">
        <v>16</v>
      </c>
      <c r="M72" s="83">
        <f t="shared" si="47"/>
        <v>2307.9310344827572</v>
      </c>
      <c r="N72" s="82">
        <f t="shared" si="48"/>
        <v>144.24568965517233</v>
      </c>
      <c r="O72" s="84">
        <f t="shared" si="49"/>
        <v>0</v>
      </c>
      <c r="P72" s="85">
        <f t="shared" si="50"/>
        <v>-5.7543103448276725</v>
      </c>
      <c r="Q72" s="139">
        <f t="shared" si="51"/>
        <v>0.96163793103448214</v>
      </c>
      <c r="R72" s="237"/>
      <c r="S72" s="88">
        <v>0.35763888888888884</v>
      </c>
      <c r="T72" s="88">
        <v>0.39791666666666664</v>
      </c>
      <c r="U72" s="134">
        <f t="shared" si="54"/>
        <v>6.9999999999999751</v>
      </c>
      <c r="V72" s="144">
        <f t="shared" si="52"/>
        <v>58.000000000000036</v>
      </c>
      <c r="W72" s="90"/>
      <c r="X72" s="90"/>
      <c r="Y72" s="90"/>
      <c r="Z72" s="90"/>
      <c r="AA72" s="232"/>
      <c r="AB72" s="232"/>
      <c r="AC72" s="92"/>
      <c r="AD72" s="93"/>
      <c r="AE72" s="84">
        <f t="shared" si="43"/>
        <v>-92.068965517242759</v>
      </c>
      <c r="AF72" s="139">
        <f t="shared" si="53"/>
        <v>0.96163793103448214</v>
      </c>
      <c r="AG72" s="237"/>
    </row>
    <row r="73" spans="1:33" ht="15.75" customHeight="1">
      <c r="A73" s="235" t="s">
        <v>503</v>
      </c>
      <c r="B73" s="146" t="s">
        <v>142</v>
      </c>
      <c r="C73" s="233" t="s">
        <v>149</v>
      </c>
      <c r="D73" s="233"/>
      <c r="E73" s="77">
        <v>24.25</v>
      </c>
      <c r="F73" s="146">
        <v>1711</v>
      </c>
      <c r="G73" s="134">
        <f t="shared" si="45"/>
        <v>41491.75</v>
      </c>
      <c r="H73" s="79" t="s">
        <v>115</v>
      </c>
      <c r="I73" s="143">
        <v>16</v>
      </c>
      <c r="J73" s="81">
        <v>2400</v>
      </c>
      <c r="K73" s="82">
        <f t="shared" si="46"/>
        <v>150</v>
      </c>
      <c r="L73" s="143">
        <v>16</v>
      </c>
      <c r="M73" s="83">
        <f t="shared" si="47"/>
        <v>2281.3333333333335</v>
      </c>
      <c r="N73" s="82">
        <f t="shared" si="48"/>
        <v>142.58333333333334</v>
      </c>
      <c r="O73" s="84">
        <f t="shared" si="49"/>
        <v>0</v>
      </c>
      <c r="P73" s="85">
        <f t="shared" si="50"/>
        <v>-7.4166666666666572</v>
      </c>
      <c r="Q73" s="139">
        <f t="shared" si="51"/>
        <v>0.9505555555555556</v>
      </c>
      <c r="R73" s="237"/>
      <c r="S73" s="88">
        <v>0.40347222222222218</v>
      </c>
      <c r="T73" s="88">
        <v>0.43472222222222218</v>
      </c>
      <c r="U73" s="134">
        <f t="shared" si="54"/>
        <v>7.9999999999999716</v>
      </c>
      <c r="V73" s="144">
        <f t="shared" si="52"/>
        <v>45</v>
      </c>
      <c r="W73" s="90"/>
      <c r="X73" s="90"/>
      <c r="Y73" s="90"/>
      <c r="Z73" s="90"/>
      <c r="AA73" s="232"/>
      <c r="AB73" s="232"/>
      <c r="AC73" s="92"/>
      <c r="AD73" s="93"/>
      <c r="AE73" s="84">
        <f t="shared" si="43"/>
        <v>-118.66666666666652</v>
      </c>
      <c r="AF73" s="139">
        <f t="shared" si="53"/>
        <v>0.9505555555555556</v>
      </c>
      <c r="AG73" s="237"/>
    </row>
    <row r="74" spans="1:33" ht="15.75" customHeight="1">
      <c r="A74" s="235" t="s">
        <v>503</v>
      </c>
      <c r="B74" s="146" t="s">
        <v>142</v>
      </c>
      <c r="C74" s="233" t="s">
        <v>182</v>
      </c>
      <c r="D74" s="233"/>
      <c r="E74" s="77">
        <v>20.51</v>
      </c>
      <c r="F74" s="146">
        <v>3500</v>
      </c>
      <c r="G74" s="134">
        <f t="shared" si="45"/>
        <v>71785</v>
      </c>
      <c r="H74" s="79">
        <v>2</v>
      </c>
      <c r="I74" s="143">
        <v>14</v>
      </c>
      <c r="J74" s="81">
        <v>2400</v>
      </c>
      <c r="K74" s="82">
        <f t="shared" si="46"/>
        <v>171.42857142857142</v>
      </c>
      <c r="L74" s="143">
        <v>14</v>
      </c>
      <c r="M74" s="83">
        <f t="shared" si="47"/>
        <v>2282.6086956521722</v>
      </c>
      <c r="N74" s="82">
        <f t="shared" si="48"/>
        <v>163.04347826086945</v>
      </c>
      <c r="O74" s="84">
        <f t="shared" si="49"/>
        <v>0</v>
      </c>
      <c r="P74" s="85">
        <f t="shared" si="50"/>
        <v>-8.3850931677019673</v>
      </c>
      <c r="Q74" s="139">
        <f t="shared" si="51"/>
        <v>0.95108695652173847</v>
      </c>
      <c r="R74" s="237"/>
      <c r="S74" s="88">
        <v>0.43888888888888883</v>
      </c>
      <c r="T74" s="88">
        <v>0.50277777777777777</v>
      </c>
      <c r="U74" s="134">
        <f t="shared" si="54"/>
        <v>5.9999999999999787</v>
      </c>
      <c r="V74" s="144">
        <f t="shared" si="52"/>
        <v>92.000000000000071</v>
      </c>
      <c r="W74" s="90">
        <f>T74</f>
        <v>0.50277777777777777</v>
      </c>
      <c r="X74" s="90">
        <f>S75</f>
        <v>0.54305555555555551</v>
      </c>
      <c r="Y74" s="90"/>
      <c r="Z74" s="90"/>
      <c r="AA74" s="232"/>
      <c r="AB74" s="232"/>
      <c r="AC74" s="92"/>
      <c r="AD74" s="93"/>
      <c r="AE74" s="84">
        <f t="shared" si="43"/>
        <v>-117.39130434782783</v>
      </c>
      <c r="AF74" s="139">
        <f t="shared" si="53"/>
        <v>0.95108695652173836</v>
      </c>
      <c r="AG74" s="237"/>
    </row>
    <row r="75" spans="1:33" ht="15.75" customHeight="1">
      <c r="A75" s="235" t="s">
        <v>503</v>
      </c>
      <c r="B75" s="146" t="s">
        <v>142</v>
      </c>
      <c r="C75" s="225" t="s">
        <v>182</v>
      </c>
      <c r="D75" s="226"/>
      <c r="E75" s="77">
        <v>20.51</v>
      </c>
      <c r="F75" s="146">
        <v>4753</v>
      </c>
      <c r="G75" s="134">
        <f t="shared" si="45"/>
        <v>97484.030000000013</v>
      </c>
      <c r="H75" s="79" t="s">
        <v>115</v>
      </c>
      <c r="I75" s="143">
        <v>14</v>
      </c>
      <c r="J75" s="81">
        <v>2400</v>
      </c>
      <c r="K75" s="82">
        <f t="shared" si="46"/>
        <v>171.42857142857142</v>
      </c>
      <c r="L75" s="143">
        <v>14</v>
      </c>
      <c r="M75" s="83">
        <f t="shared" si="47"/>
        <v>2299.8387096774186</v>
      </c>
      <c r="N75" s="82">
        <f t="shared" si="48"/>
        <v>164.27419354838705</v>
      </c>
      <c r="O75" s="84">
        <f t="shared" si="49"/>
        <v>0</v>
      </c>
      <c r="P75" s="85">
        <f t="shared" si="50"/>
        <v>-7.15437788018437</v>
      </c>
      <c r="Q75" s="139">
        <f t="shared" si="51"/>
        <v>0.95826612903225783</v>
      </c>
      <c r="R75" s="237"/>
      <c r="S75" s="88">
        <v>0.54305555555555551</v>
      </c>
      <c r="T75" s="88">
        <v>0.62916666666666665</v>
      </c>
      <c r="U75" s="134">
        <f t="shared" si="54"/>
        <v>57.999999999999957</v>
      </c>
      <c r="V75" s="144">
        <f t="shared" si="52"/>
        <v>124.00000000000004</v>
      </c>
      <c r="W75" s="90"/>
      <c r="X75" s="90"/>
      <c r="Y75" s="94"/>
      <c r="Z75" s="94"/>
      <c r="AA75" s="227"/>
      <c r="AB75" s="228"/>
      <c r="AC75" s="92"/>
      <c r="AD75" s="93"/>
      <c r="AE75" s="84">
        <f t="shared" si="43"/>
        <v>-100.16129032258141</v>
      </c>
      <c r="AF75" s="139">
        <f t="shared" si="53"/>
        <v>0.95826612903225772</v>
      </c>
      <c r="AG75" s="237"/>
    </row>
    <row r="76" spans="1:33" ht="15.75" customHeight="1">
      <c r="A76" s="235" t="s">
        <v>503</v>
      </c>
      <c r="B76" s="146" t="s">
        <v>142</v>
      </c>
      <c r="C76" s="225" t="s">
        <v>178</v>
      </c>
      <c r="D76" s="226"/>
      <c r="E76" s="77">
        <v>20.36</v>
      </c>
      <c r="F76" s="146">
        <v>2276</v>
      </c>
      <c r="G76" s="134">
        <f t="shared" si="45"/>
        <v>46339.360000000001</v>
      </c>
      <c r="H76" s="79" t="s">
        <v>115</v>
      </c>
      <c r="I76" s="143">
        <v>17</v>
      </c>
      <c r="J76" s="81">
        <v>2400</v>
      </c>
      <c r="K76" s="82">
        <f t="shared" si="46"/>
        <v>141.1764705882353</v>
      </c>
      <c r="L76" s="143">
        <v>17</v>
      </c>
      <c r="M76" s="83">
        <f t="shared" si="47"/>
        <v>2314.5762711864427</v>
      </c>
      <c r="N76" s="82">
        <f t="shared" si="48"/>
        <v>136.15154536390838</v>
      </c>
      <c r="O76" s="84">
        <f t="shared" si="49"/>
        <v>0</v>
      </c>
      <c r="P76" s="85">
        <f t="shared" si="50"/>
        <v>-5.0249252243269211</v>
      </c>
      <c r="Q76" s="139">
        <f t="shared" si="51"/>
        <v>0.96440677966101762</v>
      </c>
      <c r="R76" s="237"/>
      <c r="S76" s="88">
        <v>0.63472222222222219</v>
      </c>
      <c r="T76" s="88">
        <v>0.67569444444444438</v>
      </c>
      <c r="U76" s="134">
        <f t="shared" si="54"/>
        <v>7.9999999999999716</v>
      </c>
      <c r="V76" s="144">
        <f t="shared" si="52"/>
        <v>58.99999999999995</v>
      </c>
      <c r="W76" s="90"/>
      <c r="X76" s="90"/>
      <c r="Y76" s="94"/>
      <c r="Z76" s="94"/>
      <c r="AA76" s="227"/>
      <c r="AB76" s="228"/>
      <c r="AC76" s="92"/>
      <c r="AD76" s="93"/>
      <c r="AE76" s="84">
        <f t="shared" si="43"/>
        <v>-85.423728813557318</v>
      </c>
      <c r="AF76" s="139">
        <f t="shared" si="53"/>
        <v>0.96440677966101773</v>
      </c>
      <c r="AG76" s="237"/>
    </row>
    <row r="77" spans="1:33" ht="15.75" customHeight="1">
      <c r="A77" s="235" t="s">
        <v>503</v>
      </c>
      <c r="B77" s="146" t="s">
        <v>142</v>
      </c>
      <c r="C77" s="225" t="s">
        <v>177</v>
      </c>
      <c r="D77" s="226"/>
      <c r="E77" s="77">
        <v>19.02</v>
      </c>
      <c r="F77" s="146">
        <v>6012</v>
      </c>
      <c r="G77" s="134">
        <f t="shared" si="45"/>
        <v>114348.23999999999</v>
      </c>
      <c r="H77" s="79" t="s">
        <v>115</v>
      </c>
      <c r="I77" s="143">
        <v>14</v>
      </c>
      <c r="J77" s="81">
        <v>2400</v>
      </c>
      <c r="K77" s="82">
        <f t="shared" si="46"/>
        <v>171.42857142857142</v>
      </c>
      <c r="L77" s="143">
        <v>14</v>
      </c>
      <c r="M77" s="83">
        <f t="shared" si="47"/>
        <v>2283.0379746835456</v>
      </c>
      <c r="N77" s="82">
        <f t="shared" si="48"/>
        <v>163.07414104882469</v>
      </c>
      <c r="O77" s="84">
        <f t="shared" si="49"/>
        <v>0</v>
      </c>
      <c r="P77" s="85">
        <f t="shared" si="50"/>
        <v>-8.3544303797467308</v>
      </c>
      <c r="Q77" s="139">
        <f t="shared" si="51"/>
        <v>0.95126582278481076</v>
      </c>
      <c r="R77" s="237"/>
      <c r="S77" s="88">
        <v>0.68055555555555547</v>
      </c>
      <c r="T77" s="88">
        <v>0.79027777777777763</v>
      </c>
      <c r="U77" s="134">
        <f t="shared" si="54"/>
        <v>6.9999999999999751</v>
      </c>
      <c r="V77" s="144">
        <f t="shared" si="52"/>
        <v>157.99999999999991</v>
      </c>
      <c r="W77" s="90"/>
      <c r="X77" s="90"/>
      <c r="Y77" s="94"/>
      <c r="Z77" s="94"/>
      <c r="AA77" s="227"/>
      <c r="AB77" s="228"/>
      <c r="AC77" s="92"/>
      <c r="AD77" s="93"/>
      <c r="AE77" s="84">
        <f t="shared" si="43"/>
        <v>-116.9620253164544</v>
      </c>
      <c r="AF77" s="139">
        <f t="shared" si="53"/>
        <v>0.95126582278481064</v>
      </c>
      <c r="AG77" s="237"/>
    </row>
    <row r="78" spans="1:33" ht="16.5" customHeight="1">
      <c r="A78" s="236" t="s">
        <v>503</v>
      </c>
      <c r="B78" s="77" t="s">
        <v>490</v>
      </c>
      <c r="C78" s="229"/>
      <c r="D78" s="230"/>
      <c r="E78" s="140"/>
      <c r="F78" s="97"/>
      <c r="G78" s="82"/>
      <c r="H78" s="146"/>
      <c r="I78" s="98">
        <v>15.111111111111111</v>
      </c>
      <c r="J78" s="81">
        <v>2400</v>
      </c>
      <c r="K78" s="82">
        <f t="shared" si="46"/>
        <v>158.8235294117647</v>
      </c>
      <c r="L78" s="98">
        <v>15.111111111111111</v>
      </c>
      <c r="M78" s="83">
        <f>AVERAGE(M69:M77)</f>
        <v>2292.4145532803927</v>
      </c>
      <c r="N78" s="82">
        <f t="shared" si="48"/>
        <v>151.70390426120247</v>
      </c>
      <c r="O78" s="84">
        <f t="shared" si="49"/>
        <v>0</v>
      </c>
      <c r="P78" s="85">
        <f t="shared" si="50"/>
        <v>-7.1196251505622286</v>
      </c>
      <c r="Q78" s="139">
        <f t="shared" si="51"/>
        <v>0.95517273053349705</v>
      </c>
      <c r="R78" s="237"/>
      <c r="S78" s="88"/>
      <c r="T78" s="88"/>
      <c r="U78" s="82"/>
      <c r="V78" s="144"/>
      <c r="W78" s="82"/>
      <c r="X78" s="82"/>
      <c r="Y78" s="99">
        <f>SUM(Y69:Y77)</f>
        <v>0</v>
      </c>
      <c r="Z78" s="99">
        <f>SUM(Z69:Z77)</f>
        <v>0</v>
      </c>
      <c r="AA78" s="231"/>
      <c r="AB78" s="231"/>
      <c r="AC78" s="99">
        <v>9</v>
      </c>
      <c r="AD78" s="99">
        <f>SUM(AD69:AD77)</f>
        <v>0</v>
      </c>
      <c r="AE78" s="84">
        <f t="shared" si="43"/>
        <v>-107.58544671960726</v>
      </c>
      <c r="AF78" s="139">
        <f t="shared" si="53"/>
        <v>0.95517273053349694</v>
      </c>
      <c r="AG78" s="237"/>
    </row>
    <row r="79" spans="1:33">
      <c r="D79" s="112"/>
      <c r="E79" s="112"/>
    </row>
  </sheetData>
  <mergeCells count="201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A13:AB13"/>
    <mergeCell ref="A14:A20"/>
    <mergeCell ref="C14:D14"/>
    <mergeCell ref="R14:R20"/>
    <mergeCell ref="AA14:AB14"/>
    <mergeCell ref="AG14:AG20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AG21:AG30"/>
    <mergeCell ref="C22:D22"/>
    <mergeCell ref="AA22:AB22"/>
    <mergeCell ref="C23:D23"/>
    <mergeCell ref="AA23:AB23"/>
    <mergeCell ref="C24:D24"/>
    <mergeCell ref="C17:D17"/>
    <mergeCell ref="AA17:AB17"/>
    <mergeCell ref="C18:D18"/>
    <mergeCell ref="AA18:AB18"/>
    <mergeCell ref="C20:D20"/>
    <mergeCell ref="AA20:AB20"/>
    <mergeCell ref="AA24:AB24"/>
    <mergeCell ref="C25:D25"/>
    <mergeCell ref="AA25:AB25"/>
    <mergeCell ref="C26:D26"/>
    <mergeCell ref="AA26:AB26"/>
    <mergeCell ref="C27:D27"/>
    <mergeCell ref="AA27:AB27"/>
    <mergeCell ref="A21:A30"/>
    <mergeCell ref="C21:D21"/>
    <mergeCell ref="R21:R30"/>
    <mergeCell ref="AA21:AB21"/>
    <mergeCell ref="C29:D29"/>
    <mergeCell ref="C30:D30"/>
    <mergeCell ref="AA30:AB30"/>
    <mergeCell ref="A31:A40"/>
    <mergeCell ref="C31:D31"/>
    <mergeCell ref="R31:R40"/>
    <mergeCell ref="AA31:AB31"/>
    <mergeCell ref="AA36:AB36"/>
    <mergeCell ref="C37:D37"/>
    <mergeCell ref="AA37:AB37"/>
    <mergeCell ref="AG31:AG40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C39:D39"/>
    <mergeCell ref="C40:D40"/>
    <mergeCell ref="AA40:AB40"/>
    <mergeCell ref="A41:A49"/>
    <mergeCell ref="C41:D41"/>
    <mergeCell ref="R41:R49"/>
    <mergeCell ref="AA41:AB41"/>
    <mergeCell ref="AA46:AB46"/>
    <mergeCell ref="C47:D47"/>
    <mergeCell ref="AA47:AB47"/>
    <mergeCell ref="C48:D48"/>
    <mergeCell ref="AA48:AB48"/>
    <mergeCell ref="C49:D49"/>
    <mergeCell ref="AA49:AB49"/>
    <mergeCell ref="A50:A53"/>
    <mergeCell ref="C50:D50"/>
    <mergeCell ref="R50:R53"/>
    <mergeCell ref="AA50:AB50"/>
    <mergeCell ref="AG41:AG49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6:D46"/>
    <mergeCell ref="AG54:AG62"/>
    <mergeCell ref="C55:D55"/>
    <mergeCell ref="AA55:AB55"/>
    <mergeCell ref="C56:D56"/>
    <mergeCell ref="AA56:AB56"/>
    <mergeCell ref="AA57:AB57"/>
    <mergeCell ref="AG50:AG53"/>
    <mergeCell ref="C51:D51"/>
    <mergeCell ref="AA51:AB51"/>
    <mergeCell ref="C52:D52"/>
    <mergeCell ref="AA52:AB52"/>
    <mergeCell ref="C53:D53"/>
    <mergeCell ref="AA53:AB53"/>
    <mergeCell ref="C62:D62"/>
    <mergeCell ref="AA62:AB62"/>
    <mergeCell ref="A63:A68"/>
    <mergeCell ref="C63:D63"/>
    <mergeCell ref="R63:R68"/>
    <mergeCell ref="AA63:AB63"/>
    <mergeCell ref="AA68:AB68"/>
    <mergeCell ref="AA58:AB58"/>
    <mergeCell ref="C59:D59"/>
    <mergeCell ref="AA59:AB59"/>
    <mergeCell ref="C60:D60"/>
    <mergeCell ref="AA60:AB60"/>
    <mergeCell ref="C61:D61"/>
    <mergeCell ref="AA61:AB61"/>
    <mergeCell ref="A54:A62"/>
    <mergeCell ref="C54:D54"/>
    <mergeCell ref="R54:R62"/>
    <mergeCell ref="AA54:AB54"/>
    <mergeCell ref="AG63:AG68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A69:A78"/>
    <mergeCell ref="C69:D69"/>
    <mergeCell ref="R69:R78"/>
    <mergeCell ref="AA69:AB69"/>
    <mergeCell ref="AG69:AG78"/>
    <mergeCell ref="C70:D70"/>
    <mergeCell ref="AA70:AB70"/>
    <mergeCell ref="C71:D71"/>
    <mergeCell ref="AA71:AB71"/>
    <mergeCell ref="C72:D72"/>
    <mergeCell ref="C76:D76"/>
    <mergeCell ref="AA76:AB76"/>
    <mergeCell ref="C77:D77"/>
    <mergeCell ref="AA77:AB77"/>
    <mergeCell ref="C78:D78"/>
    <mergeCell ref="AA78:AB78"/>
    <mergeCell ref="AA72:AB72"/>
    <mergeCell ref="C73:D73"/>
    <mergeCell ref="AA73:AB73"/>
    <mergeCell ref="C74:D74"/>
    <mergeCell ref="AA74:AB74"/>
    <mergeCell ref="C75:D75"/>
    <mergeCell ref="AA75:AB75"/>
  </mergeCells>
  <phoneticPr fontId="2" type="noConversion"/>
  <conditionalFormatting sqref="O66:O74 O62:O63 O78 O5:O10 O13:O15 O20:O38 O40:O59">
    <cfRule type="cellIs" dxfId="336" priority="70" operator="greaterThan">
      <formula>0</formula>
    </cfRule>
  </conditionalFormatting>
  <conditionalFormatting sqref="P5:P8 P66:P67 AE66:AE67 P69:P74 P31:P38 P63 P10 P13:P15 P21:P29 P54:P59 P41:P52 AE5:AE63 AE69:AE78">
    <cfRule type="cellIs" dxfId="335" priority="74" operator="lessThan">
      <formula>0</formula>
    </cfRule>
  </conditionalFormatting>
  <conditionalFormatting sqref="AF66:AF67 Q66:Q74 Q62:Q63 Q78 Q5:Q10 Q13:Q15 Q20:Q38 Q40:Q59 AF5:AF63 AF69:AF78">
    <cfRule type="cellIs" dxfId="334" priority="71" operator="greaterThan">
      <formula>1</formula>
    </cfRule>
    <cfRule type="cellIs" dxfId="333" priority="72" operator="lessThan">
      <formula>0.8</formula>
    </cfRule>
  </conditionalFormatting>
  <conditionalFormatting sqref="AG14:AG15 R14:R15 AG66 R66:R74 R20:R26 AG20:AG26 AG30:AG38 R30:R38 AG62:AG63 R62:R63 R78 AG5:AG10 R5:R10 AG40:AG59 R40:R59">
    <cfRule type="cellIs" dxfId="332" priority="76" operator="lessThan">
      <formula>0.8</formula>
    </cfRule>
  </conditionalFormatting>
  <conditionalFormatting sqref="AG50">
    <cfRule type="cellIs" dxfId="331" priority="78" operator="lessThan">
      <formula>0.8</formula>
    </cfRule>
  </conditionalFormatting>
  <conditionalFormatting sqref="AG21:AG26">
    <cfRule type="cellIs" dxfId="330" priority="75" operator="lessThan">
      <formula>0.8</formula>
    </cfRule>
  </conditionalFormatting>
  <conditionalFormatting sqref="AG31">
    <cfRule type="cellIs" dxfId="329" priority="77" operator="lessThan">
      <formula>0.8</formula>
    </cfRule>
  </conditionalFormatting>
  <conditionalFormatting sqref="AG41:AG48">
    <cfRule type="cellIs" dxfId="328" priority="73" operator="lessThan">
      <formula>0.8</formula>
    </cfRule>
  </conditionalFormatting>
  <conditionalFormatting sqref="AE68">
    <cfRule type="cellIs" dxfId="327" priority="69" operator="lessThan">
      <formula>0</formula>
    </cfRule>
  </conditionalFormatting>
  <conditionalFormatting sqref="AF68">
    <cfRule type="cellIs" dxfId="326" priority="67" operator="greaterThan">
      <formula>1</formula>
    </cfRule>
    <cfRule type="cellIs" dxfId="325" priority="68" operator="lessThan">
      <formula>0.8</formula>
    </cfRule>
  </conditionalFormatting>
  <conditionalFormatting sqref="O16:O17">
    <cfRule type="cellIs" dxfId="324" priority="62" operator="greaterThan">
      <formula>0</formula>
    </cfRule>
  </conditionalFormatting>
  <conditionalFormatting sqref="P16:P17">
    <cfRule type="cellIs" dxfId="323" priority="65" operator="lessThan">
      <formula>0</formula>
    </cfRule>
  </conditionalFormatting>
  <conditionalFormatting sqref="Q16:Q17">
    <cfRule type="cellIs" dxfId="322" priority="63" operator="greaterThan">
      <formula>1</formula>
    </cfRule>
    <cfRule type="cellIs" dxfId="321" priority="64" operator="lessThan">
      <formula>0.8</formula>
    </cfRule>
  </conditionalFormatting>
  <conditionalFormatting sqref="R16:R17 AG16:AG17">
    <cfRule type="cellIs" dxfId="320" priority="66" operator="lessThan">
      <formula>0.8</formula>
    </cfRule>
  </conditionalFormatting>
  <conditionalFormatting sqref="O11:O12">
    <cfRule type="cellIs" dxfId="319" priority="58" operator="greaterThan">
      <formula>0</formula>
    </cfRule>
  </conditionalFormatting>
  <conditionalFormatting sqref="P11:P12">
    <cfRule type="cellIs" dxfId="318" priority="61" operator="lessThan">
      <formula>0</formula>
    </cfRule>
  </conditionalFormatting>
  <conditionalFormatting sqref="Q11:Q12">
    <cfRule type="cellIs" dxfId="317" priority="59" operator="greaterThan">
      <formula>1</formula>
    </cfRule>
    <cfRule type="cellIs" dxfId="316" priority="60" operator="lessThan">
      <formula>0.8</formula>
    </cfRule>
  </conditionalFormatting>
  <conditionalFormatting sqref="O60">
    <cfRule type="cellIs" dxfId="315" priority="53" operator="greaterThan">
      <formula>0</formula>
    </cfRule>
  </conditionalFormatting>
  <conditionalFormatting sqref="P60">
    <cfRule type="cellIs" dxfId="314" priority="56" operator="lessThan">
      <formula>0</formula>
    </cfRule>
  </conditionalFormatting>
  <conditionalFormatting sqref="Q60">
    <cfRule type="cellIs" dxfId="313" priority="54" operator="greaterThan">
      <formula>1</formula>
    </cfRule>
    <cfRule type="cellIs" dxfId="312" priority="55" operator="lessThan">
      <formula>0.8</formula>
    </cfRule>
  </conditionalFormatting>
  <conditionalFormatting sqref="R60 AG60">
    <cfRule type="cellIs" dxfId="311" priority="57" operator="lessThan">
      <formula>0.8</formula>
    </cfRule>
  </conditionalFormatting>
  <conditionalFormatting sqref="AG28 R28">
    <cfRule type="cellIs" dxfId="310" priority="52" operator="lessThan">
      <formula>0.8</formula>
    </cfRule>
  </conditionalFormatting>
  <conditionalFormatting sqref="O65">
    <cfRule type="cellIs" dxfId="309" priority="47" operator="greaterThan">
      <formula>0</formula>
    </cfRule>
  </conditionalFormatting>
  <conditionalFormatting sqref="P65 AE65">
    <cfRule type="cellIs" dxfId="308" priority="50" operator="lessThan">
      <formula>0</formula>
    </cfRule>
  </conditionalFormatting>
  <conditionalFormatting sqref="Q65 AF65">
    <cfRule type="cellIs" dxfId="307" priority="48" operator="greaterThan">
      <formula>1</formula>
    </cfRule>
    <cfRule type="cellIs" dxfId="306" priority="49" operator="lessThan">
      <formula>0.8</formula>
    </cfRule>
  </conditionalFormatting>
  <conditionalFormatting sqref="R65 AG65">
    <cfRule type="cellIs" dxfId="305" priority="51" operator="lessThan">
      <formula>0.8</formula>
    </cfRule>
  </conditionalFormatting>
  <conditionalFormatting sqref="O39">
    <cfRule type="cellIs" dxfId="304" priority="42" operator="greaterThan">
      <formula>0</formula>
    </cfRule>
  </conditionalFormatting>
  <conditionalFormatting sqref="P39">
    <cfRule type="cellIs" dxfId="303" priority="45" operator="lessThan">
      <formula>0</formula>
    </cfRule>
  </conditionalFormatting>
  <conditionalFormatting sqref="Q39">
    <cfRule type="cellIs" dxfId="302" priority="43" operator="greaterThan">
      <formula>1</formula>
    </cfRule>
    <cfRule type="cellIs" dxfId="301" priority="44" operator="lessThan">
      <formula>0.8</formula>
    </cfRule>
  </conditionalFormatting>
  <conditionalFormatting sqref="R39 AG39">
    <cfRule type="cellIs" dxfId="300" priority="46" operator="lessThan">
      <formula>0.8</formula>
    </cfRule>
  </conditionalFormatting>
  <conditionalFormatting sqref="O75">
    <cfRule type="cellIs" dxfId="299" priority="37" operator="greaterThan">
      <formula>0</formula>
    </cfRule>
  </conditionalFormatting>
  <conditionalFormatting sqref="P75">
    <cfRule type="cellIs" dxfId="298" priority="40" operator="lessThan">
      <formula>0</formula>
    </cfRule>
  </conditionalFormatting>
  <conditionalFormatting sqref="Q75">
    <cfRule type="cellIs" dxfId="297" priority="38" operator="greaterThan">
      <formula>1</formula>
    </cfRule>
    <cfRule type="cellIs" dxfId="296" priority="39" operator="lessThan">
      <formula>0.8</formula>
    </cfRule>
  </conditionalFormatting>
  <conditionalFormatting sqref="R75">
    <cfRule type="cellIs" dxfId="295" priority="41" operator="lessThan">
      <formula>0.8</formula>
    </cfRule>
  </conditionalFormatting>
  <conditionalFormatting sqref="O18:O19">
    <cfRule type="cellIs" dxfId="294" priority="32" operator="greaterThan">
      <formula>0</formula>
    </cfRule>
  </conditionalFormatting>
  <conditionalFormatting sqref="P18:P19">
    <cfRule type="cellIs" dxfId="293" priority="35" operator="lessThan">
      <formula>0</formula>
    </cfRule>
  </conditionalFormatting>
  <conditionalFormatting sqref="Q18:Q19">
    <cfRule type="cellIs" dxfId="292" priority="33" operator="greaterThan">
      <formula>1</formula>
    </cfRule>
    <cfRule type="cellIs" dxfId="291" priority="34" operator="lessThan">
      <formula>0.8</formula>
    </cfRule>
  </conditionalFormatting>
  <conditionalFormatting sqref="R18:R19 AG18:AG19">
    <cfRule type="cellIs" dxfId="290" priority="36" operator="lessThan">
      <formula>0.8</formula>
    </cfRule>
  </conditionalFormatting>
  <conditionalFormatting sqref="O61">
    <cfRule type="cellIs" dxfId="289" priority="27" operator="greaterThan">
      <formula>0</formula>
    </cfRule>
  </conditionalFormatting>
  <conditionalFormatting sqref="P61">
    <cfRule type="cellIs" dxfId="288" priority="30" operator="lessThan">
      <formula>0</formula>
    </cfRule>
  </conditionalFormatting>
  <conditionalFormatting sqref="Q61">
    <cfRule type="cellIs" dxfId="287" priority="28" operator="greaterThan">
      <formula>1</formula>
    </cfRule>
    <cfRule type="cellIs" dxfId="286" priority="29" operator="lessThan">
      <formula>0.8</formula>
    </cfRule>
  </conditionalFormatting>
  <conditionalFormatting sqref="AG61 R61">
    <cfRule type="cellIs" dxfId="285" priority="31" operator="lessThan">
      <formula>0.8</formula>
    </cfRule>
  </conditionalFormatting>
  <conditionalFormatting sqref="AG29 R29">
    <cfRule type="cellIs" dxfId="284" priority="26" operator="lessThan">
      <formula>0.8</formula>
    </cfRule>
  </conditionalFormatting>
  <conditionalFormatting sqref="R27 AG27">
    <cfRule type="cellIs" dxfId="283" priority="25" operator="lessThan">
      <formula>0.8</formula>
    </cfRule>
  </conditionalFormatting>
  <conditionalFormatting sqref="AG27">
    <cfRule type="cellIs" dxfId="282" priority="24" operator="lessThan">
      <formula>0.8</formula>
    </cfRule>
  </conditionalFormatting>
  <conditionalFormatting sqref="O64">
    <cfRule type="cellIs" dxfId="281" priority="19" operator="greaterThan">
      <formula>0</formula>
    </cfRule>
  </conditionalFormatting>
  <conditionalFormatting sqref="P64 AE64">
    <cfRule type="cellIs" dxfId="280" priority="22" operator="lessThan">
      <formula>0</formula>
    </cfRule>
  </conditionalFormatting>
  <conditionalFormatting sqref="Q64 AF64">
    <cfRule type="cellIs" dxfId="279" priority="20" operator="greaterThan">
      <formula>1</formula>
    </cfRule>
    <cfRule type="cellIs" dxfId="278" priority="21" operator="lessThan">
      <formula>0.8</formula>
    </cfRule>
  </conditionalFormatting>
  <conditionalFormatting sqref="R64 AG64">
    <cfRule type="cellIs" dxfId="277" priority="23" operator="lessThan">
      <formula>0.8</formula>
    </cfRule>
  </conditionalFormatting>
  <conditionalFormatting sqref="P9">
    <cfRule type="cellIs" dxfId="276" priority="18" operator="lessThan">
      <formula>0</formula>
    </cfRule>
  </conditionalFormatting>
  <conditionalFormatting sqref="P20">
    <cfRule type="cellIs" dxfId="275" priority="17" operator="lessThan">
      <formula>0</formula>
    </cfRule>
  </conditionalFormatting>
  <conditionalFormatting sqref="P30">
    <cfRule type="cellIs" dxfId="274" priority="16" operator="lessThan">
      <formula>0</formula>
    </cfRule>
  </conditionalFormatting>
  <conditionalFormatting sqref="P40">
    <cfRule type="cellIs" dxfId="273" priority="15" operator="lessThan">
      <formula>0</formula>
    </cfRule>
  </conditionalFormatting>
  <conditionalFormatting sqref="P53">
    <cfRule type="cellIs" dxfId="272" priority="14" operator="lessThan">
      <formula>0</formula>
    </cfRule>
  </conditionalFormatting>
  <conditionalFormatting sqref="P62">
    <cfRule type="cellIs" dxfId="271" priority="13" operator="lessThan">
      <formula>0</formula>
    </cfRule>
  </conditionalFormatting>
  <conditionalFormatting sqref="P68">
    <cfRule type="cellIs" dxfId="270" priority="12" operator="lessThan">
      <formula>0</formula>
    </cfRule>
  </conditionalFormatting>
  <conditionalFormatting sqref="P78">
    <cfRule type="cellIs" dxfId="269" priority="11" operator="lessThan">
      <formula>0</formula>
    </cfRule>
  </conditionalFormatting>
  <conditionalFormatting sqref="O76">
    <cfRule type="cellIs" dxfId="268" priority="6" operator="greaterThan">
      <formula>0</formula>
    </cfRule>
  </conditionalFormatting>
  <conditionalFormatting sqref="P76">
    <cfRule type="cellIs" dxfId="267" priority="9" operator="lessThan">
      <formula>0</formula>
    </cfRule>
  </conditionalFormatting>
  <conditionalFormatting sqref="Q76">
    <cfRule type="cellIs" dxfId="266" priority="7" operator="greaterThan">
      <formula>1</formula>
    </cfRule>
    <cfRule type="cellIs" dxfId="265" priority="8" operator="lessThan">
      <formula>0.8</formula>
    </cfRule>
  </conditionalFormatting>
  <conditionalFormatting sqref="R76">
    <cfRule type="cellIs" dxfId="264" priority="10" operator="lessThan">
      <formula>0.8</formula>
    </cfRule>
  </conditionalFormatting>
  <conditionalFormatting sqref="O77">
    <cfRule type="cellIs" dxfId="263" priority="1" operator="greaterThan">
      <formula>0</formula>
    </cfRule>
  </conditionalFormatting>
  <conditionalFormatting sqref="P77">
    <cfRule type="cellIs" dxfId="262" priority="4" operator="lessThan">
      <formula>0</formula>
    </cfRule>
  </conditionalFormatting>
  <conditionalFormatting sqref="Q77">
    <cfRule type="cellIs" dxfId="261" priority="2" operator="greaterThan">
      <formula>1</formula>
    </cfRule>
    <cfRule type="cellIs" dxfId="260" priority="3" operator="lessThan">
      <formula>0.8</formula>
    </cfRule>
  </conditionalFormatting>
  <conditionalFormatting sqref="R77">
    <cfRule type="cellIs" dxfId="259" priority="5" operator="lessThan">
      <formula>0.8</formula>
    </cfRule>
  </conditionalFormatting>
  <dataValidations count="1">
    <dataValidation type="list" allowBlank="1" showInputMessage="1" showErrorMessage="1" sqref="AB9 AA5:AB8 AB67 AA9:AA67 AB11:AB63 AA68:AB78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2"/>
    <col min="2" max="2" width="17.875" style="2" customWidth="1"/>
    <col min="3" max="3" width="9.25" style="10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212" t="s">
        <v>294</v>
      </c>
      <c r="C1" s="212"/>
      <c r="D1" s="212"/>
      <c r="E1" s="212"/>
      <c r="F1" s="212"/>
      <c r="G1" s="212"/>
      <c r="H1" s="212"/>
      <c r="I1" s="212"/>
      <c r="J1" s="212"/>
      <c r="K1" s="1"/>
      <c r="L1" s="1"/>
      <c r="M1" s="1"/>
      <c r="N1" s="1"/>
      <c r="O1" s="1"/>
      <c r="P1" s="1"/>
    </row>
    <row r="2" spans="2:17" ht="27.75" customHeight="1">
      <c r="B2" s="213"/>
      <c r="C2" s="213"/>
      <c r="D2" s="213"/>
      <c r="E2" s="213"/>
      <c r="F2" s="213"/>
      <c r="G2" s="213"/>
      <c r="H2" s="213"/>
      <c r="I2" s="213"/>
      <c r="J2" s="213"/>
      <c r="K2" s="3"/>
      <c r="L2" s="3"/>
      <c r="M2" s="3"/>
      <c r="N2" s="1"/>
      <c r="O2" s="1"/>
      <c r="P2" s="1"/>
    </row>
    <row r="3" spans="2:17" ht="46.5" customHeight="1">
      <c r="B3" s="4" t="s">
        <v>295</v>
      </c>
      <c r="C3" s="214" t="str">
        <f>TEXT('1003 4度C'!A2,"yyyy.mm.ddaaaa")</f>
        <v>2026.10.03星期六</v>
      </c>
      <c r="D3" s="215"/>
      <c r="E3" s="4" t="s">
        <v>296</v>
      </c>
      <c r="F3" s="216">
        <f>'1003 4度C'!D1</f>
        <v>143879</v>
      </c>
      <c r="G3" s="217"/>
      <c r="H3" s="4" t="s">
        <v>297</v>
      </c>
      <c r="I3" s="218">
        <f>'1003 4度C'!F1</f>
        <v>4856868.3900000015</v>
      </c>
      <c r="J3" s="219"/>
      <c r="K3" s="5"/>
      <c r="L3" s="6"/>
      <c r="M3" s="7"/>
      <c r="N3" s="7"/>
    </row>
    <row r="4" spans="2:17" ht="28.5" customHeight="1">
      <c r="B4" s="220" t="s">
        <v>298</v>
      </c>
      <c r="C4" s="206" t="s">
        <v>299</v>
      </c>
      <c r="D4" s="207"/>
      <c r="E4" s="223" t="s">
        <v>300</v>
      </c>
      <c r="F4" s="224"/>
      <c r="G4" s="223" t="s">
        <v>301</v>
      </c>
      <c r="H4" s="224"/>
      <c r="I4" s="223" t="s">
        <v>302</v>
      </c>
      <c r="J4" s="224"/>
      <c r="K4" s="204" t="s">
        <v>303</v>
      </c>
      <c r="L4" s="205"/>
      <c r="M4" s="205" t="s">
        <v>304</v>
      </c>
      <c r="N4" s="205"/>
    </row>
    <row r="5" spans="2:17" ht="28.5" customHeight="1">
      <c r="B5" s="221"/>
      <c r="C5" s="206" t="s">
        <v>305</v>
      </c>
      <c r="D5" s="207"/>
      <c r="E5" s="206" t="s">
        <v>306</v>
      </c>
      <c r="F5" s="207"/>
      <c r="G5" s="208" t="s">
        <v>307</v>
      </c>
      <c r="H5" s="209"/>
      <c r="I5" s="210" t="s">
        <v>308</v>
      </c>
      <c r="J5" s="211"/>
      <c r="K5" s="8" t="s">
        <v>15</v>
      </c>
      <c r="L5" s="9" t="s">
        <v>309</v>
      </c>
      <c r="M5" s="8" t="s">
        <v>310</v>
      </c>
      <c r="N5" s="9" t="s">
        <v>311</v>
      </c>
    </row>
    <row r="6" spans="2:17" ht="28.5" customHeight="1">
      <c r="B6" s="221"/>
      <c r="C6" s="206" t="s">
        <v>18</v>
      </c>
      <c r="D6" s="207"/>
      <c r="E6" s="198">
        <f>AVERAGE(D13:M13)</f>
        <v>151.08626038481788</v>
      </c>
      <c r="F6" s="199">
        <f>AVERAGE(D31:O31,D13:J13)</f>
        <v>155.69986378871221</v>
      </c>
      <c r="G6" s="200">
        <f>AVERAGE(D13:J13)</f>
        <v>155.69986378871221</v>
      </c>
      <c r="H6" s="201"/>
      <c r="I6" s="200">
        <f>AVERAGE(K13:M13)</f>
        <v>140.32118577573124</v>
      </c>
      <c r="J6" s="201"/>
      <c r="K6" s="202">
        <f>'1003 4度C'!Y2</f>
        <v>0</v>
      </c>
      <c r="L6" s="187">
        <f>'1003 4度C'!Z2</f>
        <v>0</v>
      </c>
      <c r="M6" s="203">
        <f>'1003 4度C'!AC2</f>
        <v>54</v>
      </c>
      <c r="N6" s="187">
        <f>'1003 4度C'!AD2</f>
        <v>0</v>
      </c>
    </row>
    <row r="7" spans="2:17" ht="28.5" customHeight="1">
      <c r="B7" s="221"/>
      <c r="C7" s="188" t="s">
        <v>19</v>
      </c>
      <c r="D7" s="189"/>
      <c r="E7" s="190">
        <f>AVERAGE(D14:M14)</f>
        <v>145.00115312283626</v>
      </c>
      <c r="F7" s="191">
        <f>AVERAGE(D32:O32,D14:J14)</f>
        <v>149.51932925617865</v>
      </c>
      <c r="G7" s="192">
        <f>AVERAGE(D14:J14)</f>
        <v>149.51932925617865</v>
      </c>
      <c r="H7" s="193"/>
      <c r="I7" s="192">
        <f>AVERAGE(K14:M14)</f>
        <v>134.45874214503735</v>
      </c>
      <c r="J7" s="193"/>
      <c r="K7" s="202"/>
      <c r="L7" s="187"/>
      <c r="M7" s="203"/>
      <c r="N7" s="187"/>
    </row>
    <row r="8" spans="2:17" ht="28.5" customHeight="1">
      <c r="B8" s="222"/>
      <c r="C8" s="188" t="s">
        <v>20</v>
      </c>
      <c r="D8" s="189"/>
      <c r="E8" s="194">
        <f>AVERAGE(D15:M15)</f>
        <v>0.95961217878444693</v>
      </c>
      <c r="F8" s="195">
        <f>AVERAGE(D15:J15,D33:O33)</f>
        <v>0.96024165297186903</v>
      </c>
      <c r="G8" s="196">
        <f>AVERAGE(D15:J15)</f>
        <v>0.96024165297186903</v>
      </c>
      <c r="H8" s="197"/>
      <c r="I8" s="196">
        <f>AVERAGE(K15:M15)</f>
        <v>0.95814340568046175</v>
      </c>
      <c r="J8" s="197"/>
      <c r="K8" s="202"/>
      <c r="L8" s="187"/>
      <c r="M8" s="203"/>
      <c r="N8" s="187"/>
    </row>
    <row r="9" spans="2:17" ht="28.5" customHeight="1" thickBot="1">
      <c r="H9" s="11"/>
      <c r="K9" s="12" t="s">
        <v>312</v>
      </c>
      <c r="N9" s="7"/>
      <c r="O9" s="7"/>
      <c r="P9" s="7"/>
      <c r="Q9" s="7"/>
    </row>
    <row r="10" spans="2:17" ht="30" customHeight="1">
      <c r="B10" s="170" t="s">
        <v>313</v>
      </c>
      <c r="C10" s="171"/>
      <c r="D10" s="172" t="s">
        <v>314</v>
      </c>
      <c r="E10" s="173"/>
      <c r="F10" s="173"/>
      <c r="G10" s="173"/>
      <c r="H10" s="173"/>
      <c r="I10" s="173"/>
      <c r="J10" s="174"/>
      <c r="K10" s="175" t="s">
        <v>315</v>
      </c>
      <c r="L10" s="176"/>
      <c r="M10" s="177"/>
      <c r="P10" s="13"/>
      <c r="Q10" s="13"/>
    </row>
    <row r="11" spans="2:17" ht="17.25" customHeight="1">
      <c r="B11" s="178" t="s">
        <v>316</v>
      </c>
      <c r="C11" s="179"/>
      <c r="D11" s="14">
        <v>1</v>
      </c>
      <c r="E11" s="15">
        <v>2</v>
      </c>
      <c r="F11" s="15">
        <v>3</v>
      </c>
      <c r="G11" s="15">
        <v>4</v>
      </c>
      <c r="H11" s="15">
        <v>5</v>
      </c>
      <c r="I11" s="15">
        <v>6</v>
      </c>
      <c r="J11" s="16">
        <v>7</v>
      </c>
      <c r="K11" s="14">
        <v>1</v>
      </c>
      <c r="L11" s="15">
        <v>2</v>
      </c>
      <c r="M11" s="16">
        <v>3</v>
      </c>
      <c r="P11" s="13"/>
      <c r="Q11" s="13"/>
    </row>
    <row r="12" spans="2:17" ht="34.15" customHeight="1">
      <c r="B12" s="180"/>
      <c r="C12" s="181"/>
      <c r="D12" s="17" t="s">
        <v>26</v>
      </c>
      <c r="E12" s="18" t="s">
        <v>27</v>
      </c>
      <c r="F12" s="18" t="s">
        <v>28</v>
      </c>
      <c r="G12" s="18" t="s">
        <v>29</v>
      </c>
      <c r="H12" s="18" t="s">
        <v>30</v>
      </c>
      <c r="I12" s="18" t="s">
        <v>31</v>
      </c>
      <c r="J12" s="19" t="s">
        <v>32</v>
      </c>
      <c r="K12" s="17" t="s">
        <v>33</v>
      </c>
      <c r="L12" s="18" t="s">
        <v>34</v>
      </c>
      <c r="M12" s="19" t="s">
        <v>35</v>
      </c>
    </row>
    <row r="13" spans="2:17" ht="40.15" customHeight="1">
      <c r="B13" s="182" t="s">
        <v>317</v>
      </c>
      <c r="C13" s="20" t="s">
        <v>318</v>
      </c>
      <c r="D13" s="21">
        <f>SUMIFS('1003 4度C'!$K:$K,'1003 4度C'!$A:$A,"新豐6線",'1003 4度C'!$B:$B,"平均")</f>
        <v>130.43478260869566</v>
      </c>
      <c r="E13" s="22">
        <f>SUMIFS('1003 4度C'!$K:$K,'1003 4度C'!$A:$A,"新豐2線",'1003 4度C'!$B:$B,"平均")</f>
        <v>83.333333333333329</v>
      </c>
      <c r="F13" s="23">
        <f>SUMIFS('1003 4度C'!$K:$K,'1003 4度C'!$A:$A,"新豐5線",'1003 4度C'!$B:$B,"平均")</f>
        <v>104.99999999999999</v>
      </c>
      <c r="G13" s="23">
        <f>SUMIFS('1003 4度C'!$K:$K,'1003 4度C'!$A:$A,"新豐7線",'1003 4度C'!$B:$B,"平均")</f>
        <v>125</v>
      </c>
      <c r="H13" s="23">
        <f>SUMIFS('1003 4度C'!$K:$K,'1003 4度C'!$A:$A,"新豐3線",'1003 4度C'!$B:$B,"平均")</f>
        <v>242.42424242424241</v>
      </c>
      <c r="I13" s="23">
        <f>SUMIFS('1003 4度C'!$K:$K,'1003 4度C'!$A:$A,"新豐1線",'1003 4度C'!$B:$B,"平均")</f>
        <v>109.58904109589041</v>
      </c>
      <c r="J13" s="24">
        <f>SUMIFS('1003 4度C'!$K:$K,'1003 4度C'!$A:$A,"新豐10線",'1003 4度C'!$B:$B,"平均")</f>
        <v>294.11764705882354</v>
      </c>
      <c r="K13" s="25">
        <f>SUMIFS('1003 4度C'!$K:$K,'1003 4度C'!$A:$A,"新豐8線",'1003 4度C'!$B:$B,"平均")</f>
        <v>138.84297520661158</v>
      </c>
      <c r="L13" s="26">
        <f>SUMIFS('1003 4度C'!$K:$K,'1003 4度C'!$A:$A,"新豐9線",'1003 4度C'!$B:$B,"平均")</f>
        <v>130.76923076923077</v>
      </c>
      <c r="M13" s="24">
        <f>SUMIFS('1003 4度C'!$K:$K,'1003 4度C'!$A:$A,"新豐4線",'1003 4度C'!$B:$B,"平均")</f>
        <v>151.35135135135135</v>
      </c>
    </row>
    <row r="14" spans="2:17" ht="39.6" customHeight="1">
      <c r="B14" s="183"/>
      <c r="C14" s="27" t="s">
        <v>319</v>
      </c>
      <c r="D14" s="28">
        <f>SUMIFS('1003 4度C'!$N:$N,'1003 4度C'!$A:$A,"新豐6線",'1003 4度C'!$B:$B,"平均")</f>
        <v>124.9153130083087</v>
      </c>
      <c r="E14" s="29">
        <f>SUMIFS('1003 4度C'!$N:$N,'1003 4度C'!$A:$A,"新豐2線",'1003 4度C'!$B:$B,"平均")</f>
        <v>79.419137573728676</v>
      </c>
      <c r="F14" s="29">
        <f>SUMIFS('1003 4度C'!$N:$N,'1003 4度C'!$A:$A,"新豐5線",'1003 4度C'!$B:$B,"平均")</f>
        <v>101.3842497119561</v>
      </c>
      <c r="G14" s="29">
        <f>SUMIFS('1003 4度C'!$N:$N,'1003 4度C'!$A:$A,"新豐7線",'1003 4度C'!$B:$B,"平均")</f>
        <v>120.14583599303464</v>
      </c>
      <c r="H14" s="29">
        <f>SUMIFS('1003 4度C'!$N:$N,'1003 4度C'!$A:$A,"新豐3線",'1003 4度C'!$B:$B,"平均")</f>
        <v>231.5950065976804</v>
      </c>
      <c r="I14" s="29">
        <f>SUMIFS('1003 4度C'!$N:$N,'1003 4度C'!$A:$A,"新豐1線",'1003 4度C'!$B:$B,"平均")</f>
        <v>105.80260085616477</v>
      </c>
      <c r="J14" s="30">
        <f>SUMIFS('1003 4度C'!$N:$N,'1003 4度C'!$A:$A,"新豐10線",'1003 4度C'!$B:$B,"平均")</f>
        <v>283.37316105237721</v>
      </c>
      <c r="K14" s="31">
        <f>SUMIFS('1003 4度C'!$N:$N,'1003 4度C'!$A:$A,"新豐8線",'1003 4度C'!$B:$B,"平均")</f>
        <v>133.37622144082295</v>
      </c>
      <c r="L14" s="32">
        <f>SUMIFS('1003 4度C'!$N:$N,'1003 4度C'!$A:$A,"新豐9線",'1003 4度C'!$B:$B,"平均")</f>
        <v>124.89014497987661</v>
      </c>
      <c r="M14" s="30">
        <f>SUMIFS('1003 4度C'!$N:$N,'1003 4度C'!$A:$A,"新豐4線",'1003 4度C'!$B:$B,"平均")</f>
        <v>145.1098600144125</v>
      </c>
    </row>
    <row r="15" spans="2:17" ht="40.15" customHeight="1">
      <c r="B15" s="184"/>
      <c r="C15" s="33" t="s">
        <v>320</v>
      </c>
      <c r="D15" s="34">
        <f t="shared" ref="D15:M15" si="0">D14/D13</f>
        <v>0.9576840663970333</v>
      </c>
      <c r="E15" s="35">
        <f t="shared" si="0"/>
        <v>0.95302965088474412</v>
      </c>
      <c r="F15" s="35">
        <f t="shared" si="0"/>
        <v>0.9655642829710106</v>
      </c>
      <c r="G15" s="35">
        <f t="shared" si="0"/>
        <v>0.96116668794427707</v>
      </c>
      <c r="H15" s="35">
        <f t="shared" si="0"/>
        <v>0.95532940221543172</v>
      </c>
      <c r="I15" s="35">
        <f t="shared" si="0"/>
        <v>0.96544873281250354</v>
      </c>
      <c r="J15" s="36">
        <f t="shared" si="0"/>
        <v>0.96346874757808254</v>
      </c>
      <c r="K15" s="34">
        <f t="shared" si="0"/>
        <v>0.96062635680592712</v>
      </c>
      <c r="L15" s="35">
        <f t="shared" si="0"/>
        <v>0.95504228514023282</v>
      </c>
      <c r="M15" s="36">
        <f t="shared" si="0"/>
        <v>0.95876157509522542</v>
      </c>
    </row>
    <row r="16" spans="2:17" ht="17.25" customHeight="1">
      <c r="B16" s="185" t="s">
        <v>321</v>
      </c>
      <c r="C16" s="37" t="s">
        <v>41</v>
      </c>
      <c r="D16" s="38">
        <f>VLOOKUP("新豐6線",'1003 4度C'!$A:$T,19,0)</f>
        <v>0.70833333333333337</v>
      </c>
      <c r="E16" s="39">
        <f>VLOOKUP("新豐2線",'1003 4度C'!$A:$T,19,0)</f>
        <v>8.3333333333333329E-2</v>
      </c>
      <c r="F16" s="39">
        <f>VLOOKUP("新豐5線",'1003 4度C'!$A:$T,19,0)</f>
        <v>0.25</v>
      </c>
      <c r="G16" s="39">
        <f>VLOOKUP("新豐7線",'1003 4度C'!$A:$T,19,0)</f>
        <v>0.25</v>
      </c>
      <c r="H16" s="39">
        <f>VLOOKUP("新豐3線",'1003 4度C'!$A:$T,19,0)</f>
        <v>0.20833333333333334</v>
      </c>
      <c r="I16" s="39">
        <f>VLOOKUP("新豐1線",'1003 4度C'!$A:$T,19,0)</f>
        <v>0.20833333333333334</v>
      </c>
      <c r="J16" s="40">
        <f>VLOOKUP("新豐10線",'1003 4度C'!$A:$T,19,0)</f>
        <v>0.20833333333333334</v>
      </c>
      <c r="K16" s="41">
        <f>VLOOKUP("新豐8線",'1003 4度C'!$A:$T,19,0)</f>
        <v>8.3333333333333329E-2</v>
      </c>
      <c r="L16" s="42">
        <f>VLOOKUP("新豐9線",'1003 4度C'!$A:$T,19,0)</f>
        <v>8.3333333333333329E-2</v>
      </c>
      <c r="M16" s="43">
        <f>VLOOKUP("新豐4線",'1003 4度C'!$A:$T,19,0)</f>
        <v>8.3333333333333329E-2</v>
      </c>
    </row>
    <row r="17" spans="2:13" ht="17.25" customHeight="1">
      <c r="B17" s="186"/>
      <c r="C17" s="37" t="s">
        <v>322</v>
      </c>
      <c r="D17" s="41">
        <f>LOOKUP(2,1/(('1003 4度C'!$A:$A="新豐6線")*('1003 4度C'!$T:$T&lt;&gt;"")),'1003 4度C'!$T:$T)</f>
        <v>0.8486111111111112</v>
      </c>
      <c r="E17" s="39">
        <f>LOOKUP(2,1/(('1003 4度C'!$A:$A="新豐2線")*('1003 4度C'!$T:$T&lt;&gt;"")),'1003 4度C'!$T:$T)</f>
        <v>0.39374999999999999</v>
      </c>
      <c r="F17" s="39">
        <f>LOOKUP(2,1/(('1003 4度C'!$A:$A="新豐5線")*('1003 4度C'!$T:$T&lt;&gt;"")),'1003 4度C'!$T:$T)</f>
        <v>0.81666666666666676</v>
      </c>
      <c r="G17" s="39">
        <f>LOOKUP(2,1/(('1003 4度C'!$A:$A="新豐7線")*('1003 4度C'!$T:$T&lt;&gt;"")),'1003 4度C'!$T:$T)</f>
        <v>0.82152777777777775</v>
      </c>
      <c r="H17" s="39">
        <f>LOOKUP(2,1/(('1003 4度C'!$A:$A="新豐3線")*('1003 4度C'!$T:$T&lt;&gt;"")),'1003 4度C'!$T:$T)</f>
        <v>0.42430555555555549</v>
      </c>
      <c r="I17" s="39">
        <f>LOOKUP(2,1/(('1003 4度C'!$A:$A="新豐1線")*('1003 4度C'!$T:$T&lt;&gt;"")),'1003 4度C'!$T:$T)</f>
        <v>0.83333333333333337</v>
      </c>
      <c r="J17" s="40">
        <f>LOOKUP(2,1/(('1003 4度C'!$A:$A="新豐10線")*('1003 4度C'!$T:$T&lt;&gt;"")),'1003 4度C'!$T:$T)</f>
        <v>0.40138888888888885</v>
      </c>
      <c r="K17" s="38">
        <f>LOOKUP(2,1/(('1003 4度C'!$A:$A="新豐8線")*('1003 4度C'!$T:$T&lt;&gt;"")),'1003 4度C'!$T:$T)</f>
        <v>0.61458333333333326</v>
      </c>
      <c r="L17" s="39">
        <f>LOOKUP(2,1/(('1003 4度C'!$A:$A="新豐9線")*('1003 4度C'!$T:$T&lt;&gt;"")),'1003 4度C'!$T:$T)</f>
        <v>0.61041666666666661</v>
      </c>
      <c r="M17" s="40">
        <f>LOOKUP(2,1/(('1003 4度C'!$A:$A="新豐4線")*('1003 4度C'!$T:$T&lt;&gt;"")),'1003 4度C'!$T:$T)</f>
        <v>0.5972222222222221</v>
      </c>
    </row>
    <row r="18" spans="2:13" ht="17.25" customHeight="1">
      <c r="B18" s="164" t="s">
        <v>323</v>
      </c>
      <c r="C18" s="44" t="s">
        <v>44</v>
      </c>
      <c r="D18" s="45">
        <f>SUMIFS('1003 4度C'!$Y:$Y,'1003 4度C'!$A:$A,"新豐6線",'1003 4度C'!$B:$B,"平均")</f>
        <v>0</v>
      </c>
      <c r="E18" s="46">
        <f>SUMIFS('1003 4度C'!$Y:$Y,'1003 4度C'!$A:$A,"新豐2線",'1003 4度C'!$B:$B,"平均")</f>
        <v>0</v>
      </c>
      <c r="F18" s="46">
        <f>SUMIFS('1003 4度C'!$Y:$Y,'1003 4度C'!$A:$A,"新豐5線",'1003 4度C'!$B:$B,"平均")</f>
        <v>0</v>
      </c>
      <c r="G18" s="46">
        <f>SUMIFS('1003 4度C'!$Y:$Y,'1003 4度C'!$A:$A,"新豐7線",'1003 4度C'!$B:$B,"平均")</f>
        <v>0</v>
      </c>
      <c r="H18" s="46">
        <f>SUMIFS('1003 4度C'!$Y:$Y,'1003 4度C'!$A:$A,"新豐3線",'1003 4度C'!$B:$B,"平均")</f>
        <v>0</v>
      </c>
      <c r="I18" s="46">
        <f>SUMIFS('1003 4度C'!$Y:$Y,'1003 4度C'!$A:$A,"新豐1線",'1003 4度C'!$B:$B,"平均")</f>
        <v>0</v>
      </c>
      <c r="J18" s="47">
        <f>SUMIFS('1003 4度C'!$Y:$Y,'1003 4度C'!$A:$A,"新豐10線",'1003 4度C'!$B:$B,"平均")</f>
        <v>0</v>
      </c>
      <c r="K18" s="48">
        <f>SUMIFS('1003 4度C'!$Y:$Y,'1003 4度C'!$A:$A,"新豐8線",'1003 4度C'!$B:$B,"平均")</f>
        <v>0</v>
      </c>
      <c r="L18" s="46">
        <f>SUMIFS('1003 4度C'!$Y:$Y,'1003 4度C'!$A:$A,"新豐9線",'1003 4度C'!$B:$B,"平均")</f>
        <v>0</v>
      </c>
      <c r="M18" s="47">
        <f>SUMIFS('1003 4度C'!$Y:$Y,'1003 4度C'!$A:$A,"新豐4線",'1003 4度C'!$B:$B,"平均")</f>
        <v>0</v>
      </c>
    </row>
    <row r="19" spans="2:13" ht="17.25" customHeight="1">
      <c r="B19" s="165"/>
      <c r="C19" s="44" t="s">
        <v>324</v>
      </c>
      <c r="D19" s="45">
        <f>SUMIFS('1003 4度C'!$Z:$Z,'1003 4度C'!$A:$A,"新豐6線",'1003 4度C'!$B:$B,"平均")</f>
        <v>0</v>
      </c>
      <c r="E19" s="46">
        <f>SUMIFS('1003 4度C'!$Z:$Z,'1003 4度C'!$A:$A,"新豐2線",'1003 4度C'!$B:$B,"平均")</f>
        <v>0</v>
      </c>
      <c r="F19" s="46">
        <f>SUMIFS('1003 4度C'!$Z:$Z,'1003 4度C'!$A:$A,"新豐5線",'1003 4度C'!$B:$B,"平均")</f>
        <v>0</v>
      </c>
      <c r="G19" s="46">
        <f>SUMIFS('1003 4度C'!$Z:$Z,'1003 4度C'!$A:$A,"新豐7線",'1003 4度C'!$B:$B,"平均")</f>
        <v>0</v>
      </c>
      <c r="H19" s="46">
        <f>SUMIFS('1003 4度C'!$Z:$Z,'1003 4度C'!$A:$A,"新豐3線",'1003 4度C'!$B:$B,"平均")</f>
        <v>0</v>
      </c>
      <c r="I19" s="46">
        <f>SUMIFS('1003 4度C'!$Z:$Z,'1003 4度C'!$A:$A,"新豐1線",'1003 4度C'!$B:$B,"平均")</f>
        <v>0</v>
      </c>
      <c r="J19" s="47">
        <f>SUMIFS('1003 4度C'!$Z:$Z,'1003 4度C'!$A:$A,"新豐10線",'1003 4度C'!$B:$B,"平均")</f>
        <v>0</v>
      </c>
      <c r="K19" s="48">
        <f>SUMIFS('1003 4度C'!$Z:$Z,'1003 4度C'!$A:$A,"新豐8線",'1003 4度C'!$B:$B,"平均")</f>
        <v>0</v>
      </c>
      <c r="L19" s="46">
        <f>SUMIFS('1003 4度C'!$Z:$Z,'1003 4度C'!$A:$A,"新豐9線",'1003 4度C'!$B:$B,"平均")</f>
        <v>0</v>
      </c>
      <c r="M19" s="47">
        <f>SUMIFS('1003 4度C'!$Z:$Z,'1003 4度C'!$A:$A,"新豐4線",'1003 4度C'!$B:$B,"平均")</f>
        <v>0</v>
      </c>
    </row>
    <row r="20" spans="2:13" ht="17.25" customHeight="1">
      <c r="B20" s="164" t="s">
        <v>325</v>
      </c>
      <c r="C20" s="44" t="s">
        <v>326</v>
      </c>
      <c r="D20" s="45">
        <f>SUMIFS('1003 4度C'!$AC:$AC,'1003 4度C'!$A:$A,"新豐6線",'1003 4度C'!$B:$B,"平均")</f>
        <v>3</v>
      </c>
      <c r="E20" s="46">
        <f>SUMIFS('1003 4度C'!$AC:$AC,'1003 4度C'!$A:$A,"新豐2線",'1003 4度C'!$B:$B,"平均")</f>
        <v>2</v>
      </c>
      <c r="F20" s="46">
        <f>SUMIFS('1003 4度C'!$AC:$AC,'1003 4度C'!$A:$A,"新豐5線",'1003 4度C'!$B:$B,"平均")</f>
        <v>6</v>
      </c>
      <c r="G20" s="46">
        <f>SUMIFS('1003 4度C'!$AC:$AC,'1003 4度C'!$A:$A,"新豐7線",'1003 4度C'!$B:$B,"平均")</f>
        <v>7</v>
      </c>
      <c r="H20" s="46">
        <f>SUMIFS('1003 4度C'!$AC:$AC,'1003 4度C'!$A:$A,"新豐3線",'1003 4度C'!$B:$B,"平均")</f>
        <v>3</v>
      </c>
      <c r="I20" s="46">
        <f>SUMIFS('1003 4度C'!$AC:$AC,'1003 4度C'!$A:$A,"新豐1線",'1003 4度C'!$B:$B,"平均")</f>
        <v>8</v>
      </c>
      <c r="J20" s="47">
        <f>SUMIFS('1003 4度C'!$AC:$AC,'1003 4度C'!$A:$A,"新豐10線",'1003 4度C'!$B:$B,"平均")</f>
        <v>5</v>
      </c>
      <c r="K20" s="48">
        <f>SUMIFS('1003 4度C'!$AC:$AC,'1003 4度C'!$A:$A,"新豐8線",'1003 4度C'!$B:$B,"平均")</f>
        <v>7</v>
      </c>
      <c r="L20" s="46">
        <f>SUMIFS('1003 4度C'!$AC:$AC,'1003 4度C'!$A:$A,"新豐9線",'1003 4度C'!$B:$B,"平均")</f>
        <v>6</v>
      </c>
      <c r="M20" s="47">
        <f>SUMIFS('1003 4度C'!$AC:$AC,'1003 4度C'!$A:$A,"新豐4線",'1003 4度C'!$B:$B,"平均")</f>
        <v>7</v>
      </c>
    </row>
    <row r="21" spans="2:13" ht="17.25" customHeight="1">
      <c r="B21" s="165"/>
      <c r="C21" s="44" t="s">
        <v>327</v>
      </c>
      <c r="D21" s="45">
        <f>SUMIFS('1003 4度C'!$AD:$AD,'1003 4度C'!$A:$A,"新豐6線",'1003 4度C'!$B:$B,"平均")</f>
        <v>0</v>
      </c>
      <c r="E21" s="46">
        <f>SUMIFS('1003 4度C'!$AD:$AD,'1003 4度C'!$A:$A,"新豐2線",'1003 4度C'!$B:$B,"平均")</f>
        <v>0</v>
      </c>
      <c r="F21" s="46">
        <f>SUMIFS('1003 4度C'!$AD:$AD,'1003 4度C'!$A:$A,"新豐5線",'1003 4度C'!$B:$B,"平均")</f>
        <v>0</v>
      </c>
      <c r="G21" s="46">
        <f>SUMIFS('1003 4度C'!$AD:$AD,'1003 4度C'!$A:$A,"新豐7線",'1003 4度C'!$B:$B,"平均")</f>
        <v>0</v>
      </c>
      <c r="H21" s="46">
        <f>SUMIFS('1003 4度C'!$AD:$AD,'1003 4度C'!$A:$A,"新豐3線",'1003 4度C'!$B:$B,"平均")</f>
        <v>0</v>
      </c>
      <c r="I21" s="46">
        <f>SUMIFS('1003 4度C'!$AD:$AD,'1003 4度C'!$A:$A,"新豐1線",'1003 4度C'!$B:$B,"平均")</f>
        <v>0</v>
      </c>
      <c r="J21" s="47">
        <f>SUMIFS('1003 4度C'!$AD:$AD,'1003 4度C'!$A:$A,"新豐10線",'1003 4度C'!$B:$B,"平均")</f>
        <v>0</v>
      </c>
      <c r="K21" s="48">
        <f>SUMIFS('1003 4度C'!$AD:$AD,'1003 4度C'!$A:$A,"新豐8線",'1003 4度C'!$B:$B,"平均")</f>
        <v>0</v>
      </c>
      <c r="L21" s="46">
        <f>SUMIFS('1003 4度C'!$AD:$AD,'1003 4度C'!$A:$A,"新豐9線",'1003 4度C'!$B:$B,"平均")</f>
        <v>0</v>
      </c>
      <c r="M21" s="47">
        <f>SUMIFS('1003 4度C'!$AD:$AD,'1003 4度C'!$A:$A,"新豐4線",'1003 4度C'!$B:$B,"平均")</f>
        <v>0</v>
      </c>
    </row>
    <row r="22" spans="2:13" ht="17.25" customHeight="1">
      <c r="B22" s="166" t="s">
        <v>49</v>
      </c>
      <c r="C22" s="167"/>
      <c r="D22" s="49">
        <f>SUMIFS('1003 4度C'!$I:$I,'1003 4度C'!$A:$A,"新豐6線",'1003 4度C'!$B:$B,"平均")</f>
        <v>15.333333333333334</v>
      </c>
      <c r="E22" s="50">
        <f>SUMIFS('1003 4度C'!$I:$I,'1003 4度C'!$A:$A,"新豐2線",'1003 4度C'!$B:$B,"平均")</f>
        <v>18</v>
      </c>
      <c r="F22" s="50">
        <f>SUMIFS('1003 4度C'!$I:$I,'1003 4度C'!$A:$A,"新豐5線",'1003 4度C'!$B:$B,"平均")</f>
        <v>16.666666666666668</v>
      </c>
      <c r="G22" s="50">
        <f>SUMIFS('1003 4度C'!$I:$I,'1003 4度C'!$A:$A,"新豐7線",'1003 4度C'!$B:$B,"平均")</f>
        <v>16</v>
      </c>
      <c r="H22" s="50">
        <f>SUMIFS('1003 4度C'!$I:$I,'1003 4度C'!$A:$A,"新豐3線",'1003 4度C'!$B:$B,"平均")</f>
        <v>11</v>
      </c>
      <c r="I22" s="50">
        <f>SUMIFS('1003 4度C'!$I:$I,'1003 4度C'!$A:$A,"新豐1線",'1003 4度C'!$B:$B,"平均")</f>
        <v>18.25</v>
      </c>
      <c r="J22" s="51">
        <f>SUMIFS('1003 4度C'!$I:$I,'1003 4度C'!$A:$A,"新豐10線",'1003 4度C'!$B:$B,"平均")</f>
        <v>10.199999999999999</v>
      </c>
      <c r="K22" s="49">
        <f>SUMIFS('1003 4度C'!$I:$I,'1003 4度C'!$A:$A,"新豐8線",'1003 4度C'!$B:$B,"平均")</f>
        <v>17.285714285714285</v>
      </c>
      <c r="L22" s="50">
        <f>SUMIFS('1003 4度C'!$I:$I,'1003 4度C'!$A:$A,"新豐9線",'1003 4度C'!$B:$B,"平均")</f>
        <v>17.333333333333332</v>
      </c>
      <c r="M22" s="51">
        <f>SUMIFS('1003 4度C'!$I:$I,'1003 4度C'!$A:$A,"新豐4線",'1003 4度C'!$B:$B,"平均")</f>
        <v>15.857142857142858</v>
      </c>
    </row>
    <row r="23" spans="2:13" ht="17.25" customHeight="1">
      <c r="B23" s="166" t="s">
        <v>328</v>
      </c>
      <c r="C23" s="167"/>
      <c r="D23" s="52" t="s">
        <v>51</v>
      </c>
      <c r="E23" s="53" t="s">
        <v>52</v>
      </c>
      <c r="F23" s="53" t="s">
        <v>329</v>
      </c>
      <c r="G23" s="53" t="s">
        <v>329</v>
      </c>
      <c r="H23" s="53" t="s">
        <v>55</v>
      </c>
      <c r="I23" s="53" t="s">
        <v>51</v>
      </c>
      <c r="J23" s="54" t="s">
        <v>55</v>
      </c>
      <c r="K23" s="52" t="s">
        <v>330</v>
      </c>
      <c r="L23" s="53" t="s">
        <v>330</v>
      </c>
      <c r="M23" s="54" t="s">
        <v>330</v>
      </c>
    </row>
    <row r="24" spans="2:13" ht="17.25" customHeight="1">
      <c r="B24" s="166" t="s">
        <v>331</v>
      </c>
      <c r="C24" s="167"/>
      <c r="D24" s="52"/>
      <c r="E24" s="53"/>
      <c r="F24" s="53" t="s">
        <v>332</v>
      </c>
      <c r="G24" s="53" t="s">
        <v>51</v>
      </c>
      <c r="H24" s="53"/>
      <c r="I24" s="53"/>
      <c r="J24" s="54"/>
      <c r="K24" s="52"/>
      <c r="L24" s="53"/>
      <c r="M24" s="54"/>
    </row>
    <row r="25" spans="2:13" ht="17.25" customHeight="1" thickBot="1">
      <c r="B25" s="168" t="s">
        <v>333</v>
      </c>
      <c r="C25" s="169"/>
      <c r="D25" s="55"/>
      <c r="E25" s="56" t="s">
        <v>334</v>
      </c>
      <c r="F25" s="162" t="s">
        <v>335</v>
      </c>
      <c r="G25" s="163"/>
      <c r="H25" s="56" t="s">
        <v>336</v>
      </c>
      <c r="I25" s="56" t="s">
        <v>337</v>
      </c>
      <c r="J25" s="57" t="s">
        <v>336</v>
      </c>
      <c r="K25" s="58"/>
      <c r="L25" s="56"/>
      <c r="M25" s="5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2" type="noConversion"/>
  <conditionalFormatting sqref="D15:M15">
    <cfRule type="cellIs" dxfId="25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9"/>
  <sheetViews>
    <sheetView zoomScale="80" zoomScaleNormal="80" workbookViewId="0">
      <pane ySplit="4" topLeftCell="A35" activePane="bottomLeft" state="frozen"/>
      <selection activeCell="A9" sqref="A9"/>
      <selection pane="bottomLeft" activeCell="U40" sqref="U40"/>
    </sheetView>
  </sheetViews>
  <sheetFormatPr defaultColWidth="8" defaultRowHeight="15.75"/>
  <cols>
    <col min="1" max="1" width="15.125" style="67" customWidth="1"/>
    <col min="2" max="2" width="19.375" style="67" customWidth="1"/>
    <col min="3" max="3" width="15.25" style="67" customWidth="1"/>
    <col min="4" max="4" width="17.5" style="67" customWidth="1"/>
    <col min="5" max="5" width="7.5" style="67" customWidth="1"/>
    <col min="6" max="7" width="14.375" style="67" customWidth="1"/>
    <col min="8" max="8" width="8" style="67" customWidth="1"/>
    <col min="9" max="9" width="5.875" style="67" customWidth="1"/>
    <col min="10" max="10" width="10.625" style="67" customWidth="1"/>
    <col min="11" max="11" width="14.625" style="67" customWidth="1"/>
    <col min="12" max="12" width="7.25" style="67" customWidth="1"/>
    <col min="13" max="13" width="8" style="67" customWidth="1"/>
    <col min="14" max="14" width="12" style="67" customWidth="1"/>
    <col min="15" max="15" width="6" style="67" customWidth="1"/>
    <col min="16" max="16" width="9.25" style="67" customWidth="1"/>
    <col min="17" max="17" width="11.5" style="67" customWidth="1"/>
    <col min="18" max="18" width="8.5" style="67" customWidth="1"/>
    <col min="19" max="19" width="10.125" style="67" customWidth="1"/>
    <col min="20" max="20" width="7.625" style="67" customWidth="1"/>
    <col min="21" max="21" width="10.25" style="67" customWidth="1"/>
    <col min="22" max="22" width="8.75" style="113" customWidth="1"/>
    <col min="23" max="23" width="7.375" style="67" customWidth="1"/>
    <col min="24" max="24" width="6.875" style="67" customWidth="1"/>
    <col min="25" max="26" width="8.75" style="67" customWidth="1"/>
    <col min="27" max="27" width="12.75" style="67" customWidth="1"/>
    <col min="28" max="28" width="18.875" style="67" customWidth="1"/>
    <col min="29" max="30" width="15.125" style="67" customWidth="1"/>
    <col min="31" max="31" width="13.125" style="67" bestFit="1" customWidth="1"/>
    <col min="32" max="32" width="10.375" style="67" customWidth="1"/>
    <col min="33" max="33" width="9.375" style="67" customWidth="1"/>
    <col min="34" max="34" width="8" style="67"/>
    <col min="35" max="35" width="24.625" style="67" bestFit="1" customWidth="1"/>
    <col min="36" max="16384" width="8" style="67"/>
  </cols>
  <sheetData>
    <row r="1" spans="1:33" ht="36.75" customHeight="1">
      <c r="A1" s="59" t="s">
        <v>338</v>
      </c>
      <c r="B1" s="59"/>
      <c r="C1" s="60" t="s">
        <v>339</v>
      </c>
      <c r="D1" s="61">
        <f>SUM(F5:F68)</f>
        <v>143879</v>
      </c>
      <c r="E1" s="116" t="s">
        <v>340</v>
      </c>
      <c r="F1" s="59">
        <f>SUM(G5:G68)</f>
        <v>4856868.3900000015</v>
      </c>
      <c r="G1" s="59" t="s">
        <v>341</v>
      </c>
      <c r="H1" s="63">
        <f>L8+L11+L45+L54+L18+L60+L34+L41+L26+L68</f>
        <v>155.9261904761905</v>
      </c>
      <c r="I1" s="277" t="s">
        <v>342</v>
      </c>
      <c r="J1" s="277"/>
      <c r="K1" s="277"/>
      <c r="L1" s="277" t="s">
        <v>343</v>
      </c>
      <c r="M1" s="277"/>
      <c r="N1" s="277"/>
      <c r="O1" s="277" t="s">
        <v>344</v>
      </c>
      <c r="P1" s="277"/>
      <c r="Q1" s="277"/>
      <c r="R1" s="277"/>
      <c r="S1" s="277" t="s">
        <v>345</v>
      </c>
      <c r="T1" s="277"/>
      <c r="U1" s="277"/>
      <c r="V1" s="277"/>
      <c r="W1" s="277"/>
      <c r="X1" s="277"/>
      <c r="Y1" s="64" t="s">
        <v>346</v>
      </c>
      <c r="Z1" s="65" t="s">
        <v>347</v>
      </c>
      <c r="AA1" s="278" t="s">
        <v>348</v>
      </c>
      <c r="AB1" s="278"/>
      <c r="AC1" s="66" t="s">
        <v>346</v>
      </c>
      <c r="AD1" s="65" t="s">
        <v>349</v>
      </c>
      <c r="AE1" s="277" t="s">
        <v>350</v>
      </c>
      <c r="AF1" s="279"/>
      <c r="AG1" s="279"/>
    </row>
    <row r="2" spans="1:33" ht="26.25" customHeight="1">
      <c r="A2" s="68">
        <v>46298</v>
      </c>
      <c r="B2" s="69" t="s">
        <v>351</v>
      </c>
      <c r="C2" s="60" t="s">
        <v>317</v>
      </c>
      <c r="D2" s="70">
        <f>AVERAGE(N8,N11,N45,N54,N18,N60,N26,N34,N41,N68)</f>
        <v>145.00115312283626</v>
      </c>
      <c r="E2" s="71" t="s">
        <v>80</v>
      </c>
      <c r="F2" s="72">
        <f>F1/D1</f>
        <v>33.756617643992534</v>
      </c>
      <c r="G2" s="59" t="s">
        <v>352</v>
      </c>
      <c r="H2" s="127">
        <f>COUNT(H5:H68)</f>
        <v>3</v>
      </c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74">
        <f>SUM(Y8+Y11+Y18+Y26+Y34+Y41+Y45+Y54+Y60+Y68)</f>
        <v>0</v>
      </c>
      <c r="Z2" s="74">
        <f>SUM(Z8+Z11+Z18+Z26+Z34+Z41+Z45+Z54+Z60+Z68)</f>
        <v>0</v>
      </c>
      <c r="AA2" s="278"/>
      <c r="AB2" s="278"/>
      <c r="AC2" s="74">
        <f>SUM(AC8+AC11+AC18+AC26+AC34+AC41+AC45+AC54+AC60+AC68)</f>
        <v>54</v>
      </c>
      <c r="AD2" s="74">
        <f>SUM(AD8+AD11+AD18+AD26+AD34+AD41+AD45+AD54+AD60+AD68)</f>
        <v>0</v>
      </c>
      <c r="AE2" s="279"/>
      <c r="AF2" s="279"/>
      <c r="AG2" s="279"/>
    </row>
    <row r="3" spans="1:33" ht="40.5" customHeight="1">
      <c r="A3" s="232" t="s">
        <v>353</v>
      </c>
      <c r="B3" s="232" t="s">
        <v>354</v>
      </c>
      <c r="C3" s="232" t="s">
        <v>355</v>
      </c>
      <c r="D3" s="232"/>
      <c r="E3" s="275" t="s">
        <v>356</v>
      </c>
      <c r="F3" s="232" t="s">
        <v>357</v>
      </c>
      <c r="G3" s="275" t="s">
        <v>358</v>
      </c>
      <c r="H3" s="269" t="s">
        <v>359</v>
      </c>
      <c r="I3" s="267" t="s">
        <v>360</v>
      </c>
      <c r="J3" s="264" t="s">
        <v>361</v>
      </c>
      <c r="K3" s="274" t="s">
        <v>317</v>
      </c>
      <c r="L3" s="267" t="s">
        <v>360</v>
      </c>
      <c r="M3" s="264" t="s">
        <v>361</v>
      </c>
      <c r="N3" s="274" t="s">
        <v>317</v>
      </c>
      <c r="O3" s="267" t="s">
        <v>362</v>
      </c>
      <c r="P3" s="274" t="s">
        <v>317</v>
      </c>
      <c r="Q3" s="265" t="s">
        <v>363</v>
      </c>
      <c r="R3" s="241" t="s">
        <v>364</v>
      </c>
      <c r="S3" s="232" t="s">
        <v>94</v>
      </c>
      <c r="T3" s="232"/>
      <c r="U3" s="269" t="s">
        <v>95</v>
      </c>
      <c r="V3" s="269" t="s">
        <v>365</v>
      </c>
      <c r="W3" s="232" t="s">
        <v>366</v>
      </c>
      <c r="X3" s="232"/>
      <c r="Y3" s="270" t="s">
        <v>367</v>
      </c>
      <c r="Z3" s="231"/>
      <c r="AA3" s="271" t="s">
        <v>368</v>
      </c>
      <c r="AB3" s="272"/>
      <c r="AC3" s="270" t="s">
        <v>369</v>
      </c>
      <c r="AD3" s="231"/>
      <c r="AE3" s="264" t="s">
        <v>361</v>
      </c>
      <c r="AF3" s="265" t="s">
        <v>370</v>
      </c>
      <c r="AG3" s="241" t="s">
        <v>364</v>
      </c>
    </row>
    <row r="4" spans="1:33" ht="15.75" customHeight="1">
      <c r="A4" s="232"/>
      <c r="B4" s="232"/>
      <c r="C4" s="232"/>
      <c r="D4" s="232"/>
      <c r="E4" s="276"/>
      <c r="F4" s="232"/>
      <c r="G4" s="276"/>
      <c r="H4" s="269"/>
      <c r="I4" s="267"/>
      <c r="J4" s="264"/>
      <c r="K4" s="274"/>
      <c r="L4" s="267"/>
      <c r="M4" s="264"/>
      <c r="N4" s="274"/>
      <c r="O4" s="267"/>
      <c r="P4" s="274"/>
      <c r="Q4" s="265"/>
      <c r="R4" s="241"/>
      <c r="S4" s="116" t="s">
        <v>104</v>
      </c>
      <c r="T4" s="116" t="s">
        <v>105</v>
      </c>
      <c r="U4" s="269"/>
      <c r="V4" s="269"/>
      <c r="W4" s="116" t="s">
        <v>371</v>
      </c>
      <c r="X4" s="116" t="s">
        <v>372</v>
      </c>
      <c r="Y4" s="115" t="s">
        <v>373</v>
      </c>
      <c r="Z4" s="115" t="s">
        <v>374</v>
      </c>
      <c r="AA4" s="273"/>
      <c r="AB4" s="272"/>
      <c r="AC4" s="115" t="s">
        <v>375</v>
      </c>
      <c r="AD4" s="115" t="s">
        <v>376</v>
      </c>
      <c r="AE4" s="264"/>
      <c r="AF4" s="265"/>
      <c r="AG4" s="241"/>
    </row>
    <row r="5" spans="1:33">
      <c r="A5" s="266" t="s">
        <v>377</v>
      </c>
      <c r="B5" s="77" t="s">
        <v>113</v>
      </c>
      <c r="C5" s="268" t="s">
        <v>114</v>
      </c>
      <c r="D5" s="268"/>
      <c r="E5" s="77">
        <v>50.92</v>
      </c>
      <c r="F5" s="130">
        <v>2192</v>
      </c>
      <c r="G5" s="116">
        <f t="shared" ref="G5:G7" si="0">E5*F5</f>
        <v>111616.64</v>
      </c>
      <c r="H5" s="79" t="s">
        <v>115</v>
      </c>
      <c r="I5" s="125">
        <v>15</v>
      </c>
      <c r="J5" s="81">
        <v>2000</v>
      </c>
      <c r="K5" s="82">
        <f t="shared" ref="K5:K68" si="1">J5/I5</f>
        <v>133.33333333333334</v>
      </c>
      <c r="L5" s="125">
        <v>15</v>
      </c>
      <c r="M5" s="83">
        <f t="shared" ref="M5:M7" si="2">F5/V5*60</f>
        <v>1906.0869565217372</v>
      </c>
      <c r="N5" s="82">
        <f t="shared" ref="N5:N68" si="3">M5/L5</f>
        <v>127.07246376811581</v>
      </c>
      <c r="O5" s="84">
        <f t="shared" ref="O5:O68" si="4">L5-I5</f>
        <v>0</v>
      </c>
      <c r="P5" s="85">
        <f t="shared" ref="P5:P68" si="5">N5-K5</f>
        <v>-6.2608695652175328</v>
      </c>
      <c r="Q5" s="121">
        <f t="shared" ref="Q5:Q68" si="6">N5/K5</f>
        <v>0.95304347826086855</v>
      </c>
      <c r="R5" s="237">
        <f>Q8</f>
        <v>0.9576840663970333</v>
      </c>
      <c r="S5" s="88">
        <v>0.70833333333333337</v>
      </c>
      <c r="T5" s="88">
        <v>0.75625000000000009</v>
      </c>
      <c r="U5" s="116"/>
      <c r="V5" s="126">
        <f t="shared" ref="V5:V7" si="7">(T5-S5)*24*60</f>
        <v>69.000000000000071</v>
      </c>
      <c r="W5" s="90"/>
      <c r="X5" s="90"/>
      <c r="Y5" s="91"/>
      <c r="Z5" s="91"/>
      <c r="AA5" s="232"/>
      <c r="AB5" s="232"/>
      <c r="AC5" s="93">
        <v>3</v>
      </c>
      <c r="AD5" s="93"/>
      <c r="AE5" s="84">
        <f t="shared" ref="AE5:AE53" si="8">M5-J5</f>
        <v>-93.913043478262807</v>
      </c>
      <c r="AF5" s="121">
        <f t="shared" ref="AF5:AF68" si="9">M5/J5</f>
        <v>0.95304347826086855</v>
      </c>
      <c r="AG5" s="237">
        <f>AF8</f>
        <v>0.95768406639703341</v>
      </c>
    </row>
    <row r="6" spans="1:33">
      <c r="A6" s="267" t="s">
        <v>378</v>
      </c>
      <c r="B6" s="77" t="s">
        <v>113</v>
      </c>
      <c r="C6" s="268" t="s">
        <v>117</v>
      </c>
      <c r="D6" s="268"/>
      <c r="E6" s="77">
        <v>50.98</v>
      </c>
      <c r="F6" s="130">
        <v>2547</v>
      </c>
      <c r="G6" s="116">
        <f t="shared" si="0"/>
        <v>129846.06</v>
      </c>
      <c r="H6" s="79" t="s">
        <v>115</v>
      </c>
      <c r="I6" s="125">
        <v>16</v>
      </c>
      <c r="J6" s="81">
        <v>2000</v>
      </c>
      <c r="K6" s="82">
        <f t="shared" si="1"/>
        <v>125</v>
      </c>
      <c r="L6" s="125">
        <v>16</v>
      </c>
      <c r="M6" s="83">
        <f t="shared" si="2"/>
        <v>1910.2499999999993</v>
      </c>
      <c r="N6" s="82">
        <f t="shared" si="3"/>
        <v>119.39062499999996</v>
      </c>
      <c r="O6" s="84">
        <f t="shared" si="4"/>
        <v>0</v>
      </c>
      <c r="P6" s="85">
        <f t="shared" si="5"/>
        <v>-5.6093750000000426</v>
      </c>
      <c r="Q6" s="121">
        <f t="shared" si="6"/>
        <v>0.95512499999999967</v>
      </c>
      <c r="R6" s="237"/>
      <c r="S6" s="88">
        <v>0.7597222222222223</v>
      </c>
      <c r="T6" s="88">
        <v>0.81527777777777788</v>
      </c>
      <c r="U6" s="116">
        <f t="shared" ref="U6:U7" si="10">IF(S6=TIME(17,0,0),"",(S6-T5)*24*60)</f>
        <v>4.9999999999999822</v>
      </c>
      <c r="V6" s="126">
        <f t="shared" si="7"/>
        <v>80.000000000000028</v>
      </c>
      <c r="W6" s="90"/>
      <c r="X6" s="90"/>
      <c r="Y6" s="90"/>
      <c r="Z6" s="90"/>
      <c r="AA6" s="232"/>
      <c r="AB6" s="232"/>
      <c r="AC6" s="93"/>
      <c r="AD6" s="93"/>
      <c r="AE6" s="84">
        <f t="shared" si="8"/>
        <v>-89.750000000000682</v>
      </c>
      <c r="AF6" s="121">
        <f t="shared" si="9"/>
        <v>0.95512499999999967</v>
      </c>
      <c r="AG6" s="237"/>
    </row>
    <row r="7" spans="1:33">
      <c r="A7" s="267" t="s">
        <v>379</v>
      </c>
      <c r="B7" s="77" t="s">
        <v>113</v>
      </c>
      <c r="C7" s="262" t="s">
        <v>118</v>
      </c>
      <c r="D7" s="263"/>
      <c r="E7" s="77">
        <v>50.67</v>
      </c>
      <c r="F7" s="130">
        <v>1383</v>
      </c>
      <c r="G7" s="116">
        <f t="shared" si="0"/>
        <v>70076.61</v>
      </c>
      <c r="H7" s="79" t="s">
        <v>115</v>
      </c>
      <c r="I7" s="125">
        <v>15</v>
      </c>
      <c r="J7" s="81">
        <v>2000</v>
      </c>
      <c r="K7" s="82">
        <f t="shared" si="1"/>
        <v>133.33333333333334</v>
      </c>
      <c r="L7" s="125">
        <v>15</v>
      </c>
      <c r="M7" s="83">
        <f t="shared" si="2"/>
        <v>1929.7674418604647</v>
      </c>
      <c r="N7" s="82">
        <f t="shared" si="3"/>
        <v>128.65116279069764</v>
      </c>
      <c r="O7" s="84">
        <f t="shared" si="4"/>
        <v>0</v>
      </c>
      <c r="P7" s="85">
        <f t="shared" si="5"/>
        <v>-4.6821705426357028</v>
      </c>
      <c r="Q7" s="121">
        <f t="shared" si="6"/>
        <v>0.96488372093023222</v>
      </c>
      <c r="R7" s="237"/>
      <c r="S7" s="88">
        <v>0.81875000000000009</v>
      </c>
      <c r="T7" s="88">
        <v>0.8486111111111112</v>
      </c>
      <c r="U7" s="116">
        <f t="shared" si="10"/>
        <v>4.9999999999999822</v>
      </c>
      <c r="V7" s="126">
        <f t="shared" si="7"/>
        <v>43.000000000000007</v>
      </c>
      <c r="W7" s="90"/>
      <c r="X7" s="90"/>
      <c r="Y7" s="94"/>
      <c r="Z7" s="94"/>
      <c r="AA7" s="227"/>
      <c r="AB7" s="228"/>
      <c r="AC7" s="95"/>
      <c r="AD7" s="95"/>
      <c r="AE7" s="84">
        <f t="shared" si="8"/>
        <v>-70.232558139535286</v>
      </c>
      <c r="AF7" s="121">
        <f t="shared" si="9"/>
        <v>0.96488372093023234</v>
      </c>
      <c r="AG7" s="237"/>
    </row>
    <row r="8" spans="1:33">
      <c r="A8" s="267" t="s">
        <v>378</v>
      </c>
      <c r="B8" s="77" t="s">
        <v>380</v>
      </c>
      <c r="C8" s="238"/>
      <c r="D8" s="238"/>
      <c r="E8" s="122"/>
      <c r="F8" s="97"/>
      <c r="G8" s="82"/>
      <c r="H8" s="130"/>
      <c r="I8" s="98">
        <v>15.333333333333334</v>
      </c>
      <c r="J8" s="81">
        <v>2000</v>
      </c>
      <c r="K8" s="82">
        <f t="shared" si="1"/>
        <v>130.43478260869566</v>
      </c>
      <c r="L8" s="98">
        <v>15.333333333333334</v>
      </c>
      <c r="M8" s="83">
        <f>AVERAGE(M5:M7)</f>
        <v>1915.3681327940669</v>
      </c>
      <c r="N8" s="82">
        <f t="shared" si="3"/>
        <v>124.9153130083087</v>
      </c>
      <c r="O8" s="84">
        <f t="shared" si="4"/>
        <v>0</v>
      </c>
      <c r="P8" s="85">
        <f t="shared" si="5"/>
        <v>-5.5194696003869552</v>
      </c>
      <c r="Q8" s="121">
        <f t="shared" si="6"/>
        <v>0.9576840663970333</v>
      </c>
      <c r="R8" s="237"/>
      <c r="S8" s="88"/>
      <c r="T8" s="88"/>
      <c r="U8" s="116"/>
      <c r="V8" s="126"/>
      <c r="W8" s="82"/>
      <c r="X8" s="82"/>
      <c r="Y8" s="99">
        <f>SUM(Y5:Y7)</f>
        <v>0</v>
      </c>
      <c r="Z8" s="99">
        <f>SUM(Z5:Z7)</f>
        <v>0</v>
      </c>
      <c r="AA8" s="231"/>
      <c r="AB8" s="231"/>
      <c r="AC8" s="99">
        <v>3</v>
      </c>
      <c r="AD8" s="99">
        <f>SUM(AD5:AD7)</f>
        <v>0</v>
      </c>
      <c r="AE8" s="84">
        <f t="shared" si="8"/>
        <v>-84.631867205933077</v>
      </c>
      <c r="AF8" s="121">
        <f t="shared" si="9"/>
        <v>0.95768406639703341</v>
      </c>
      <c r="AG8" s="237"/>
    </row>
    <row r="9" spans="1:33" ht="15.75" customHeight="1">
      <c r="A9" s="261" t="s">
        <v>381</v>
      </c>
      <c r="B9" s="77" t="s">
        <v>121</v>
      </c>
      <c r="C9" s="262" t="s">
        <v>122</v>
      </c>
      <c r="D9" s="263"/>
      <c r="E9" s="77">
        <v>39.619999999999997</v>
      </c>
      <c r="F9" s="130">
        <v>3911</v>
      </c>
      <c r="G9" s="116">
        <f t="shared" ref="G9:G10" si="11">E9*F9</f>
        <v>154953.81999999998</v>
      </c>
      <c r="H9" s="79" t="s">
        <v>115</v>
      </c>
      <c r="I9" s="125">
        <v>19</v>
      </c>
      <c r="J9" s="81">
        <v>1500</v>
      </c>
      <c r="K9" s="82">
        <f t="shared" si="1"/>
        <v>78.94736842105263</v>
      </c>
      <c r="L9" s="125">
        <v>19</v>
      </c>
      <c r="M9" s="83">
        <f t="shared" ref="M9:M10" si="12">F9/V9*60</f>
        <v>1430.8536585365853</v>
      </c>
      <c r="N9" s="82">
        <f t="shared" si="3"/>
        <v>75.308087291399218</v>
      </c>
      <c r="O9" s="84">
        <f t="shared" si="4"/>
        <v>0</v>
      </c>
      <c r="P9" s="85">
        <f t="shared" si="5"/>
        <v>-3.639281129653412</v>
      </c>
      <c r="Q9" s="121">
        <f t="shared" si="6"/>
        <v>0.95390243902439009</v>
      </c>
      <c r="R9" s="237">
        <f>Q11</f>
        <v>0.95302965088474412</v>
      </c>
      <c r="S9" s="88">
        <v>8.3333333333333329E-2</v>
      </c>
      <c r="T9" s="88">
        <v>0.19722222222222222</v>
      </c>
      <c r="U9" s="116"/>
      <c r="V9" s="126">
        <f t="shared" ref="V9:V10" si="13">(T9-S9)*24*60</f>
        <v>164</v>
      </c>
      <c r="W9" s="90">
        <f>T9</f>
        <v>0.19722222222222222</v>
      </c>
      <c r="X9" s="90">
        <f>S10</f>
        <v>0.21666666666666665</v>
      </c>
      <c r="Y9" s="90"/>
      <c r="Z9" s="90"/>
      <c r="AA9" s="232"/>
      <c r="AB9" s="232"/>
      <c r="AC9" s="93">
        <v>2</v>
      </c>
      <c r="AD9" s="93"/>
      <c r="AE9" s="84">
        <f t="shared" si="8"/>
        <v>-69.146341463414728</v>
      </c>
      <c r="AF9" s="121">
        <f t="shared" si="9"/>
        <v>0.9539024390243902</v>
      </c>
      <c r="AG9" s="237">
        <f>AF11</f>
        <v>0.95302965088474412</v>
      </c>
    </row>
    <row r="10" spans="1:33" ht="15.75" customHeight="1">
      <c r="A10" s="261" t="s">
        <v>382</v>
      </c>
      <c r="B10" s="77" t="s">
        <v>121</v>
      </c>
      <c r="C10" s="262" t="s">
        <v>123</v>
      </c>
      <c r="D10" s="263"/>
      <c r="E10" s="77">
        <v>39.799999999999997</v>
      </c>
      <c r="F10" s="130">
        <v>6070</v>
      </c>
      <c r="G10" s="116">
        <f t="shared" si="11"/>
        <v>241585.99999999997</v>
      </c>
      <c r="H10" s="79" t="s">
        <v>115</v>
      </c>
      <c r="I10" s="125">
        <v>17</v>
      </c>
      <c r="J10" s="81">
        <v>1500</v>
      </c>
      <c r="K10" s="82">
        <f t="shared" si="1"/>
        <v>88.235294117647058</v>
      </c>
      <c r="L10" s="125">
        <v>17</v>
      </c>
      <c r="M10" s="83">
        <f t="shared" si="12"/>
        <v>1428.2352941176471</v>
      </c>
      <c r="N10" s="82">
        <f t="shared" si="3"/>
        <v>84.013840830449823</v>
      </c>
      <c r="O10" s="84">
        <f t="shared" si="4"/>
        <v>0</v>
      </c>
      <c r="P10" s="85">
        <f t="shared" si="5"/>
        <v>-4.2214532871972352</v>
      </c>
      <c r="Q10" s="121">
        <f t="shared" si="6"/>
        <v>0.95215686274509803</v>
      </c>
      <c r="R10" s="237"/>
      <c r="S10" s="88">
        <v>0.21666666666666665</v>
      </c>
      <c r="T10" s="88">
        <v>0.39374999999999999</v>
      </c>
      <c r="U10" s="116">
        <f t="shared" ref="U10" si="14">IF(S10=TIME(17,0,0),"",(S10-T9)*24*60)</f>
        <v>27.999999999999979</v>
      </c>
      <c r="V10" s="126">
        <f t="shared" si="13"/>
        <v>255</v>
      </c>
      <c r="W10" s="90"/>
      <c r="X10" s="90"/>
      <c r="Y10" s="90"/>
      <c r="Z10" s="90"/>
      <c r="AA10" s="232"/>
      <c r="AB10" s="232"/>
      <c r="AC10" s="93"/>
      <c r="AD10" s="93"/>
      <c r="AE10" s="84">
        <f t="shared" si="8"/>
        <v>-71.764705882352928</v>
      </c>
      <c r="AF10" s="121">
        <f t="shared" si="9"/>
        <v>0.95215686274509803</v>
      </c>
      <c r="AG10" s="237"/>
    </row>
    <row r="11" spans="1:33" ht="16.5" customHeight="1">
      <c r="A11" s="261" t="s">
        <v>383</v>
      </c>
      <c r="B11" s="77" t="s">
        <v>384</v>
      </c>
      <c r="C11" s="238"/>
      <c r="D11" s="238"/>
      <c r="E11" s="122"/>
      <c r="F11" s="81"/>
      <c r="G11" s="83"/>
      <c r="H11" s="130"/>
      <c r="I11" s="98">
        <v>18</v>
      </c>
      <c r="J11" s="81">
        <v>1500</v>
      </c>
      <c r="K11" s="82">
        <f t="shared" si="1"/>
        <v>83.333333333333329</v>
      </c>
      <c r="L11" s="98">
        <v>18</v>
      </c>
      <c r="M11" s="83">
        <f>AVERAGE(M9:M10)</f>
        <v>1429.5444763271162</v>
      </c>
      <c r="N11" s="82">
        <f t="shared" si="3"/>
        <v>79.419137573728676</v>
      </c>
      <c r="O11" s="84">
        <f t="shared" si="4"/>
        <v>0</v>
      </c>
      <c r="P11" s="85">
        <f t="shared" si="5"/>
        <v>-3.9141957596046524</v>
      </c>
      <c r="Q11" s="121">
        <f t="shared" si="6"/>
        <v>0.95302965088474412</v>
      </c>
      <c r="R11" s="237"/>
      <c r="S11" s="88"/>
      <c r="T11" s="88"/>
      <c r="U11" s="82"/>
      <c r="V11" s="126"/>
      <c r="W11" s="82"/>
      <c r="X11" s="82"/>
      <c r="Y11" s="99">
        <f>SUM(Y9:Y10)</f>
        <v>0</v>
      </c>
      <c r="Z11" s="99">
        <f>SUM(Z9:Z10)</f>
        <v>0</v>
      </c>
      <c r="AA11" s="231"/>
      <c r="AB11" s="231"/>
      <c r="AC11" s="99">
        <v>2</v>
      </c>
      <c r="AD11" s="99">
        <f>SUM(AD9:AD10)</f>
        <v>0</v>
      </c>
      <c r="AE11" s="84">
        <f t="shared" si="8"/>
        <v>-70.455523672883828</v>
      </c>
      <c r="AF11" s="121">
        <f t="shared" si="9"/>
        <v>0.95302965088474412</v>
      </c>
      <c r="AG11" s="237"/>
    </row>
    <row r="12" spans="1:33" ht="16.5" customHeight="1">
      <c r="A12" s="259" t="s">
        <v>385</v>
      </c>
      <c r="B12" s="130" t="s">
        <v>125</v>
      </c>
      <c r="C12" s="255" t="s">
        <v>126</v>
      </c>
      <c r="D12" s="255"/>
      <c r="E12" s="77">
        <v>31.11</v>
      </c>
      <c r="F12" s="130">
        <v>1982</v>
      </c>
      <c r="G12" s="116">
        <f t="shared" ref="G12:G17" si="15">E12*F12</f>
        <v>61660.02</v>
      </c>
      <c r="H12" s="79" t="s">
        <v>115</v>
      </c>
      <c r="I12" s="125">
        <v>14</v>
      </c>
      <c r="J12" s="81">
        <v>2000</v>
      </c>
      <c r="K12" s="82">
        <f t="shared" si="1"/>
        <v>142.85714285714286</v>
      </c>
      <c r="L12" s="125">
        <v>14</v>
      </c>
      <c r="M12" s="83">
        <f t="shared" ref="M12:M17" si="16">F12/V12*60</f>
        <v>1918.0645161290317</v>
      </c>
      <c r="N12" s="82">
        <f t="shared" si="3"/>
        <v>137.00460829493085</v>
      </c>
      <c r="O12" s="84">
        <f t="shared" si="4"/>
        <v>0</v>
      </c>
      <c r="P12" s="85">
        <f t="shared" si="5"/>
        <v>-5.8525345622120142</v>
      </c>
      <c r="Q12" s="121">
        <f t="shared" si="6"/>
        <v>0.95903225806451586</v>
      </c>
      <c r="R12" s="237">
        <f>Q18</f>
        <v>0.9655642829710106</v>
      </c>
      <c r="S12" s="88">
        <v>0.25</v>
      </c>
      <c r="T12" s="88">
        <v>0.29305555555555557</v>
      </c>
      <c r="U12" s="116"/>
      <c r="V12" s="126">
        <f t="shared" ref="V12:V17" si="17">(T12-S12)*24*60</f>
        <v>62.000000000000021</v>
      </c>
      <c r="W12" s="90"/>
      <c r="X12" s="90"/>
      <c r="Y12" s="100"/>
      <c r="Z12" s="100"/>
      <c r="AA12" s="232"/>
      <c r="AB12" s="232"/>
      <c r="AC12" s="93">
        <v>6</v>
      </c>
      <c r="AD12" s="93"/>
      <c r="AE12" s="84">
        <f t="shared" si="8"/>
        <v>-81.935483870968255</v>
      </c>
      <c r="AF12" s="121">
        <f t="shared" si="9"/>
        <v>0.95903225806451586</v>
      </c>
      <c r="AG12" s="237">
        <f>AF18</f>
        <v>0.9655642829710106</v>
      </c>
    </row>
    <row r="13" spans="1:33" ht="16.5" customHeight="1">
      <c r="A13" s="260" t="s">
        <v>386</v>
      </c>
      <c r="B13" s="130" t="s">
        <v>127</v>
      </c>
      <c r="C13" s="255" t="s">
        <v>128</v>
      </c>
      <c r="D13" s="255"/>
      <c r="E13" s="77">
        <v>41</v>
      </c>
      <c r="F13" s="130">
        <v>1204</v>
      </c>
      <c r="G13" s="116">
        <f t="shared" si="15"/>
        <v>49364</v>
      </c>
      <c r="H13" s="79" t="s">
        <v>115</v>
      </c>
      <c r="I13" s="125">
        <v>26</v>
      </c>
      <c r="J13" s="81">
        <v>1500</v>
      </c>
      <c r="K13" s="82">
        <f t="shared" si="1"/>
        <v>57.692307692307693</v>
      </c>
      <c r="L13" s="125">
        <v>26</v>
      </c>
      <c r="M13" s="83">
        <f t="shared" si="16"/>
        <v>1444.8000000000004</v>
      </c>
      <c r="N13" s="82">
        <f t="shared" si="3"/>
        <v>55.569230769230785</v>
      </c>
      <c r="O13" s="84">
        <f t="shared" si="4"/>
        <v>0</v>
      </c>
      <c r="P13" s="85">
        <f t="shared" si="5"/>
        <v>-2.1230769230769084</v>
      </c>
      <c r="Q13" s="121">
        <f t="shared" si="6"/>
        <v>0.96320000000000028</v>
      </c>
      <c r="R13" s="237"/>
      <c r="S13" s="88">
        <v>0.29791666666666666</v>
      </c>
      <c r="T13" s="88">
        <v>0.33263888888888887</v>
      </c>
      <c r="U13" s="116">
        <f t="shared" ref="U13:U17" si="18">IF(S13=TIME(17,0,0),"",(S13-T12)*24*60)</f>
        <v>6.9999999999999751</v>
      </c>
      <c r="V13" s="126">
        <f t="shared" si="17"/>
        <v>49.999999999999986</v>
      </c>
      <c r="W13" s="90"/>
      <c r="X13" s="90"/>
      <c r="Y13" s="90"/>
      <c r="Z13" s="90"/>
      <c r="AA13" s="232"/>
      <c r="AB13" s="232"/>
      <c r="AC13" s="93"/>
      <c r="AD13" s="93"/>
      <c r="AE13" s="84">
        <f t="shared" si="8"/>
        <v>-55.199999999999591</v>
      </c>
      <c r="AF13" s="121">
        <f t="shared" si="9"/>
        <v>0.96320000000000028</v>
      </c>
      <c r="AG13" s="237"/>
    </row>
    <row r="14" spans="1:33" ht="16.5" customHeight="1">
      <c r="A14" s="260" t="s">
        <v>387</v>
      </c>
      <c r="B14" s="130" t="s">
        <v>121</v>
      </c>
      <c r="C14" s="255" t="s">
        <v>129</v>
      </c>
      <c r="D14" s="255"/>
      <c r="E14" s="77">
        <v>39.46</v>
      </c>
      <c r="F14" s="130">
        <v>1728</v>
      </c>
      <c r="G14" s="116">
        <f t="shared" si="15"/>
        <v>68186.880000000005</v>
      </c>
      <c r="H14" s="79" t="s">
        <v>115</v>
      </c>
      <c r="I14" s="125">
        <v>15</v>
      </c>
      <c r="J14" s="81">
        <v>1500</v>
      </c>
      <c r="K14" s="82">
        <f t="shared" si="1"/>
        <v>100</v>
      </c>
      <c r="L14" s="125">
        <v>15</v>
      </c>
      <c r="M14" s="83">
        <f t="shared" si="16"/>
        <v>1440.0000000000002</v>
      </c>
      <c r="N14" s="82">
        <f t="shared" si="3"/>
        <v>96.000000000000014</v>
      </c>
      <c r="O14" s="84">
        <f t="shared" si="4"/>
        <v>0</v>
      </c>
      <c r="P14" s="85">
        <f t="shared" si="5"/>
        <v>-3.9999999999999858</v>
      </c>
      <c r="Q14" s="121">
        <f t="shared" si="6"/>
        <v>0.96000000000000019</v>
      </c>
      <c r="R14" s="237"/>
      <c r="S14" s="88">
        <v>0.33680555555555552</v>
      </c>
      <c r="T14" s="88">
        <v>0.38680555555555551</v>
      </c>
      <c r="U14" s="116">
        <f t="shared" si="18"/>
        <v>5.9999999999999787</v>
      </c>
      <c r="V14" s="126">
        <f t="shared" si="17"/>
        <v>71.999999999999986</v>
      </c>
      <c r="W14" s="90"/>
      <c r="X14" s="90"/>
      <c r="Y14" s="90"/>
      <c r="Z14" s="90"/>
      <c r="AA14" s="232"/>
      <c r="AB14" s="232"/>
      <c r="AC14" s="93"/>
      <c r="AD14" s="93"/>
      <c r="AE14" s="84">
        <f t="shared" si="8"/>
        <v>-59.999999999999773</v>
      </c>
      <c r="AF14" s="121">
        <f t="shared" si="9"/>
        <v>0.96000000000000019</v>
      </c>
      <c r="AG14" s="237"/>
    </row>
    <row r="15" spans="1:33" ht="16.5" customHeight="1">
      <c r="A15" s="260" t="s">
        <v>387</v>
      </c>
      <c r="B15" s="130" t="s">
        <v>113</v>
      </c>
      <c r="C15" s="255" t="s">
        <v>130</v>
      </c>
      <c r="D15" s="255"/>
      <c r="E15" s="77">
        <v>51.06</v>
      </c>
      <c r="F15" s="130">
        <v>2772</v>
      </c>
      <c r="G15" s="116">
        <f t="shared" si="15"/>
        <v>141538.32</v>
      </c>
      <c r="H15" s="79" t="s">
        <v>115</v>
      </c>
      <c r="I15" s="125">
        <v>13</v>
      </c>
      <c r="J15" s="81">
        <v>2000</v>
      </c>
      <c r="K15" s="82">
        <f t="shared" si="1"/>
        <v>153.84615384615384</v>
      </c>
      <c r="L15" s="125">
        <v>13</v>
      </c>
      <c r="M15" s="83">
        <f t="shared" si="16"/>
        <v>1911.7241379310342</v>
      </c>
      <c r="N15" s="82">
        <f t="shared" si="3"/>
        <v>147.05570291777187</v>
      </c>
      <c r="O15" s="84">
        <f t="shared" si="4"/>
        <v>0</v>
      </c>
      <c r="P15" s="85">
        <f t="shared" si="5"/>
        <v>-6.7904509283819721</v>
      </c>
      <c r="Q15" s="121">
        <f t="shared" si="6"/>
        <v>0.95586206896551718</v>
      </c>
      <c r="R15" s="237"/>
      <c r="S15" s="88">
        <v>0.70833333333333337</v>
      </c>
      <c r="T15" s="88">
        <v>0.76875000000000004</v>
      </c>
      <c r="U15" s="116" t="str">
        <f t="shared" si="18"/>
        <v/>
      </c>
      <c r="V15" s="126">
        <f t="shared" si="17"/>
        <v>87.000000000000014</v>
      </c>
      <c r="W15" s="90"/>
      <c r="X15" s="90"/>
      <c r="Y15" s="90"/>
      <c r="Z15" s="90"/>
      <c r="AA15" s="232"/>
      <c r="AB15" s="232"/>
      <c r="AC15" s="93"/>
      <c r="AD15" s="93"/>
      <c r="AE15" s="84">
        <f t="shared" si="8"/>
        <v>-88.275862068965807</v>
      </c>
      <c r="AF15" s="121">
        <f t="shared" si="9"/>
        <v>0.95586206896551706</v>
      </c>
      <c r="AG15" s="237"/>
    </row>
    <row r="16" spans="1:33" ht="16.5" customHeight="1">
      <c r="A16" s="260" t="s">
        <v>387</v>
      </c>
      <c r="B16" s="130" t="s">
        <v>113</v>
      </c>
      <c r="C16" s="255" t="s">
        <v>131</v>
      </c>
      <c r="D16" s="255"/>
      <c r="E16" s="77">
        <v>56.43</v>
      </c>
      <c r="F16" s="130">
        <v>1102</v>
      </c>
      <c r="G16" s="116">
        <f t="shared" si="15"/>
        <v>62185.86</v>
      </c>
      <c r="H16" s="79" t="s">
        <v>115</v>
      </c>
      <c r="I16" s="125">
        <v>13</v>
      </c>
      <c r="J16" s="81">
        <v>2000</v>
      </c>
      <c r="K16" s="82">
        <f t="shared" si="1"/>
        <v>153.84615384615384</v>
      </c>
      <c r="L16" s="125">
        <v>13</v>
      </c>
      <c r="M16" s="83">
        <f t="shared" si="16"/>
        <v>1944.7058823529387</v>
      </c>
      <c r="N16" s="82">
        <f t="shared" si="3"/>
        <v>149.5927601809953</v>
      </c>
      <c r="O16" s="84">
        <f t="shared" si="4"/>
        <v>0</v>
      </c>
      <c r="P16" s="85">
        <f t="shared" si="5"/>
        <v>-4.2533936651585407</v>
      </c>
      <c r="Q16" s="121">
        <f t="shared" si="6"/>
        <v>0.97235294117646953</v>
      </c>
      <c r="R16" s="237"/>
      <c r="S16" s="88">
        <v>0.77361111111111114</v>
      </c>
      <c r="T16" s="88">
        <v>0.79722222222222228</v>
      </c>
      <c r="U16" s="116">
        <f t="shared" si="18"/>
        <v>6.9999999999999751</v>
      </c>
      <c r="V16" s="126">
        <f t="shared" si="17"/>
        <v>34.000000000000043</v>
      </c>
      <c r="W16" s="90"/>
      <c r="X16" s="90"/>
      <c r="Y16" s="90"/>
      <c r="Z16" s="90"/>
      <c r="AA16" s="232"/>
      <c r="AB16" s="232"/>
      <c r="AC16" s="93"/>
      <c r="AD16" s="93"/>
      <c r="AE16" s="84">
        <f t="shared" si="8"/>
        <v>-55.294117647061285</v>
      </c>
      <c r="AF16" s="121">
        <f t="shared" si="9"/>
        <v>0.97235294117646931</v>
      </c>
      <c r="AG16" s="237"/>
    </row>
    <row r="17" spans="1:33" ht="16.5" customHeight="1">
      <c r="A17" s="260" t="s">
        <v>388</v>
      </c>
      <c r="B17" s="130" t="s">
        <v>113</v>
      </c>
      <c r="C17" s="123" t="s">
        <v>132</v>
      </c>
      <c r="D17" s="124"/>
      <c r="E17" s="77">
        <v>54.5</v>
      </c>
      <c r="F17" s="130">
        <v>567</v>
      </c>
      <c r="G17" s="116">
        <f t="shared" si="15"/>
        <v>30901.5</v>
      </c>
      <c r="H17" s="79" t="s">
        <v>115</v>
      </c>
      <c r="I17" s="125">
        <v>19</v>
      </c>
      <c r="J17" s="81">
        <v>1500</v>
      </c>
      <c r="K17" s="82">
        <f t="shared" si="1"/>
        <v>78.94736842105263</v>
      </c>
      <c r="L17" s="125">
        <v>19</v>
      </c>
      <c r="M17" s="83">
        <f t="shared" si="16"/>
        <v>1479.1304347826037</v>
      </c>
      <c r="N17" s="82">
        <f t="shared" si="3"/>
        <v>77.848970251715983</v>
      </c>
      <c r="O17" s="84">
        <f t="shared" si="4"/>
        <v>0</v>
      </c>
      <c r="P17" s="85">
        <f t="shared" si="5"/>
        <v>-1.0983981693366474</v>
      </c>
      <c r="Q17" s="121">
        <f t="shared" si="6"/>
        <v>0.98608695652173584</v>
      </c>
      <c r="R17" s="237"/>
      <c r="S17" s="88">
        <v>0.80069444444444449</v>
      </c>
      <c r="T17" s="88">
        <v>0.81666666666666676</v>
      </c>
      <c r="U17" s="116">
        <f t="shared" si="18"/>
        <v>4.9999999999999822</v>
      </c>
      <c r="V17" s="126">
        <f t="shared" si="17"/>
        <v>23.000000000000078</v>
      </c>
      <c r="W17" s="90"/>
      <c r="X17" s="90"/>
      <c r="Y17" s="94"/>
      <c r="Z17" s="94"/>
      <c r="AA17" s="119"/>
      <c r="AB17" s="120"/>
      <c r="AC17" s="93"/>
      <c r="AD17" s="93"/>
      <c r="AE17" s="84">
        <f t="shared" si="8"/>
        <v>-20.869565217396257</v>
      </c>
      <c r="AF17" s="121">
        <f t="shared" si="9"/>
        <v>0.98608695652173584</v>
      </c>
      <c r="AG17" s="237"/>
    </row>
    <row r="18" spans="1:33" ht="16.5" customHeight="1">
      <c r="A18" s="260" t="s">
        <v>387</v>
      </c>
      <c r="B18" s="77" t="s">
        <v>389</v>
      </c>
      <c r="C18" s="238"/>
      <c r="D18" s="238"/>
      <c r="E18" s="122"/>
      <c r="F18" s="97"/>
      <c r="G18" s="82"/>
      <c r="H18" s="130"/>
      <c r="I18" s="98">
        <v>16.666666666666668</v>
      </c>
      <c r="J18" s="81">
        <v>1750</v>
      </c>
      <c r="K18" s="82">
        <f t="shared" si="1"/>
        <v>104.99999999999999</v>
      </c>
      <c r="L18" s="98">
        <v>16.666666666666668</v>
      </c>
      <c r="M18" s="83">
        <f>AVERAGE(M12:M17)</f>
        <v>1689.7374951992686</v>
      </c>
      <c r="N18" s="82">
        <f t="shared" si="3"/>
        <v>101.3842497119561</v>
      </c>
      <c r="O18" s="84">
        <f t="shared" si="4"/>
        <v>0</v>
      </c>
      <c r="P18" s="85">
        <f t="shared" si="5"/>
        <v>-3.6157502880438841</v>
      </c>
      <c r="Q18" s="121">
        <f t="shared" si="6"/>
        <v>0.9655642829710106</v>
      </c>
      <c r="R18" s="237"/>
      <c r="S18" s="88"/>
      <c r="T18" s="88"/>
      <c r="U18" s="116"/>
      <c r="V18" s="126"/>
      <c r="W18" s="82"/>
      <c r="X18" s="82"/>
      <c r="Y18" s="99">
        <f>SUM(Y12:Y17)</f>
        <v>0</v>
      </c>
      <c r="Z18" s="99">
        <f>SUM(Z12:Z17)</f>
        <v>0</v>
      </c>
      <c r="AA18" s="231"/>
      <c r="AB18" s="231"/>
      <c r="AC18" s="99">
        <v>6</v>
      </c>
      <c r="AD18" s="99">
        <f>SUM(AD12:AD17)</f>
        <v>0</v>
      </c>
      <c r="AE18" s="84">
        <f t="shared" si="8"/>
        <v>-60.262504800731449</v>
      </c>
      <c r="AF18" s="121">
        <f t="shared" si="9"/>
        <v>0.9655642829710106</v>
      </c>
      <c r="AG18" s="237"/>
    </row>
    <row r="19" spans="1:33" ht="15.75" customHeight="1">
      <c r="A19" s="257" t="s">
        <v>390</v>
      </c>
      <c r="B19" s="77" t="s">
        <v>113</v>
      </c>
      <c r="C19" s="255" t="s">
        <v>134</v>
      </c>
      <c r="D19" s="255"/>
      <c r="E19" s="77">
        <v>50.67</v>
      </c>
      <c r="F19" s="130">
        <v>1174</v>
      </c>
      <c r="G19" s="116">
        <f t="shared" ref="G19:G25" si="19">E19*F19</f>
        <v>59486.58</v>
      </c>
      <c r="H19" s="79" t="s">
        <v>115</v>
      </c>
      <c r="I19" s="125">
        <v>17</v>
      </c>
      <c r="J19" s="81">
        <v>2000</v>
      </c>
      <c r="K19" s="82">
        <f t="shared" si="1"/>
        <v>117.64705882352941</v>
      </c>
      <c r="L19" s="125">
        <v>17</v>
      </c>
      <c r="M19" s="83">
        <f t="shared" ref="M19:M25" si="20">F19/V19*60</f>
        <v>1903.7837837837824</v>
      </c>
      <c r="N19" s="82">
        <f t="shared" si="3"/>
        <v>111.98728139904603</v>
      </c>
      <c r="O19" s="84">
        <f t="shared" si="4"/>
        <v>0</v>
      </c>
      <c r="P19" s="85">
        <f t="shared" si="5"/>
        <v>-5.6597774244833801</v>
      </c>
      <c r="Q19" s="121">
        <f t="shared" si="6"/>
        <v>0.95189189189189127</v>
      </c>
      <c r="R19" s="237">
        <f>Q26</f>
        <v>0.96116668794427707</v>
      </c>
      <c r="S19" s="88">
        <v>0.25</v>
      </c>
      <c r="T19" s="88">
        <v>0.27569444444444446</v>
      </c>
      <c r="U19" s="116"/>
      <c r="V19" s="126">
        <f t="shared" ref="V19:V25" si="21">(T19-S19)*24*60</f>
        <v>37.000000000000028</v>
      </c>
      <c r="W19" s="90"/>
      <c r="X19" s="90"/>
      <c r="Y19" s="100"/>
      <c r="Z19" s="100"/>
      <c r="AA19" s="232"/>
      <c r="AB19" s="232"/>
      <c r="AC19" s="93">
        <v>7</v>
      </c>
      <c r="AD19" s="93"/>
      <c r="AE19" s="84">
        <f t="shared" si="8"/>
        <v>-96.216216216217617</v>
      </c>
      <c r="AF19" s="121">
        <f t="shared" si="9"/>
        <v>0.95189189189189116</v>
      </c>
      <c r="AG19" s="237">
        <f>AF26</f>
        <v>0.96116668794427707</v>
      </c>
    </row>
    <row r="20" spans="1:33" ht="15.75" customHeight="1">
      <c r="A20" s="258" t="s">
        <v>391</v>
      </c>
      <c r="B20" s="77" t="s">
        <v>113</v>
      </c>
      <c r="C20" s="255" t="s">
        <v>135</v>
      </c>
      <c r="D20" s="255"/>
      <c r="E20" s="77">
        <v>57.73</v>
      </c>
      <c r="F20" s="130">
        <v>2084</v>
      </c>
      <c r="G20" s="116">
        <f t="shared" si="19"/>
        <v>120309.31999999999</v>
      </c>
      <c r="H20" s="79" t="s">
        <v>115</v>
      </c>
      <c r="I20" s="125">
        <v>14</v>
      </c>
      <c r="J20" s="81">
        <v>2000</v>
      </c>
      <c r="K20" s="82">
        <f t="shared" si="1"/>
        <v>142.85714285714286</v>
      </c>
      <c r="L20" s="125">
        <v>14</v>
      </c>
      <c r="M20" s="83">
        <f t="shared" si="20"/>
        <v>1923.6923076923072</v>
      </c>
      <c r="N20" s="82">
        <f t="shared" si="3"/>
        <v>137.40659340659337</v>
      </c>
      <c r="O20" s="84">
        <f t="shared" si="4"/>
        <v>0</v>
      </c>
      <c r="P20" s="85">
        <f t="shared" si="5"/>
        <v>-5.450549450549488</v>
      </c>
      <c r="Q20" s="121">
        <f t="shared" si="6"/>
        <v>0.96184615384615357</v>
      </c>
      <c r="R20" s="237"/>
      <c r="S20" s="88">
        <v>0.27986111111111112</v>
      </c>
      <c r="T20" s="88">
        <v>0.32500000000000001</v>
      </c>
      <c r="U20" s="116">
        <f t="shared" ref="U20:U25" si="22">IF(S20=TIME(17,0,0),"",(S20-T19)*24*60)</f>
        <v>5.9999999999999787</v>
      </c>
      <c r="V20" s="126">
        <f t="shared" si="21"/>
        <v>65.000000000000014</v>
      </c>
      <c r="W20" s="90"/>
      <c r="X20" s="116"/>
      <c r="Y20" s="116"/>
      <c r="Z20" s="116"/>
      <c r="AA20" s="232"/>
      <c r="AB20" s="232"/>
      <c r="AC20" s="93"/>
      <c r="AD20" s="93"/>
      <c r="AE20" s="84">
        <f t="shared" si="8"/>
        <v>-76.307692307692832</v>
      </c>
      <c r="AF20" s="121">
        <f t="shared" si="9"/>
        <v>0.96184615384615357</v>
      </c>
      <c r="AG20" s="237"/>
    </row>
    <row r="21" spans="1:33" ht="15.75" customHeight="1">
      <c r="A21" s="258" t="s">
        <v>391</v>
      </c>
      <c r="B21" s="77" t="s">
        <v>113</v>
      </c>
      <c r="C21" s="255" t="s">
        <v>136</v>
      </c>
      <c r="D21" s="255"/>
      <c r="E21" s="77">
        <v>53.27</v>
      </c>
      <c r="F21" s="130">
        <v>1006</v>
      </c>
      <c r="G21" s="116">
        <f t="shared" si="19"/>
        <v>53589.62</v>
      </c>
      <c r="H21" s="79" t="s">
        <v>115</v>
      </c>
      <c r="I21" s="125">
        <v>16</v>
      </c>
      <c r="J21" s="81">
        <v>2000</v>
      </c>
      <c r="K21" s="82">
        <f t="shared" si="1"/>
        <v>125</v>
      </c>
      <c r="L21" s="125">
        <v>16</v>
      </c>
      <c r="M21" s="83">
        <f t="shared" si="20"/>
        <v>1947.0967741935501</v>
      </c>
      <c r="N21" s="82">
        <f t="shared" si="3"/>
        <v>121.69354838709688</v>
      </c>
      <c r="O21" s="84">
        <f t="shared" si="4"/>
        <v>0</v>
      </c>
      <c r="P21" s="85">
        <f t="shared" si="5"/>
        <v>-3.3064516129031176</v>
      </c>
      <c r="Q21" s="121">
        <f t="shared" si="6"/>
        <v>0.97354838709677505</v>
      </c>
      <c r="R21" s="237"/>
      <c r="S21" s="88">
        <v>0.32916666666666666</v>
      </c>
      <c r="T21" s="88">
        <v>0.35069444444444442</v>
      </c>
      <c r="U21" s="116">
        <f t="shared" si="22"/>
        <v>5.9999999999999787</v>
      </c>
      <c r="V21" s="126">
        <f t="shared" si="21"/>
        <v>30.999999999999972</v>
      </c>
      <c r="W21" s="90"/>
      <c r="X21" s="116"/>
      <c r="Y21" s="116"/>
      <c r="Z21" s="116"/>
      <c r="AA21" s="232"/>
      <c r="AB21" s="232"/>
      <c r="AC21" s="93"/>
      <c r="AD21" s="93"/>
      <c r="AE21" s="84">
        <f t="shared" si="8"/>
        <v>-52.903225806449882</v>
      </c>
      <c r="AF21" s="121">
        <f t="shared" si="9"/>
        <v>0.97354838709677505</v>
      </c>
      <c r="AG21" s="237"/>
    </row>
    <row r="22" spans="1:33" ht="15.75" customHeight="1">
      <c r="A22" s="258" t="s">
        <v>391</v>
      </c>
      <c r="B22" s="77" t="s">
        <v>113</v>
      </c>
      <c r="C22" s="255" t="s">
        <v>137</v>
      </c>
      <c r="D22" s="255"/>
      <c r="E22" s="77">
        <v>57.3</v>
      </c>
      <c r="F22" s="130">
        <v>2407</v>
      </c>
      <c r="G22" s="116">
        <f t="shared" si="19"/>
        <v>137921.1</v>
      </c>
      <c r="H22" s="79" t="s">
        <v>115</v>
      </c>
      <c r="I22" s="125">
        <v>16</v>
      </c>
      <c r="J22" s="81">
        <v>2000</v>
      </c>
      <c r="K22" s="82">
        <f t="shared" si="1"/>
        <v>125</v>
      </c>
      <c r="L22" s="125">
        <v>16</v>
      </c>
      <c r="M22" s="83">
        <f t="shared" si="20"/>
        <v>1900.2631578947376</v>
      </c>
      <c r="N22" s="82">
        <f t="shared" si="3"/>
        <v>118.7664473684211</v>
      </c>
      <c r="O22" s="84">
        <f t="shared" si="4"/>
        <v>0</v>
      </c>
      <c r="P22" s="85">
        <f t="shared" si="5"/>
        <v>-6.2335526315789025</v>
      </c>
      <c r="Q22" s="121">
        <f t="shared" si="6"/>
        <v>0.95013157894736877</v>
      </c>
      <c r="R22" s="237"/>
      <c r="S22" s="88">
        <v>0.35624999999999996</v>
      </c>
      <c r="T22" s="88">
        <v>0.40902777777777771</v>
      </c>
      <c r="U22" s="116">
        <f t="shared" si="22"/>
        <v>7.9999999999999716</v>
      </c>
      <c r="V22" s="126">
        <f t="shared" si="21"/>
        <v>75.999999999999972</v>
      </c>
      <c r="W22" s="90"/>
      <c r="X22" s="116"/>
      <c r="Y22" s="116"/>
      <c r="Z22" s="116"/>
      <c r="AA22" s="232"/>
      <c r="AB22" s="232"/>
      <c r="AC22" s="93"/>
      <c r="AD22" s="93"/>
      <c r="AE22" s="84">
        <f t="shared" si="8"/>
        <v>-99.73684210526244</v>
      </c>
      <c r="AF22" s="121">
        <f t="shared" si="9"/>
        <v>0.95013157894736877</v>
      </c>
      <c r="AG22" s="237"/>
    </row>
    <row r="23" spans="1:33" ht="15.75" customHeight="1">
      <c r="A23" s="258" t="s">
        <v>390</v>
      </c>
      <c r="B23" s="77" t="s">
        <v>113</v>
      </c>
      <c r="C23" s="255" t="s">
        <v>138</v>
      </c>
      <c r="D23" s="255"/>
      <c r="E23" s="77">
        <v>50.49</v>
      </c>
      <c r="F23" s="130">
        <v>1917</v>
      </c>
      <c r="G23" s="116">
        <f t="shared" si="19"/>
        <v>96789.33</v>
      </c>
      <c r="H23" s="79" t="s">
        <v>115</v>
      </c>
      <c r="I23" s="125">
        <v>15</v>
      </c>
      <c r="J23" s="81">
        <v>2000</v>
      </c>
      <c r="K23" s="82">
        <f t="shared" si="1"/>
        <v>133.33333333333334</v>
      </c>
      <c r="L23" s="125">
        <v>15</v>
      </c>
      <c r="M23" s="83">
        <f t="shared" si="20"/>
        <v>1917.0000000000018</v>
      </c>
      <c r="N23" s="82">
        <f t="shared" si="3"/>
        <v>127.80000000000013</v>
      </c>
      <c r="O23" s="84">
        <f t="shared" si="4"/>
        <v>0</v>
      </c>
      <c r="P23" s="85">
        <f t="shared" si="5"/>
        <v>-5.5333333333332178</v>
      </c>
      <c r="Q23" s="121">
        <f t="shared" si="6"/>
        <v>0.95850000000000091</v>
      </c>
      <c r="R23" s="237"/>
      <c r="S23" s="88">
        <v>0.70833333333333337</v>
      </c>
      <c r="T23" s="88">
        <v>0.75</v>
      </c>
      <c r="U23" s="116" t="str">
        <f t="shared" si="22"/>
        <v/>
      </c>
      <c r="V23" s="126">
        <f t="shared" si="21"/>
        <v>59.999999999999943</v>
      </c>
      <c r="W23" s="90"/>
      <c r="X23" s="90"/>
      <c r="Y23" s="116"/>
      <c r="Z23" s="116"/>
      <c r="AA23" s="232"/>
      <c r="AB23" s="232"/>
      <c r="AC23" s="93"/>
      <c r="AD23" s="93"/>
      <c r="AE23" s="84">
        <f t="shared" si="8"/>
        <v>-82.999999999998181</v>
      </c>
      <c r="AF23" s="121">
        <f t="shared" si="9"/>
        <v>0.95850000000000091</v>
      </c>
      <c r="AG23" s="237"/>
    </row>
    <row r="24" spans="1:33" ht="15.75" customHeight="1">
      <c r="A24" s="258" t="s">
        <v>390</v>
      </c>
      <c r="B24" s="77" t="s">
        <v>113</v>
      </c>
      <c r="C24" s="255" t="s">
        <v>139</v>
      </c>
      <c r="D24" s="255"/>
      <c r="E24" s="77">
        <v>54.09</v>
      </c>
      <c r="F24" s="130">
        <v>1830</v>
      </c>
      <c r="G24" s="116">
        <f t="shared" si="19"/>
        <v>98984.700000000012</v>
      </c>
      <c r="H24" s="79" t="s">
        <v>115</v>
      </c>
      <c r="I24" s="125">
        <v>18</v>
      </c>
      <c r="J24" s="81">
        <v>2000</v>
      </c>
      <c r="K24" s="82">
        <f t="shared" si="1"/>
        <v>111.11111111111111</v>
      </c>
      <c r="L24" s="125">
        <v>18</v>
      </c>
      <c r="M24" s="83">
        <f t="shared" si="20"/>
        <v>1926.3157894736858</v>
      </c>
      <c r="N24" s="82">
        <f t="shared" si="3"/>
        <v>107.01754385964921</v>
      </c>
      <c r="O24" s="84">
        <f t="shared" si="4"/>
        <v>0</v>
      </c>
      <c r="P24" s="85">
        <f t="shared" si="5"/>
        <v>-4.0935672514619057</v>
      </c>
      <c r="Q24" s="121">
        <f t="shared" si="6"/>
        <v>0.96315789473684288</v>
      </c>
      <c r="R24" s="237"/>
      <c r="S24" s="88">
        <v>0.75347222222222221</v>
      </c>
      <c r="T24" s="88">
        <v>0.79305555555555551</v>
      </c>
      <c r="U24" s="116">
        <f t="shared" si="22"/>
        <v>4.9999999999999822</v>
      </c>
      <c r="V24" s="126">
        <f t="shared" si="21"/>
        <v>56.999999999999957</v>
      </c>
      <c r="W24" s="90"/>
      <c r="X24" s="100"/>
      <c r="Y24" s="100"/>
      <c r="Z24" s="100"/>
      <c r="AA24" s="232"/>
      <c r="AB24" s="232"/>
      <c r="AC24" s="93"/>
      <c r="AD24" s="93"/>
      <c r="AE24" s="84">
        <f t="shared" si="8"/>
        <v>-73.684210526314246</v>
      </c>
      <c r="AF24" s="121">
        <f t="shared" si="9"/>
        <v>0.96315789473684288</v>
      </c>
      <c r="AG24" s="237"/>
    </row>
    <row r="25" spans="1:33" ht="15.75" customHeight="1">
      <c r="A25" s="258" t="s">
        <v>392</v>
      </c>
      <c r="B25" s="77" t="s">
        <v>113</v>
      </c>
      <c r="C25" s="251" t="s">
        <v>140</v>
      </c>
      <c r="D25" s="252"/>
      <c r="E25" s="77">
        <v>50.67</v>
      </c>
      <c r="F25" s="130">
        <v>1066</v>
      </c>
      <c r="G25" s="116">
        <f t="shared" si="19"/>
        <v>54014.22</v>
      </c>
      <c r="H25" s="79" t="s">
        <v>115</v>
      </c>
      <c r="I25" s="125">
        <v>16</v>
      </c>
      <c r="J25" s="81">
        <v>2000</v>
      </c>
      <c r="K25" s="82">
        <f t="shared" si="1"/>
        <v>125</v>
      </c>
      <c r="L25" s="125">
        <v>16</v>
      </c>
      <c r="M25" s="83">
        <f t="shared" si="20"/>
        <v>1938.1818181818157</v>
      </c>
      <c r="N25" s="82">
        <f t="shared" si="3"/>
        <v>121.13636363636348</v>
      </c>
      <c r="O25" s="84">
        <f t="shared" si="4"/>
        <v>0</v>
      </c>
      <c r="P25" s="85">
        <f t="shared" si="5"/>
        <v>-3.8636363636365161</v>
      </c>
      <c r="Q25" s="121">
        <f t="shared" si="6"/>
        <v>0.96909090909090789</v>
      </c>
      <c r="R25" s="237"/>
      <c r="S25" s="88">
        <v>0.79861111111111105</v>
      </c>
      <c r="T25" s="88">
        <v>0.82152777777777775</v>
      </c>
      <c r="U25" s="116">
        <f t="shared" si="22"/>
        <v>7.9999999999999716</v>
      </c>
      <c r="V25" s="126">
        <f t="shared" si="21"/>
        <v>33.000000000000043</v>
      </c>
      <c r="W25" s="90"/>
      <c r="X25" s="100"/>
      <c r="Y25" s="107"/>
      <c r="Z25" s="107"/>
      <c r="AA25" s="227"/>
      <c r="AB25" s="228"/>
      <c r="AC25" s="93"/>
      <c r="AD25" s="93"/>
      <c r="AE25" s="84">
        <f t="shared" si="8"/>
        <v>-61.818181818184257</v>
      </c>
      <c r="AF25" s="121">
        <f t="shared" si="9"/>
        <v>0.96909090909090789</v>
      </c>
      <c r="AG25" s="237"/>
    </row>
    <row r="26" spans="1:33" ht="15.75" customHeight="1">
      <c r="A26" s="258" t="s">
        <v>390</v>
      </c>
      <c r="B26" s="77" t="s">
        <v>380</v>
      </c>
      <c r="C26" s="238"/>
      <c r="D26" s="238"/>
      <c r="E26" s="122"/>
      <c r="F26" s="130"/>
      <c r="G26" s="116"/>
      <c r="H26" s="130"/>
      <c r="I26" s="98">
        <v>16</v>
      </c>
      <c r="J26" s="81">
        <v>2000</v>
      </c>
      <c r="K26" s="82">
        <f t="shared" si="1"/>
        <v>125</v>
      </c>
      <c r="L26" s="98">
        <v>16</v>
      </c>
      <c r="M26" s="83">
        <f>AVERAGE(M19:M25)</f>
        <v>1922.3333758885542</v>
      </c>
      <c r="N26" s="82">
        <f t="shared" si="3"/>
        <v>120.14583599303464</v>
      </c>
      <c r="O26" s="84">
        <f t="shared" si="4"/>
        <v>0</v>
      </c>
      <c r="P26" s="85">
        <f t="shared" si="5"/>
        <v>-4.8541640069653624</v>
      </c>
      <c r="Q26" s="121">
        <f t="shared" si="6"/>
        <v>0.96116668794427707</v>
      </c>
      <c r="R26" s="237"/>
      <c r="S26" s="88"/>
      <c r="T26" s="88"/>
      <c r="U26" s="82"/>
      <c r="V26" s="126"/>
      <c r="W26" s="82"/>
      <c r="X26" s="82"/>
      <c r="Y26" s="99">
        <f>SUM(Y19:Y25)</f>
        <v>0</v>
      </c>
      <c r="Z26" s="99">
        <f>SUM(Z19:Z25)</f>
        <v>0</v>
      </c>
      <c r="AA26" s="231"/>
      <c r="AB26" s="231"/>
      <c r="AC26" s="99">
        <v>7</v>
      </c>
      <c r="AD26" s="99">
        <f>SUM(AD19:AD25)</f>
        <v>0</v>
      </c>
      <c r="AE26" s="84">
        <f t="shared" si="8"/>
        <v>-77.666624111445799</v>
      </c>
      <c r="AF26" s="121">
        <f t="shared" si="9"/>
        <v>0.96116668794427707</v>
      </c>
      <c r="AG26" s="237"/>
    </row>
    <row r="27" spans="1:33" ht="15.75" customHeight="1">
      <c r="A27" s="256" t="s">
        <v>393</v>
      </c>
      <c r="B27" s="77" t="s">
        <v>142</v>
      </c>
      <c r="C27" s="255" t="s">
        <v>143</v>
      </c>
      <c r="D27" s="255"/>
      <c r="E27" s="77">
        <v>31.29</v>
      </c>
      <c r="F27" s="130">
        <v>4700</v>
      </c>
      <c r="G27" s="116">
        <f t="shared" ref="G27:G33" si="23">E27*F27</f>
        <v>147063</v>
      </c>
      <c r="H27" s="79">
        <v>2</v>
      </c>
      <c r="I27" s="125">
        <v>18</v>
      </c>
      <c r="J27" s="81">
        <v>2400</v>
      </c>
      <c r="K27" s="82">
        <f t="shared" si="1"/>
        <v>133.33333333333334</v>
      </c>
      <c r="L27" s="125">
        <v>18</v>
      </c>
      <c r="M27" s="83">
        <f t="shared" ref="M27:M33" si="24">F27/V27*60</f>
        <v>2292.6829268292686</v>
      </c>
      <c r="N27" s="82">
        <f t="shared" si="3"/>
        <v>127.37127371273715</v>
      </c>
      <c r="O27" s="84">
        <f t="shared" si="4"/>
        <v>0</v>
      </c>
      <c r="P27" s="85">
        <f t="shared" si="5"/>
        <v>-5.9620596205961931</v>
      </c>
      <c r="Q27" s="121">
        <f t="shared" si="6"/>
        <v>0.9552845528455286</v>
      </c>
      <c r="R27" s="237">
        <f>Q34</f>
        <v>0.96062635680592712</v>
      </c>
      <c r="S27" s="88">
        <v>8.3333333333333329E-2</v>
      </c>
      <c r="T27" s="88">
        <v>0.16874999999999998</v>
      </c>
      <c r="U27" s="116"/>
      <c r="V27" s="126">
        <f t="shared" ref="V27:V33" si="25">(T27-S27)*24*60</f>
        <v>122.99999999999999</v>
      </c>
      <c r="W27" s="90">
        <f>T27</f>
        <v>0.16874999999999998</v>
      </c>
      <c r="X27" s="90">
        <f>S28</f>
        <v>0.18611111111111106</v>
      </c>
      <c r="Y27" s="90"/>
      <c r="Z27" s="90"/>
      <c r="AA27" s="232"/>
      <c r="AB27" s="232"/>
      <c r="AC27" s="93">
        <v>7</v>
      </c>
      <c r="AD27" s="93"/>
      <c r="AE27" s="84">
        <f t="shared" si="8"/>
        <v>-107.31707317073142</v>
      </c>
      <c r="AF27" s="121">
        <f t="shared" si="9"/>
        <v>0.9552845528455286</v>
      </c>
      <c r="AG27" s="237">
        <f>AF34</f>
        <v>0.96062635680592712</v>
      </c>
    </row>
    <row r="28" spans="1:33" ht="15.75" customHeight="1">
      <c r="A28" s="256" t="s">
        <v>394</v>
      </c>
      <c r="B28" s="77" t="s">
        <v>142</v>
      </c>
      <c r="C28" s="255" t="s">
        <v>144</v>
      </c>
      <c r="D28" s="255"/>
      <c r="E28" s="77">
        <v>26.37</v>
      </c>
      <c r="F28" s="130">
        <v>5359</v>
      </c>
      <c r="G28" s="116">
        <f t="shared" si="23"/>
        <v>141316.83000000002</v>
      </c>
      <c r="H28" s="79" t="s">
        <v>115</v>
      </c>
      <c r="I28" s="125">
        <v>18</v>
      </c>
      <c r="J28" s="81">
        <v>2400</v>
      </c>
      <c r="K28" s="82">
        <f t="shared" si="1"/>
        <v>133.33333333333334</v>
      </c>
      <c r="L28" s="125">
        <v>18</v>
      </c>
      <c r="M28" s="83">
        <f t="shared" si="24"/>
        <v>2296.7142857142862</v>
      </c>
      <c r="N28" s="82">
        <f t="shared" si="3"/>
        <v>127.59523809523813</v>
      </c>
      <c r="O28" s="84">
        <f t="shared" si="4"/>
        <v>0</v>
      </c>
      <c r="P28" s="85">
        <f t="shared" si="5"/>
        <v>-5.7380952380952124</v>
      </c>
      <c r="Q28" s="121">
        <f t="shared" si="6"/>
        <v>0.95696428571428593</v>
      </c>
      <c r="R28" s="237"/>
      <c r="S28" s="88">
        <v>0.18611111111111106</v>
      </c>
      <c r="T28" s="88">
        <v>0.28333333333333327</v>
      </c>
      <c r="U28" s="116">
        <f t="shared" ref="U28:U33" si="26">(S28-T27)*24*60</f>
        <v>24.99999999999995</v>
      </c>
      <c r="V28" s="126">
        <f t="shared" si="25"/>
        <v>139.99999999999997</v>
      </c>
      <c r="W28" s="90"/>
      <c r="X28" s="90"/>
      <c r="Y28" s="90"/>
      <c r="Z28" s="90"/>
      <c r="AA28" s="232"/>
      <c r="AB28" s="232"/>
      <c r="AC28" s="93"/>
      <c r="AD28" s="93"/>
      <c r="AE28" s="84">
        <f t="shared" si="8"/>
        <v>-103.28571428571377</v>
      </c>
      <c r="AF28" s="121">
        <f t="shared" si="9"/>
        <v>0.95696428571428593</v>
      </c>
      <c r="AG28" s="237"/>
    </row>
    <row r="29" spans="1:33" ht="15.75" customHeight="1">
      <c r="A29" s="256" t="s">
        <v>393</v>
      </c>
      <c r="B29" s="77" t="s">
        <v>142</v>
      </c>
      <c r="C29" s="255" t="s">
        <v>145</v>
      </c>
      <c r="D29" s="255"/>
      <c r="E29" s="77">
        <v>24.43</v>
      </c>
      <c r="F29" s="130">
        <v>6716</v>
      </c>
      <c r="G29" s="116">
        <f t="shared" si="23"/>
        <v>164071.88</v>
      </c>
      <c r="H29" s="79" t="s">
        <v>115</v>
      </c>
      <c r="I29" s="125">
        <v>14</v>
      </c>
      <c r="J29" s="81">
        <v>2400</v>
      </c>
      <c r="K29" s="82">
        <f t="shared" si="1"/>
        <v>171.42857142857142</v>
      </c>
      <c r="L29" s="125">
        <v>14</v>
      </c>
      <c r="M29" s="83">
        <f t="shared" si="24"/>
        <v>2289.5454545454545</v>
      </c>
      <c r="N29" s="82">
        <f t="shared" si="3"/>
        <v>163.53896103896105</v>
      </c>
      <c r="O29" s="84">
        <f t="shared" si="4"/>
        <v>0</v>
      </c>
      <c r="P29" s="85">
        <f t="shared" si="5"/>
        <v>-7.8896103896103682</v>
      </c>
      <c r="Q29" s="121">
        <f t="shared" si="6"/>
        <v>0.95397727272727284</v>
      </c>
      <c r="R29" s="237"/>
      <c r="S29" s="88">
        <v>0.28749999999999992</v>
      </c>
      <c r="T29" s="88">
        <v>0.40972222222222215</v>
      </c>
      <c r="U29" s="116">
        <f t="shared" si="26"/>
        <v>5.9999999999999787</v>
      </c>
      <c r="V29" s="126">
        <f t="shared" si="25"/>
        <v>176</v>
      </c>
      <c r="W29" s="90"/>
      <c r="X29" s="90"/>
      <c r="Y29" s="90"/>
      <c r="Z29" s="90"/>
      <c r="AA29" s="232"/>
      <c r="AB29" s="232"/>
      <c r="AC29" s="93"/>
      <c r="AD29" s="93"/>
      <c r="AE29" s="84">
        <f t="shared" si="8"/>
        <v>-110.4545454545455</v>
      </c>
      <c r="AF29" s="121">
        <f t="shared" si="9"/>
        <v>0.95397727272727273</v>
      </c>
      <c r="AG29" s="237"/>
    </row>
    <row r="30" spans="1:33" ht="15.75" customHeight="1">
      <c r="A30" s="256" t="s">
        <v>393</v>
      </c>
      <c r="B30" s="77" t="s">
        <v>142</v>
      </c>
      <c r="C30" s="255" t="s">
        <v>146</v>
      </c>
      <c r="D30" s="255"/>
      <c r="E30" s="77">
        <v>25.98</v>
      </c>
      <c r="F30" s="130">
        <v>3195</v>
      </c>
      <c r="G30" s="116">
        <f t="shared" si="23"/>
        <v>83006.100000000006</v>
      </c>
      <c r="H30" s="79" t="s">
        <v>115</v>
      </c>
      <c r="I30" s="125">
        <v>19</v>
      </c>
      <c r="J30" s="81">
        <v>2400</v>
      </c>
      <c r="K30" s="82">
        <f t="shared" si="1"/>
        <v>126.31578947368421</v>
      </c>
      <c r="L30" s="125">
        <v>19</v>
      </c>
      <c r="M30" s="83">
        <f t="shared" si="24"/>
        <v>2309.6385542168669</v>
      </c>
      <c r="N30" s="82">
        <f t="shared" si="3"/>
        <v>121.55992390615089</v>
      </c>
      <c r="O30" s="84">
        <f t="shared" si="4"/>
        <v>0</v>
      </c>
      <c r="P30" s="85">
        <f t="shared" si="5"/>
        <v>-4.7558655675333199</v>
      </c>
      <c r="Q30" s="121">
        <f t="shared" si="6"/>
        <v>0.9623493975903612</v>
      </c>
      <c r="R30" s="237"/>
      <c r="S30" s="88">
        <v>0.41319444444444436</v>
      </c>
      <c r="T30" s="88">
        <v>0.47083333333333327</v>
      </c>
      <c r="U30" s="116">
        <f t="shared" si="26"/>
        <v>4.9999999999999822</v>
      </c>
      <c r="V30" s="126">
        <f t="shared" si="25"/>
        <v>83.000000000000028</v>
      </c>
      <c r="W30" s="90"/>
      <c r="X30" s="90"/>
      <c r="Y30" s="90"/>
      <c r="Z30" s="90"/>
      <c r="AA30" s="232"/>
      <c r="AB30" s="232"/>
      <c r="AC30" s="93"/>
      <c r="AD30" s="93"/>
      <c r="AE30" s="84">
        <f t="shared" si="8"/>
        <v>-90.361445783133149</v>
      </c>
      <c r="AF30" s="121">
        <f t="shared" si="9"/>
        <v>0.9623493975903612</v>
      </c>
      <c r="AG30" s="237"/>
    </row>
    <row r="31" spans="1:33" ht="15.75" customHeight="1">
      <c r="A31" s="256" t="s">
        <v>393</v>
      </c>
      <c r="B31" s="77" t="s">
        <v>142</v>
      </c>
      <c r="C31" s="255" t="s">
        <v>148</v>
      </c>
      <c r="D31" s="255"/>
      <c r="E31" s="77">
        <v>25.99</v>
      </c>
      <c r="F31" s="130">
        <v>954</v>
      </c>
      <c r="G31" s="116">
        <f t="shared" si="23"/>
        <v>24794.46</v>
      </c>
      <c r="H31" s="79" t="s">
        <v>115</v>
      </c>
      <c r="I31" s="125">
        <v>18</v>
      </c>
      <c r="J31" s="81">
        <v>2400</v>
      </c>
      <c r="K31" s="82">
        <f t="shared" si="1"/>
        <v>133.33333333333334</v>
      </c>
      <c r="L31" s="125">
        <v>18</v>
      </c>
      <c r="M31" s="83">
        <f t="shared" si="24"/>
        <v>2289.6000000000008</v>
      </c>
      <c r="N31" s="82">
        <f t="shared" si="3"/>
        <v>127.20000000000005</v>
      </c>
      <c r="O31" s="84">
        <f t="shared" si="4"/>
        <v>0</v>
      </c>
      <c r="P31" s="85">
        <f t="shared" si="5"/>
        <v>-6.1333333333332973</v>
      </c>
      <c r="Q31" s="121">
        <f t="shared" si="6"/>
        <v>0.95400000000000029</v>
      </c>
      <c r="R31" s="237"/>
      <c r="S31" s="88">
        <v>0.47569444444444436</v>
      </c>
      <c r="T31" s="88">
        <v>0.49305555555555547</v>
      </c>
      <c r="U31" s="116">
        <f t="shared" si="26"/>
        <v>6.9999999999999751</v>
      </c>
      <c r="V31" s="126">
        <f t="shared" si="25"/>
        <v>24.999999999999993</v>
      </c>
      <c r="W31" s="90"/>
      <c r="X31" s="90"/>
      <c r="Y31" s="90"/>
      <c r="Z31" s="90"/>
      <c r="AA31" s="232"/>
      <c r="AB31" s="232"/>
      <c r="AC31" s="93"/>
      <c r="AD31" s="93"/>
      <c r="AE31" s="84">
        <f t="shared" si="8"/>
        <v>-110.39999999999918</v>
      </c>
      <c r="AF31" s="121">
        <f t="shared" si="9"/>
        <v>0.95400000000000029</v>
      </c>
      <c r="AG31" s="237"/>
    </row>
    <row r="32" spans="1:33" ht="15.75" customHeight="1">
      <c r="A32" s="256" t="s">
        <v>394</v>
      </c>
      <c r="B32" s="77" t="s">
        <v>142</v>
      </c>
      <c r="C32" s="255" t="s">
        <v>149</v>
      </c>
      <c r="D32" s="255"/>
      <c r="E32" s="77">
        <v>24.25</v>
      </c>
      <c r="F32" s="130">
        <v>989</v>
      </c>
      <c r="G32" s="116">
        <f t="shared" si="23"/>
        <v>23983.25</v>
      </c>
      <c r="H32" s="79" t="s">
        <v>115</v>
      </c>
      <c r="I32" s="125">
        <v>16</v>
      </c>
      <c r="J32" s="81">
        <v>2400</v>
      </c>
      <c r="K32" s="82">
        <f t="shared" si="1"/>
        <v>150</v>
      </c>
      <c r="L32" s="125">
        <v>16</v>
      </c>
      <c r="M32" s="83">
        <f t="shared" si="24"/>
        <v>2373.5999999999931</v>
      </c>
      <c r="N32" s="82">
        <f t="shared" si="3"/>
        <v>148.34999999999957</v>
      </c>
      <c r="O32" s="84">
        <f t="shared" si="4"/>
        <v>0</v>
      </c>
      <c r="P32" s="85">
        <f t="shared" si="5"/>
        <v>-1.650000000000432</v>
      </c>
      <c r="Q32" s="121">
        <f t="shared" si="6"/>
        <v>0.9889999999999971</v>
      </c>
      <c r="R32" s="237"/>
      <c r="S32" s="88">
        <v>0.49652777777777768</v>
      </c>
      <c r="T32" s="88">
        <v>0.51388888888888884</v>
      </c>
      <c r="U32" s="116">
        <f t="shared" si="26"/>
        <v>4.9999999999999822</v>
      </c>
      <c r="V32" s="126">
        <f t="shared" si="25"/>
        <v>25.000000000000071</v>
      </c>
      <c r="W32" s="90">
        <f>T32</f>
        <v>0.51388888888888884</v>
      </c>
      <c r="X32" s="90">
        <f>S33</f>
        <v>0.5527777777777777</v>
      </c>
      <c r="Y32" s="90"/>
      <c r="Z32" s="90"/>
      <c r="AA32" s="232"/>
      <c r="AB32" s="232"/>
      <c r="AC32" s="93"/>
      <c r="AD32" s="93"/>
      <c r="AE32" s="84">
        <f t="shared" si="8"/>
        <v>-26.400000000006912</v>
      </c>
      <c r="AF32" s="121">
        <f t="shared" si="9"/>
        <v>0.9889999999999971</v>
      </c>
      <c r="AG32" s="237"/>
    </row>
    <row r="33" spans="1:33" ht="15.75" customHeight="1">
      <c r="A33" s="256" t="s">
        <v>393</v>
      </c>
      <c r="B33" s="77" t="s">
        <v>142</v>
      </c>
      <c r="C33" s="255" t="s">
        <v>143</v>
      </c>
      <c r="D33" s="255"/>
      <c r="E33" s="77">
        <v>31.29</v>
      </c>
      <c r="F33" s="130">
        <v>3392</v>
      </c>
      <c r="G33" s="116">
        <f t="shared" si="23"/>
        <v>106135.67999999999</v>
      </c>
      <c r="H33" s="79" t="s">
        <v>115</v>
      </c>
      <c r="I33" s="125">
        <v>18</v>
      </c>
      <c r="J33" s="81">
        <v>2400</v>
      </c>
      <c r="K33" s="82">
        <f t="shared" si="1"/>
        <v>133.33333333333334</v>
      </c>
      <c r="L33" s="125">
        <v>18</v>
      </c>
      <c r="M33" s="83">
        <f t="shared" si="24"/>
        <v>2286.7415730337079</v>
      </c>
      <c r="N33" s="82">
        <f t="shared" si="3"/>
        <v>127.04119850187266</v>
      </c>
      <c r="O33" s="84">
        <f t="shared" si="4"/>
        <v>0</v>
      </c>
      <c r="P33" s="85">
        <f t="shared" si="5"/>
        <v>-6.292134831460686</v>
      </c>
      <c r="Q33" s="121">
        <f t="shared" si="6"/>
        <v>0.95280898876404485</v>
      </c>
      <c r="R33" s="237"/>
      <c r="S33" s="88">
        <v>0.5527777777777777</v>
      </c>
      <c r="T33" s="88">
        <v>0.61458333333333326</v>
      </c>
      <c r="U33" s="116">
        <f t="shared" si="26"/>
        <v>55.999999999999957</v>
      </c>
      <c r="V33" s="126">
        <f t="shared" si="25"/>
        <v>89</v>
      </c>
      <c r="W33" s="90"/>
      <c r="X33" s="90"/>
      <c r="Y33" s="90"/>
      <c r="Z33" s="90"/>
      <c r="AA33" s="232"/>
      <c r="AB33" s="232"/>
      <c r="AC33" s="93"/>
      <c r="AD33" s="93"/>
      <c r="AE33" s="84">
        <f t="shared" si="8"/>
        <v>-113.25842696629206</v>
      </c>
      <c r="AF33" s="121">
        <f t="shared" si="9"/>
        <v>0.95280898876404496</v>
      </c>
      <c r="AG33" s="237"/>
    </row>
    <row r="34" spans="1:33" ht="15.75" customHeight="1">
      <c r="A34" s="256" t="s">
        <v>395</v>
      </c>
      <c r="B34" s="77" t="s">
        <v>396</v>
      </c>
      <c r="C34" s="238"/>
      <c r="D34" s="238"/>
      <c r="E34" s="122"/>
      <c r="F34" s="130"/>
      <c r="G34" s="116"/>
      <c r="H34" s="130"/>
      <c r="I34" s="98">
        <v>17.285714285714285</v>
      </c>
      <c r="J34" s="81">
        <v>2400</v>
      </c>
      <c r="K34" s="82">
        <f t="shared" si="1"/>
        <v>138.84297520661158</v>
      </c>
      <c r="L34" s="98">
        <v>17.285714285714285</v>
      </c>
      <c r="M34" s="83">
        <f>AVERAGE(M27:M33)</f>
        <v>2305.5032563342252</v>
      </c>
      <c r="N34" s="82">
        <f t="shared" si="3"/>
        <v>133.37622144082295</v>
      </c>
      <c r="O34" s="84">
        <f t="shared" si="4"/>
        <v>0</v>
      </c>
      <c r="P34" s="85">
        <f t="shared" si="5"/>
        <v>-5.4667537657886385</v>
      </c>
      <c r="Q34" s="121">
        <f t="shared" si="6"/>
        <v>0.96062635680592712</v>
      </c>
      <c r="R34" s="237"/>
      <c r="S34" s="88"/>
      <c r="T34" s="88"/>
      <c r="U34" s="116"/>
      <c r="V34" s="126"/>
      <c r="W34" s="116"/>
      <c r="X34" s="116"/>
      <c r="Y34" s="99">
        <f>SUM(Y27:Y33)</f>
        <v>0</v>
      </c>
      <c r="Z34" s="99">
        <f>SUM(Z27:Z33)</f>
        <v>0</v>
      </c>
      <c r="AA34" s="231"/>
      <c r="AB34" s="231"/>
      <c r="AC34" s="99">
        <v>7</v>
      </c>
      <c r="AD34" s="99">
        <f>SUM(AD27:AD33)</f>
        <v>0</v>
      </c>
      <c r="AE34" s="84">
        <f t="shared" si="8"/>
        <v>-94.496743665774829</v>
      </c>
      <c r="AF34" s="121">
        <f t="shared" si="9"/>
        <v>0.96062635680592712</v>
      </c>
      <c r="AG34" s="237"/>
    </row>
    <row r="35" spans="1:33" ht="15.75" customHeight="1">
      <c r="A35" s="253" t="s">
        <v>397</v>
      </c>
      <c r="B35" s="77" t="s">
        <v>142</v>
      </c>
      <c r="C35" s="233" t="s">
        <v>151</v>
      </c>
      <c r="D35" s="233"/>
      <c r="E35" s="77">
        <v>26.18</v>
      </c>
      <c r="F35" s="130">
        <v>5137</v>
      </c>
      <c r="G35" s="116">
        <f t="shared" ref="G35:G40" si="27">E35*F35</f>
        <v>134486.66</v>
      </c>
      <c r="H35" s="79" t="s">
        <v>115</v>
      </c>
      <c r="I35" s="125">
        <v>20</v>
      </c>
      <c r="J35" s="81">
        <v>2400</v>
      </c>
      <c r="K35" s="82">
        <f t="shared" si="1"/>
        <v>120</v>
      </c>
      <c r="L35" s="125">
        <v>20</v>
      </c>
      <c r="M35" s="83">
        <f t="shared" ref="M35:M40" si="28">F35/V35*60</f>
        <v>2300.1492537313438</v>
      </c>
      <c r="N35" s="82">
        <f t="shared" si="3"/>
        <v>115.00746268656719</v>
      </c>
      <c r="O35" s="84">
        <f t="shared" si="4"/>
        <v>0</v>
      </c>
      <c r="P35" s="85">
        <f t="shared" si="5"/>
        <v>-4.9925373134328055</v>
      </c>
      <c r="Q35" s="121">
        <f t="shared" si="6"/>
        <v>0.95839552238805992</v>
      </c>
      <c r="R35" s="237">
        <f>Q41</f>
        <v>0.95504228514023282</v>
      </c>
      <c r="S35" s="88">
        <v>8.3333333333333329E-2</v>
      </c>
      <c r="T35" s="88">
        <v>0.17638888888888887</v>
      </c>
      <c r="U35" s="116"/>
      <c r="V35" s="126">
        <f t="shared" ref="V35:V40" si="29">(T35-S35)*24*60</f>
        <v>133.99999999999997</v>
      </c>
      <c r="W35" s="100">
        <f>T35</f>
        <v>0.17638888888888887</v>
      </c>
      <c r="X35" s="100">
        <f>S36</f>
        <v>0.19374999999999995</v>
      </c>
      <c r="Y35" s="100"/>
      <c r="Z35" s="100"/>
      <c r="AA35" s="232"/>
      <c r="AB35" s="232"/>
      <c r="AC35" s="93">
        <v>6</v>
      </c>
      <c r="AD35" s="93"/>
      <c r="AE35" s="84">
        <f t="shared" si="8"/>
        <v>-99.850746268656167</v>
      </c>
      <c r="AF35" s="121">
        <f t="shared" si="9"/>
        <v>0.95839552238805992</v>
      </c>
      <c r="AG35" s="237">
        <f>AF41</f>
        <v>0.95504228514023293</v>
      </c>
    </row>
    <row r="36" spans="1:33" ht="15.75" customHeight="1">
      <c r="A36" s="253" t="s">
        <v>398</v>
      </c>
      <c r="B36" s="77" t="s">
        <v>142</v>
      </c>
      <c r="C36" s="233" t="s">
        <v>152</v>
      </c>
      <c r="D36" s="233"/>
      <c r="E36" s="77">
        <v>26.18</v>
      </c>
      <c r="F36" s="130">
        <v>4000</v>
      </c>
      <c r="G36" s="116">
        <f t="shared" si="27"/>
        <v>104720</v>
      </c>
      <c r="H36" s="79">
        <v>2</v>
      </c>
      <c r="I36" s="125">
        <v>18</v>
      </c>
      <c r="J36" s="81">
        <v>2400</v>
      </c>
      <c r="K36" s="82">
        <f t="shared" si="1"/>
        <v>133.33333333333334</v>
      </c>
      <c r="L36" s="125">
        <v>18</v>
      </c>
      <c r="M36" s="83">
        <f t="shared" si="28"/>
        <v>2285.7142857142862</v>
      </c>
      <c r="N36" s="82">
        <f t="shared" si="3"/>
        <v>126.98412698412702</v>
      </c>
      <c r="O36" s="84">
        <f t="shared" si="4"/>
        <v>0</v>
      </c>
      <c r="P36" s="85">
        <f t="shared" si="5"/>
        <v>-6.3492063492063266</v>
      </c>
      <c r="Q36" s="121">
        <f t="shared" si="6"/>
        <v>0.95238095238095255</v>
      </c>
      <c r="R36" s="237"/>
      <c r="S36" s="88">
        <v>0.19374999999999995</v>
      </c>
      <c r="T36" s="88">
        <v>0.26666666666666661</v>
      </c>
      <c r="U36" s="116">
        <f t="shared" ref="U36:U40" si="30">(S36-T35)*24*60</f>
        <v>24.99999999999995</v>
      </c>
      <c r="V36" s="126">
        <f t="shared" si="29"/>
        <v>104.99999999999999</v>
      </c>
      <c r="W36" s="116"/>
      <c r="X36" s="116"/>
      <c r="Y36" s="116"/>
      <c r="Z36" s="116"/>
      <c r="AA36" s="232"/>
      <c r="AB36" s="232"/>
      <c r="AC36" s="93"/>
      <c r="AD36" s="93"/>
      <c r="AE36" s="84">
        <f t="shared" si="8"/>
        <v>-114.28571428571377</v>
      </c>
      <c r="AF36" s="121">
        <f t="shared" si="9"/>
        <v>0.95238095238095255</v>
      </c>
      <c r="AG36" s="237"/>
    </row>
    <row r="37" spans="1:33">
      <c r="A37" s="254" t="s">
        <v>397</v>
      </c>
      <c r="B37" s="77" t="s">
        <v>142</v>
      </c>
      <c r="C37" s="233" t="s">
        <v>153</v>
      </c>
      <c r="D37" s="233"/>
      <c r="E37" s="77">
        <v>34.1</v>
      </c>
      <c r="F37" s="130">
        <v>5277</v>
      </c>
      <c r="G37" s="116">
        <f t="shared" si="27"/>
        <v>179945.7</v>
      </c>
      <c r="H37" s="79" t="s">
        <v>115</v>
      </c>
      <c r="I37" s="125">
        <v>17</v>
      </c>
      <c r="J37" s="81">
        <v>1600</v>
      </c>
      <c r="K37" s="82">
        <f t="shared" si="1"/>
        <v>94.117647058823536</v>
      </c>
      <c r="L37" s="125">
        <v>17</v>
      </c>
      <c r="M37" s="83">
        <f t="shared" si="28"/>
        <v>1522.2115384615379</v>
      </c>
      <c r="N37" s="82">
        <f t="shared" si="3"/>
        <v>89.541855203619875</v>
      </c>
      <c r="O37" s="84">
        <f t="shared" si="4"/>
        <v>0</v>
      </c>
      <c r="P37" s="85">
        <f t="shared" si="5"/>
        <v>-4.5757918552036614</v>
      </c>
      <c r="Q37" s="121">
        <f t="shared" si="6"/>
        <v>0.95138221153846114</v>
      </c>
      <c r="R37" s="237"/>
      <c r="S37" s="88">
        <v>0.27013888888888882</v>
      </c>
      <c r="T37" s="88">
        <v>0.4145833333333333</v>
      </c>
      <c r="U37" s="116">
        <f t="shared" si="30"/>
        <v>4.9999999999999822</v>
      </c>
      <c r="V37" s="126">
        <f t="shared" si="29"/>
        <v>208.00000000000006</v>
      </c>
      <c r="W37" s="116"/>
      <c r="X37" s="116"/>
      <c r="Y37" s="116"/>
      <c r="Z37" s="116"/>
      <c r="AA37" s="232"/>
      <c r="AB37" s="232"/>
      <c r="AC37" s="93"/>
      <c r="AD37" s="93"/>
      <c r="AE37" s="84">
        <f t="shared" si="8"/>
        <v>-77.788461538462116</v>
      </c>
      <c r="AF37" s="121">
        <f t="shared" si="9"/>
        <v>0.95138221153846114</v>
      </c>
      <c r="AG37" s="237"/>
    </row>
    <row r="38" spans="1:33">
      <c r="A38" s="254" t="s">
        <v>399</v>
      </c>
      <c r="B38" s="77" t="s">
        <v>142</v>
      </c>
      <c r="C38" s="233" t="s">
        <v>154</v>
      </c>
      <c r="D38" s="233"/>
      <c r="E38" s="77">
        <v>25.99</v>
      </c>
      <c r="F38" s="130">
        <v>3044</v>
      </c>
      <c r="G38" s="116">
        <f t="shared" si="27"/>
        <v>79113.56</v>
      </c>
      <c r="H38" s="79" t="s">
        <v>115</v>
      </c>
      <c r="I38" s="125">
        <v>14</v>
      </c>
      <c r="J38" s="81">
        <v>2400</v>
      </c>
      <c r="K38" s="82">
        <f t="shared" si="1"/>
        <v>171.42857142857142</v>
      </c>
      <c r="L38" s="125">
        <v>14</v>
      </c>
      <c r="M38" s="83">
        <f t="shared" si="28"/>
        <v>2282.9999999999991</v>
      </c>
      <c r="N38" s="82">
        <f t="shared" si="3"/>
        <v>163.0714285714285</v>
      </c>
      <c r="O38" s="84">
        <f t="shared" si="4"/>
        <v>0</v>
      </c>
      <c r="P38" s="85">
        <f t="shared" si="5"/>
        <v>-8.357142857142918</v>
      </c>
      <c r="Q38" s="121">
        <f t="shared" si="6"/>
        <v>0.9512499999999996</v>
      </c>
      <c r="R38" s="237"/>
      <c r="S38" s="88">
        <v>0.42013888888888884</v>
      </c>
      <c r="T38" s="88">
        <v>0.47569444444444442</v>
      </c>
      <c r="U38" s="116">
        <f t="shared" si="30"/>
        <v>7.9999999999999716</v>
      </c>
      <c r="V38" s="126">
        <f t="shared" si="29"/>
        <v>80.000000000000028</v>
      </c>
      <c r="W38" s="90"/>
      <c r="X38" s="90"/>
      <c r="Y38" s="90"/>
      <c r="Z38" s="90"/>
      <c r="AA38" s="232"/>
      <c r="AB38" s="232"/>
      <c r="AC38" s="93"/>
      <c r="AD38" s="93"/>
      <c r="AE38" s="84">
        <f t="shared" si="8"/>
        <v>-117.00000000000091</v>
      </c>
      <c r="AF38" s="121">
        <f t="shared" si="9"/>
        <v>0.9512499999999996</v>
      </c>
      <c r="AG38" s="237"/>
    </row>
    <row r="39" spans="1:33">
      <c r="A39" s="254" t="s">
        <v>397</v>
      </c>
      <c r="B39" s="77" t="s">
        <v>142</v>
      </c>
      <c r="C39" s="233" t="s">
        <v>155</v>
      </c>
      <c r="D39" s="233"/>
      <c r="E39" s="77">
        <v>23.89</v>
      </c>
      <c r="F39" s="130">
        <v>1845</v>
      </c>
      <c r="G39" s="116">
        <f t="shared" si="27"/>
        <v>44077.05</v>
      </c>
      <c r="H39" s="79" t="s">
        <v>115</v>
      </c>
      <c r="I39" s="125">
        <v>17</v>
      </c>
      <c r="J39" s="81">
        <v>2400</v>
      </c>
      <c r="K39" s="82">
        <f t="shared" si="1"/>
        <v>141.1764705882353</v>
      </c>
      <c r="L39" s="125">
        <v>17</v>
      </c>
      <c r="M39" s="83">
        <f t="shared" si="28"/>
        <v>2306.2500000000009</v>
      </c>
      <c r="N39" s="82">
        <f t="shared" si="3"/>
        <v>135.6617647058824</v>
      </c>
      <c r="O39" s="84">
        <f t="shared" si="4"/>
        <v>0</v>
      </c>
      <c r="P39" s="85">
        <f t="shared" si="5"/>
        <v>-5.5147058823528994</v>
      </c>
      <c r="Q39" s="121">
        <f t="shared" si="6"/>
        <v>0.96093750000000033</v>
      </c>
      <c r="R39" s="237"/>
      <c r="S39" s="88">
        <v>0.48124999999999996</v>
      </c>
      <c r="T39" s="88">
        <v>0.51458333333333328</v>
      </c>
      <c r="U39" s="116">
        <f t="shared" si="30"/>
        <v>7.9999999999999716</v>
      </c>
      <c r="V39" s="126">
        <f t="shared" si="29"/>
        <v>47.999999999999986</v>
      </c>
      <c r="W39" s="90">
        <f>T39</f>
        <v>0.51458333333333328</v>
      </c>
      <c r="X39" s="90">
        <f>S40</f>
        <v>0.55486111111111103</v>
      </c>
      <c r="Y39" s="90"/>
      <c r="Z39" s="90"/>
      <c r="AA39" s="232"/>
      <c r="AB39" s="232"/>
      <c r="AC39" s="93"/>
      <c r="AD39" s="93"/>
      <c r="AE39" s="84">
        <f t="shared" si="8"/>
        <v>-93.749999999999091</v>
      </c>
      <c r="AF39" s="121">
        <f t="shared" si="9"/>
        <v>0.96093750000000033</v>
      </c>
      <c r="AG39" s="237"/>
    </row>
    <row r="40" spans="1:33">
      <c r="A40" s="254" t="s">
        <v>400</v>
      </c>
      <c r="B40" s="77" t="s">
        <v>142</v>
      </c>
      <c r="C40" s="233" t="s">
        <v>152</v>
      </c>
      <c r="D40" s="233"/>
      <c r="E40" s="77">
        <v>26.18</v>
      </c>
      <c r="F40" s="130">
        <v>3055</v>
      </c>
      <c r="G40" s="116">
        <f t="shared" si="27"/>
        <v>79979.899999999994</v>
      </c>
      <c r="H40" s="79" t="s">
        <v>115</v>
      </c>
      <c r="I40" s="125">
        <v>18</v>
      </c>
      <c r="J40" s="81">
        <v>2400</v>
      </c>
      <c r="K40" s="82">
        <f t="shared" si="1"/>
        <v>133.33333333333334</v>
      </c>
      <c r="L40" s="125">
        <v>18</v>
      </c>
      <c r="M40" s="83">
        <f t="shared" si="28"/>
        <v>2291.2499999999991</v>
      </c>
      <c r="N40" s="82">
        <f t="shared" si="3"/>
        <v>127.29166666666661</v>
      </c>
      <c r="O40" s="84">
        <f t="shared" si="4"/>
        <v>0</v>
      </c>
      <c r="P40" s="85">
        <f t="shared" si="5"/>
        <v>-6.0416666666667282</v>
      </c>
      <c r="Q40" s="121">
        <f t="shared" si="6"/>
        <v>0.95468749999999958</v>
      </c>
      <c r="R40" s="237"/>
      <c r="S40" s="88">
        <v>0.55486111111111103</v>
      </c>
      <c r="T40" s="88">
        <v>0.61041666666666661</v>
      </c>
      <c r="U40" s="116">
        <f t="shared" si="30"/>
        <v>57.999999999999957</v>
      </c>
      <c r="V40" s="126">
        <f t="shared" si="29"/>
        <v>80.000000000000028</v>
      </c>
      <c r="W40" s="90"/>
      <c r="X40" s="90"/>
      <c r="Y40" s="90"/>
      <c r="Z40" s="90"/>
      <c r="AA40" s="232"/>
      <c r="AB40" s="232"/>
      <c r="AC40" s="93"/>
      <c r="AD40" s="93"/>
      <c r="AE40" s="84">
        <f t="shared" si="8"/>
        <v>-108.75000000000091</v>
      </c>
      <c r="AF40" s="121">
        <f t="shared" si="9"/>
        <v>0.95468749999999958</v>
      </c>
      <c r="AG40" s="237"/>
    </row>
    <row r="41" spans="1:33">
      <c r="A41" s="254" t="s">
        <v>399</v>
      </c>
      <c r="B41" s="97" t="s">
        <v>401</v>
      </c>
      <c r="C41" s="238"/>
      <c r="D41" s="238"/>
      <c r="E41" s="122"/>
      <c r="F41" s="97"/>
      <c r="G41" s="82"/>
      <c r="H41" s="130"/>
      <c r="I41" s="98">
        <v>17.333333333333332</v>
      </c>
      <c r="J41" s="81">
        <v>2266.6666666666665</v>
      </c>
      <c r="K41" s="82">
        <f t="shared" si="1"/>
        <v>130.76923076923077</v>
      </c>
      <c r="L41" s="98">
        <v>17.333333333333332</v>
      </c>
      <c r="M41" s="83">
        <f>AVERAGE(M35:M40)</f>
        <v>2164.7625129845278</v>
      </c>
      <c r="N41" s="82">
        <f t="shared" si="3"/>
        <v>124.89014497987661</v>
      </c>
      <c r="O41" s="84">
        <f t="shared" si="4"/>
        <v>0</v>
      </c>
      <c r="P41" s="85">
        <f t="shared" si="5"/>
        <v>-5.8790857893541641</v>
      </c>
      <c r="Q41" s="121">
        <f t="shared" si="6"/>
        <v>0.95504228514023282</v>
      </c>
      <c r="R41" s="237"/>
      <c r="S41" s="88"/>
      <c r="T41" s="88"/>
      <c r="U41" s="82"/>
      <c r="V41" s="126"/>
      <c r="W41" s="82"/>
      <c r="X41" s="82"/>
      <c r="Y41" s="99">
        <f>SUM(Y35:Y40)</f>
        <v>0</v>
      </c>
      <c r="Z41" s="99">
        <f>SUM(Z35:Z40)</f>
        <v>0</v>
      </c>
      <c r="AA41" s="231"/>
      <c r="AB41" s="231"/>
      <c r="AC41" s="99">
        <v>6</v>
      </c>
      <c r="AD41" s="99">
        <f>SUM(AD35:AD40)</f>
        <v>0</v>
      </c>
      <c r="AE41" s="84">
        <f t="shared" si="8"/>
        <v>-101.90415368213871</v>
      </c>
      <c r="AF41" s="121">
        <f t="shared" si="9"/>
        <v>0.95504228514023293</v>
      </c>
      <c r="AG41" s="237"/>
    </row>
    <row r="42" spans="1:33" ht="15.75" customHeight="1">
      <c r="A42" s="248" t="s">
        <v>402</v>
      </c>
      <c r="B42" s="77" t="s">
        <v>157</v>
      </c>
      <c r="C42" s="225" t="s">
        <v>158</v>
      </c>
      <c r="D42" s="226"/>
      <c r="E42" s="77">
        <v>21.13</v>
      </c>
      <c r="F42" s="130">
        <v>4894</v>
      </c>
      <c r="G42" s="116">
        <f t="shared" ref="G42:G44" si="31">E42*F42</f>
        <v>103410.22</v>
      </c>
      <c r="H42" s="79" t="s">
        <v>115</v>
      </c>
      <c r="I42" s="125">
        <v>10</v>
      </c>
      <c r="J42" s="81">
        <v>3000</v>
      </c>
      <c r="K42" s="82">
        <f t="shared" si="1"/>
        <v>300</v>
      </c>
      <c r="L42" s="125">
        <v>10</v>
      </c>
      <c r="M42" s="83">
        <f t="shared" ref="M42:M44" si="32">F42/V42*60</f>
        <v>2878.8235294117644</v>
      </c>
      <c r="N42" s="83">
        <f t="shared" si="3"/>
        <v>287.88235294117646</v>
      </c>
      <c r="O42" s="84">
        <f t="shared" si="4"/>
        <v>0</v>
      </c>
      <c r="P42" s="85">
        <f t="shared" si="5"/>
        <v>-12.117647058823536</v>
      </c>
      <c r="Q42" s="121">
        <f t="shared" si="6"/>
        <v>0.95960784313725489</v>
      </c>
      <c r="R42" s="243">
        <f>Q45</f>
        <v>0.95532940221543172</v>
      </c>
      <c r="S42" s="88">
        <v>0.20833333333333334</v>
      </c>
      <c r="T42" s="88">
        <v>0.27916666666666667</v>
      </c>
      <c r="U42" s="100"/>
      <c r="V42" s="126">
        <f t="shared" ref="V42:V44" si="33">(T42-S42)*24*60</f>
        <v>102</v>
      </c>
      <c r="W42" s="90"/>
      <c r="X42" s="90"/>
      <c r="Y42" s="94"/>
      <c r="Z42" s="94"/>
      <c r="AA42" s="227"/>
      <c r="AB42" s="228"/>
      <c r="AC42" s="93">
        <v>3</v>
      </c>
      <c r="AD42" s="93"/>
      <c r="AE42" s="84">
        <f t="shared" si="8"/>
        <v>-121.17647058823559</v>
      </c>
      <c r="AF42" s="121">
        <f t="shared" si="9"/>
        <v>0.95960784313725478</v>
      </c>
      <c r="AG42" s="243">
        <f>AF45</f>
        <v>0.95532940221543172</v>
      </c>
    </row>
    <row r="43" spans="1:33" ht="15.75" customHeight="1">
      <c r="A43" s="249" t="s">
        <v>403</v>
      </c>
      <c r="B43" s="77" t="s">
        <v>157</v>
      </c>
      <c r="C43" s="225" t="s">
        <v>159</v>
      </c>
      <c r="D43" s="226"/>
      <c r="E43" s="77">
        <v>27.17</v>
      </c>
      <c r="F43" s="130">
        <v>5711</v>
      </c>
      <c r="G43" s="116">
        <f t="shared" si="31"/>
        <v>155167.87</v>
      </c>
      <c r="H43" s="79" t="s">
        <v>115</v>
      </c>
      <c r="I43" s="125">
        <v>10</v>
      </c>
      <c r="J43" s="81">
        <v>3000</v>
      </c>
      <c r="K43" s="82">
        <f t="shared" si="1"/>
        <v>300</v>
      </c>
      <c r="L43" s="125">
        <v>10</v>
      </c>
      <c r="M43" s="83">
        <f t="shared" si="32"/>
        <v>2855.5000000000005</v>
      </c>
      <c r="N43" s="83">
        <f t="shared" si="3"/>
        <v>285.55000000000007</v>
      </c>
      <c r="O43" s="84">
        <f t="shared" si="4"/>
        <v>0</v>
      </c>
      <c r="P43" s="85">
        <f t="shared" si="5"/>
        <v>-14.449999999999932</v>
      </c>
      <c r="Q43" s="121">
        <f t="shared" si="6"/>
        <v>0.95183333333333353</v>
      </c>
      <c r="R43" s="244"/>
      <c r="S43" s="88">
        <v>0.28333333333333333</v>
      </c>
      <c r="T43" s="88">
        <v>0.36666666666666664</v>
      </c>
      <c r="U43" s="116">
        <f t="shared" ref="U43:U44" si="34">(S43-T42)*24*60</f>
        <v>5.9999999999999787</v>
      </c>
      <c r="V43" s="126">
        <f t="shared" si="33"/>
        <v>119.99999999999997</v>
      </c>
      <c r="W43" s="90"/>
      <c r="X43" s="90"/>
      <c r="Y43" s="94"/>
      <c r="Z43" s="94"/>
      <c r="AA43" s="227"/>
      <c r="AB43" s="228"/>
      <c r="AC43" s="93"/>
      <c r="AD43" s="93"/>
      <c r="AE43" s="84">
        <f t="shared" si="8"/>
        <v>-144.49999999999955</v>
      </c>
      <c r="AF43" s="121">
        <f t="shared" si="9"/>
        <v>0.95183333333333353</v>
      </c>
      <c r="AG43" s="244"/>
    </row>
    <row r="44" spans="1:33" ht="15.75" customHeight="1">
      <c r="A44" s="249" t="s">
        <v>404</v>
      </c>
      <c r="B44" s="77" t="s">
        <v>157</v>
      </c>
      <c r="C44" s="225" t="s">
        <v>160</v>
      </c>
      <c r="D44" s="226"/>
      <c r="E44" s="77">
        <v>37.880000000000003</v>
      </c>
      <c r="F44" s="130">
        <v>2449</v>
      </c>
      <c r="G44" s="116">
        <f t="shared" si="31"/>
        <v>92768.12000000001</v>
      </c>
      <c r="H44" s="79" t="s">
        <v>115</v>
      </c>
      <c r="I44" s="125">
        <v>13</v>
      </c>
      <c r="J44" s="81">
        <v>2000</v>
      </c>
      <c r="K44" s="82">
        <f t="shared" si="1"/>
        <v>153.84615384615384</v>
      </c>
      <c r="L44" s="125">
        <v>13</v>
      </c>
      <c r="M44" s="83">
        <f t="shared" si="32"/>
        <v>1908.3116883116891</v>
      </c>
      <c r="N44" s="83">
        <f t="shared" si="3"/>
        <v>146.79320679320685</v>
      </c>
      <c r="O44" s="84">
        <f t="shared" si="4"/>
        <v>0</v>
      </c>
      <c r="P44" s="85">
        <f t="shared" si="5"/>
        <v>-7.0529470529469904</v>
      </c>
      <c r="Q44" s="121">
        <f t="shared" si="6"/>
        <v>0.95415584415584453</v>
      </c>
      <c r="R44" s="244"/>
      <c r="S44" s="88">
        <v>0.37083333333333329</v>
      </c>
      <c r="T44" s="88">
        <v>0.42430555555555549</v>
      </c>
      <c r="U44" s="116">
        <f t="shared" si="34"/>
        <v>5.9999999999999787</v>
      </c>
      <c r="V44" s="126">
        <f t="shared" si="33"/>
        <v>76.999999999999972</v>
      </c>
      <c r="W44" s="90"/>
      <c r="X44" s="90"/>
      <c r="Y44" s="94"/>
      <c r="Z44" s="94"/>
      <c r="AA44" s="227"/>
      <c r="AB44" s="228"/>
      <c r="AC44" s="93"/>
      <c r="AD44" s="93"/>
      <c r="AE44" s="84">
        <f t="shared" si="8"/>
        <v>-91.688311688310932</v>
      </c>
      <c r="AF44" s="121">
        <f t="shared" si="9"/>
        <v>0.95415584415584453</v>
      </c>
      <c r="AG44" s="244"/>
    </row>
    <row r="45" spans="1:33" ht="15.75" customHeight="1">
      <c r="A45" s="250" t="s">
        <v>405</v>
      </c>
      <c r="B45" s="77" t="s">
        <v>396</v>
      </c>
      <c r="C45" s="229"/>
      <c r="D45" s="230"/>
      <c r="E45" s="114"/>
      <c r="F45" s="130"/>
      <c r="G45" s="116"/>
      <c r="H45" s="130"/>
      <c r="I45" s="98">
        <v>11</v>
      </c>
      <c r="J45" s="81">
        <v>2666.6666666666665</v>
      </c>
      <c r="K45" s="82">
        <f t="shared" si="1"/>
        <v>242.42424242424241</v>
      </c>
      <c r="L45" s="98">
        <v>11</v>
      </c>
      <c r="M45" s="83">
        <f>AVERAGE(M42:M44)</f>
        <v>2547.5450725744845</v>
      </c>
      <c r="N45" s="82">
        <f t="shared" si="3"/>
        <v>231.5950065976804</v>
      </c>
      <c r="O45" s="84">
        <f t="shared" si="4"/>
        <v>0</v>
      </c>
      <c r="P45" s="85">
        <f t="shared" si="5"/>
        <v>-10.829235826562012</v>
      </c>
      <c r="Q45" s="121">
        <f t="shared" si="6"/>
        <v>0.95532940221543172</v>
      </c>
      <c r="R45" s="245"/>
      <c r="S45" s="88"/>
      <c r="T45" s="88"/>
      <c r="U45" s="116"/>
      <c r="V45" s="126"/>
      <c r="W45" s="90"/>
      <c r="X45" s="90"/>
      <c r="Y45" s="99">
        <f>SUM(Y42:Y44)</f>
        <v>0</v>
      </c>
      <c r="Z45" s="99">
        <f>SUM(Z42:Z44)</f>
        <v>0</v>
      </c>
      <c r="AA45" s="246"/>
      <c r="AB45" s="247"/>
      <c r="AC45" s="99">
        <v>3</v>
      </c>
      <c r="AD45" s="99">
        <f>SUM(AD42:AD44)</f>
        <v>0</v>
      </c>
      <c r="AE45" s="84">
        <f t="shared" si="8"/>
        <v>-119.12159409218202</v>
      </c>
      <c r="AF45" s="121">
        <f t="shared" si="9"/>
        <v>0.95532940221543172</v>
      </c>
      <c r="AG45" s="245"/>
    </row>
    <row r="46" spans="1:33" ht="15.75" customHeight="1">
      <c r="A46" s="241" t="s">
        <v>406</v>
      </c>
      <c r="B46" s="77" t="s">
        <v>121</v>
      </c>
      <c r="C46" s="233" t="s">
        <v>162</v>
      </c>
      <c r="D46" s="233"/>
      <c r="E46" s="77">
        <v>46</v>
      </c>
      <c r="F46" s="109">
        <v>798</v>
      </c>
      <c r="G46" s="116">
        <f t="shared" ref="G46:G53" si="35">E46*F46</f>
        <v>36708</v>
      </c>
      <c r="H46" s="79" t="s">
        <v>115</v>
      </c>
      <c r="I46" s="125">
        <v>16</v>
      </c>
      <c r="J46" s="81">
        <v>2000</v>
      </c>
      <c r="K46" s="82">
        <f t="shared" si="1"/>
        <v>125</v>
      </c>
      <c r="L46" s="125">
        <v>16</v>
      </c>
      <c r="M46" s="83">
        <f t="shared" ref="M46" si="36">F46/V46*60</f>
        <v>1915.2000000000005</v>
      </c>
      <c r="N46" s="83">
        <f t="shared" si="3"/>
        <v>119.70000000000003</v>
      </c>
      <c r="O46" s="84">
        <f t="shared" si="4"/>
        <v>0</v>
      </c>
      <c r="P46" s="85">
        <f t="shared" si="5"/>
        <v>-5.2999999999999687</v>
      </c>
      <c r="Q46" s="121">
        <f t="shared" si="6"/>
        <v>0.95760000000000023</v>
      </c>
      <c r="R46" s="237">
        <f>Q54</f>
        <v>0.96544873281250354</v>
      </c>
      <c r="S46" s="88">
        <v>0.20833333333333334</v>
      </c>
      <c r="T46" s="88">
        <v>0.22569444444444445</v>
      </c>
      <c r="U46" s="100"/>
      <c r="V46" s="126">
        <f t="shared" ref="V46:V53" si="37">(T46-S46)*24*60</f>
        <v>24.999999999999993</v>
      </c>
      <c r="W46" s="90"/>
      <c r="X46" s="90"/>
      <c r="Y46" s="100"/>
      <c r="Z46" s="100"/>
      <c r="AA46" s="232"/>
      <c r="AB46" s="232"/>
      <c r="AC46" s="93">
        <v>8</v>
      </c>
      <c r="AD46" s="93"/>
      <c r="AE46" s="84">
        <f t="shared" si="8"/>
        <v>-84.7999999999995</v>
      </c>
      <c r="AF46" s="121">
        <f t="shared" si="9"/>
        <v>0.95760000000000023</v>
      </c>
      <c r="AG46" s="237">
        <f>AF54</f>
        <v>0.96544873281250354</v>
      </c>
    </row>
    <row r="47" spans="1:33" ht="15.75" customHeight="1">
      <c r="A47" s="241" t="s">
        <v>407</v>
      </c>
      <c r="B47" s="77" t="s">
        <v>121</v>
      </c>
      <c r="C47" s="233" t="s">
        <v>163</v>
      </c>
      <c r="D47" s="233"/>
      <c r="E47" s="77">
        <v>46</v>
      </c>
      <c r="F47" s="109">
        <v>907</v>
      </c>
      <c r="G47" s="116">
        <f t="shared" si="35"/>
        <v>41722</v>
      </c>
      <c r="H47" s="79" t="s">
        <v>115</v>
      </c>
      <c r="I47" s="125">
        <v>17</v>
      </c>
      <c r="J47" s="81">
        <v>2000</v>
      </c>
      <c r="K47" s="82">
        <f t="shared" si="1"/>
        <v>117.64705882352941</v>
      </c>
      <c r="L47" s="125">
        <v>17</v>
      </c>
      <c r="M47" s="83">
        <f>F47/V47*60</f>
        <v>1943.57142857143</v>
      </c>
      <c r="N47" s="83">
        <f t="shared" si="3"/>
        <v>114.32773109243706</v>
      </c>
      <c r="O47" s="84">
        <f t="shared" si="4"/>
        <v>0</v>
      </c>
      <c r="P47" s="85">
        <f t="shared" si="5"/>
        <v>-3.3193277310923435</v>
      </c>
      <c r="Q47" s="121">
        <f t="shared" si="6"/>
        <v>0.97178571428571503</v>
      </c>
      <c r="R47" s="237"/>
      <c r="S47" s="88">
        <v>0.23125000000000001</v>
      </c>
      <c r="T47" s="88">
        <v>0.25069444444444444</v>
      </c>
      <c r="U47" s="116">
        <f t="shared" ref="U47:U53" si="38">IF(S47=TIME(17,0,0),"",(S47-T46)*24*60)</f>
        <v>8.0000000000000107</v>
      </c>
      <c r="V47" s="126">
        <f t="shared" si="37"/>
        <v>27.999999999999979</v>
      </c>
      <c r="W47" s="90"/>
      <c r="X47" s="90"/>
      <c r="Y47" s="90"/>
      <c r="Z47" s="90"/>
      <c r="AA47" s="232"/>
      <c r="AB47" s="232"/>
      <c r="AC47" s="93"/>
      <c r="AD47" s="93"/>
      <c r="AE47" s="84">
        <f t="shared" si="8"/>
        <v>-56.428571428569967</v>
      </c>
      <c r="AF47" s="121">
        <f t="shared" si="9"/>
        <v>0.97178571428571503</v>
      </c>
      <c r="AG47" s="237"/>
    </row>
    <row r="48" spans="1:33" ht="15.75" customHeight="1">
      <c r="A48" s="241" t="s">
        <v>408</v>
      </c>
      <c r="B48" s="77" t="s">
        <v>113</v>
      </c>
      <c r="C48" s="225" t="s">
        <v>164</v>
      </c>
      <c r="D48" s="226"/>
      <c r="E48" s="77">
        <v>51.44</v>
      </c>
      <c r="F48" s="109">
        <v>1041</v>
      </c>
      <c r="G48" s="116">
        <f t="shared" si="35"/>
        <v>53549.04</v>
      </c>
      <c r="H48" s="79" t="s">
        <v>115</v>
      </c>
      <c r="I48" s="125">
        <v>25</v>
      </c>
      <c r="J48" s="81">
        <v>2000</v>
      </c>
      <c r="K48" s="82">
        <f t="shared" si="1"/>
        <v>80</v>
      </c>
      <c r="L48" s="125">
        <v>25</v>
      </c>
      <c r="M48" s="83">
        <f t="shared" ref="M48:M53" si="39">F48/V48*60</f>
        <v>1951.875000000002</v>
      </c>
      <c r="N48" s="83">
        <f t="shared" si="3"/>
        <v>78.075000000000088</v>
      </c>
      <c r="O48" s="84">
        <f t="shared" si="4"/>
        <v>0</v>
      </c>
      <c r="P48" s="85">
        <f t="shared" si="5"/>
        <v>-1.9249999999999119</v>
      </c>
      <c r="Q48" s="121">
        <f t="shared" si="6"/>
        <v>0.97593750000000112</v>
      </c>
      <c r="R48" s="237"/>
      <c r="S48" s="88">
        <v>0.25416666666666665</v>
      </c>
      <c r="T48" s="88">
        <v>0.27638888888888885</v>
      </c>
      <c r="U48" s="116">
        <f t="shared" si="38"/>
        <v>4.9999999999999822</v>
      </c>
      <c r="V48" s="126">
        <f t="shared" si="37"/>
        <v>31.999999999999964</v>
      </c>
      <c r="W48" s="90"/>
      <c r="X48" s="90"/>
      <c r="Y48" s="94"/>
      <c r="Z48" s="94"/>
      <c r="AA48" s="232"/>
      <c r="AB48" s="232"/>
      <c r="AC48" s="93"/>
      <c r="AD48" s="93"/>
      <c r="AE48" s="84">
        <f t="shared" si="8"/>
        <v>-48.124999999997954</v>
      </c>
      <c r="AF48" s="121">
        <f t="shared" si="9"/>
        <v>0.97593750000000101</v>
      </c>
      <c r="AG48" s="237"/>
    </row>
    <row r="49" spans="1:33" ht="15.75" customHeight="1">
      <c r="A49" s="241" t="s">
        <v>408</v>
      </c>
      <c r="B49" s="77" t="s">
        <v>113</v>
      </c>
      <c r="C49" s="117" t="s">
        <v>165</v>
      </c>
      <c r="D49" s="118"/>
      <c r="E49" s="77">
        <v>56.43</v>
      </c>
      <c r="F49" s="109">
        <v>454</v>
      </c>
      <c r="G49" s="116">
        <f t="shared" si="35"/>
        <v>25619.22</v>
      </c>
      <c r="H49" s="79" t="s">
        <v>115</v>
      </c>
      <c r="I49" s="125">
        <v>23</v>
      </c>
      <c r="J49" s="81">
        <v>2000</v>
      </c>
      <c r="K49" s="82">
        <f t="shared" si="1"/>
        <v>86.956521739130437</v>
      </c>
      <c r="L49" s="125">
        <v>23</v>
      </c>
      <c r="M49" s="83">
        <f t="shared" si="39"/>
        <v>1945.7142857142817</v>
      </c>
      <c r="N49" s="83">
        <f t="shared" si="3"/>
        <v>84.596273291925286</v>
      </c>
      <c r="O49" s="84">
        <f t="shared" si="4"/>
        <v>0</v>
      </c>
      <c r="P49" s="85">
        <f t="shared" si="5"/>
        <v>-2.3602484472051515</v>
      </c>
      <c r="Q49" s="121">
        <f t="shared" si="6"/>
        <v>0.97285714285714076</v>
      </c>
      <c r="R49" s="237"/>
      <c r="S49" s="88">
        <v>0.27986111111111106</v>
      </c>
      <c r="T49" s="88">
        <v>0.2895833333333333</v>
      </c>
      <c r="U49" s="116">
        <f t="shared" si="38"/>
        <v>4.9999999999999822</v>
      </c>
      <c r="V49" s="126">
        <f t="shared" si="37"/>
        <v>14.00000000000003</v>
      </c>
      <c r="W49" s="90"/>
      <c r="X49" s="90"/>
      <c r="Y49" s="94"/>
      <c r="Z49" s="94"/>
      <c r="AA49" s="232"/>
      <c r="AB49" s="232"/>
      <c r="AC49" s="93"/>
      <c r="AD49" s="93"/>
      <c r="AE49" s="84">
        <f t="shared" si="8"/>
        <v>-54.285714285718313</v>
      </c>
      <c r="AF49" s="121">
        <f t="shared" si="9"/>
        <v>0.97285714285714087</v>
      </c>
      <c r="AG49" s="237"/>
    </row>
    <row r="50" spans="1:33" ht="15.75" customHeight="1">
      <c r="A50" s="241" t="s">
        <v>407</v>
      </c>
      <c r="B50" s="77" t="s">
        <v>113</v>
      </c>
      <c r="C50" s="117" t="s">
        <v>166</v>
      </c>
      <c r="D50" s="118"/>
      <c r="E50" s="77">
        <v>56.43</v>
      </c>
      <c r="F50" s="109">
        <v>1424</v>
      </c>
      <c r="G50" s="116">
        <f t="shared" si="35"/>
        <v>80356.319999999992</v>
      </c>
      <c r="H50" s="79" t="s">
        <v>115</v>
      </c>
      <c r="I50" s="125">
        <v>21</v>
      </c>
      <c r="J50" s="81">
        <v>2000</v>
      </c>
      <c r="K50" s="82">
        <f t="shared" si="1"/>
        <v>95.238095238095241</v>
      </c>
      <c r="L50" s="125">
        <v>21</v>
      </c>
      <c r="M50" s="83">
        <f t="shared" si="39"/>
        <v>1941.818181818182</v>
      </c>
      <c r="N50" s="83">
        <f t="shared" si="3"/>
        <v>92.467532467532479</v>
      </c>
      <c r="O50" s="84">
        <f t="shared" si="4"/>
        <v>0</v>
      </c>
      <c r="P50" s="85">
        <f t="shared" si="5"/>
        <v>-2.770562770562762</v>
      </c>
      <c r="Q50" s="121">
        <f t="shared" si="6"/>
        <v>0.97090909090909105</v>
      </c>
      <c r="R50" s="237"/>
      <c r="S50" s="88">
        <v>0.2944444444444444</v>
      </c>
      <c r="T50" s="88">
        <v>0.32499999999999996</v>
      </c>
      <c r="U50" s="116">
        <f t="shared" si="38"/>
        <v>6.9999999999999751</v>
      </c>
      <c r="V50" s="126">
        <f t="shared" si="37"/>
        <v>44</v>
      </c>
      <c r="W50" s="90"/>
      <c r="X50" s="90"/>
      <c r="Y50" s="94"/>
      <c r="Z50" s="94"/>
      <c r="AA50" s="232"/>
      <c r="AB50" s="232"/>
      <c r="AC50" s="93"/>
      <c r="AD50" s="93"/>
      <c r="AE50" s="84">
        <f t="shared" si="8"/>
        <v>-58.181818181818016</v>
      </c>
      <c r="AF50" s="121">
        <f t="shared" si="9"/>
        <v>0.97090909090909094</v>
      </c>
      <c r="AG50" s="237"/>
    </row>
    <row r="51" spans="1:33" ht="15.75" customHeight="1">
      <c r="A51" s="241" t="s">
        <v>408</v>
      </c>
      <c r="B51" s="77" t="s">
        <v>113</v>
      </c>
      <c r="C51" s="225" t="s">
        <v>167</v>
      </c>
      <c r="D51" s="226"/>
      <c r="E51" s="77">
        <v>55.56</v>
      </c>
      <c r="F51" s="109">
        <v>2514</v>
      </c>
      <c r="G51" s="116">
        <f t="shared" si="35"/>
        <v>139677.84</v>
      </c>
      <c r="H51" s="79" t="s">
        <v>115</v>
      </c>
      <c r="I51" s="125">
        <v>17</v>
      </c>
      <c r="J51" s="81">
        <v>2000</v>
      </c>
      <c r="K51" s="82">
        <f t="shared" si="1"/>
        <v>117.64705882352941</v>
      </c>
      <c r="L51" s="125">
        <v>17</v>
      </c>
      <c r="M51" s="83">
        <f t="shared" si="39"/>
        <v>1909.3670886075938</v>
      </c>
      <c r="N51" s="83">
        <f t="shared" si="3"/>
        <v>112.31571109456434</v>
      </c>
      <c r="O51" s="84">
        <f t="shared" si="4"/>
        <v>0</v>
      </c>
      <c r="P51" s="85">
        <f t="shared" si="5"/>
        <v>-5.3313477289650706</v>
      </c>
      <c r="Q51" s="121">
        <f t="shared" si="6"/>
        <v>0.95468354430379687</v>
      </c>
      <c r="R51" s="237"/>
      <c r="S51" s="88">
        <v>0.70833333333333337</v>
      </c>
      <c r="T51" s="88">
        <v>0.76319444444444451</v>
      </c>
      <c r="U51" s="116" t="str">
        <f t="shared" si="38"/>
        <v/>
      </c>
      <c r="V51" s="126">
        <f t="shared" si="37"/>
        <v>79.000000000000043</v>
      </c>
      <c r="W51" s="90"/>
      <c r="X51" s="90"/>
      <c r="Y51" s="94"/>
      <c r="Z51" s="94"/>
      <c r="AA51" s="227"/>
      <c r="AB51" s="228"/>
      <c r="AC51" s="93"/>
      <c r="AD51" s="93"/>
      <c r="AE51" s="84">
        <f t="shared" si="8"/>
        <v>-90.632911392406186</v>
      </c>
      <c r="AF51" s="121">
        <f t="shared" si="9"/>
        <v>0.95468354430379687</v>
      </c>
      <c r="AG51" s="237"/>
    </row>
    <row r="52" spans="1:33" ht="15.75" customHeight="1">
      <c r="A52" s="241" t="s">
        <v>408</v>
      </c>
      <c r="B52" s="77" t="s">
        <v>113</v>
      </c>
      <c r="C52" s="225" t="s">
        <v>168</v>
      </c>
      <c r="D52" s="226"/>
      <c r="E52" s="77">
        <v>58.17</v>
      </c>
      <c r="F52" s="109">
        <v>1691</v>
      </c>
      <c r="G52" s="116">
        <f t="shared" si="35"/>
        <v>98365.47</v>
      </c>
      <c r="H52" s="79" t="s">
        <v>115</v>
      </c>
      <c r="I52" s="125">
        <v>13</v>
      </c>
      <c r="J52" s="81">
        <v>2000</v>
      </c>
      <c r="K52" s="82">
        <f t="shared" si="1"/>
        <v>153.84615384615384</v>
      </c>
      <c r="L52" s="125">
        <v>13</v>
      </c>
      <c r="M52" s="83">
        <f t="shared" si="39"/>
        <v>1914.3396226415105</v>
      </c>
      <c r="N52" s="83">
        <f t="shared" si="3"/>
        <v>147.25689404934695</v>
      </c>
      <c r="O52" s="84">
        <f t="shared" si="4"/>
        <v>0</v>
      </c>
      <c r="P52" s="85">
        <f t="shared" si="5"/>
        <v>-6.5892597968068856</v>
      </c>
      <c r="Q52" s="121">
        <f t="shared" si="6"/>
        <v>0.95716981132075529</v>
      </c>
      <c r="R52" s="237"/>
      <c r="S52" s="88">
        <v>0.76736111111111116</v>
      </c>
      <c r="T52" s="88">
        <v>0.8041666666666667</v>
      </c>
      <c r="U52" s="116">
        <f t="shared" si="38"/>
        <v>5.9999999999999787</v>
      </c>
      <c r="V52" s="126">
        <f t="shared" si="37"/>
        <v>52.999999999999972</v>
      </c>
      <c r="W52" s="90"/>
      <c r="X52" s="90"/>
      <c r="Y52" s="94"/>
      <c r="Z52" s="94"/>
      <c r="AA52" s="227"/>
      <c r="AB52" s="228"/>
      <c r="AC52" s="93"/>
      <c r="AD52" s="93"/>
      <c r="AE52" s="84">
        <f t="shared" si="8"/>
        <v>-85.660377358489541</v>
      </c>
      <c r="AF52" s="121">
        <f t="shared" si="9"/>
        <v>0.95716981132075518</v>
      </c>
      <c r="AG52" s="237"/>
    </row>
    <row r="53" spans="1:33" ht="15.75" customHeight="1">
      <c r="A53" s="241" t="s">
        <v>409</v>
      </c>
      <c r="B53" s="77" t="s">
        <v>113</v>
      </c>
      <c r="C53" s="225" t="s">
        <v>169</v>
      </c>
      <c r="D53" s="226"/>
      <c r="E53" s="77">
        <v>54.09</v>
      </c>
      <c r="F53" s="109">
        <v>1091</v>
      </c>
      <c r="G53" s="116">
        <f t="shared" si="35"/>
        <v>59012.19</v>
      </c>
      <c r="H53" s="79" t="s">
        <v>115</v>
      </c>
      <c r="I53" s="125">
        <v>14</v>
      </c>
      <c r="J53" s="81">
        <v>2000</v>
      </c>
      <c r="K53" s="82">
        <f t="shared" si="1"/>
        <v>142.85714285714286</v>
      </c>
      <c r="L53" s="125">
        <v>14</v>
      </c>
      <c r="M53" s="83">
        <f t="shared" si="39"/>
        <v>1925.2941176470565</v>
      </c>
      <c r="N53" s="83">
        <f t="shared" si="3"/>
        <v>137.52100840336118</v>
      </c>
      <c r="O53" s="84">
        <f t="shared" si="4"/>
        <v>0</v>
      </c>
      <c r="P53" s="85">
        <f t="shared" si="5"/>
        <v>-5.3361344537816819</v>
      </c>
      <c r="Q53" s="121">
        <f t="shared" si="6"/>
        <v>0.96264705882352819</v>
      </c>
      <c r="R53" s="237"/>
      <c r="S53" s="88">
        <v>0.80972222222222223</v>
      </c>
      <c r="T53" s="88">
        <v>0.83333333333333337</v>
      </c>
      <c r="U53" s="116">
        <f t="shared" si="38"/>
        <v>7.9999999999999716</v>
      </c>
      <c r="V53" s="126">
        <f t="shared" si="37"/>
        <v>34.000000000000043</v>
      </c>
      <c r="W53" s="90"/>
      <c r="X53" s="90"/>
      <c r="Y53" s="94"/>
      <c r="Z53" s="94"/>
      <c r="AA53" s="227"/>
      <c r="AB53" s="228"/>
      <c r="AC53" s="93"/>
      <c r="AD53" s="93"/>
      <c r="AE53" s="84">
        <f t="shared" si="8"/>
        <v>-74.70588235294349</v>
      </c>
      <c r="AF53" s="121">
        <f t="shared" si="9"/>
        <v>0.9626470588235283</v>
      </c>
      <c r="AG53" s="237"/>
    </row>
    <row r="54" spans="1:33">
      <c r="A54" s="242" t="s">
        <v>407</v>
      </c>
      <c r="B54" s="77" t="s">
        <v>410</v>
      </c>
      <c r="C54" s="238"/>
      <c r="D54" s="238"/>
      <c r="E54" s="122"/>
      <c r="F54" s="97"/>
      <c r="G54" s="82"/>
      <c r="H54" s="130"/>
      <c r="I54" s="98">
        <v>18.25</v>
      </c>
      <c r="J54" s="81">
        <v>2000</v>
      </c>
      <c r="K54" s="82">
        <f t="shared" si="1"/>
        <v>109.58904109589041</v>
      </c>
      <c r="L54" s="98">
        <v>18.25</v>
      </c>
      <c r="M54" s="83">
        <f>AVERAGE(M46:M53)</f>
        <v>1930.897465625007</v>
      </c>
      <c r="N54" s="82">
        <f t="shared" si="3"/>
        <v>105.80260085616477</v>
      </c>
      <c r="O54" s="84">
        <f t="shared" si="4"/>
        <v>0</v>
      </c>
      <c r="P54" s="85">
        <f t="shared" si="5"/>
        <v>-3.7864402397256356</v>
      </c>
      <c r="Q54" s="121">
        <f t="shared" si="6"/>
        <v>0.96544873281250354</v>
      </c>
      <c r="R54" s="237"/>
      <c r="S54" s="88"/>
      <c r="T54" s="88"/>
      <c r="U54" s="116"/>
      <c r="V54" s="126"/>
      <c r="W54" s="82"/>
      <c r="X54" s="82"/>
      <c r="Y54" s="99">
        <f>SUM(Y46:Y53)</f>
        <v>0</v>
      </c>
      <c r="Z54" s="99">
        <f>SUM(Z46:Z53)</f>
        <v>0</v>
      </c>
      <c r="AA54" s="231"/>
      <c r="AB54" s="231"/>
      <c r="AC54" s="99">
        <v>8</v>
      </c>
      <c r="AD54" s="99">
        <f>SUM(AD46:AD53)</f>
        <v>0</v>
      </c>
      <c r="AE54" s="84">
        <f>M54-J54</f>
        <v>-69.102534374992956</v>
      </c>
      <c r="AF54" s="121">
        <f t="shared" si="9"/>
        <v>0.96544873281250354</v>
      </c>
      <c r="AG54" s="237"/>
    </row>
    <row r="55" spans="1:33" ht="15.75" customHeight="1">
      <c r="A55" s="239" t="s">
        <v>411</v>
      </c>
      <c r="B55" s="130" t="s">
        <v>157</v>
      </c>
      <c r="C55" s="233" t="s">
        <v>171</v>
      </c>
      <c r="D55" s="233"/>
      <c r="E55" s="77">
        <v>35.119999999999997</v>
      </c>
      <c r="F55" s="109">
        <v>4562</v>
      </c>
      <c r="G55" s="116">
        <f t="shared" ref="G55:G59" si="40">E55*F55</f>
        <v>160217.44</v>
      </c>
      <c r="H55" s="79" t="s">
        <v>115</v>
      </c>
      <c r="I55" s="125">
        <v>10</v>
      </c>
      <c r="J55" s="81">
        <v>3000</v>
      </c>
      <c r="K55" s="82">
        <f t="shared" si="1"/>
        <v>300</v>
      </c>
      <c r="L55" s="125">
        <v>10</v>
      </c>
      <c r="M55" s="83">
        <f t="shared" ref="M55:M59" si="41">F55/V55*60</f>
        <v>2851.2499999999995</v>
      </c>
      <c r="N55" s="82">
        <f t="shared" si="3"/>
        <v>285.12499999999994</v>
      </c>
      <c r="O55" s="84">
        <f t="shared" si="4"/>
        <v>0</v>
      </c>
      <c r="P55" s="85">
        <f t="shared" si="5"/>
        <v>-14.875000000000057</v>
      </c>
      <c r="Q55" s="121">
        <f t="shared" si="6"/>
        <v>0.95041666666666647</v>
      </c>
      <c r="R55" s="237">
        <f>Q60</f>
        <v>0.96346874757808254</v>
      </c>
      <c r="S55" s="88">
        <v>0.20833333333333334</v>
      </c>
      <c r="T55" s="88">
        <v>0.27500000000000002</v>
      </c>
      <c r="U55" s="116"/>
      <c r="V55" s="126">
        <f t="shared" ref="V55:V59" si="42">(T55-S55)*24*60</f>
        <v>96.000000000000014</v>
      </c>
      <c r="W55" s="90"/>
      <c r="X55" s="90"/>
      <c r="Y55" s="100"/>
      <c r="Z55" s="100"/>
      <c r="AA55" s="232"/>
      <c r="AB55" s="232"/>
      <c r="AC55" s="93">
        <v>5</v>
      </c>
      <c r="AD55" s="93"/>
      <c r="AE55" s="84">
        <f t="shared" ref="AE55:AE68" si="43">M55-J55</f>
        <v>-148.75000000000045</v>
      </c>
      <c r="AF55" s="121">
        <f t="shared" si="9"/>
        <v>0.95041666666666647</v>
      </c>
      <c r="AG55" s="237">
        <f>AF60</f>
        <v>0.96346874757808243</v>
      </c>
    </row>
    <row r="56" spans="1:33" ht="15.75" customHeight="1">
      <c r="A56" s="239" t="s">
        <v>412</v>
      </c>
      <c r="B56" s="130" t="s">
        <v>157</v>
      </c>
      <c r="C56" s="233" t="s">
        <v>172</v>
      </c>
      <c r="D56" s="233"/>
      <c r="E56" s="77">
        <v>26.78</v>
      </c>
      <c r="F56" s="109">
        <v>2098</v>
      </c>
      <c r="G56" s="116">
        <f t="shared" si="40"/>
        <v>56184.44</v>
      </c>
      <c r="H56" s="79" t="s">
        <v>115</v>
      </c>
      <c r="I56" s="125">
        <v>10</v>
      </c>
      <c r="J56" s="81">
        <v>3000</v>
      </c>
      <c r="K56" s="82">
        <f t="shared" si="1"/>
        <v>300</v>
      </c>
      <c r="L56" s="125">
        <v>10</v>
      </c>
      <c r="M56" s="83">
        <f t="shared" si="41"/>
        <v>2860.909090909091</v>
      </c>
      <c r="N56" s="82">
        <f t="shared" si="3"/>
        <v>286.09090909090912</v>
      </c>
      <c r="O56" s="84">
        <f t="shared" si="4"/>
        <v>0</v>
      </c>
      <c r="P56" s="85">
        <f t="shared" si="5"/>
        <v>-13.909090909090878</v>
      </c>
      <c r="Q56" s="121">
        <f t="shared" si="6"/>
        <v>0.95363636363636373</v>
      </c>
      <c r="R56" s="237"/>
      <c r="S56" s="88">
        <v>0.27847222222222223</v>
      </c>
      <c r="T56" s="88">
        <v>0.30902777777777779</v>
      </c>
      <c r="U56" s="116">
        <f t="shared" ref="U56:U59" si="44">(S56-T55)*24*60</f>
        <v>4.9999999999999822</v>
      </c>
      <c r="V56" s="126">
        <f t="shared" si="42"/>
        <v>44</v>
      </c>
      <c r="W56" s="116"/>
      <c r="X56" s="116"/>
      <c r="Y56" s="116"/>
      <c r="Z56" s="116"/>
      <c r="AA56" s="232"/>
      <c r="AB56" s="232"/>
      <c r="AC56" s="93"/>
      <c r="AD56" s="93"/>
      <c r="AE56" s="84">
        <f t="shared" si="43"/>
        <v>-139.09090909090901</v>
      </c>
      <c r="AF56" s="121">
        <f t="shared" si="9"/>
        <v>0.95363636363636362</v>
      </c>
      <c r="AG56" s="237"/>
    </row>
    <row r="57" spans="1:33" ht="15.75" customHeight="1">
      <c r="A57" s="239" t="s">
        <v>412</v>
      </c>
      <c r="B57" s="130" t="s">
        <v>157</v>
      </c>
      <c r="C57" s="233" t="s">
        <v>173</v>
      </c>
      <c r="D57" s="233"/>
      <c r="E57" s="77">
        <v>35.869999999999997</v>
      </c>
      <c r="F57" s="109">
        <v>2207</v>
      </c>
      <c r="G57" s="116">
        <f t="shared" si="40"/>
        <v>79165.09</v>
      </c>
      <c r="H57" s="79" t="s">
        <v>115</v>
      </c>
      <c r="I57" s="125">
        <v>10</v>
      </c>
      <c r="J57" s="81">
        <v>3000</v>
      </c>
      <c r="K57" s="82">
        <f t="shared" si="1"/>
        <v>300</v>
      </c>
      <c r="L57" s="125">
        <v>10</v>
      </c>
      <c r="M57" s="83">
        <f t="shared" si="41"/>
        <v>2878.695652173913</v>
      </c>
      <c r="N57" s="82">
        <f t="shared" si="3"/>
        <v>287.86956521739131</v>
      </c>
      <c r="O57" s="84">
        <f t="shared" si="4"/>
        <v>0</v>
      </c>
      <c r="P57" s="85">
        <f t="shared" si="5"/>
        <v>-12.130434782608688</v>
      </c>
      <c r="Q57" s="121">
        <f t="shared" si="6"/>
        <v>0.9595652173913044</v>
      </c>
      <c r="R57" s="237"/>
      <c r="S57" s="88">
        <v>0.31388888888888888</v>
      </c>
      <c r="T57" s="88">
        <v>0.34583333333333333</v>
      </c>
      <c r="U57" s="116">
        <f t="shared" si="44"/>
        <v>6.9999999999999751</v>
      </c>
      <c r="V57" s="126">
        <f t="shared" si="42"/>
        <v>46</v>
      </c>
      <c r="W57" s="116"/>
      <c r="X57" s="116"/>
      <c r="Y57" s="116"/>
      <c r="Z57" s="116"/>
      <c r="AA57" s="232"/>
      <c r="AB57" s="232"/>
      <c r="AC57" s="93"/>
      <c r="AD57" s="93"/>
      <c r="AE57" s="84">
        <f t="shared" si="43"/>
        <v>-121.304347826087</v>
      </c>
      <c r="AF57" s="121">
        <f t="shared" si="9"/>
        <v>0.95956521739130429</v>
      </c>
      <c r="AG57" s="237"/>
    </row>
    <row r="58" spans="1:33" ht="15.75" customHeight="1">
      <c r="A58" s="239" t="s">
        <v>412</v>
      </c>
      <c r="B58" s="130" t="s">
        <v>157</v>
      </c>
      <c r="C58" s="233" t="s">
        <v>174</v>
      </c>
      <c r="D58" s="233"/>
      <c r="E58" s="77">
        <v>35.869999999999997</v>
      </c>
      <c r="F58" s="109">
        <v>844</v>
      </c>
      <c r="G58" s="116">
        <f t="shared" si="40"/>
        <v>30274.28</v>
      </c>
      <c r="H58" s="79" t="s">
        <v>115</v>
      </c>
      <c r="I58" s="125">
        <v>9</v>
      </c>
      <c r="J58" s="81">
        <v>3000</v>
      </c>
      <c r="K58" s="82">
        <f t="shared" si="1"/>
        <v>333.33333333333331</v>
      </c>
      <c r="L58" s="125">
        <v>9</v>
      </c>
      <c r="M58" s="83">
        <f t="shared" si="41"/>
        <v>2978.8235294117608</v>
      </c>
      <c r="N58" s="82">
        <f t="shared" si="3"/>
        <v>330.98039215686231</v>
      </c>
      <c r="O58" s="84">
        <f t="shared" si="4"/>
        <v>0</v>
      </c>
      <c r="P58" s="85">
        <f t="shared" si="5"/>
        <v>-2.3529411764710062</v>
      </c>
      <c r="Q58" s="121">
        <f t="shared" si="6"/>
        <v>0.99294117647058699</v>
      </c>
      <c r="R58" s="237"/>
      <c r="S58" s="88">
        <v>0.35</v>
      </c>
      <c r="T58" s="88">
        <v>0.36180555555555555</v>
      </c>
      <c r="U58" s="116">
        <f t="shared" si="44"/>
        <v>5.9999999999999787</v>
      </c>
      <c r="V58" s="126">
        <f t="shared" si="42"/>
        <v>17.000000000000021</v>
      </c>
      <c r="W58" s="116"/>
      <c r="X58" s="116"/>
      <c r="Y58" s="116"/>
      <c r="Z58" s="116"/>
      <c r="AA58" s="232"/>
      <c r="AB58" s="232"/>
      <c r="AC58" s="93"/>
      <c r="AD58" s="93"/>
      <c r="AE58" s="84">
        <f t="shared" si="43"/>
        <v>-21.176470588239226</v>
      </c>
      <c r="AF58" s="121">
        <f t="shared" si="9"/>
        <v>0.99294117647058688</v>
      </c>
      <c r="AG58" s="237"/>
    </row>
    <row r="59" spans="1:33">
      <c r="A59" s="240" t="s">
        <v>412</v>
      </c>
      <c r="B59" s="130" t="s">
        <v>157</v>
      </c>
      <c r="C59" s="233" t="s">
        <v>175</v>
      </c>
      <c r="D59" s="233"/>
      <c r="E59" s="77">
        <v>33.770000000000003</v>
      </c>
      <c r="F59" s="109">
        <v>2450</v>
      </c>
      <c r="G59" s="116">
        <f t="shared" si="40"/>
        <v>82736.500000000015</v>
      </c>
      <c r="H59" s="79" t="s">
        <v>115</v>
      </c>
      <c r="I59" s="125">
        <v>12</v>
      </c>
      <c r="J59" s="81">
        <v>3000</v>
      </c>
      <c r="K59" s="82">
        <f t="shared" si="1"/>
        <v>250</v>
      </c>
      <c r="L59" s="125">
        <v>12</v>
      </c>
      <c r="M59" s="83">
        <f t="shared" si="41"/>
        <v>2882.3529411764721</v>
      </c>
      <c r="N59" s="82">
        <f t="shared" si="3"/>
        <v>240.19607843137268</v>
      </c>
      <c r="O59" s="84">
        <f t="shared" si="4"/>
        <v>0</v>
      </c>
      <c r="P59" s="85">
        <f t="shared" si="5"/>
        <v>-9.8039215686273167</v>
      </c>
      <c r="Q59" s="121">
        <f t="shared" si="6"/>
        <v>0.96078431372549078</v>
      </c>
      <c r="R59" s="237"/>
      <c r="S59" s="88">
        <v>0.3659722222222222</v>
      </c>
      <c r="T59" s="88">
        <v>0.40138888888888885</v>
      </c>
      <c r="U59" s="116">
        <f t="shared" si="44"/>
        <v>5.9999999999999787</v>
      </c>
      <c r="V59" s="126">
        <f t="shared" si="42"/>
        <v>50.999999999999979</v>
      </c>
      <c r="W59" s="90"/>
      <c r="X59" s="90"/>
      <c r="Y59" s="90"/>
      <c r="Z59" s="90"/>
      <c r="AA59" s="232"/>
      <c r="AB59" s="232"/>
      <c r="AC59" s="93"/>
      <c r="AD59" s="93"/>
      <c r="AE59" s="84">
        <f t="shared" si="43"/>
        <v>-117.64705882352791</v>
      </c>
      <c r="AF59" s="121">
        <f t="shared" si="9"/>
        <v>0.96078431372549067</v>
      </c>
      <c r="AG59" s="237"/>
    </row>
    <row r="60" spans="1:33">
      <c r="A60" s="240" t="s">
        <v>412</v>
      </c>
      <c r="B60" s="77" t="s">
        <v>380</v>
      </c>
      <c r="C60" s="238"/>
      <c r="D60" s="238"/>
      <c r="E60" s="122"/>
      <c r="F60" s="97"/>
      <c r="G60" s="82"/>
      <c r="H60" s="130"/>
      <c r="I60" s="98">
        <v>10.199999999999999</v>
      </c>
      <c r="J60" s="81">
        <v>3000</v>
      </c>
      <c r="K60" s="82">
        <f t="shared" si="1"/>
        <v>294.11764705882354</v>
      </c>
      <c r="L60" s="98">
        <v>10.199999999999999</v>
      </c>
      <c r="M60" s="83">
        <f>AVERAGE(M55:M59)</f>
        <v>2890.4062427342474</v>
      </c>
      <c r="N60" s="82">
        <f t="shared" si="3"/>
        <v>283.37316105237721</v>
      </c>
      <c r="O60" s="84">
        <f t="shared" si="4"/>
        <v>0</v>
      </c>
      <c r="P60" s="85">
        <f t="shared" si="5"/>
        <v>-10.744486006446323</v>
      </c>
      <c r="Q60" s="121">
        <f t="shared" si="6"/>
        <v>0.96346874757808254</v>
      </c>
      <c r="R60" s="237"/>
      <c r="S60" s="88"/>
      <c r="T60" s="88"/>
      <c r="U60" s="82"/>
      <c r="V60" s="126"/>
      <c r="W60" s="82"/>
      <c r="X60" s="82"/>
      <c r="Y60" s="99">
        <f>SUM(Y55:Y59)</f>
        <v>0</v>
      </c>
      <c r="Z60" s="99">
        <f>SUM(Z55:Z59)</f>
        <v>0</v>
      </c>
      <c r="AA60" s="231"/>
      <c r="AB60" s="231"/>
      <c r="AC60" s="99">
        <v>5</v>
      </c>
      <c r="AD60" s="99">
        <f>SUM(AD55:AD59)</f>
        <v>0</v>
      </c>
      <c r="AE60" s="84">
        <f t="shared" si="43"/>
        <v>-109.59375726575263</v>
      </c>
      <c r="AF60" s="121">
        <f t="shared" si="9"/>
        <v>0.96346874757808243</v>
      </c>
      <c r="AG60" s="237"/>
    </row>
    <row r="61" spans="1:33" ht="15.75" customHeight="1">
      <c r="A61" s="234" t="s">
        <v>413</v>
      </c>
      <c r="B61" s="130" t="s">
        <v>142</v>
      </c>
      <c r="C61" s="233" t="s">
        <v>177</v>
      </c>
      <c r="D61" s="233"/>
      <c r="E61" s="77">
        <v>19.02</v>
      </c>
      <c r="F61" s="130">
        <v>5100</v>
      </c>
      <c r="G61" s="116">
        <f t="shared" ref="G61:G67" si="45">E61*F61</f>
        <v>97002</v>
      </c>
      <c r="H61" s="79">
        <v>2</v>
      </c>
      <c r="I61" s="125">
        <v>14</v>
      </c>
      <c r="J61" s="81">
        <v>2400</v>
      </c>
      <c r="K61" s="82">
        <f t="shared" si="1"/>
        <v>171.42857142857142</v>
      </c>
      <c r="L61" s="125">
        <v>14</v>
      </c>
      <c r="M61" s="83">
        <f t="shared" ref="M61:M67" si="46">F61/V61*60</f>
        <v>2300.7518796992485</v>
      </c>
      <c r="N61" s="82">
        <f t="shared" si="3"/>
        <v>164.33941997851775</v>
      </c>
      <c r="O61" s="84">
        <f t="shared" si="4"/>
        <v>0</v>
      </c>
      <c r="P61" s="85">
        <f t="shared" si="5"/>
        <v>-7.089151450053663</v>
      </c>
      <c r="Q61" s="121">
        <f t="shared" si="6"/>
        <v>0.95864661654135364</v>
      </c>
      <c r="R61" s="237">
        <f>Q68</f>
        <v>0.95876157509522542</v>
      </c>
      <c r="S61" s="88">
        <v>8.3333333333333329E-2</v>
      </c>
      <c r="T61" s="88">
        <v>0.17569444444444443</v>
      </c>
      <c r="U61" s="100"/>
      <c r="V61" s="126">
        <f t="shared" ref="V61:V67" si="47">(T61-S61)*24*60</f>
        <v>132.99999999999997</v>
      </c>
      <c r="W61" s="90">
        <f>T61</f>
        <v>0.17569444444444443</v>
      </c>
      <c r="X61" s="90">
        <f>S62</f>
        <v>0.19652777777777777</v>
      </c>
      <c r="Y61" s="90"/>
      <c r="Z61" s="90"/>
      <c r="AA61" s="232"/>
      <c r="AB61" s="232"/>
      <c r="AC61" s="93">
        <v>7</v>
      </c>
      <c r="AD61" s="93"/>
      <c r="AE61" s="84">
        <f t="shared" si="43"/>
        <v>-99.248120300751452</v>
      </c>
      <c r="AF61" s="121">
        <f t="shared" si="9"/>
        <v>0.95864661654135352</v>
      </c>
      <c r="AG61" s="237">
        <f>AF68</f>
        <v>0.95876157509522553</v>
      </c>
    </row>
    <row r="62" spans="1:33" ht="15.75" customHeight="1">
      <c r="A62" s="235" t="s">
        <v>413</v>
      </c>
      <c r="B62" s="130" t="s">
        <v>142</v>
      </c>
      <c r="C62" s="233" t="s">
        <v>178</v>
      </c>
      <c r="D62" s="233"/>
      <c r="E62" s="77">
        <v>20.36</v>
      </c>
      <c r="F62" s="130">
        <v>3331</v>
      </c>
      <c r="G62" s="116">
        <f t="shared" si="45"/>
        <v>67819.16</v>
      </c>
      <c r="H62" s="79" t="s">
        <v>115</v>
      </c>
      <c r="I62" s="125">
        <v>17</v>
      </c>
      <c r="J62" s="81">
        <v>2400</v>
      </c>
      <c r="K62" s="82">
        <f t="shared" si="1"/>
        <v>141.1764705882353</v>
      </c>
      <c r="L62" s="125">
        <v>17</v>
      </c>
      <c r="M62" s="83">
        <f t="shared" si="46"/>
        <v>2297.2413793103456</v>
      </c>
      <c r="N62" s="82">
        <f t="shared" si="3"/>
        <v>135.13184584178504</v>
      </c>
      <c r="O62" s="84">
        <f t="shared" si="4"/>
        <v>0</v>
      </c>
      <c r="P62" s="85">
        <f t="shared" si="5"/>
        <v>-6.0446247464502676</v>
      </c>
      <c r="Q62" s="121">
        <f t="shared" si="6"/>
        <v>0.95718390804597731</v>
      </c>
      <c r="R62" s="237"/>
      <c r="S62" s="88">
        <v>0.19652777777777777</v>
      </c>
      <c r="T62" s="88">
        <v>0.25694444444444442</v>
      </c>
      <c r="U62" s="116">
        <f t="shared" ref="U62:U67" si="48">(S62-T61)*24*60</f>
        <v>30.000000000000014</v>
      </c>
      <c r="V62" s="126">
        <f t="shared" si="47"/>
        <v>86.999999999999972</v>
      </c>
      <c r="W62" s="90"/>
      <c r="X62" s="90"/>
      <c r="Y62" s="90"/>
      <c r="Z62" s="90"/>
      <c r="AA62" s="232"/>
      <c r="AB62" s="232"/>
      <c r="AC62" s="93"/>
      <c r="AD62" s="93"/>
      <c r="AE62" s="84">
        <f t="shared" si="43"/>
        <v>-102.75862068965444</v>
      </c>
      <c r="AF62" s="121">
        <f t="shared" si="9"/>
        <v>0.95718390804597731</v>
      </c>
      <c r="AG62" s="237"/>
    </row>
    <row r="63" spans="1:33" ht="15.75" customHeight="1">
      <c r="A63" s="235" t="s">
        <v>413</v>
      </c>
      <c r="B63" s="130" t="s">
        <v>142</v>
      </c>
      <c r="C63" s="233" t="s">
        <v>179</v>
      </c>
      <c r="D63" s="233"/>
      <c r="E63" s="77">
        <v>23.8</v>
      </c>
      <c r="F63" s="130">
        <v>1537</v>
      </c>
      <c r="G63" s="116">
        <f t="shared" si="45"/>
        <v>36580.6</v>
      </c>
      <c r="H63" s="79" t="s">
        <v>115</v>
      </c>
      <c r="I63" s="125">
        <v>16</v>
      </c>
      <c r="J63" s="81">
        <v>2400</v>
      </c>
      <c r="K63" s="82">
        <f t="shared" si="1"/>
        <v>150</v>
      </c>
      <c r="L63" s="125">
        <v>16</v>
      </c>
      <c r="M63" s="83">
        <f t="shared" si="46"/>
        <v>2305.4999999999991</v>
      </c>
      <c r="N63" s="82">
        <f t="shared" si="3"/>
        <v>144.09374999999994</v>
      </c>
      <c r="O63" s="84">
        <f t="shared" si="4"/>
        <v>0</v>
      </c>
      <c r="P63" s="85">
        <f t="shared" si="5"/>
        <v>-5.9062500000000568</v>
      </c>
      <c r="Q63" s="121">
        <f t="shared" si="6"/>
        <v>0.96062499999999962</v>
      </c>
      <c r="R63" s="237"/>
      <c r="S63" s="88">
        <v>0.26180555555555551</v>
      </c>
      <c r="T63" s="88">
        <v>0.2895833333333333</v>
      </c>
      <c r="U63" s="116">
        <f t="shared" si="48"/>
        <v>6.9999999999999751</v>
      </c>
      <c r="V63" s="126">
        <f t="shared" si="47"/>
        <v>40.000000000000014</v>
      </c>
      <c r="W63" s="90"/>
      <c r="X63" s="90"/>
      <c r="Y63" s="90"/>
      <c r="Z63" s="90"/>
      <c r="AA63" s="232"/>
      <c r="AB63" s="232"/>
      <c r="AC63" s="93"/>
      <c r="AD63" s="93"/>
      <c r="AE63" s="84">
        <f t="shared" si="43"/>
        <v>-94.500000000000909</v>
      </c>
      <c r="AF63" s="121">
        <f t="shared" si="9"/>
        <v>0.96062499999999962</v>
      </c>
      <c r="AG63" s="237"/>
    </row>
    <row r="64" spans="1:33" ht="15.75" customHeight="1">
      <c r="A64" s="235" t="s">
        <v>413</v>
      </c>
      <c r="B64" s="130" t="s">
        <v>142</v>
      </c>
      <c r="C64" s="233" t="s">
        <v>180</v>
      </c>
      <c r="D64" s="233"/>
      <c r="E64" s="77">
        <v>28.29</v>
      </c>
      <c r="F64" s="130">
        <v>1814</v>
      </c>
      <c r="G64" s="116">
        <f t="shared" si="45"/>
        <v>51318.06</v>
      </c>
      <c r="H64" s="79" t="s">
        <v>115</v>
      </c>
      <c r="I64" s="125">
        <v>19</v>
      </c>
      <c r="J64" s="81">
        <v>2400</v>
      </c>
      <c r="K64" s="82">
        <f t="shared" si="1"/>
        <v>126.31578947368421</v>
      </c>
      <c r="L64" s="125">
        <v>19</v>
      </c>
      <c r="M64" s="83">
        <f t="shared" si="46"/>
        <v>2315.744680851064</v>
      </c>
      <c r="N64" s="82">
        <f t="shared" si="3"/>
        <v>121.88129899216126</v>
      </c>
      <c r="O64" s="84">
        <f t="shared" si="4"/>
        <v>0</v>
      </c>
      <c r="P64" s="85">
        <f t="shared" si="5"/>
        <v>-4.4344904815229427</v>
      </c>
      <c r="Q64" s="121">
        <f t="shared" si="6"/>
        <v>0.96489361702127674</v>
      </c>
      <c r="R64" s="237"/>
      <c r="S64" s="88">
        <v>0.29305555555555551</v>
      </c>
      <c r="T64" s="88">
        <v>0.3256944444444444</v>
      </c>
      <c r="U64" s="116">
        <f t="shared" si="48"/>
        <v>4.9999999999999822</v>
      </c>
      <c r="V64" s="126">
        <f t="shared" si="47"/>
        <v>46.999999999999993</v>
      </c>
      <c r="W64" s="90"/>
      <c r="X64" s="90"/>
      <c r="Y64" s="90"/>
      <c r="Z64" s="90"/>
      <c r="AA64" s="232"/>
      <c r="AB64" s="232"/>
      <c r="AC64" s="93"/>
      <c r="AD64" s="93"/>
      <c r="AE64" s="84">
        <f t="shared" si="43"/>
        <v>-84.255319148935996</v>
      </c>
      <c r="AF64" s="121">
        <f t="shared" si="9"/>
        <v>0.96489361702127663</v>
      </c>
      <c r="AG64" s="237"/>
    </row>
    <row r="65" spans="1:33" ht="15.75" customHeight="1">
      <c r="A65" s="235" t="s">
        <v>413</v>
      </c>
      <c r="B65" s="130" t="s">
        <v>142</v>
      </c>
      <c r="C65" s="233" t="s">
        <v>181</v>
      </c>
      <c r="D65" s="233"/>
      <c r="E65" s="77">
        <v>25.98</v>
      </c>
      <c r="F65" s="130">
        <v>1157</v>
      </c>
      <c r="G65" s="116">
        <f t="shared" si="45"/>
        <v>30058.86</v>
      </c>
      <c r="H65" s="79" t="s">
        <v>115</v>
      </c>
      <c r="I65" s="125">
        <v>17</v>
      </c>
      <c r="J65" s="81">
        <v>2400</v>
      </c>
      <c r="K65" s="82">
        <f t="shared" si="1"/>
        <v>141.1764705882353</v>
      </c>
      <c r="L65" s="125">
        <v>17</v>
      </c>
      <c r="M65" s="83">
        <f t="shared" si="46"/>
        <v>2314.0000000000023</v>
      </c>
      <c r="N65" s="82">
        <f t="shared" si="3"/>
        <v>136.11764705882365</v>
      </c>
      <c r="O65" s="84">
        <f t="shared" si="4"/>
        <v>0</v>
      </c>
      <c r="P65" s="85">
        <f t="shared" si="5"/>
        <v>-5.0588235294116544</v>
      </c>
      <c r="Q65" s="121">
        <f t="shared" si="6"/>
        <v>0.9641666666666675</v>
      </c>
      <c r="R65" s="237"/>
      <c r="S65" s="88">
        <v>0.33055555555555549</v>
      </c>
      <c r="T65" s="88">
        <v>0.35138888888888881</v>
      </c>
      <c r="U65" s="116">
        <f t="shared" si="48"/>
        <v>6.9999999999999751</v>
      </c>
      <c r="V65" s="126">
        <f t="shared" si="47"/>
        <v>29.999999999999972</v>
      </c>
      <c r="W65" s="90"/>
      <c r="X65" s="90"/>
      <c r="Y65" s="90"/>
      <c r="Z65" s="90"/>
      <c r="AA65" s="232"/>
      <c r="AB65" s="232"/>
      <c r="AC65" s="93"/>
      <c r="AD65" s="93"/>
      <c r="AE65" s="84">
        <f t="shared" si="43"/>
        <v>-85.999999999997726</v>
      </c>
      <c r="AF65" s="121">
        <f t="shared" si="9"/>
        <v>0.96416666666666762</v>
      </c>
      <c r="AG65" s="237"/>
    </row>
    <row r="66" spans="1:33" ht="15.75" customHeight="1">
      <c r="A66" s="235" t="s">
        <v>413</v>
      </c>
      <c r="B66" s="130" t="s">
        <v>142</v>
      </c>
      <c r="C66" s="233" t="s">
        <v>182</v>
      </c>
      <c r="D66" s="233"/>
      <c r="E66" s="77">
        <v>20.51</v>
      </c>
      <c r="F66" s="130">
        <v>6998</v>
      </c>
      <c r="G66" s="116">
        <f t="shared" si="45"/>
        <v>143528.98000000001</v>
      </c>
      <c r="H66" s="79" t="s">
        <v>115</v>
      </c>
      <c r="I66" s="125">
        <v>14</v>
      </c>
      <c r="J66" s="81">
        <v>2400</v>
      </c>
      <c r="K66" s="82">
        <f t="shared" si="1"/>
        <v>171.42857142857142</v>
      </c>
      <c r="L66" s="125">
        <v>14</v>
      </c>
      <c r="M66" s="83">
        <f t="shared" si="46"/>
        <v>2281.95652173913</v>
      </c>
      <c r="N66" s="82">
        <f t="shared" si="3"/>
        <v>162.99689440993785</v>
      </c>
      <c r="O66" s="84">
        <f t="shared" si="4"/>
        <v>0</v>
      </c>
      <c r="P66" s="85">
        <f t="shared" si="5"/>
        <v>-8.4316770186335646</v>
      </c>
      <c r="Q66" s="121">
        <f t="shared" si="6"/>
        <v>0.95081521739130426</v>
      </c>
      <c r="R66" s="237"/>
      <c r="S66" s="88">
        <v>0.35486111111111102</v>
      </c>
      <c r="T66" s="88">
        <v>0.48263888888888884</v>
      </c>
      <c r="U66" s="116">
        <f t="shared" si="48"/>
        <v>4.9999999999999822</v>
      </c>
      <c r="V66" s="126">
        <f t="shared" si="47"/>
        <v>184.00000000000006</v>
      </c>
      <c r="W66" s="90">
        <f>T66</f>
        <v>0.48263888888888884</v>
      </c>
      <c r="X66" s="90">
        <f>S67</f>
        <v>0.52083333333333326</v>
      </c>
      <c r="Y66" s="90"/>
      <c r="Z66" s="90"/>
      <c r="AA66" s="232"/>
      <c r="AB66" s="232"/>
      <c r="AC66" s="93"/>
      <c r="AD66" s="93"/>
      <c r="AE66" s="84">
        <f t="shared" si="43"/>
        <v>-118.04347826086996</v>
      </c>
      <c r="AF66" s="121">
        <f t="shared" si="9"/>
        <v>0.95081521739130415</v>
      </c>
      <c r="AG66" s="237"/>
    </row>
    <row r="67" spans="1:33" ht="15.75" customHeight="1">
      <c r="A67" s="235" t="s">
        <v>413</v>
      </c>
      <c r="B67" s="130" t="s">
        <v>142</v>
      </c>
      <c r="C67" s="225" t="s">
        <v>177</v>
      </c>
      <c r="D67" s="226"/>
      <c r="E67" s="77">
        <v>19.02</v>
      </c>
      <c r="F67" s="130">
        <v>4202</v>
      </c>
      <c r="G67" s="116">
        <f t="shared" si="45"/>
        <v>79922.039999999994</v>
      </c>
      <c r="H67" s="79" t="s">
        <v>115</v>
      </c>
      <c r="I67" s="125">
        <v>14</v>
      </c>
      <c r="J67" s="81">
        <v>2400</v>
      </c>
      <c r="K67" s="82">
        <f t="shared" si="1"/>
        <v>171.42857142857142</v>
      </c>
      <c r="L67" s="125">
        <v>14</v>
      </c>
      <c r="M67" s="83">
        <f t="shared" si="46"/>
        <v>2292.0000000000014</v>
      </c>
      <c r="N67" s="82">
        <f t="shared" si="3"/>
        <v>163.71428571428581</v>
      </c>
      <c r="O67" s="84">
        <f t="shared" si="4"/>
        <v>0</v>
      </c>
      <c r="P67" s="85">
        <f t="shared" si="5"/>
        <v>-7.7142857142856087</v>
      </c>
      <c r="Q67" s="121">
        <f t="shared" si="6"/>
        <v>0.95500000000000063</v>
      </c>
      <c r="R67" s="237"/>
      <c r="S67" s="88">
        <v>0.52083333333333326</v>
      </c>
      <c r="T67" s="88">
        <v>0.5972222222222221</v>
      </c>
      <c r="U67" s="116">
        <f t="shared" si="48"/>
        <v>54.999999999999964</v>
      </c>
      <c r="V67" s="126">
        <f t="shared" si="47"/>
        <v>109.99999999999993</v>
      </c>
      <c r="W67" s="90"/>
      <c r="X67" s="90"/>
      <c r="Y67" s="94"/>
      <c r="Z67" s="94"/>
      <c r="AA67" s="227"/>
      <c r="AB67" s="228"/>
      <c r="AC67" s="93"/>
      <c r="AD67" s="93"/>
      <c r="AE67" s="84">
        <f t="shared" si="43"/>
        <v>-107.99999999999864</v>
      </c>
      <c r="AF67" s="121">
        <f t="shared" si="9"/>
        <v>0.95500000000000052</v>
      </c>
      <c r="AG67" s="237"/>
    </row>
    <row r="68" spans="1:33" ht="16.5" customHeight="1">
      <c r="A68" s="236" t="s">
        <v>413</v>
      </c>
      <c r="B68" s="77" t="s">
        <v>380</v>
      </c>
      <c r="C68" s="229"/>
      <c r="D68" s="230"/>
      <c r="E68" s="122"/>
      <c r="F68" s="97"/>
      <c r="G68" s="82"/>
      <c r="H68" s="130"/>
      <c r="I68" s="98">
        <v>15.857142857142858</v>
      </c>
      <c r="J68" s="81">
        <v>2400</v>
      </c>
      <c r="K68" s="82">
        <f t="shared" si="1"/>
        <v>151.35135135135135</v>
      </c>
      <c r="L68" s="98">
        <v>15.857142857142858</v>
      </c>
      <c r="M68" s="83">
        <f>AVERAGE(M61:M67)</f>
        <v>2301.0277802285414</v>
      </c>
      <c r="N68" s="82">
        <f t="shared" si="3"/>
        <v>145.1098600144125</v>
      </c>
      <c r="O68" s="84">
        <f t="shared" si="4"/>
        <v>0</v>
      </c>
      <c r="P68" s="85">
        <f t="shared" si="5"/>
        <v>-6.2414913369388501</v>
      </c>
      <c r="Q68" s="121">
        <f t="shared" si="6"/>
        <v>0.95876157509522542</v>
      </c>
      <c r="R68" s="237"/>
      <c r="S68" s="88"/>
      <c r="T68" s="88"/>
      <c r="U68" s="82"/>
      <c r="V68" s="126"/>
      <c r="W68" s="82"/>
      <c r="X68" s="82"/>
      <c r="Y68" s="99">
        <f>SUM(Y61:Y67)</f>
        <v>0</v>
      </c>
      <c r="Z68" s="99">
        <f>SUM(Z61:Z67)</f>
        <v>0</v>
      </c>
      <c r="AA68" s="231"/>
      <c r="AB68" s="231"/>
      <c r="AC68" s="99">
        <v>7</v>
      </c>
      <c r="AD68" s="99">
        <f>SUM(AD61:AD67)</f>
        <v>0</v>
      </c>
      <c r="AE68" s="84">
        <f t="shared" si="43"/>
        <v>-98.97221977145864</v>
      </c>
      <c r="AF68" s="121">
        <f t="shared" si="9"/>
        <v>0.95876157509522553</v>
      </c>
      <c r="AG68" s="237"/>
    </row>
    <row r="69" spans="1:33">
      <c r="D69" s="112"/>
      <c r="E69" s="112"/>
    </row>
  </sheetData>
  <mergeCells count="18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8"/>
    <mergeCell ref="AA12:AB12"/>
    <mergeCell ref="AG12:AG18"/>
    <mergeCell ref="C16:D16"/>
    <mergeCell ref="AA16:AB16"/>
    <mergeCell ref="C18:D18"/>
    <mergeCell ref="AA18:AB18"/>
    <mergeCell ref="A19:A26"/>
    <mergeCell ref="C19:D19"/>
    <mergeCell ref="R19:R26"/>
    <mergeCell ref="AA19:AB19"/>
    <mergeCell ref="AA24:AB24"/>
    <mergeCell ref="C25:D25"/>
    <mergeCell ref="A12:A18"/>
    <mergeCell ref="AG19:AG26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5:AB25"/>
    <mergeCell ref="C26:D26"/>
    <mergeCell ref="AA26:AB26"/>
    <mergeCell ref="C13:D13"/>
    <mergeCell ref="AA13:AB13"/>
    <mergeCell ref="C14:D14"/>
    <mergeCell ref="AA14:AB14"/>
    <mergeCell ref="A27:A34"/>
    <mergeCell ref="C27:D27"/>
    <mergeCell ref="R27:R34"/>
    <mergeCell ref="AA27:AB27"/>
    <mergeCell ref="AA32:AB32"/>
    <mergeCell ref="C33:D33"/>
    <mergeCell ref="AA33:AB33"/>
    <mergeCell ref="AG27:AG34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C34:D34"/>
    <mergeCell ref="AA34:AB34"/>
    <mergeCell ref="A35:A41"/>
    <mergeCell ref="C35:D35"/>
    <mergeCell ref="R35:R41"/>
    <mergeCell ref="AA35:AB35"/>
    <mergeCell ref="AA40:AB40"/>
    <mergeCell ref="C41:D41"/>
    <mergeCell ref="AA41:AB41"/>
    <mergeCell ref="AG35:AG41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AG46:AG54"/>
    <mergeCell ref="C47:D47"/>
    <mergeCell ref="AA47:AB47"/>
    <mergeCell ref="C48:D48"/>
    <mergeCell ref="AA48:AB48"/>
    <mergeCell ref="A42:A45"/>
    <mergeCell ref="C42:D42"/>
    <mergeCell ref="R42:R45"/>
    <mergeCell ref="AA42:AB42"/>
    <mergeCell ref="AG42:AG45"/>
    <mergeCell ref="C43:D43"/>
    <mergeCell ref="AA43:AB43"/>
    <mergeCell ref="C44:D44"/>
    <mergeCell ref="AA44:AB44"/>
    <mergeCell ref="C45:D45"/>
    <mergeCell ref="AA49:AB49"/>
    <mergeCell ref="AA50:AB50"/>
    <mergeCell ref="C51:D51"/>
    <mergeCell ref="AA51:AB51"/>
    <mergeCell ref="C52:D52"/>
    <mergeCell ref="AA52:AB52"/>
    <mergeCell ref="AA45:AB45"/>
    <mergeCell ref="A46:A54"/>
    <mergeCell ref="C46:D46"/>
    <mergeCell ref="R46:R54"/>
    <mergeCell ref="AA46:AB46"/>
    <mergeCell ref="C53:D53"/>
    <mergeCell ref="AA53:AB53"/>
    <mergeCell ref="C54:D54"/>
    <mergeCell ref="AA54:AB54"/>
    <mergeCell ref="A55:A60"/>
    <mergeCell ref="C55:D55"/>
    <mergeCell ref="R55:R60"/>
    <mergeCell ref="AA55:AB55"/>
    <mergeCell ref="AA60:AB60"/>
    <mergeCell ref="AG55:AG60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C60:D60"/>
    <mergeCell ref="A61:A68"/>
    <mergeCell ref="C61:D61"/>
    <mergeCell ref="R61:R68"/>
    <mergeCell ref="AA61:AB61"/>
    <mergeCell ref="AG61:AG68"/>
    <mergeCell ref="C62:D62"/>
    <mergeCell ref="AA62:AB62"/>
    <mergeCell ref="C63:D63"/>
    <mergeCell ref="AA63:AB63"/>
    <mergeCell ref="C64:D64"/>
    <mergeCell ref="C68:D68"/>
    <mergeCell ref="AA68:AB68"/>
    <mergeCell ref="AA64:AB64"/>
    <mergeCell ref="C65:D65"/>
    <mergeCell ref="AA65:AB65"/>
    <mergeCell ref="C66:D66"/>
    <mergeCell ref="AA66:AB66"/>
    <mergeCell ref="C67:D67"/>
    <mergeCell ref="AA67:AB67"/>
  </mergeCells>
  <phoneticPr fontId="2" type="noConversion"/>
  <conditionalFormatting sqref="O58:O66 O54:O55 O68 O5:O9 O11:O13 O18:O51">
    <cfRule type="cellIs" dxfId="257" priority="53" operator="greaterThan">
      <formula>0</formula>
    </cfRule>
  </conditionalFormatting>
  <conditionalFormatting sqref="P5:P7 P58:P59 AE58:AE59 P61:P66 P27:P33 P55 P9 P11:P13 P19:P25 P46:P51 P35:P44 AE5:AE55 AE61:AE68">
    <cfRule type="cellIs" dxfId="256" priority="57" operator="lessThan">
      <formula>0</formula>
    </cfRule>
  </conditionalFormatting>
  <conditionalFormatting sqref="AF58:AF59 Q58:Q66 Q54:Q55 Q68 Q5:Q9 Q11:Q13 Q18:Q51 AF5:AF55 AF61:AF68">
    <cfRule type="cellIs" dxfId="255" priority="54" operator="greaterThan">
      <formula>1</formula>
    </cfRule>
    <cfRule type="cellIs" dxfId="254" priority="55" operator="lessThan">
      <formula>0.8</formula>
    </cfRule>
  </conditionalFormatting>
  <conditionalFormatting sqref="AG12:AG13 R12:R13 AG58 R58:R66 R18:R24 AG18:AG24 AG54:AG55 R54:R55 R68 AG5:AG9 R5:R9 AG26:AG51 R26:R51">
    <cfRule type="cellIs" dxfId="253" priority="59" operator="lessThan">
      <formula>0.8</formula>
    </cfRule>
  </conditionalFormatting>
  <conditionalFormatting sqref="AG42">
    <cfRule type="cellIs" dxfId="252" priority="61" operator="lessThan">
      <formula>0.8</formula>
    </cfRule>
  </conditionalFormatting>
  <conditionalFormatting sqref="AG19:AG24">
    <cfRule type="cellIs" dxfId="251" priority="58" operator="lessThan">
      <formula>0.8</formula>
    </cfRule>
  </conditionalFormatting>
  <conditionalFormatting sqref="AG27">
    <cfRule type="cellIs" dxfId="250" priority="60" operator="lessThan">
      <formula>0.8</formula>
    </cfRule>
  </conditionalFormatting>
  <conditionalFormatting sqref="AG35:AG40">
    <cfRule type="cellIs" dxfId="249" priority="56" operator="lessThan">
      <formula>0.8</formula>
    </cfRule>
  </conditionalFormatting>
  <conditionalFormatting sqref="AE60">
    <cfRule type="cellIs" dxfId="248" priority="52" operator="lessThan">
      <formula>0</formula>
    </cfRule>
  </conditionalFormatting>
  <conditionalFormatting sqref="AF60">
    <cfRule type="cellIs" dxfId="247" priority="50" operator="greaterThan">
      <formula>1</formula>
    </cfRule>
    <cfRule type="cellIs" dxfId="246" priority="51" operator="lessThan">
      <formula>0.8</formula>
    </cfRule>
  </conditionalFormatting>
  <conditionalFormatting sqref="O14:O15">
    <cfRule type="cellIs" dxfId="245" priority="45" operator="greaterThan">
      <formula>0</formula>
    </cfRule>
  </conditionalFormatting>
  <conditionalFormatting sqref="P14:P15">
    <cfRule type="cellIs" dxfId="244" priority="48" operator="lessThan">
      <formula>0</formula>
    </cfRule>
  </conditionalFormatting>
  <conditionalFormatting sqref="Q14:Q15">
    <cfRule type="cellIs" dxfId="243" priority="46" operator="greaterThan">
      <formula>1</formula>
    </cfRule>
    <cfRule type="cellIs" dxfId="242" priority="47" operator="lessThan">
      <formula>0.8</formula>
    </cfRule>
  </conditionalFormatting>
  <conditionalFormatting sqref="R14:R15 AG14:AG15">
    <cfRule type="cellIs" dxfId="241" priority="49" operator="lessThan">
      <formula>0.8</formula>
    </cfRule>
  </conditionalFormatting>
  <conditionalFormatting sqref="O10">
    <cfRule type="cellIs" dxfId="240" priority="41" operator="greaterThan">
      <formula>0</formula>
    </cfRule>
  </conditionalFormatting>
  <conditionalFormatting sqref="P10">
    <cfRule type="cellIs" dxfId="239" priority="44" operator="lessThan">
      <formula>0</formula>
    </cfRule>
  </conditionalFormatting>
  <conditionalFormatting sqref="Q10">
    <cfRule type="cellIs" dxfId="238" priority="42" operator="greaterThan">
      <formula>1</formula>
    </cfRule>
    <cfRule type="cellIs" dxfId="237" priority="43" operator="lessThan">
      <formula>0.8</formula>
    </cfRule>
  </conditionalFormatting>
  <conditionalFormatting sqref="O52">
    <cfRule type="cellIs" dxfId="236" priority="36" operator="greaterThan">
      <formula>0</formula>
    </cfRule>
  </conditionalFormatting>
  <conditionalFormatting sqref="P52">
    <cfRule type="cellIs" dxfId="235" priority="39" operator="lessThan">
      <formula>0</formula>
    </cfRule>
  </conditionalFormatting>
  <conditionalFormatting sqref="Q52">
    <cfRule type="cellIs" dxfId="234" priority="37" operator="greaterThan">
      <formula>1</formula>
    </cfRule>
    <cfRule type="cellIs" dxfId="233" priority="38" operator="lessThan">
      <formula>0.8</formula>
    </cfRule>
  </conditionalFormatting>
  <conditionalFormatting sqref="R52 AG52">
    <cfRule type="cellIs" dxfId="232" priority="40" operator="lessThan">
      <formula>0.8</formula>
    </cfRule>
  </conditionalFormatting>
  <conditionalFormatting sqref="O57">
    <cfRule type="cellIs" dxfId="231" priority="31" operator="greaterThan">
      <formula>0</formula>
    </cfRule>
  </conditionalFormatting>
  <conditionalFormatting sqref="P57 AE57">
    <cfRule type="cellIs" dxfId="230" priority="34" operator="lessThan">
      <formula>0</formula>
    </cfRule>
  </conditionalFormatting>
  <conditionalFormatting sqref="Q57 AF57">
    <cfRule type="cellIs" dxfId="229" priority="32" operator="greaterThan">
      <formula>1</formula>
    </cfRule>
    <cfRule type="cellIs" dxfId="228" priority="33" operator="lessThan">
      <formula>0.8</formula>
    </cfRule>
  </conditionalFormatting>
  <conditionalFormatting sqref="R57 AG57">
    <cfRule type="cellIs" dxfId="227" priority="35" operator="lessThan">
      <formula>0.8</formula>
    </cfRule>
  </conditionalFormatting>
  <conditionalFormatting sqref="O67">
    <cfRule type="cellIs" dxfId="226" priority="26" operator="greaterThan">
      <formula>0</formula>
    </cfRule>
  </conditionalFormatting>
  <conditionalFormatting sqref="P67">
    <cfRule type="cellIs" dxfId="225" priority="29" operator="lessThan">
      <formula>0</formula>
    </cfRule>
  </conditionalFormatting>
  <conditionalFormatting sqref="Q67">
    <cfRule type="cellIs" dxfId="224" priority="27" operator="greaterThan">
      <formula>1</formula>
    </cfRule>
    <cfRule type="cellIs" dxfId="223" priority="28" operator="lessThan">
      <formula>0.8</formula>
    </cfRule>
  </conditionalFormatting>
  <conditionalFormatting sqref="R67">
    <cfRule type="cellIs" dxfId="222" priority="30" operator="lessThan">
      <formula>0.8</formula>
    </cfRule>
  </conditionalFormatting>
  <conditionalFormatting sqref="O16:O17">
    <cfRule type="cellIs" dxfId="221" priority="21" operator="greaterThan">
      <formula>0</formula>
    </cfRule>
  </conditionalFormatting>
  <conditionalFormatting sqref="P16:P17">
    <cfRule type="cellIs" dxfId="220" priority="24" operator="lessThan">
      <formula>0</formula>
    </cfRule>
  </conditionalFormatting>
  <conditionalFormatting sqref="Q16:Q17">
    <cfRule type="cellIs" dxfId="219" priority="22" operator="greaterThan">
      <formula>1</formula>
    </cfRule>
    <cfRule type="cellIs" dxfId="218" priority="23" operator="lessThan">
      <formula>0.8</formula>
    </cfRule>
  </conditionalFormatting>
  <conditionalFormatting sqref="R16:R17 AG16:AG17">
    <cfRule type="cellIs" dxfId="217" priority="25" operator="lessThan">
      <formula>0.8</formula>
    </cfRule>
  </conditionalFormatting>
  <conditionalFormatting sqref="O53">
    <cfRule type="cellIs" dxfId="216" priority="16" operator="greaterThan">
      <formula>0</formula>
    </cfRule>
  </conditionalFormatting>
  <conditionalFormatting sqref="P53">
    <cfRule type="cellIs" dxfId="215" priority="19" operator="lessThan">
      <formula>0</formula>
    </cfRule>
  </conditionalFormatting>
  <conditionalFormatting sqref="Q53">
    <cfRule type="cellIs" dxfId="214" priority="17" operator="greaterThan">
      <formula>1</formula>
    </cfRule>
    <cfRule type="cellIs" dxfId="213" priority="18" operator="lessThan">
      <formula>0.8</formula>
    </cfRule>
  </conditionalFormatting>
  <conditionalFormatting sqref="AG53 R53">
    <cfRule type="cellIs" dxfId="212" priority="20" operator="lessThan">
      <formula>0.8</formula>
    </cfRule>
  </conditionalFormatting>
  <conditionalFormatting sqref="R25 AG25">
    <cfRule type="cellIs" dxfId="211" priority="15" operator="lessThan">
      <formula>0.8</formula>
    </cfRule>
  </conditionalFormatting>
  <conditionalFormatting sqref="AG25">
    <cfRule type="cellIs" dxfId="210" priority="14" operator="lessThan">
      <formula>0.8</formula>
    </cfRule>
  </conditionalFormatting>
  <conditionalFormatting sqref="O56">
    <cfRule type="cellIs" dxfId="209" priority="9" operator="greaterThan">
      <formula>0</formula>
    </cfRule>
  </conditionalFormatting>
  <conditionalFormatting sqref="P56 AE56">
    <cfRule type="cellIs" dxfId="208" priority="12" operator="lessThan">
      <formula>0</formula>
    </cfRule>
  </conditionalFormatting>
  <conditionalFormatting sqref="Q56 AF56">
    <cfRule type="cellIs" dxfId="207" priority="10" operator="greaterThan">
      <formula>1</formula>
    </cfRule>
    <cfRule type="cellIs" dxfId="206" priority="11" operator="lessThan">
      <formula>0.8</formula>
    </cfRule>
  </conditionalFormatting>
  <conditionalFormatting sqref="R56 AG56">
    <cfRule type="cellIs" dxfId="205" priority="13" operator="lessThan">
      <formula>0.8</formula>
    </cfRule>
  </conditionalFormatting>
  <conditionalFormatting sqref="P8">
    <cfRule type="cellIs" dxfId="204" priority="8" operator="lessThan">
      <formula>0</formula>
    </cfRule>
  </conditionalFormatting>
  <conditionalFormatting sqref="P18">
    <cfRule type="cellIs" dxfId="203" priority="7" operator="lessThan">
      <formula>0</formula>
    </cfRule>
  </conditionalFormatting>
  <conditionalFormatting sqref="P26">
    <cfRule type="cellIs" dxfId="202" priority="6" operator="lessThan">
      <formula>0</formula>
    </cfRule>
  </conditionalFormatting>
  <conditionalFormatting sqref="P34">
    <cfRule type="cellIs" dxfId="201" priority="5" operator="lessThan">
      <formula>0</formula>
    </cfRule>
  </conditionalFormatting>
  <conditionalFormatting sqref="P45">
    <cfRule type="cellIs" dxfId="200" priority="4" operator="lessThan">
      <formula>0</formula>
    </cfRule>
  </conditionalFormatting>
  <conditionalFormatting sqref="P54">
    <cfRule type="cellIs" dxfId="199" priority="3" operator="lessThan">
      <formula>0</formula>
    </cfRule>
  </conditionalFormatting>
  <conditionalFormatting sqref="P60">
    <cfRule type="cellIs" dxfId="198" priority="2" operator="lessThan">
      <formula>0</formula>
    </cfRule>
  </conditionalFormatting>
  <conditionalFormatting sqref="P68">
    <cfRule type="cellIs" dxfId="197" priority="1" operator="lessThan">
      <formula>0</formula>
    </cfRule>
  </conditionalFormatting>
  <dataValidations count="1">
    <dataValidation type="list" allowBlank="1" showInputMessage="1" showErrorMessage="1" sqref="AB8 AA5:AB7 AB59 AA8:AA59 AB10:AB55 AA60:AB68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3" sqref="I3:J3"/>
    </sheetView>
  </sheetViews>
  <sheetFormatPr defaultColWidth="8.75" defaultRowHeight="15.75"/>
  <cols>
    <col min="1" max="1" width="8.75" style="2"/>
    <col min="2" max="2" width="17.875" style="2" customWidth="1"/>
    <col min="3" max="3" width="9.25" style="10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212" t="s">
        <v>183</v>
      </c>
      <c r="C1" s="212"/>
      <c r="D1" s="212"/>
      <c r="E1" s="212"/>
      <c r="F1" s="212"/>
      <c r="G1" s="212"/>
      <c r="H1" s="212"/>
      <c r="I1" s="212"/>
      <c r="J1" s="212"/>
      <c r="K1" s="1"/>
      <c r="L1" s="1"/>
      <c r="M1" s="1"/>
      <c r="N1" s="1"/>
      <c r="O1" s="1"/>
      <c r="P1" s="1"/>
    </row>
    <row r="2" spans="2:17" ht="27.75" customHeight="1">
      <c r="B2" s="213"/>
      <c r="C2" s="213"/>
      <c r="D2" s="213"/>
      <c r="E2" s="213"/>
      <c r="F2" s="213"/>
      <c r="G2" s="213"/>
      <c r="H2" s="213"/>
      <c r="I2" s="213"/>
      <c r="J2" s="213"/>
      <c r="K2" s="3"/>
      <c r="L2" s="3"/>
      <c r="M2" s="3"/>
      <c r="N2" s="1"/>
      <c r="O2" s="1"/>
      <c r="P2" s="1"/>
    </row>
    <row r="3" spans="2:17" ht="46.5" customHeight="1">
      <c r="B3" s="4" t="s">
        <v>184</v>
      </c>
      <c r="C3" s="214" t="str">
        <f>TEXT('1002 4度C'!A2,"yyyy.mm.ddaaaa")</f>
        <v>2026.10.02星期五</v>
      </c>
      <c r="D3" s="215"/>
      <c r="E3" s="4" t="s">
        <v>185</v>
      </c>
      <c r="F3" s="216">
        <f>'1002 4度C'!D1</f>
        <v>133188</v>
      </c>
      <c r="G3" s="217"/>
      <c r="H3" s="4" t="s">
        <v>186</v>
      </c>
      <c r="I3" s="218">
        <f>'1002 4度C'!F1</f>
        <v>4484111.2399999993</v>
      </c>
      <c r="J3" s="219"/>
      <c r="K3" s="5"/>
      <c r="L3" s="6"/>
      <c r="M3" s="7"/>
      <c r="N3" s="7"/>
    </row>
    <row r="4" spans="2:17" ht="28.5" customHeight="1">
      <c r="B4" s="220" t="s">
        <v>187</v>
      </c>
      <c r="C4" s="206" t="s">
        <v>188</v>
      </c>
      <c r="D4" s="207"/>
      <c r="E4" s="223" t="s">
        <v>6</v>
      </c>
      <c r="F4" s="224"/>
      <c r="G4" s="223" t="s">
        <v>189</v>
      </c>
      <c r="H4" s="224"/>
      <c r="I4" s="223" t="s">
        <v>8</v>
      </c>
      <c r="J4" s="224"/>
      <c r="K4" s="204" t="s">
        <v>190</v>
      </c>
      <c r="L4" s="205"/>
      <c r="M4" s="205" t="s">
        <v>191</v>
      </c>
      <c r="N4" s="205"/>
    </row>
    <row r="5" spans="2:17" ht="28.5" customHeight="1">
      <c r="B5" s="221"/>
      <c r="C5" s="206" t="s">
        <v>192</v>
      </c>
      <c r="D5" s="207"/>
      <c r="E5" s="206" t="s">
        <v>193</v>
      </c>
      <c r="F5" s="207"/>
      <c r="G5" s="208" t="s">
        <v>194</v>
      </c>
      <c r="H5" s="209"/>
      <c r="I5" s="210" t="s">
        <v>195</v>
      </c>
      <c r="J5" s="211"/>
      <c r="K5" s="8" t="s">
        <v>196</v>
      </c>
      <c r="L5" s="9" t="s">
        <v>197</v>
      </c>
      <c r="M5" s="8" t="s">
        <v>196</v>
      </c>
      <c r="N5" s="9" t="s">
        <v>198</v>
      </c>
    </row>
    <row r="6" spans="2:17" ht="28.5" customHeight="1">
      <c r="B6" s="221"/>
      <c r="C6" s="206" t="s">
        <v>18</v>
      </c>
      <c r="D6" s="207"/>
      <c r="E6" s="198">
        <f>AVERAGE(D13:M13)</f>
        <v>150.79648607442502</v>
      </c>
      <c r="F6" s="199">
        <f>AVERAGE(D31:O31,D13:J13)</f>
        <v>155.69986378871221</v>
      </c>
      <c r="G6" s="200">
        <f>AVERAGE(D13:J13)</f>
        <v>155.69986378871221</v>
      </c>
      <c r="H6" s="201"/>
      <c r="I6" s="200">
        <f>AVERAGE(K13:M13)</f>
        <v>139.355271407755</v>
      </c>
      <c r="J6" s="201"/>
      <c r="K6" s="202">
        <f>'1002 4度C'!Y2</f>
        <v>0</v>
      </c>
      <c r="L6" s="187">
        <f>'1002 4度C'!Z2</f>
        <v>0</v>
      </c>
      <c r="M6" s="203">
        <f>'1002 4度C'!AC2</f>
        <v>53</v>
      </c>
      <c r="N6" s="187">
        <f>'1002 4度C'!AD2</f>
        <v>0</v>
      </c>
    </row>
    <row r="7" spans="2:17" ht="28.5" customHeight="1">
      <c r="B7" s="221"/>
      <c r="C7" s="188" t="s">
        <v>19</v>
      </c>
      <c r="D7" s="189"/>
      <c r="E7" s="190">
        <f>AVERAGE(D14:M14)</f>
        <v>144.85689280134847</v>
      </c>
      <c r="F7" s="191">
        <f>AVERAGE(D32:O32,D14:J14)</f>
        <v>149.6708074326416</v>
      </c>
      <c r="G7" s="192">
        <f>AVERAGE(D14:J14)</f>
        <v>149.6708074326416</v>
      </c>
      <c r="H7" s="193"/>
      <c r="I7" s="192">
        <f>AVERAGE(K14:M14)</f>
        <v>133.62442532833111</v>
      </c>
      <c r="J7" s="193"/>
      <c r="K7" s="202"/>
      <c r="L7" s="187"/>
      <c r="M7" s="203"/>
      <c r="N7" s="187"/>
    </row>
    <row r="8" spans="2:17" ht="28.5" customHeight="1">
      <c r="B8" s="222"/>
      <c r="C8" s="188" t="s">
        <v>20</v>
      </c>
      <c r="D8" s="189"/>
      <c r="E8" s="194">
        <f>AVERAGE(D15:M15)</f>
        <v>0.96109391273608047</v>
      </c>
      <c r="F8" s="195">
        <f>AVERAGE(D15:J15,D33:O33)</f>
        <v>0.96204228993825469</v>
      </c>
      <c r="G8" s="196">
        <f>AVERAGE(D15:J15)</f>
        <v>0.96204228993825469</v>
      </c>
      <c r="H8" s="197"/>
      <c r="I8" s="196">
        <f>AVERAGE(K15:M15)</f>
        <v>0.95888103259767432</v>
      </c>
      <c r="J8" s="197"/>
      <c r="K8" s="202"/>
      <c r="L8" s="187"/>
      <c r="M8" s="203"/>
      <c r="N8" s="187"/>
    </row>
    <row r="9" spans="2:17" ht="28.5" customHeight="1" thickBot="1">
      <c r="H9" s="11"/>
      <c r="K9" s="12" t="s">
        <v>199</v>
      </c>
      <c r="N9" s="7"/>
      <c r="O9" s="7"/>
      <c r="P9" s="7"/>
      <c r="Q9" s="7"/>
    </row>
    <row r="10" spans="2:17" ht="30" customHeight="1">
      <c r="B10" s="170" t="s">
        <v>200</v>
      </c>
      <c r="C10" s="171"/>
      <c r="D10" s="172" t="s">
        <v>201</v>
      </c>
      <c r="E10" s="173"/>
      <c r="F10" s="173"/>
      <c r="G10" s="173"/>
      <c r="H10" s="173"/>
      <c r="I10" s="173"/>
      <c r="J10" s="174"/>
      <c r="K10" s="175" t="s">
        <v>202</v>
      </c>
      <c r="L10" s="176"/>
      <c r="M10" s="177"/>
      <c r="P10" s="13"/>
      <c r="Q10" s="13"/>
    </row>
    <row r="11" spans="2:17" ht="17.25" customHeight="1">
      <c r="B11" s="178" t="s">
        <v>203</v>
      </c>
      <c r="C11" s="179"/>
      <c r="D11" s="14">
        <v>1</v>
      </c>
      <c r="E11" s="15">
        <v>2</v>
      </c>
      <c r="F11" s="15">
        <v>3</v>
      </c>
      <c r="G11" s="15">
        <v>4</v>
      </c>
      <c r="H11" s="15">
        <v>5</v>
      </c>
      <c r="I11" s="15">
        <v>6</v>
      </c>
      <c r="J11" s="16">
        <v>7</v>
      </c>
      <c r="K11" s="14">
        <v>1</v>
      </c>
      <c r="L11" s="15">
        <v>2</v>
      </c>
      <c r="M11" s="16">
        <v>3</v>
      </c>
      <c r="P11" s="13"/>
      <c r="Q11" s="13"/>
    </row>
    <row r="12" spans="2:17" ht="34.15" customHeight="1">
      <c r="B12" s="180"/>
      <c r="C12" s="181"/>
      <c r="D12" s="17" t="s">
        <v>26</v>
      </c>
      <c r="E12" s="18" t="s">
        <v>27</v>
      </c>
      <c r="F12" s="18" t="s">
        <v>28</v>
      </c>
      <c r="G12" s="18" t="s">
        <v>29</v>
      </c>
      <c r="H12" s="18" t="s">
        <v>30</v>
      </c>
      <c r="I12" s="18" t="s">
        <v>31</v>
      </c>
      <c r="J12" s="19" t="s">
        <v>32</v>
      </c>
      <c r="K12" s="17" t="s">
        <v>33</v>
      </c>
      <c r="L12" s="18" t="s">
        <v>34</v>
      </c>
      <c r="M12" s="19" t="s">
        <v>35</v>
      </c>
    </row>
    <row r="13" spans="2:17" ht="40.15" customHeight="1">
      <c r="B13" s="182" t="s">
        <v>204</v>
      </c>
      <c r="C13" s="20" t="s">
        <v>37</v>
      </c>
      <c r="D13" s="21">
        <f>SUMIFS('1002 4度C'!$K:$K,'1002 4度C'!$A:$A,"新豐6線",'1002 4度C'!$B:$B,"平均")</f>
        <v>130.43478260869566</v>
      </c>
      <c r="E13" s="22">
        <f>SUMIFS('1002 4度C'!$K:$K,'1002 4度C'!$A:$A,"新豐2線",'1002 4度C'!$B:$B,"平均")</f>
        <v>83.333333333333329</v>
      </c>
      <c r="F13" s="23">
        <f>SUMIFS('1002 4度C'!$K:$K,'1002 4度C'!$A:$A,"新豐5線",'1002 4度C'!$B:$B,"平均")</f>
        <v>104.99999999999999</v>
      </c>
      <c r="G13" s="23">
        <f>SUMIFS('1002 4度C'!$K:$K,'1002 4度C'!$A:$A,"新豐7線",'1002 4度C'!$B:$B,"平均")</f>
        <v>125</v>
      </c>
      <c r="H13" s="23">
        <f>SUMIFS('1002 4度C'!$K:$K,'1002 4度C'!$A:$A,"新豐3線",'1002 4度C'!$B:$B,"平均")</f>
        <v>242.42424242424241</v>
      </c>
      <c r="I13" s="23">
        <f>SUMIFS('1002 4度C'!$K:$K,'1002 4度C'!$A:$A,"新豐1線",'1002 4度C'!$B:$B,"平均")</f>
        <v>109.58904109589041</v>
      </c>
      <c r="J13" s="24">
        <f>SUMIFS('1002 4度C'!$K:$K,'1002 4度C'!$A:$A,"新豐10線",'1002 4度C'!$B:$B,"平均")</f>
        <v>294.11764705882354</v>
      </c>
      <c r="K13" s="25">
        <f>SUMIFS('1002 4度C'!$K:$K,'1002 4度C'!$A:$A,"新豐8線",'1002 4度C'!$B:$B,"平均")</f>
        <v>138.84297520661158</v>
      </c>
      <c r="L13" s="26">
        <f>SUMIFS('1002 4度C'!$K:$K,'1002 4度C'!$A:$A,"新豐9線",'1002 4度C'!$B:$B,"平均")</f>
        <v>130.76923076923077</v>
      </c>
      <c r="M13" s="24">
        <f>SUMIFS('1002 4度C'!$K:$K,'1002 4度C'!$A:$A,"新豐4線",'1002 4度C'!$B:$B,"平均")</f>
        <v>148.45360824742266</v>
      </c>
    </row>
    <row r="14" spans="2:17" ht="39.6" customHeight="1">
      <c r="B14" s="183"/>
      <c r="C14" s="27" t="s">
        <v>205</v>
      </c>
      <c r="D14" s="28">
        <f>SUMIFS('1002 4度C'!$N:$N,'1002 4度C'!$A:$A,"新豐6線",'1002 4度C'!$B:$B,"平均")</f>
        <v>126.2128445581131</v>
      </c>
      <c r="E14" s="29">
        <f>SUMIFS('1002 4度C'!$N:$N,'1002 4度C'!$A:$A,"新豐2線",'1002 4度C'!$B:$B,"平均")</f>
        <v>79.399951267056522</v>
      </c>
      <c r="F14" s="29">
        <f>SUMIFS('1002 4度C'!$N:$N,'1002 4度C'!$A:$A,"新豐5線",'1002 4度C'!$B:$B,"平均")</f>
        <v>101.26652654387864</v>
      </c>
      <c r="G14" s="29">
        <f>SUMIFS('1002 4度C'!$N:$N,'1002 4度C'!$A:$A,"新豐7線",'1002 4度C'!$B:$B,"平均")</f>
        <v>120.20490879582454</v>
      </c>
      <c r="H14" s="29">
        <f>SUMIFS('1002 4度C'!$N:$N,'1002 4度C'!$A:$A,"新豐3線",'1002 4度C'!$B:$B,"平均")</f>
        <v>232.16327777813265</v>
      </c>
      <c r="I14" s="29">
        <f>SUMIFS('1002 4度C'!$N:$N,'1002 4度C'!$A:$A,"新豐1線",'1002 4度C'!$B:$B,"平均")</f>
        <v>106.44283291711635</v>
      </c>
      <c r="J14" s="30">
        <f>SUMIFS('1002 4度C'!$N:$N,'1002 4度C'!$A:$A,"新豐10線",'1002 4度C'!$B:$B,"平均")</f>
        <v>282.00531016836931</v>
      </c>
      <c r="K14" s="31">
        <f>SUMIFS('1002 4度C'!$N:$N,'1002 4度C'!$A:$A,"新豐8線",'1002 4度C'!$B:$B,"平均")</f>
        <v>133.29702222847345</v>
      </c>
      <c r="L14" s="32">
        <f>SUMIFS('1002 4度C'!$N:$N,'1002 4度C'!$A:$A,"新豐9線",'1002 4度C'!$B:$B,"平均")</f>
        <v>125.32419405688373</v>
      </c>
      <c r="M14" s="30">
        <f>SUMIFS('1002 4度C'!$N:$N,'1002 4度C'!$A:$A,"新豐4線",'1002 4度C'!$B:$B,"平均")</f>
        <v>142.25205969963619</v>
      </c>
    </row>
    <row r="15" spans="2:17" ht="40.15" customHeight="1">
      <c r="B15" s="184"/>
      <c r="C15" s="33" t="s">
        <v>206</v>
      </c>
      <c r="D15" s="34">
        <f t="shared" ref="D15:M15" si="0">D14/D13</f>
        <v>0.96763180827886708</v>
      </c>
      <c r="E15" s="35">
        <f t="shared" si="0"/>
        <v>0.95279941520467837</v>
      </c>
      <c r="F15" s="35">
        <f t="shared" si="0"/>
        <v>0.96444310994170146</v>
      </c>
      <c r="G15" s="35">
        <f t="shared" si="0"/>
        <v>0.96163927036659624</v>
      </c>
      <c r="H15" s="35">
        <f t="shared" si="0"/>
        <v>0.95767352083479729</v>
      </c>
      <c r="I15" s="35">
        <f t="shared" si="0"/>
        <v>0.97129085036868668</v>
      </c>
      <c r="J15" s="36">
        <f t="shared" si="0"/>
        <v>0.95881805457245561</v>
      </c>
      <c r="K15" s="34">
        <f t="shared" si="0"/>
        <v>0.96005593390745747</v>
      </c>
      <c r="L15" s="35">
        <f t="shared" si="0"/>
        <v>0.9583614839644049</v>
      </c>
      <c r="M15" s="36">
        <f t="shared" si="0"/>
        <v>0.95822567992116059</v>
      </c>
    </row>
    <row r="16" spans="2:17" ht="17.25" customHeight="1">
      <c r="B16" s="185" t="s">
        <v>207</v>
      </c>
      <c r="C16" s="37" t="s">
        <v>208</v>
      </c>
      <c r="D16" s="38">
        <f>VLOOKUP("新豐6線",'1002 4度C'!$A:$T,19,0)</f>
        <v>0.70833333333333337</v>
      </c>
      <c r="E16" s="39">
        <f>VLOOKUP("新豐2線",'1002 4度C'!$A:$T,19,0)</f>
        <v>8.3333333333333329E-2</v>
      </c>
      <c r="F16" s="39">
        <f>VLOOKUP("新豐5線",'1002 4度C'!$A:$T,19,0)</f>
        <v>0.25</v>
      </c>
      <c r="G16" s="39">
        <f>VLOOKUP("新豐7線",'1002 4度C'!$A:$T,19,0)</f>
        <v>0.20833333333333334</v>
      </c>
      <c r="H16" s="39">
        <f>VLOOKUP("新豐3線",'1002 4度C'!$A:$T,19,0)</f>
        <v>0.20833333333333334</v>
      </c>
      <c r="I16" s="39">
        <f>VLOOKUP("新豐1線",'1002 4度C'!$A:$T,19,0)</f>
        <v>0.20833333333333334</v>
      </c>
      <c r="J16" s="40">
        <f>VLOOKUP("新豐10線",'1002 4度C'!$A:$T,19,0)</f>
        <v>0.20833333333333334</v>
      </c>
      <c r="K16" s="41">
        <f>VLOOKUP("新豐8線",'1002 4度C'!$A:$T,19,0)</f>
        <v>8.3333333333333329E-2</v>
      </c>
      <c r="L16" s="42">
        <f>VLOOKUP("新豐9線",'1002 4度C'!$A:$T,19,0)</f>
        <v>8.3333333333333329E-2</v>
      </c>
      <c r="M16" s="43">
        <f>VLOOKUP("新豐4線",'1002 4度C'!$A:$T,19,0)</f>
        <v>8.3333333333333329E-2</v>
      </c>
    </row>
    <row r="17" spans="2:13" ht="17.25" customHeight="1">
      <c r="B17" s="186"/>
      <c r="C17" s="37" t="s">
        <v>209</v>
      </c>
      <c r="D17" s="41">
        <f>LOOKUP(2,1/(('1002 4度C'!$A:$A="新豐6線")*('1002 4度C'!$T:$T&lt;&gt;"")),'1002 4度C'!$T:$T)</f>
        <v>0.82013888888888886</v>
      </c>
      <c r="E17" s="39">
        <f>LOOKUP(2,1/(('1002 4度C'!$A:$A="新豐2線")*('1002 4度C'!$T:$T&lt;&gt;"")),'1002 4度C'!$T:$T)</f>
        <v>0.36527777777777781</v>
      </c>
      <c r="F17" s="39">
        <f>LOOKUP(2,1/(('1002 4度C'!$A:$A="新豐5線")*('1002 4度C'!$T:$T&lt;&gt;"")),'1002 4度C'!$T:$T)</f>
        <v>0.79861111111111116</v>
      </c>
      <c r="G17" s="39">
        <f>LOOKUP(2,1/(('1002 4度C'!$A:$A="新豐7線")*('1002 4度C'!$T:$T&lt;&gt;"")),'1002 4度C'!$T:$T)</f>
        <v>0.82708333333333328</v>
      </c>
      <c r="H17" s="39">
        <f>LOOKUP(2,1/(('1002 4度C'!$A:$A="新豐3線")*('1002 4度C'!$T:$T&lt;&gt;"")),'1002 4度C'!$T:$T)</f>
        <v>0.41597222222222224</v>
      </c>
      <c r="I17" s="39">
        <f>LOOKUP(2,1/(('1002 4度C'!$A:$A="新豐1線")*('1002 4度C'!$T:$T&lt;&gt;"")),'1002 4度C'!$T:$T)</f>
        <v>0.80972222222222223</v>
      </c>
      <c r="J17" s="40">
        <f>LOOKUP(2,1/(('1002 4度C'!$A:$A="新豐10線")*('1002 4度C'!$T:$T&lt;&gt;"")),'1002 4度C'!$T:$T)</f>
        <v>0.40972222222222215</v>
      </c>
      <c r="K17" s="38">
        <f>LOOKUP(2,1/(('1002 4度C'!$A:$A="新豐8線")*('1002 4度C'!$T:$T&lt;&gt;"")),'1002 4度C'!$T:$T)</f>
        <v>0.57708333333333328</v>
      </c>
      <c r="L17" s="39">
        <f>LOOKUP(2,1/(('1002 4度C'!$A:$A="新豐9線")*('1002 4度C'!$T:$T&lt;&gt;"")),'1002 4度C'!$T:$T)</f>
        <v>0.58194444444444449</v>
      </c>
      <c r="M17" s="40">
        <f>LOOKUP(2,1/(('1002 4度C'!$A:$A="新豐4線")*('1002 4度C'!$T:$T&lt;&gt;"")),'1002 4度C'!$T:$T)</f>
        <v>0.52013888888888882</v>
      </c>
    </row>
    <row r="18" spans="2:13" ht="17.25" customHeight="1">
      <c r="B18" s="164" t="s">
        <v>210</v>
      </c>
      <c r="C18" s="44" t="s">
        <v>211</v>
      </c>
      <c r="D18" s="45">
        <f>SUMIFS('1002 4度C'!$Y:$Y,'1002 4度C'!$A:$A,"新豐6線",'1002 4度C'!$B:$B,"平均")</f>
        <v>0</v>
      </c>
      <c r="E18" s="46">
        <f>SUMIFS('1002 4度C'!$Y:$Y,'1002 4度C'!$A:$A,"新豐2線",'1002 4度C'!$B:$B,"平均")</f>
        <v>0</v>
      </c>
      <c r="F18" s="46">
        <f>SUMIFS('1002 4度C'!$Y:$Y,'1002 4度C'!$A:$A,"新豐5線",'1002 4度C'!$B:$B,"平均")</f>
        <v>0</v>
      </c>
      <c r="G18" s="46">
        <f>SUMIFS('1002 4度C'!$Y:$Y,'1002 4度C'!$A:$A,"新豐7線",'1002 4度C'!$B:$B,"平均")</f>
        <v>0</v>
      </c>
      <c r="H18" s="46">
        <f>SUMIFS('1002 4度C'!$Y:$Y,'1002 4度C'!$A:$A,"新豐3線",'1002 4度C'!$B:$B,"平均")</f>
        <v>0</v>
      </c>
      <c r="I18" s="46">
        <f>SUMIFS('1002 4度C'!$Y:$Y,'1002 4度C'!$A:$A,"新豐1線",'1002 4度C'!$B:$B,"平均")</f>
        <v>0</v>
      </c>
      <c r="J18" s="47">
        <f>SUMIFS('1002 4度C'!$Y:$Y,'1002 4度C'!$A:$A,"新豐10線",'1002 4度C'!$B:$B,"平均")</f>
        <v>0</v>
      </c>
      <c r="K18" s="48">
        <f>SUMIFS('1002 4度C'!$Y:$Y,'1002 4度C'!$A:$A,"新豐8線",'1002 4度C'!$B:$B,"平均")</f>
        <v>0</v>
      </c>
      <c r="L18" s="46">
        <f>SUMIFS('1002 4度C'!$Y:$Y,'1002 4度C'!$A:$A,"新豐9線",'1002 4度C'!$B:$B,"平均")</f>
        <v>0</v>
      </c>
      <c r="M18" s="47">
        <f>SUMIFS('1002 4度C'!$Y:$Y,'1002 4度C'!$A:$A,"新豐4線",'1002 4度C'!$B:$B,"平均")</f>
        <v>0</v>
      </c>
    </row>
    <row r="19" spans="2:13" ht="17.25" customHeight="1">
      <c r="B19" s="165"/>
      <c r="C19" s="44" t="s">
        <v>212</v>
      </c>
      <c r="D19" s="45">
        <f>SUMIFS('1002 4度C'!$Z:$Z,'1002 4度C'!$A:$A,"新豐6線",'1002 4度C'!$B:$B,"平均")</f>
        <v>0</v>
      </c>
      <c r="E19" s="46">
        <f>SUMIFS('1002 4度C'!$Z:$Z,'1002 4度C'!$A:$A,"新豐2線",'1002 4度C'!$B:$B,"平均")</f>
        <v>0</v>
      </c>
      <c r="F19" s="46">
        <f>SUMIFS('1002 4度C'!$Z:$Z,'1002 4度C'!$A:$A,"新豐5線",'1002 4度C'!$B:$B,"平均")</f>
        <v>0</v>
      </c>
      <c r="G19" s="46">
        <f>SUMIFS('1002 4度C'!$Z:$Z,'1002 4度C'!$A:$A,"新豐7線",'1002 4度C'!$B:$B,"平均")</f>
        <v>0</v>
      </c>
      <c r="H19" s="46">
        <f>SUMIFS('1002 4度C'!$Z:$Z,'1002 4度C'!$A:$A,"新豐3線",'1002 4度C'!$B:$B,"平均")</f>
        <v>0</v>
      </c>
      <c r="I19" s="46">
        <f>SUMIFS('1002 4度C'!$Z:$Z,'1002 4度C'!$A:$A,"新豐1線",'1002 4度C'!$B:$B,"平均")</f>
        <v>0</v>
      </c>
      <c r="J19" s="47">
        <f>SUMIFS('1002 4度C'!$Z:$Z,'1002 4度C'!$A:$A,"新豐10線",'1002 4度C'!$B:$B,"平均")</f>
        <v>0</v>
      </c>
      <c r="K19" s="48">
        <f>SUMIFS('1002 4度C'!$Z:$Z,'1002 4度C'!$A:$A,"新豐8線",'1002 4度C'!$B:$B,"平均")</f>
        <v>0</v>
      </c>
      <c r="L19" s="46">
        <f>SUMIFS('1002 4度C'!$Z:$Z,'1002 4度C'!$A:$A,"新豐9線",'1002 4度C'!$B:$B,"平均")</f>
        <v>0</v>
      </c>
      <c r="M19" s="47">
        <f>SUMIFS('1002 4度C'!$Z:$Z,'1002 4度C'!$A:$A,"新豐4線",'1002 4度C'!$B:$B,"平均")</f>
        <v>0</v>
      </c>
    </row>
    <row r="20" spans="2:13" ht="17.25" customHeight="1">
      <c r="B20" s="164" t="s">
        <v>213</v>
      </c>
      <c r="C20" s="44" t="s">
        <v>211</v>
      </c>
      <c r="D20" s="45">
        <f>SUMIFS('1002 4度C'!$AC:$AC,'1002 4度C'!$A:$A,"新豐6線",'1002 4度C'!$B:$B,"平均")</f>
        <v>3</v>
      </c>
      <c r="E20" s="46">
        <f>SUMIFS('1002 4度C'!$AC:$AC,'1002 4度C'!$A:$A,"新豐2線",'1002 4度C'!$B:$B,"平均")</f>
        <v>2</v>
      </c>
      <c r="F20" s="46">
        <f>SUMIFS('1002 4度C'!$AC:$AC,'1002 4度C'!$A:$A,"新豐5線",'1002 4度C'!$B:$B,"平均")</f>
        <v>6</v>
      </c>
      <c r="G20" s="46">
        <f>SUMIFS('1002 4度C'!$AC:$AC,'1002 4度C'!$A:$A,"新豐7線",'1002 4度C'!$B:$B,"平均")</f>
        <v>7</v>
      </c>
      <c r="H20" s="46">
        <f>SUMIFS('1002 4度C'!$AC:$AC,'1002 4度C'!$A:$A,"新豐3線",'1002 4度C'!$B:$B,"平均")</f>
        <v>3</v>
      </c>
      <c r="I20" s="46">
        <f>SUMIFS('1002 4度C'!$AC:$AC,'1002 4度C'!$A:$A,"新豐1線",'1002 4度C'!$B:$B,"平均")</f>
        <v>8</v>
      </c>
      <c r="J20" s="47">
        <f>SUMIFS('1002 4度C'!$AC:$AC,'1002 4度C'!$A:$A,"新豐10線",'1002 4度C'!$B:$B,"平均")</f>
        <v>5</v>
      </c>
      <c r="K20" s="48">
        <f>SUMIFS('1002 4度C'!$AC:$AC,'1002 4度C'!$A:$A,"新豐8線",'1002 4度C'!$B:$B,"平均")</f>
        <v>7</v>
      </c>
      <c r="L20" s="46">
        <f>SUMIFS('1002 4度C'!$AC:$AC,'1002 4度C'!$A:$A,"新豐9線",'1002 4度C'!$B:$B,"平均")</f>
        <v>6</v>
      </c>
      <c r="M20" s="47">
        <f>SUMIFS('1002 4度C'!$AC:$AC,'1002 4度C'!$A:$A,"新豐4線",'1002 4度C'!$B:$B,"平均")</f>
        <v>6</v>
      </c>
    </row>
    <row r="21" spans="2:13" ht="17.25" customHeight="1">
      <c r="B21" s="165"/>
      <c r="C21" s="44" t="s">
        <v>214</v>
      </c>
      <c r="D21" s="45">
        <f>SUMIFS('1002 4度C'!$AD:$AD,'1002 4度C'!$A:$A,"新豐6線",'1002 4度C'!$B:$B,"平均")</f>
        <v>0</v>
      </c>
      <c r="E21" s="46">
        <f>SUMIFS('1002 4度C'!$AD:$AD,'1002 4度C'!$A:$A,"新豐2線",'1002 4度C'!$B:$B,"平均")</f>
        <v>0</v>
      </c>
      <c r="F21" s="46">
        <f>SUMIFS('1002 4度C'!$AD:$AD,'1002 4度C'!$A:$A,"新豐5線",'1002 4度C'!$B:$B,"平均")</f>
        <v>0</v>
      </c>
      <c r="G21" s="46">
        <f>SUMIFS('1002 4度C'!$AD:$AD,'1002 4度C'!$A:$A,"新豐7線",'1002 4度C'!$B:$B,"平均")</f>
        <v>0</v>
      </c>
      <c r="H21" s="46">
        <f>SUMIFS('1002 4度C'!$AD:$AD,'1002 4度C'!$A:$A,"新豐3線",'1002 4度C'!$B:$B,"平均")</f>
        <v>0</v>
      </c>
      <c r="I21" s="46">
        <f>SUMIFS('1002 4度C'!$AD:$AD,'1002 4度C'!$A:$A,"新豐1線",'1002 4度C'!$B:$B,"平均")</f>
        <v>0</v>
      </c>
      <c r="J21" s="47">
        <f>SUMIFS('1002 4度C'!$AD:$AD,'1002 4度C'!$A:$A,"新豐10線",'1002 4度C'!$B:$B,"平均")</f>
        <v>0</v>
      </c>
      <c r="K21" s="48">
        <f>SUMIFS('1002 4度C'!$AD:$AD,'1002 4度C'!$A:$A,"新豐8線",'1002 4度C'!$B:$B,"平均")</f>
        <v>0</v>
      </c>
      <c r="L21" s="46">
        <f>SUMIFS('1002 4度C'!$AD:$AD,'1002 4度C'!$A:$A,"新豐9線",'1002 4度C'!$B:$B,"平均")</f>
        <v>0</v>
      </c>
      <c r="M21" s="47">
        <f>SUMIFS('1002 4度C'!$AD:$AD,'1002 4度C'!$A:$A,"新豐4線",'1002 4度C'!$B:$B,"平均")</f>
        <v>0</v>
      </c>
    </row>
    <row r="22" spans="2:13" ht="17.25" customHeight="1">
      <c r="B22" s="166" t="s">
        <v>215</v>
      </c>
      <c r="C22" s="167"/>
      <c r="D22" s="49">
        <f>SUMIFS('1002 4度C'!$I:$I,'1002 4度C'!$A:$A,"新豐6線",'1002 4度C'!$B:$B,"平均")</f>
        <v>15.333333333333334</v>
      </c>
      <c r="E22" s="50">
        <f>SUMIFS('1002 4度C'!$I:$I,'1002 4度C'!$A:$A,"新豐2線",'1002 4度C'!$B:$B,"平均")</f>
        <v>18</v>
      </c>
      <c r="F22" s="50">
        <f>SUMIFS('1002 4度C'!$I:$I,'1002 4度C'!$A:$A,"新豐5線",'1002 4度C'!$B:$B,"平均")</f>
        <v>16.666666666666668</v>
      </c>
      <c r="G22" s="50">
        <f>SUMIFS('1002 4度C'!$I:$I,'1002 4度C'!$A:$A,"新豐7線",'1002 4度C'!$B:$B,"平均")</f>
        <v>16</v>
      </c>
      <c r="H22" s="50">
        <f>SUMIFS('1002 4度C'!$I:$I,'1002 4度C'!$A:$A,"新豐3線",'1002 4度C'!$B:$B,"平均")</f>
        <v>11</v>
      </c>
      <c r="I22" s="50">
        <f>SUMIFS('1002 4度C'!$I:$I,'1002 4度C'!$A:$A,"新豐1線",'1002 4度C'!$B:$B,"平均")</f>
        <v>18.25</v>
      </c>
      <c r="J22" s="51">
        <f>SUMIFS('1002 4度C'!$I:$I,'1002 4度C'!$A:$A,"新豐10線",'1002 4度C'!$B:$B,"平均")</f>
        <v>10.199999999999999</v>
      </c>
      <c r="K22" s="49">
        <f>SUMIFS('1002 4度C'!$I:$I,'1002 4度C'!$A:$A,"新豐8線",'1002 4度C'!$B:$B,"平均")</f>
        <v>17.285714285714285</v>
      </c>
      <c r="L22" s="50">
        <f>SUMIFS('1002 4度C'!$I:$I,'1002 4度C'!$A:$A,"新豐9線",'1002 4度C'!$B:$B,"平均")</f>
        <v>17.333333333333332</v>
      </c>
      <c r="M22" s="51">
        <f>SUMIFS('1002 4度C'!$I:$I,'1002 4度C'!$A:$A,"新豐4線",'1002 4度C'!$B:$B,"平均")</f>
        <v>16.166666666666668</v>
      </c>
    </row>
    <row r="23" spans="2:13" ht="17.25" customHeight="1">
      <c r="B23" s="166" t="s">
        <v>216</v>
      </c>
      <c r="C23" s="167"/>
      <c r="D23" s="52" t="s">
        <v>51</v>
      </c>
      <c r="E23" s="53" t="s">
        <v>52</v>
      </c>
      <c r="F23" s="53" t="s">
        <v>217</v>
      </c>
      <c r="G23" s="53" t="s">
        <v>218</v>
      </c>
      <c r="H23" s="53" t="s">
        <v>55</v>
      </c>
      <c r="I23" s="53" t="s">
        <v>51</v>
      </c>
      <c r="J23" s="54" t="s">
        <v>55</v>
      </c>
      <c r="K23" s="52" t="s">
        <v>219</v>
      </c>
      <c r="L23" s="53" t="s">
        <v>219</v>
      </c>
      <c r="M23" s="54" t="s">
        <v>220</v>
      </c>
    </row>
    <row r="24" spans="2:13" ht="17.25" customHeight="1">
      <c r="B24" s="166" t="s">
        <v>221</v>
      </c>
      <c r="C24" s="167"/>
      <c r="D24" s="52"/>
      <c r="E24" s="53"/>
      <c r="F24" s="53" t="s">
        <v>222</v>
      </c>
      <c r="G24" s="53" t="s">
        <v>51</v>
      </c>
      <c r="H24" s="53"/>
      <c r="I24" s="53"/>
      <c r="J24" s="54"/>
      <c r="K24" s="52"/>
      <c r="L24" s="53"/>
      <c r="M24" s="54"/>
    </row>
    <row r="25" spans="2:13" ht="17.25" customHeight="1" thickBot="1">
      <c r="B25" s="168" t="s">
        <v>223</v>
      </c>
      <c r="C25" s="169"/>
      <c r="D25" s="55"/>
      <c r="E25" s="56" t="s">
        <v>224</v>
      </c>
      <c r="F25" s="162" t="s">
        <v>225</v>
      </c>
      <c r="G25" s="163"/>
      <c r="H25" s="56" t="s">
        <v>226</v>
      </c>
      <c r="I25" s="56" t="s">
        <v>227</v>
      </c>
      <c r="J25" s="57" t="s">
        <v>228</v>
      </c>
      <c r="K25" s="58"/>
      <c r="L25" s="56"/>
      <c r="M25" s="5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2" type="noConversion"/>
  <conditionalFormatting sqref="D15:M15">
    <cfRule type="cellIs" dxfId="19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8"/>
  <sheetViews>
    <sheetView zoomScale="80" zoomScaleNormal="80" workbookViewId="0">
      <pane ySplit="4" topLeftCell="A5" activePane="bottomLeft" state="frozen"/>
      <selection activeCell="I3" sqref="I3:J3"/>
      <selection pane="bottomLeft" activeCell="J6" sqref="J6"/>
    </sheetView>
  </sheetViews>
  <sheetFormatPr defaultColWidth="8" defaultRowHeight="15.75"/>
  <cols>
    <col min="1" max="1" width="15.125" style="67" customWidth="1"/>
    <col min="2" max="2" width="19.375" style="67" customWidth="1"/>
    <col min="3" max="3" width="15.25" style="67" customWidth="1"/>
    <col min="4" max="4" width="17.5" style="67" customWidth="1"/>
    <col min="5" max="5" width="7.5" style="67" customWidth="1"/>
    <col min="6" max="7" width="14.375" style="67" customWidth="1"/>
    <col min="8" max="8" width="8" style="67" customWidth="1"/>
    <col min="9" max="9" width="5.875" style="67" customWidth="1"/>
    <col min="10" max="10" width="10.625" style="67" customWidth="1"/>
    <col min="11" max="11" width="14.625" style="67" customWidth="1"/>
    <col min="12" max="12" width="7.25" style="67" customWidth="1"/>
    <col min="13" max="13" width="8" style="67" customWidth="1"/>
    <col min="14" max="14" width="12" style="67" customWidth="1"/>
    <col min="15" max="15" width="6" style="67" customWidth="1"/>
    <col min="16" max="16" width="9.25" style="67" customWidth="1"/>
    <col min="17" max="17" width="11.5" style="67" customWidth="1"/>
    <col min="18" max="18" width="8.5" style="67" customWidth="1"/>
    <col min="19" max="19" width="10.125" style="131" customWidth="1"/>
    <col min="20" max="20" width="7.625" style="131" customWidth="1"/>
    <col min="21" max="21" width="10.25" style="67" customWidth="1"/>
    <col min="22" max="22" width="8.75" style="113" customWidth="1"/>
    <col min="23" max="23" width="7.375" style="67" customWidth="1"/>
    <col min="24" max="24" width="6.875" style="67" customWidth="1"/>
    <col min="25" max="26" width="8.75" style="67" customWidth="1"/>
    <col min="27" max="27" width="12.75" style="67" customWidth="1"/>
    <col min="28" max="28" width="18.875" style="67" customWidth="1"/>
    <col min="29" max="29" width="15.125" style="131" customWidth="1"/>
    <col min="30" max="30" width="15.125" style="67" customWidth="1"/>
    <col min="31" max="31" width="13.125" style="67" bestFit="1" customWidth="1"/>
    <col min="32" max="32" width="10.375" style="67" customWidth="1"/>
    <col min="33" max="33" width="9.375" style="67" customWidth="1"/>
    <col min="34" max="34" width="8" style="67"/>
    <col min="35" max="35" width="24.625" style="67" bestFit="1" customWidth="1"/>
    <col min="36" max="16384" width="8" style="67"/>
  </cols>
  <sheetData>
    <row r="1" spans="1:33" ht="36.75" customHeight="1">
      <c r="A1" s="59" t="s">
        <v>229</v>
      </c>
      <c r="B1" s="59"/>
      <c r="C1" s="60" t="s">
        <v>230</v>
      </c>
      <c r="D1" s="61">
        <f>SUM(F5:F67)</f>
        <v>133188</v>
      </c>
      <c r="E1" s="75" t="s">
        <v>231</v>
      </c>
      <c r="F1" s="59">
        <f>SUM(G5:G67)</f>
        <v>4484111.2399999993</v>
      </c>
      <c r="G1" s="59" t="s">
        <v>232</v>
      </c>
      <c r="H1" s="63">
        <f>L8+L11+L45+L54+L18+L60+L34+L41+L26+L67</f>
        <v>156.23571428571429</v>
      </c>
      <c r="I1" s="277" t="s">
        <v>233</v>
      </c>
      <c r="J1" s="277"/>
      <c r="K1" s="277"/>
      <c r="L1" s="277" t="s">
        <v>234</v>
      </c>
      <c r="M1" s="277"/>
      <c r="N1" s="277"/>
      <c r="O1" s="277" t="s">
        <v>235</v>
      </c>
      <c r="P1" s="277"/>
      <c r="Q1" s="277"/>
      <c r="R1" s="277"/>
      <c r="S1" s="277" t="s">
        <v>236</v>
      </c>
      <c r="T1" s="277"/>
      <c r="U1" s="277"/>
      <c r="V1" s="277"/>
      <c r="W1" s="277"/>
      <c r="X1" s="277"/>
      <c r="Y1" s="64" t="s">
        <v>237</v>
      </c>
      <c r="Z1" s="65" t="s">
        <v>238</v>
      </c>
      <c r="AA1" s="278" t="s">
        <v>239</v>
      </c>
      <c r="AB1" s="278"/>
      <c r="AC1" s="128" t="s">
        <v>240</v>
      </c>
      <c r="AD1" s="65" t="s">
        <v>241</v>
      </c>
      <c r="AE1" s="277" t="s">
        <v>242</v>
      </c>
      <c r="AF1" s="279"/>
      <c r="AG1" s="279"/>
    </row>
    <row r="2" spans="1:33" ht="26.25" customHeight="1">
      <c r="A2" s="68">
        <v>46297</v>
      </c>
      <c r="B2" s="69" t="s">
        <v>243</v>
      </c>
      <c r="C2" s="60" t="s">
        <v>244</v>
      </c>
      <c r="D2" s="70">
        <f>AVERAGE(N8,N11,N45,N54,N18,N60,N26,N34,N41,N67)</f>
        <v>144.85689280134847</v>
      </c>
      <c r="E2" s="71" t="s">
        <v>80</v>
      </c>
      <c r="F2" s="72">
        <f>F1/D1</f>
        <v>33.667531909781658</v>
      </c>
      <c r="G2" s="59" t="s">
        <v>245</v>
      </c>
      <c r="H2" s="73">
        <f>COUNT(H5:H67)</f>
        <v>2</v>
      </c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74">
        <f>SUM(Y8+Y11+Y18+Y26+Y34+Y41+Y45+Y54+Y60+Y67)</f>
        <v>0</v>
      </c>
      <c r="Z2" s="74">
        <f>SUM(Z8+Z11+Z18+Z26+Z34+Z41+Z45+Z54+Z60+Z67)</f>
        <v>0</v>
      </c>
      <c r="AA2" s="278"/>
      <c r="AB2" s="278"/>
      <c r="AC2" s="129">
        <v>53</v>
      </c>
      <c r="AD2" s="74">
        <f>SUM(AD8+AD11+AD18+AD26+AD34+AD41+AD45+AD54+AD60+AD67)</f>
        <v>0</v>
      </c>
      <c r="AE2" s="279"/>
      <c r="AF2" s="279"/>
      <c r="AG2" s="279"/>
    </row>
    <row r="3" spans="1:33" ht="40.5" customHeight="1">
      <c r="A3" s="232" t="s">
        <v>82</v>
      </c>
      <c r="B3" s="232" t="s">
        <v>246</v>
      </c>
      <c r="C3" s="232" t="s">
        <v>247</v>
      </c>
      <c r="D3" s="232"/>
      <c r="E3" s="275" t="s">
        <v>248</v>
      </c>
      <c r="F3" s="232" t="s">
        <v>249</v>
      </c>
      <c r="G3" s="275" t="s">
        <v>250</v>
      </c>
      <c r="H3" s="269" t="s">
        <v>251</v>
      </c>
      <c r="I3" s="267" t="s">
        <v>252</v>
      </c>
      <c r="J3" s="264" t="s">
        <v>253</v>
      </c>
      <c r="K3" s="274" t="s">
        <v>204</v>
      </c>
      <c r="L3" s="267" t="s">
        <v>252</v>
      </c>
      <c r="M3" s="264" t="s">
        <v>254</v>
      </c>
      <c r="N3" s="274" t="s">
        <v>255</v>
      </c>
      <c r="O3" s="267" t="s">
        <v>256</v>
      </c>
      <c r="P3" s="274" t="s">
        <v>204</v>
      </c>
      <c r="Q3" s="265" t="s">
        <v>257</v>
      </c>
      <c r="R3" s="241" t="s">
        <v>258</v>
      </c>
      <c r="S3" s="280" t="s">
        <v>94</v>
      </c>
      <c r="T3" s="280"/>
      <c r="U3" s="269" t="s">
        <v>95</v>
      </c>
      <c r="V3" s="269" t="s">
        <v>259</v>
      </c>
      <c r="W3" s="232" t="s">
        <v>260</v>
      </c>
      <c r="X3" s="232"/>
      <c r="Y3" s="270" t="s">
        <v>261</v>
      </c>
      <c r="Z3" s="231"/>
      <c r="AA3" s="271" t="s">
        <v>262</v>
      </c>
      <c r="AB3" s="272"/>
      <c r="AC3" s="270" t="s">
        <v>263</v>
      </c>
      <c r="AD3" s="231"/>
      <c r="AE3" s="264" t="s">
        <v>264</v>
      </c>
      <c r="AF3" s="265" t="s">
        <v>257</v>
      </c>
      <c r="AG3" s="241" t="s">
        <v>265</v>
      </c>
    </row>
    <row r="4" spans="1:33" ht="15.75" customHeight="1">
      <c r="A4" s="232"/>
      <c r="B4" s="232"/>
      <c r="C4" s="232"/>
      <c r="D4" s="232"/>
      <c r="E4" s="276"/>
      <c r="F4" s="232"/>
      <c r="G4" s="276"/>
      <c r="H4" s="269"/>
      <c r="I4" s="267"/>
      <c r="J4" s="264"/>
      <c r="K4" s="274"/>
      <c r="L4" s="267"/>
      <c r="M4" s="264"/>
      <c r="N4" s="274"/>
      <c r="O4" s="267"/>
      <c r="P4" s="274"/>
      <c r="Q4" s="265"/>
      <c r="R4" s="241"/>
      <c r="S4" s="78" t="s">
        <v>104</v>
      </c>
      <c r="T4" s="78" t="s">
        <v>105</v>
      </c>
      <c r="U4" s="269"/>
      <c r="V4" s="269"/>
      <c r="W4" s="75" t="s">
        <v>266</v>
      </c>
      <c r="X4" s="75" t="s">
        <v>267</v>
      </c>
      <c r="Y4" s="76" t="s">
        <v>268</v>
      </c>
      <c r="Z4" s="76" t="s">
        <v>269</v>
      </c>
      <c r="AA4" s="273"/>
      <c r="AB4" s="272"/>
      <c r="AC4" s="76" t="s">
        <v>270</v>
      </c>
      <c r="AD4" s="76" t="s">
        <v>271</v>
      </c>
      <c r="AE4" s="264"/>
      <c r="AF4" s="265"/>
      <c r="AG4" s="241"/>
    </row>
    <row r="5" spans="1:33">
      <c r="A5" s="266" t="s">
        <v>272</v>
      </c>
      <c r="B5" s="77" t="s">
        <v>113</v>
      </c>
      <c r="C5" s="268" t="s">
        <v>114</v>
      </c>
      <c r="D5" s="268"/>
      <c r="E5" s="77">
        <v>50.92</v>
      </c>
      <c r="F5" s="78">
        <v>1733</v>
      </c>
      <c r="G5" s="75">
        <f t="shared" ref="G5:G7" si="0">E5*F5</f>
        <v>88244.36</v>
      </c>
      <c r="H5" s="79" t="s">
        <v>115</v>
      </c>
      <c r="I5" s="80">
        <v>15</v>
      </c>
      <c r="J5" s="81">
        <v>2000</v>
      </c>
      <c r="K5" s="82">
        <f t="shared" ref="K5:K67" si="1">J5/I5</f>
        <v>133.33333333333334</v>
      </c>
      <c r="L5" s="80">
        <v>15</v>
      </c>
      <c r="M5" s="83">
        <f t="shared" ref="M5:M7" si="2">F5/V5*60</f>
        <v>1925.5555555555566</v>
      </c>
      <c r="N5" s="82">
        <f t="shared" ref="N5:N67" si="3">M5/L5</f>
        <v>128.37037037037044</v>
      </c>
      <c r="O5" s="84">
        <f t="shared" ref="O5:O67" si="4">L5-I5</f>
        <v>0</v>
      </c>
      <c r="P5" s="85">
        <f t="shared" ref="P5:P67" si="5">N5-K5</f>
        <v>-4.9629629629629051</v>
      </c>
      <c r="Q5" s="87">
        <f t="shared" ref="Q5:Q67" si="6">N5/K5</f>
        <v>0.96277777777777818</v>
      </c>
      <c r="R5" s="237">
        <f>Q8</f>
        <v>0.96763180827886708</v>
      </c>
      <c r="S5" s="88">
        <v>0.70833333333333337</v>
      </c>
      <c r="T5" s="88">
        <v>0.74583333333333335</v>
      </c>
      <c r="U5" s="75"/>
      <c r="V5" s="89">
        <f t="shared" ref="V5:V7" si="7">(T5-S5)*24*60</f>
        <v>53.999999999999972</v>
      </c>
      <c r="W5" s="90"/>
      <c r="X5" s="90"/>
      <c r="Y5" s="91"/>
      <c r="Z5" s="91"/>
      <c r="AA5" s="232"/>
      <c r="AB5" s="232"/>
      <c r="AC5" s="92">
        <v>3</v>
      </c>
      <c r="AD5" s="93"/>
      <c r="AE5" s="84">
        <f t="shared" ref="AE5:AE53" si="8">M5-J5</f>
        <v>-74.444444444443434</v>
      </c>
      <c r="AF5" s="87">
        <f t="shared" ref="AF5:AF67" si="9">M5/J5</f>
        <v>0.96277777777777829</v>
      </c>
      <c r="AG5" s="237">
        <f>AF8</f>
        <v>0.96763180827886719</v>
      </c>
    </row>
    <row r="6" spans="1:33">
      <c r="A6" s="267" t="s">
        <v>273</v>
      </c>
      <c r="B6" s="77" t="s">
        <v>113</v>
      </c>
      <c r="C6" s="268" t="s">
        <v>117</v>
      </c>
      <c r="D6" s="268"/>
      <c r="E6" s="77">
        <v>50.98</v>
      </c>
      <c r="F6" s="78">
        <v>1932</v>
      </c>
      <c r="G6" s="75">
        <f t="shared" si="0"/>
        <v>98493.36</v>
      </c>
      <c r="H6" s="79" t="s">
        <v>115</v>
      </c>
      <c r="I6" s="80">
        <v>16</v>
      </c>
      <c r="J6" s="81">
        <v>2000</v>
      </c>
      <c r="K6" s="82">
        <f t="shared" si="1"/>
        <v>125</v>
      </c>
      <c r="L6" s="80">
        <v>16</v>
      </c>
      <c r="M6" s="83">
        <f t="shared" si="2"/>
        <v>1932.0000000000018</v>
      </c>
      <c r="N6" s="82">
        <f t="shared" si="3"/>
        <v>120.75000000000011</v>
      </c>
      <c r="O6" s="84">
        <f t="shared" si="4"/>
        <v>0</v>
      </c>
      <c r="P6" s="85">
        <f t="shared" si="5"/>
        <v>-4.2499999999998863</v>
      </c>
      <c r="Q6" s="87">
        <f t="shared" si="6"/>
        <v>0.96600000000000086</v>
      </c>
      <c r="R6" s="237"/>
      <c r="S6" s="88">
        <v>0.75</v>
      </c>
      <c r="T6" s="88">
        <v>0.79166666666666663</v>
      </c>
      <c r="U6" s="75">
        <f t="shared" ref="U6:U7" si="10">IF(S6=TIME(17,0,0),"",(S6-T5)*24*60)</f>
        <v>5.9999999999999787</v>
      </c>
      <c r="V6" s="89">
        <f t="shared" si="7"/>
        <v>59.999999999999943</v>
      </c>
      <c r="W6" s="90"/>
      <c r="X6" s="90"/>
      <c r="Y6" s="90"/>
      <c r="Z6" s="90"/>
      <c r="AA6" s="232"/>
      <c r="AB6" s="232"/>
      <c r="AC6" s="92"/>
      <c r="AD6" s="93"/>
      <c r="AE6" s="84">
        <f t="shared" si="8"/>
        <v>-67.999999999998181</v>
      </c>
      <c r="AF6" s="87">
        <f t="shared" si="9"/>
        <v>0.96600000000000086</v>
      </c>
      <c r="AG6" s="237"/>
    </row>
    <row r="7" spans="1:33">
      <c r="A7" s="267" t="s">
        <v>274</v>
      </c>
      <c r="B7" s="77" t="s">
        <v>113</v>
      </c>
      <c r="C7" s="262" t="s">
        <v>118</v>
      </c>
      <c r="D7" s="263"/>
      <c r="E7" s="77">
        <v>50.67</v>
      </c>
      <c r="F7" s="78">
        <v>1104</v>
      </c>
      <c r="G7" s="75">
        <f t="shared" si="0"/>
        <v>55939.68</v>
      </c>
      <c r="H7" s="79" t="s">
        <v>115</v>
      </c>
      <c r="I7" s="80">
        <v>15</v>
      </c>
      <c r="J7" s="81">
        <v>2000</v>
      </c>
      <c r="K7" s="82">
        <f t="shared" si="1"/>
        <v>133.33333333333334</v>
      </c>
      <c r="L7" s="80">
        <v>15</v>
      </c>
      <c r="M7" s="83">
        <f t="shared" si="2"/>
        <v>1948.2352941176448</v>
      </c>
      <c r="N7" s="82">
        <f t="shared" si="3"/>
        <v>129.88235294117632</v>
      </c>
      <c r="O7" s="84">
        <f t="shared" si="4"/>
        <v>0</v>
      </c>
      <c r="P7" s="85">
        <f t="shared" si="5"/>
        <v>-3.450980392157021</v>
      </c>
      <c r="Q7" s="87">
        <f t="shared" si="6"/>
        <v>0.97411764705882231</v>
      </c>
      <c r="R7" s="237"/>
      <c r="S7" s="88">
        <v>0.79652777777777772</v>
      </c>
      <c r="T7" s="88">
        <v>0.82013888888888886</v>
      </c>
      <c r="U7" s="75">
        <f t="shared" si="10"/>
        <v>6.9999999999999751</v>
      </c>
      <c r="V7" s="89">
        <f t="shared" si="7"/>
        <v>34.000000000000043</v>
      </c>
      <c r="W7" s="90"/>
      <c r="X7" s="90"/>
      <c r="Y7" s="94"/>
      <c r="Z7" s="94"/>
      <c r="AA7" s="227"/>
      <c r="AB7" s="228"/>
      <c r="AC7" s="92"/>
      <c r="AD7" s="95"/>
      <c r="AE7" s="84">
        <f t="shared" si="8"/>
        <v>-51.764705882355202</v>
      </c>
      <c r="AF7" s="87">
        <f t="shared" si="9"/>
        <v>0.97411764705882242</v>
      </c>
      <c r="AG7" s="237"/>
    </row>
    <row r="8" spans="1:33">
      <c r="A8" s="267" t="s">
        <v>275</v>
      </c>
      <c r="B8" s="77" t="s">
        <v>276</v>
      </c>
      <c r="C8" s="238"/>
      <c r="D8" s="238"/>
      <c r="E8" s="96"/>
      <c r="F8" s="97"/>
      <c r="G8" s="82"/>
      <c r="H8" s="78"/>
      <c r="I8" s="98">
        <v>15.333333333333334</v>
      </c>
      <c r="J8" s="81">
        <v>2000</v>
      </c>
      <c r="K8" s="82">
        <f t="shared" si="1"/>
        <v>130.43478260869566</v>
      </c>
      <c r="L8" s="98">
        <v>15.333333333333334</v>
      </c>
      <c r="M8" s="83">
        <f>AVERAGE(M5:M7)</f>
        <v>1935.2636165577344</v>
      </c>
      <c r="N8" s="82">
        <f t="shared" si="3"/>
        <v>126.2128445581131</v>
      </c>
      <c r="O8" s="84">
        <f t="shared" si="4"/>
        <v>0</v>
      </c>
      <c r="P8" s="85">
        <f t="shared" si="5"/>
        <v>-4.2219380505825512</v>
      </c>
      <c r="Q8" s="87">
        <f t="shared" si="6"/>
        <v>0.96763180827886708</v>
      </c>
      <c r="R8" s="237"/>
      <c r="S8" s="88"/>
      <c r="T8" s="88"/>
      <c r="U8" s="75"/>
      <c r="V8" s="89"/>
      <c r="W8" s="82"/>
      <c r="X8" s="82"/>
      <c r="Y8" s="99">
        <f>SUM(Y5:Y7)</f>
        <v>0</v>
      </c>
      <c r="Z8" s="99">
        <f>SUM(Z5:Z7)</f>
        <v>0</v>
      </c>
      <c r="AA8" s="231"/>
      <c r="AB8" s="231"/>
      <c r="AC8" s="99">
        <v>3</v>
      </c>
      <c r="AD8" s="99">
        <f>SUM(AD5:AD7)</f>
        <v>0</v>
      </c>
      <c r="AE8" s="84">
        <f t="shared" si="8"/>
        <v>-64.736383442265605</v>
      </c>
      <c r="AF8" s="87">
        <f t="shared" si="9"/>
        <v>0.96763180827886719</v>
      </c>
      <c r="AG8" s="237"/>
    </row>
    <row r="9" spans="1:33" ht="15.75" customHeight="1">
      <c r="A9" s="261" t="s">
        <v>277</v>
      </c>
      <c r="B9" s="77" t="s">
        <v>121</v>
      </c>
      <c r="C9" s="262" t="s">
        <v>122</v>
      </c>
      <c r="D9" s="263"/>
      <c r="E9" s="77">
        <v>39.619999999999997</v>
      </c>
      <c r="F9" s="78">
        <v>3623</v>
      </c>
      <c r="G9" s="75">
        <f t="shared" ref="G9:G10" si="11">E9*F9</f>
        <v>143543.25999999998</v>
      </c>
      <c r="H9" s="79" t="s">
        <v>115</v>
      </c>
      <c r="I9" s="80">
        <v>19</v>
      </c>
      <c r="J9" s="81">
        <v>1500</v>
      </c>
      <c r="K9" s="82">
        <f t="shared" si="1"/>
        <v>78.94736842105263</v>
      </c>
      <c r="L9" s="80">
        <v>19</v>
      </c>
      <c r="M9" s="83">
        <f t="shared" ref="M9:M10" si="12">F9/V9*60</f>
        <v>1430.1315789473683</v>
      </c>
      <c r="N9" s="82">
        <f t="shared" si="3"/>
        <v>75.270083102493075</v>
      </c>
      <c r="O9" s="84">
        <f t="shared" si="4"/>
        <v>0</v>
      </c>
      <c r="P9" s="85">
        <f t="shared" si="5"/>
        <v>-3.6772853185595551</v>
      </c>
      <c r="Q9" s="87">
        <f t="shared" si="6"/>
        <v>0.95342105263157895</v>
      </c>
      <c r="R9" s="237">
        <f>Q11</f>
        <v>0.95279941520467837</v>
      </c>
      <c r="S9" s="88">
        <v>8.3333333333333329E-2</v>
      </c>
      <c r="T9" s="88">
        <v>0.18888888888888888</v>
      </c>
      <c r="U9" s="75"/>
      <c r="V9" s="89">
        <f t="shared" ref="V9:V10" si="13">(T9-S9)*24*60</f>
        <v>152</v>
      </c>
      <c r="W9" s="90">
        <f>T9</f>
        <v>0.18888888888888888</v>
      </c>
      <c r="X9" s="90">
        <f>S10</f>
        <v>0.20902777777777778</v>
      </c>
      <c r="Y9" s="90"/>
      <c r="Z9" s="90"/>
      <c r="AA9" s="232"/>
      <c r="AB9" s="232"/>
      <c r="AC9" s="92">
        <v>2</v>
      </c>
      <c r="AD9" s="93"/>
      <c r="AE9" s="84">
        <f t="shared" si="8"/>
        <v>-69.868421052631675</v>
      </c>
      <c r="AF9" s="87">
        <f t="shared" si="9"/>
        <v>0.95342105263157884</v>
      </c>
      <c r="AG9" s="237">
        <f>AF11</f>
        <v>0.95279941520467826</v>
      </c>
    </row>
    <row r="10" spans="1:33" ht="15.75" customHeight="1">
      <c r="A10" s="261" t="s">
        <v>277</v>
      </c>
      <c r="B10" s="77" t="s">
        <v>121</v>
      </c>
      <c r="C10" s="262" t="s">
        <v>123</v>
      </c>
      <c r="D10" s="263"/>
      <c r="E10" s="77">
        <v>39.799999999999997</v>
      </c>
      <c r="F10" s="78">
        <v>5356</v>
      </c>
      <c r="G10" s="75">
        <f t="shared" si="11"/>
        <v>213168.8</v>
      </c>
      <c r="H10" s="79" t="s">
        <v>115</v>
      </c>
      <c r="I10" s="80">
        <v>17</v>
      </c>
      <c r="J10" s="81">
        <v>1500</v>
      </c>
      <c r="K10" s="82">
        <f t="shared" si="1"/>
        <v>88.235294117647058</v>
      </c>
      <c r="L10" s="80">
        <v>17</v>
      </c>
      <c r="M10" s="83">
        <f t="shared" si="12"/>
        <v>1428.2666666666664</v>
      </c>
      <c r="N10" s="82">
        <f t="shared" si="3"/>
        <v>84.01568627450979</v>
      </c>
      <c r="O10" s="84">
        <f t="shared" si="4"/>
        <v>0</v>
      </c>
      <c r="P10" s="85">
        <f t="shared" si="5"/>
        <v>-4.2196078431372683</v>
      </c>
      <c r="Q10" s="87">
        <f t="shared" si="6"/>
        <v>0.95217777777777768</v>
      </c>
      <c r="R10" s="237"/>
      <c r="S10" s="88">
        <v>0.20902777777777778</v>
      </c>
      <c r="T10" s="88">
        <v>0.36527777777777781</v>
      </c>
      <c r="U10" s="75">
        <f t="shared" ref="U10" si="14">IF(S10=TIME(17,0,0),"",(S10-T9)*24*60)</f>
        <v>29.000000000000018</v>
      </c>
      <c r="V10" s="89">
        <f t="shared" si="13"/>
        <v>225.00000000000006</v>
      </c>
      <c r="W10" s="90"/>
      <c r="X10" s="90"/>
      <c r="Y10" s="90"/>
      <c r="Z10" s="90"/>
      <c r="AA10" s="232"/>
      <c r="AB10" s="232"/>
      <c r="AC10" s="92"/>
      <c r="AD10" s="93"/>
      <c r="AE10" s="84">
        <f t="shared" si="8"/>
        <v>-71.733333333333576</v>
      </c>
      <c r="AF10" s="87">
        <f t="shared" si="9"/>
        <v>0.95217777777777757</v>
      </c>
      <c r="AG10" s="237"/>
    </row>
    <row r="11" spans="1:33" ht="16.5" customHeight="1">
      <c r="A11" s="261" t="s">
        <v>277</v>
      </c>
      <c r="B11" s="77" t="s">
        <v>278</v>
      </c>
      <c r="C11" s="238"/>
      <c r="D11" s="238"/>
      <c r="E11" s="96"/>
      <c r="F11" s="81"/>
      <c r="G11" s="83"/>
      <c r="H11" s="78"/>
      <c r="I11" s="98">
        <v>18</v>
      </c>
      <c r="J11" s="81">
        <v>1500</v>
      </c>
      <c r="K11" s="82">
        <f t="shared" si="1"/>
        <v>83.333333333333329</v>
      </c>
      <c r="L11" s="98">
        <v>18</v>
      </c>
      <c r="M11" s="83">
        <f>AVERAGE(M9:M10)</f>
        <v>1429.1991228070174</v>
      </c>
      <c r="N11" s="82">
        <f t="shared" si="3"/>
        <v>79.399951267056522</v>
      </c>
      <c r="O11" s="84">
        <f t="shared" si="4"/>
        <v>0</v>
      </c>
      <c r="P11" s="85">
        <f t="shared" si="5"/>
        <v>-3.9333820662768062</v>
      </c>
      <c r="Q11" s="87">
        <f t="shared" si="6"/>
        <v>0.95279941520467837</v>
      </c>
      <c r="R11" s="237"/>
      <c r="S11" s="88"/>
      <c r="T11" s="88"/>
      <c r="U11" s="82"/>
      <c r="V11" s="89"/>
      <c r="W11" s="82"/>
      <c r="X11" s="82"/>
      <c r="Y11" s="99">
        <f>SUM(Y9:Y10)</f>
        <v>0</v>
      </c>
      <c r="Z11" s="99">
        <f>SUM(Z9:Z10)</f>
        <v>0</v>
      </c>
      <c r="AA11" s="231"/>
      <c r="AB11" s="231"/>
      <c r="AC11" s="99">
        <v>2</v>
      </c>
      <c r="AD11" s="99">
        <f>SUM(AD9:AD10)</f>
        <v>0</v>
      </c>
      <c r="AE11" s="84">
        <f t="shared" si="8"/>
        <v>-70.800877192982625</v>
      </c>
      <c r="AF11" s="87">
        <f t="shared" si="9"/>
        <v>0.95279941520467826</v>
      </c>
      <c r="AG11" s="237"/>
    </row>
    <row r="12" spans="1:33" ht="16.5" customHeight="1">
      <c r="A12" s="259" t="s">
        <v>279</v>
      </c>
      <c r="B12" s="78" t="s">
        <v>125</v>
      </c>
      <c r="C12" s="255" t="s">
        <v>126</v>
      </c>
      <c r="D12" s="255"/>
      <c r="E12" s="77">
        <v>31.11</v>
      </c>
      <c r="F12" s="78">
        <v>2069</v>
      </c>
      <c r="G12" s="75">
        <f t="shared" ref="G12:G17" si="15">E12*F12</f>
        <v>64366.59</v>
      </c>
      <c r="H12" s="79" t="s">
        <v>115</v>
      </c>
      <c r="I12" s="80">
        <v>14</v>
      </c>
      <c r="J12" s="81">
        <v>2000</v>
      </c>
      <c r="K12" s="82">
        <f t="shared" si="1"/>
        <v>142.85714285714286</v>
      </c>
      <c r="L12" s="80">
        <v>14</v>
      </c>
      <c r="M12" s="83">
        <f t="shared" ref="M12:M17" si="16">F12/V12*60</f>
        <v>1909.8461538461534</v>
      </c>
      <c r="N12" s="82">
        <f t="shared" si="3"/>
        <v>136.41758241758239</v>
      </c>
      <c r="O12" s="84">
        <f t="shared" si="4"/>
        <v>0</v>
      </c>
      <c r="P12" s="85">
        <f t="shared" si="5"/>
        <v>-6.4395604395604664</v>
      </c>
      <c r="Q12" s="87">
        <f t="shared" si="6"/>
        <v>0.95492307692307676</v>
      </c>
      <c r="R12" s="237">
        <f>Q18</f>
        <v>0.96444310994170146</v>
      </c>
      <c r="S12" s="88">
        <v>0.25</v>
      </c>
      <c r="T12" s="88">
        <v>0.2951388888888889</v>
      </c>
      <c r="U12" s="75"/>
      <c r="V12" s="89">
        <f t="shared" ref="V12:V17" si="17">(T12-S12)*24*60</f>
        <v>65.000000000000014</v>
      </c>
      <c r="W12" s="90"/>
      <c r="X12" s="90"/>
      <c r="Y12" s="100"/>
      <c r="Z12" s="100"/>
      <c r="AA12" s="232"/>
      <c r="AB12" s="232"/>
      <c r="AC12" s="92">
        <v>6</v>
      </c>
      <c r="AD12" s="93"/>
      <c r="AE12" s="84">
        <f t="shared" si="8"/>
        <v>-90.153846153846644</v>
      </c>
      <c r="AF12" s="87">
        <f t="shared" si="9"/>
        <v>0.95492307692307665</v>
      </c>
      <c r="AG12" s="237">
        <f>AF18</f>
        <v>0.96444310994170146</v>
      </c>
    </row>
    <row r="13" spans="1:33" ht="16.5" customHeight="1">
      <c r="A13" s="260" t="s">
        <v>279</v>
      </c>
      <c r="B13" s="78" t="s">
        <v>127</v>
      </c>
      <c r="C13" s="255" t="s">
        <v>128</v>
      </c>
      <c r="D13" s="255"/>
      <c r="E13" s="77">
        <v>41</v>
      </c>
      <c r="F13" s="78">
        <v>1242</v>
      </c>
      <c r="G13" s="75">
        <f t="shared" si="15"/>
        <v>50922</v>
      </c>
      <c r="H13" s="79" t="s">
        <v>115</v>
      </c>
      <c r="I13" s="80">
        <v>26</v>
      </c>
      <c r="J13" s="81">
        <v>1500</v>
      </c>
      <c r="K13" s="82">
        <f t="shared" si="1"/>
        <v>57.692307692307693</v>
      </c>
      <c r="L13" s="80">
        <v>26</v>
      </c>
      <c r="M13" s="83">
        <f t="shared" si="16"/>
        <v>1433.0769230769238</v>
      </c>
      <c r="N13" s="82">
        <f t="shared" si="3"/>
        <v>55.118343195266299</v>
      </c>
      <c r="O13" s="84">
        <f t="shared" si="4"/>
        <v>0</v>
      </c>
      <c r="P13" s="85">
        <f t="shared" si="5"/>
        <v>-2.5739644970413948</v>
      </c>
      <c r="Q13" s="87">
        <f t="shared" si="6"/>
        <v>0.95538461538461583</v>
      </c>
      <c r="R13" s="237"/>
      <c r="S13" s="88">
        <v>0.30069444444444443</v>
      </c>
      <c r="T13" s="88">
        <v>0.33680555555555552</v>
      </c>
      <c r="U13" s="75">
        <f t="shared" ref="U13:U17" si="18">IF(S13=TIME(17,0,0),"",(S13-T12)*24*60)</f>
        <v>7.9999999999999716</v>
      </c>
      <c r="V13" s="89">
        <f t="shared" si="17"/>
        <v>51.999999999999972</v>
      </c>
      <c r="W13" s="90"/>
      <c r="X13" s="90"/>
      <c r="Y13" s="90"/>
      <c r="Z13" s="90"/>
      <c r="AA13" s="232"/>
      <c r="AB13" s="232"/>
      <c r="AC13" s="92"/>
      <c r="AD13" s="93"/>
      <c r="AE13" s="84">
        <f t="shared" si="8"/>
        <v>-66.923076923076223</v>
      </c>
      <c r="AF13" s="87">
        <f t="shared" si="9"/>
        <v>0.95538461538461583</v>
      </c>
      <c r="AG13" s="237"/>
    </row>
    <row r="14" spans="1:33" ht="16.5" customHeight="1">
      <c r="A14" s="260" t="s">
        <v>279</v>
      </c>
      <c r="B14" s="78" t="s">
        <v>121</v>
      </c>
      <c r="C14" s="255" t="s">
        <v>129</v>
      </c>
      <c r="D14" s="255"/>
      <c r="E14" s="77">
        <v>39.46</v>
      </c>
      <c r="F14" s="78">
        <v>1714</v>
      </c>
      <c r="G14" s="75">
        <f t="shared" si="15"/>
        <v>67634.44</v>
      </c>
      <c r="H14" s="79" t="s">
        <v>115</v>
      </c>
      <c r="I14" s="80">
        <v>15</v>
      </c>
      <c r="J14" s="81">
        <v>1500</v>
      </c>
      <c r="K14" s="82">
        <f t="shared" si="1"/>
        <v>100</v>
      </c>
      <c r="L14" s="80">
        <v>15</v>
      </c>
      <c r="M14" s="83">
        <f t="shared" si="16"/>
        <v>1448.4507042253524</v>
      </c>
      <c r="N14" s="82">
        <f t="shared" si="3"/>
        <v>96.563380281690158</v>
      </c>
      <c r="O14" s="84">
        <f t="shared" si="4"/>
        <v>0</v>
      </c>
      <c r="P14" s="85">
        <f t="shared" si="5"/>
        <v>-3.4366197183098421</v>
      </c>
      <c r="Q14" s="87">
        <f t="shared" si="6"/>
        <v>0.96563380281690159</v>
      </c>
      <c r="R14" s="237"/>
      <c r="S14" s="88">
        <v>0.34236111111111106</v>
      </c>
      <c r="T14" s="88">
        <v>0.39166666666666661</v>
      </c>
      <c r="U14" s="75">
        <f t="shared" si="18"/>
        <v>7.9999999999999716</v>
      </c>
      <c r="V14" s="89">
        <f t="shared" si="17"/>
        <v>70.999999999999986</v>
      </c>
      <c r="W14" s="90"/>
      <c r="X14" s="90"/>
      <c r="Y14" s="90"/>
      <c r="Z14" s="90"/>
      <c r="AA14" s="232"/>
      <c r="AB14" s="232"/>
      <c r="AC14" s="92"/>
      <c r="AD14" s="93"/>
      <c r="AE14" s="84">
        <f t="shared" si="8"/>
        <v>-51.549295774647589</v>
      </c>
      <c r="AF14" s="87">
        <f t="shared" si="9"/>
        <v>0.96563380281690159</v>
      </c>
      <c r="AG14" s="237"/>
    </row>
    <row r="15" spans="1:33" ht="16.5" customHeight="1">
      <c r="A15" s="260" t="s">
        <v>279</v>
      </c>
      <c r="B15" s="78" t="s">
        <v>113</v>
      </c>
      <c r="C15" s="255" t="s">
        <v>130</v>
      </c>
      <c r="D15" s="255"/>
      <c r="E15" s="77">
        <v>51.06</v>
      </c>
      <c r="F15" s="78">
        <v>2256</v>
      </c>
      <c r="G15" s="75">
        <f t="shared" si="15"/>
        <v>115191.36</v>
      </c>
      <c r="H15" s="79" t="s">
        <v>115</v>
      </c>
      <c r="I15" s="80">
        <v>13</v>
      </c>
      <c r="J15" s="81">
        <v>2000</v>
      </c>
      <c r="K15" s="82">
        <f t="shared" si="1"/>
        <v>153.84615384615384</v>
      </c>
      <c r="L15" s="80">
        <v>13</v>
      </c>
      <c r="M15" s="83">
        <f t="shared" si="16"/>
        <v>1906.4788732394347</v>
      </c>
      <c r="N15" s="82">
        <f t="shared" si="3"/>
        <v>146.65222101841806</v>
      </c>
      <c r="O15" s="84">
        <f t="shared" si="4"/>
        <v>0</v>
      </c>
      <c r="P15" s="85">
        <f t="shared" si="5"/>
        <v>-7.1939328277357788</v>
      </c>
      <c r="Q15" s="87">
        <f t="shared" si="6"/>
        <v>0.95323943661971744</v>
      </c>
      <c r="R15" s="237"/>
      <c r="S15" s="88">
        <v>0.70833333333333337</v>
      </c>
      <c r="T15" s="88">
        <v>0.75763888888888897</v>
      </c>
      <c r="U15" s="75" t="str">
        <f t="shared" si="18"/>
        <v/>
      </c>
      <c r="V15" s="89">
        <f t="shared" si="17"/>
        <v>71.000000000000071</v>
      </c>
      <c r="W15" s="90"/>
      <c r="X15" s="90"/>
      <c r="Y15" s="90"/>
      <c r="Z15" s="90"/>
      <c r="AA15" s="232"/>
      <c r="AB15" s="232"/>
      <c r="AC15" s="92"/>
      <c r="AD15" s="93"/>
      <c r="AE15" s="84">
        <f t="shared" si="8"/>
        <v>-93.521126760565267</v>
      </c>
      <c r="AF15" s="87">
        <f t="shared" si="9"/>
        <v>0.95323943661971733</v>
      </c>
      <c r="AG15" s="237"/>
    </row>
    <row r="16" spans="1:33" ht="16.5" customHeight="1">
      <c r="A16" s="260" t="s">
        <v>279</v>
      </c>
      <c r="B16" s="78" t="s">
        <v>113</v>
      </c>
      <c r="C16" s="255" t="s">
        <v>131</v>
      </c>
      <c r="D16" s="255"/>
      <c r="E16" s="77">
        <v>56.43</v>
      </c>
      <c r="F16" s="78">
        <v>812</v>
      </c>
      <c r="G16" s="75">
        <f t="shared" si="15"/>
        <v>45821.159999999996</v>
      </c>
      <c r="H16" s="79" t="s">
        <v>115</v>
      </c>
      <c r="I16" s="80">
        <v>13</v>
      </c>
      <c r="J16" s="81">
        <v>2000</v>
      </c>
      <c r="K16" s="82">
        <f t="shared" si="1"/>
        <v>153.84615384615384</v>
      </c>
      <c r="L16" s="80">
        <v>13</v>
      </c>
      <c r="M16" s="83">
        <f t="shared" si="16"/>
        <v>1948.7999999999943</v>
      </c>
      <c r="N16" s="82">
        <f t="shared" si="3"/>
        <v>149.90769230769186</v>
      </c>
      <c r="O16" s="84">
        <f t="shared" si="4"/>
        <v>0</v>
      </c>
      <c r="P16" s="85">
        <f t="shared" si="5"/>
        <v>-3.9384615384619792</v>
      </c>
      <c r="Q16" s="87">
        <f t="shared" si="6"/>
        <v>0.97439999999999716</v>
      </c>
      <c r="R16" s="237"/>
      <c r="S16" s="88">
        <v>0.76250000000000007</v>
      </c>
      <c r="T16" s="88">
        <v>0.77986111111111123</v>
      </c>
      <c r="U16" s="75">
        <f t="shared" si="18"/>
        <v>6.9999999999999751</v>
      </c>
      <c r="V16" s="89">
        <f t="shared" si="17"/>
        <v>25.000000000000071</v>
      </c>
      <c r="W16" s="90"/>
      <c r="X16" s="90"/>
      <c r="Y16" s="90"/>
      <c r="Z16" s="90"/>
      <c r="AA16" s="232"/>
      <c r="AB16" s="232"/>
      <c r="AC16" s="92"/>
      <c r="AD16" s="93"/>
      <c r="AE16" s="84">
        <f t="shared" si="8"/>
        <v>-51.20000000000573</v>
      </c>
      <c r="AF16" s="87">
        <f t="shared" si="9"/>
        <v>0.97439999999999716</v>
      </c>
      <c r="AG16" s="237"/>
    </row>
    <row r="17" spans="1:33" ht="16.5" customHeight="1">
      <c r="A17" s="260" t="s">
        <v>279</v>
      </c>
      <c r="B17" s="78" t="s">
        <v>113</v>
      </c>
      <c r="C17" s="105" t="s">
        <v>132</v>
      </c>
      <c r="D17" s="106"/>
      <c r="E17" s="77">
        <v>54.5</v>
      </c>
      <c r="F17" s="78">
        <v>518</v>
      </c>
      <c r="G17" s="75">
        <f t="shared" si="15"/>
        <v>28231</v>
      </c>
      <c r="H17" s="79" t="s">
        <v>115</v>
      </c>
      <c r="I17" s="80">
        <v>19</v>
      </c>
      <c r="J17" s="81">
        <v>1500</v>
      </c>
      <c r="K17" s="82">
        <f t="shared" si="1"/>
        <v>78.94736842105263</v>
      </c>
      <c r="L17" s="80">
        <v>19</v>
      </c>
      <c r="M17" s="83">
        <f t="shared" si="16"/>
        <v>1480.0000000000052</v>
      </c>
      <c r="N17" s="82">
        <f t="shared" si="3"/>
        <v>77.894736842105544</v>
      </c>
      <c r="O17" s="84">
        <f t="shared" si="4"/>
        <v>0</v>
      </c>
      <c r="P17" s="85">
        <f t="shared" si="5"/>
        <v>-1.0526315789470857</v>
      </c>
      <c r="Q17" s="87">
        <f t="shared" si="6"/>
        <v>0.98666666666667024</v>
      </c>
      <c r="R17" s="237"/>
      <c r="S17" s="88">
        <v>0.78402777777777788</v>
      </c>
      <c r="T17" s="88">
        <v>0.79861111111111116</v>
      </c>
      <c r="U17" s="75">
        <f t="shared" si="18"/>
        <v>5.9999999999999787</v>
      </c>
      <c r="V17" s="89">
        <f t="shared" si="17"/>
        <v>20.999999999999925</v>
      </c>
      <c r="W17" s="90"/>
      <c r="X17" s="90"/>
      <c r="Y17" s="94"/>
      <c r="Z17" s="94"/>
      <c r="AA17" s="103"/>
      <c r="AB17" s="104"/>
      <c r="AC17" s="92"/>
      <c r="AD17" s="93"/>
      <c r="AE17" s="84">
        <f t="shared" si="8"/>
        <v>-19.99999999999477</v>
      </c>
      <c r="AF17" s="87">
        <f t="shared" si="9"/>
        <v>0.98666666666667013</v>
      </c>
      <c r="AG17" s="237"/>
    </row>
    <row r="18" spans="1:33" ht="16.5" customHeight="1">
      <c r="A18" s="260" t="s">
        <v>279</v>
      </c>
      <c r="B18" s="77" t="s">
        <v>278</v>
      </c>
      <c r="C18" s="238"/>
      <c r="D18" s="238"/>
      <c r="E18" s="96"/>
      <c r="F18" s="97"/>
      <c r="G18" s="82"/>
      <c r="H18" s="78"/>
      <c r="I18" s="98">
        <v>16.666666666666668</v>
      </c>
      <c r="J18" s="81">
        <v>1750</v>
      </c>
      <c r="K18" s="82">
        <f t="shared" si="1"/>
        <v>104.99999999999999</v>
      </c>
      <c r="L18" s="98">
        <v>16.666666666666668</v>
      </c>
      <c r="M18" s="83">
        <f>AVERAGE(M12:M17)</f>
        <v>1687.7754423979775</v>
      </c>
      <c r="N18" s="82">
        <f t="shared" si="3"/>
        <v>101.26652654387864</v>
      </c>
      <c r="O18" s="84">
        <f t="shared" si="4"/>
        <v>0</v>
      </c>
      <c r="P18" s="85">
        <f t="shared" si="5"/>
        <v>-3.7334734561213452</v>
      </c>
      <c r="Q18" s="87">
        <f t="shared" si="6"/>
        <v>0.96444310994170146</v>
      </c>
      <c r="R18" s="237"/>
      <c r="S18" s="88"/>
      <c r="T18" s="88"/>
      <c r="U18" s="75"/>
      <c r="V18" s="89"/>
      <c r="W18" s="82"/>
      <c r="X18" s="82"/>
      <c r="Y18" s="99">
        <f>SUM(Y12:Y17)</f>
        <v>0</v>
      </c>
      <c r="Z18" s="99">
        <f>SUM(Z12:Z17)</f>
        <v>0</v>
      </c>
      <c r="AA18" s="231"/>
      <c r="AB18" s="231"/>
      <c r="AC18" s="99">
        <v>6</v>
      </c>
      <c r="AD18" s="99">
        <f>SUM(AD12:AD17)</f>
        <v>0</v>
      </c>
      <c r="AE18" s="84">
        <f t="shared" si="8"/>
        <v>-62.224557602022514</v>
      </c>
      <c r="AF18" s="87">
        <f t="shared" si="9"/>
        <v>0.96444310994170146</v>
      </c>
      <c r="AG18" s="237"/>
    </row>
    <row r="19" spans="1:33" ht="15.75" customHeight="1">
      <c r="A19" s="257" t="s">
        <v>280</v>
      </c>
      <c r="B19" s="77" t="s">
        <v>113</v>
      </c>
      <c r="C19" s="255" t="s">
        <v>134</v>
      </c>
      <c r="D19" s="255"/>
      <c r="E19" s="77">
        <v>50.67</v>
      </c>
      <c r="F19" s="78">
        <v>1156</v>
      </c>
      <c r="G19" s="75">
        <f t="shared" ref="G19:G25" si="19">E19*F19</f>
        <v>58574.520000000004</v>
      </c>
      <c r="H19" s="79" t="s">
        <v>115</v>
      </c>
      <c r="I19" s="80">
        <v>17</v>
      </c>
      <c r="J19" s="81">
        <v>2000</v>
      </c>
      <c r="K19" s="82">
        <f t="shared" si="1"/>
        <v>117.64705882352941</v>
      </c>
      <c r="L19" s="80">
        <v>17</v>
      </c>
      <c r="M19" s="83">
        <f t="shared" ref="M19:M25" si="20">F19/V19*60</f>
        <v>1926.666666666667</v>
      </c>
      <c r="N19" s="82">
        <f t="shared" si="3"/>
        <v>113.33333333333336</v>
      </c>
      <c r="O19" s="84">
        <f t="shared" si="4"/>
        <v>0</v>
      </c>
      <c r="P19" s="85">
        <f t="shared" si="5"/>
        <v>-4.3137254901960489</v>
      </c>
      <c r="Q19" s="87">
        <f t="shared" si="6"/>
        <v>0.9633333333333336</v>
      </c>
      <c r="R19" s="237">
        <f>Q26</f>
        <v>0.96163927036659624</v>
      </c>
      <c r="S19" s="88">
        <v>0.20833333333333334</v>
      </c>
      <c r="T19" s="88">
        <v>0.23333333333333334</v>
      </c>
      <c r="U19" s="75"/>
      <c r="V19" s="89">
        <f t="shared" ref="V19:V25" si="21">(T19-S19)*24*60</f>
        <v>35.999999999999993</v>
      </c>
      <c r="W19" s="90"/>
      <c r="X19" s="90"/>
      <c r="Y19" s="100"/>
      <c r="Z19" s="100"/>
      <c r="AA19" s="232"/>
      <c r="AB19" s="232"/>
      <c r="AC19" s="92">
        <v>7</v>
      </c>
      <c r="AD19" s="93"/>
      <c r="AE19" s="84">
        <f t="shared" si="8"/>
        <v>-73.33333333333303</v>
      </c>
      <c r="AF19" s="87">
        <f t="shared" si="9"/>
        <v>0.96333333333333349</v>
      </c>
      <c r="AG19" s="237">
        <f>AF26</f>
        <v>0.96163927036659624</v>
      </c>
    </row>
    <row r="20" spans="1:33" ht="15.75" customHeight="1">
      <c r="A20" s="258" t="s">
        <v>280</v>
      </c>
      <c r="B20" s="77" t="s">
        <v>113</v>
      </c>
      <c r="C20" s="255" t="s">
        <v>135</v>
      </c>
      <c r="D20" s="255"/>
      <c r="E20" s="77">
        <v>57.73</v>
      </c>
      <c r="F20" s="78">
        <v>1837</v>
      </c>
      <c r="G20" s="75">
        <f t="shared" si="19"/>
        <v>106050.01</v>
      </c>
      <c r="H20" s="79" t="s">
        <v>115</v>
      </c>
      <c r="I20" s="80">
        <v>14</v>
      </c>
      <c r="J20" s="81">
        <v>2000</v>
      </c>
      <c r="K20" s="82">
        <f t="shared" si="1"/>
        <v>142.85714285714286</v>
      </c>
      <c r="L20" s="80">
        <v>14</v>
      </c>
      <c r="M20" s="83">
        <f t="shared" si="20"/>
        <v>1933.6842105263158</v>
      </c>
      <c r="N20" s="82">
        <f t="shared" si="3"/>
        <v>138.12030075187971</v>
      </c>
      <c r="O20" s="84">
        <f t="shared" si="4"/>
        <v>0</v>
      </c>
      <c r="P20" s="85">
        <f t="shared" si="5"/>
        <v>-4.7368421052631504</v>
      </c>
      <c r="Q20" s="87">
        <f t="shared" si="6"/>
        <v>0.96684210526315795</v>
      </c>
      <c r="R20" s="237"/>
      <c r="S20" s="88">
        <v>0.23750000000000002</v>
      </c>
      <c r="T20" s="88">
        <v>0.27708333333333335</v>
      </c>
      <c r="U20" s="75">
        <f t="shared" ref="U20:U25" si="22">IF(S20=TIME(17,0,0),"",(S20-T19)*24*60)</f>
        <v>6.0000000000000187</v>
      </c>
      <c r="V20" s="89">
        <f t="shared" si="21"/>
        <v>57</v>
      </c>
      <c r="W20" s="90"/>
      <c r="X20" s="75"/>
      <c r="Y20" s="75"/>
      <c r="Z20" s="75"/>
      <c r="AA20" s="232"/>
      <c r="AB20" s="232"/>
      <c r="AC20" s="92"/>
      <c r="AD20" s="93"/>
      <c r="AE20" s="84">
        <f t="shared" si="8"/>
        <v>-66.315789473684163</v>
      </c>
      <c r="AF20" s="87">
        <f t="shared" si="9"/>
        <v>0.96684210526315795</v>
      </c>
      <c r="AG20" s="237"/>
    </row>
    <row r="21" spans="1:33" ht="15.75" customHeight="1">
      <c r="A21" s="258" t="s">
        <v>280</v>
      </c>
      <c r="B21" s="77" t="s">
        <v>113</v>
      </c>
      <c r="C21" s="255" t="s">
        <v>136</v>
      </c>
      <c r="D21" s="255"/>
      <c r="E21" s="77">
        <v>53.27</v>
      </c>
      <c r="F21" s="78">
        <v>999</v>
      </c>
      <c r="G21" s="75">
        <f t="shared" si="19"/>
        <v>53216.73</v>
      </c>
      <c r="H21" s="79" t="s">
        <v>115</v>
      </c>
      <c r="I21" s="80">
        <v>16</v>
      </c>
      <c r="J21" s="81">
        <v>2000</v>
      </c>
      <c r="K21" s="82">
        <f t="shared" si="1"/>
        <v>125</v>
      </c>
      <c r="L21" s="80">
        <v>16</v>
      </c>
      <c r="M21" s="83">
        <f t="shared" si="20"/>
        <v>1933.548387096776</v>
      </c>
      <c r="N21" s="82">
        <f t="shared" si="3"/>
        <v>120.8467741935485</v>
      </c>
      <c r="O21" s="84">
        <f t="shared" si="4"/>
        <v>0</v>
      </c>
      <c r="P21" s="85">
        <f t="shared" si="5"/>
        <v>-4.153225806451502</v>
      </c>
      <c r="Q21" s="87">
        <f t="shared" si="6"/>
        <v>0.96677419354838801</v>
      </c>
      <c r="R21" s="237"/>
      <c r="S21" s="88">
        <v>0.28125</v>
      </c>
      <c r="T21" s="88">
        <v>0.30277777777777776</v>
      </c>
      <c r="U21" s="75">
        <f t="shared" si="22"/>
        <v>5.9999999999999787</v>
      </c>
      <c r="V21" s="89">
        <f t="shared" si="21"/>
        <v>30.999999999999972</v>
      </c>
      <c r="W21" s="90"/>
      <c r="X21" s="75"/>
      <c r="Y21" s="75"/>
      <c r="Z21" s="75"/>
      <c r="AA21" s="232"/>
      <c r="AB21" s="232"/>
      <c r="AC21" s="92"/>
      <c r="AD21" s="93"/>
      <c r="AE21" s="84">
        <f t="shared" si="8"/>
        <v>-66.451612903224031</v>
      </c>
      <c r="AF21" s="87">
        <f t="shared" si="9"/>
        <v>0.96677419354838801</v>
      </c>
      <c r="AG21" s="237"/>
    </row>
    <row r="22" spans="1:33" ht="15.75" customHeight="1">
      <c r="A22" s="258" t="s">
        <v>280</v>
      </c>
      <c r="B22" s="77" t="s">
        <v>113</v>
      </c>
      <c r="C22" s="255" t="s">
        <v>137</v>
      </c>
      <c r="D22" s="255"/>
      <c r="E22" s="77">
        <v>57.3</v>
      </c>
      <c r="F22" s="78">
        <v>2100</v>
      </c>
      <c r="G22" s="75">
        <f t="shared" si="19"/>
        <v>120330</v>
      </c>
      <c r="H22" s="79" t="s">
        <v>115</v>
      </c>
      <c r="I22" s="80">
        <v>16</v>
      </c>
      <c r="J22" s="81">
        <v>2000</v>
      </c>
      <c r="K22" s="82">
        <f t="shared" si="1"/>
        <v>125</v>
      </c>
      <c r="L22" s="80">
        <v>16</v>
      </c>
      <c r="M22" s="83">
        <f t="shared" si="20"/>
        <v>1909.090909090909</v>
      </c>
      <c r="N22" s="82">
        <f t="shared" si="3"/>
        <v>119.31818181818181</v>
      </c>
      <c r="O22" s="84">
        <f t="shared" si="4"/>
        <v>0</v>
      </c>
      <c r="P22" s="85">
        <f t="shared" si="5"/>
        <v>-5.681818181818187</v>
      </c>
      <c r="Q22" s="87">
        <f t="shared" si="6"/>
        <v>0.95454545454545447</v>
      </c>
      <c r="R22" s="237"/>
      <c r="S22" s="88">
        <v>0.30833333333333329</v>
      </c>
      <c r="T22" s="88">
        <v>0.35416666666666663</v>
      </c>
      <c r="U22" s="75">
        <f t="shared" si="22"/>
        <v>7.9999999999999716</v>
      </c>
      <c r="V22" s="89">
        <f t="shared" si="21"/>
        <v>66</v>
      </c>
      <c r="W22" s="90"/>
      <c r="X22" s="75"/>
      <c r="Y22" s="75"/>
      <c r="Z22" s="75"/>
      <c r="AA22" s="232"/>
      <c r="AB22" s="232"/>
      <c r="AC22" s="92"/>
      <c r="AD22" s="93"/>
      <c r="AE22" s="84">
        <f t="shared" si="8"/>
        <v>-90.909090909090992</v>
      </c>
      <c r="AF22" s="87">
        <f t="shared" si="9"/>
        <v>0.95454545454545447</v>
      </c>
      <c r="AG22" s="237"/>
    </row>
    <row r="23" spans="1:33" ht="15.75" customHeight="1">
      <c r="A23" s="258" t="s">
        <v>280</v>
      </c>
      <c r="B23" s="77" t="s">
        <v>113</v>
      </c>
      <c r="C23" s="255" t="s">
        <v>138</v>
      </c>
      <c r="D23" s="255"/>
      <c r="E23" s="77">
        <v>50.49</v>
      </c>
      <c r="F23" s="78">
        <v>1625</v>
      </c>
      <c r="G23" s="75">
        <f t="shared" si="19"/>
        <v>82046.25</v>
      </c>
      <c r="H23" s="79" t="s">
        <v>115</v>
      </c>
      <c r="I23" s="80">
        <v>15</v>
      </c>
      <c r="J23" s="81">
        <v>2000</v>
      </c>
      <c r="K23" s="82">
        <f t="shared" si="1"/>
        <v>133.33333333333334</v>
      </c>
      <c r="L23" s="80">
        <v>15</v>
      </c>
      <c r="M23" s="83">
        <f t="shared" si="20"/>
        <v>1911.7647058823538</v>
      </c>
      <c r="N23" s="82">
        <f t="shared" si="3"/>
        <v>127.45098039215692</v>
      </c>
      <c r="O23" s="84">
        <f t="shared" si="4"/>
        <v>0</v>
      </c>
      <c r="P23" s="85">
        <f t="shared" si="5"/>
        <v>-5.8823529411764213</v>
      </c>
      <c r="Q23" s="87">
        <f t="shared" si="6"/>
        <v>0.95588235294117685</v>
      </c>
      <c r="R23" s="237"/>
      <c r="S23" s="88">
        <v>0.70833333333333337</v>
      </c>
      <c r="T23" s="88">
        <v>0.74375000000000002</v>
      </c>
      <c r="U23" s="75" t="str">
        <f t="shared" si="22"/>
        <v/>
      </c>
      <c r="V23" s="89">
        <f t="shared" si="21"/>
        <v>50.999999999999979</v>
      </c>
      <c r="W23" s="90"/>
      <c r="X23" s="90"/>
      <c r="Y23" s="75"/>
      <c r="Z23" s="75"/>
      <c r="AA23" s="232"/>
      <c r="AB23" s="232"/>
      <c r="AC23" s="92"/>
      <c r="AD23" s="93"/>
      <c r="AE23" s="84">
        <f t="shared" si="8"/>
        <v>-88.235294117646163</v>
      </c>
      <c r="AF23" s="87">
        <f t="shared" si="9"/>
        <v>0.95588235294117696</v>
      </c>
      <c r="AG23" s="237"/>
    </row>
    <row r="24" spans="1:33" ht="15.75" customHeight="1">
      <c r="A24" s="258" t="s">
        <v>280</v>
      </c>
      <c r="B24" s="77" t="s">
        <v>113</v>
      </c>
      <c r="C24" s="255" t="s">
        <v>139</v>
      </c>
      <c r="D24" s="255"/>
      <c r="E24" s="77">
        <v>54.09</v>
      </c>
      <c r="F24" s="78">
        <v>1373</v>
      </c>
      <c r="G24" s="75">
        <f t="shared" si="19"/>
        <v>74265.570000000007</v>
      </c>
      <c r="H24" s="79" t="s">
        <v>115</v>
      </c>
      <c r="I24" s="80">
        <v>18</v>
      </c>
      <c r="J24" s="81">
        <v>2000</v>
      </c>
      <c r="K24" s="82">
        <f t="shared" si="1"/>
        <v>111.11111111111111</v>
      </c>
      <c r="L24" s="80">
        <v>18</v>
      </c>
      <c r="M24" s="83">
        <f t="shared" si="20"/>
        <v>1915.8139534883717</v>
      </c>
      <c r="N24" s="82">
        <f t="shared" si="3"/>
        <v>106.43410852713176</v>
      </c>
      <c r="O24" s="84">
        <f t="shared" si="4"/>
        <v>0</v>
      </c>
      <c r="P24" s="85">
        <f t="shared" si="5"/>
        <v>-4.677002583979359</v>
      </c>
      <c r="Q24" s="87">
        <f t="shared" si="6"/>
        <v>0.95790697674418579</v>
      </c>
      <c r="R24" s="237"/>
      <c r="S24" s="88">
        <v>0.74791666666666667</v>
      </c>
      <c r="T24" s="88">
        <v>0.77777777777777779</v>
      </c>
      <c r="U24" s="75">
        <f t="shared" si="22"/>
        <v>5.9999999999999787</v>
      </c>
      <c r="V24" s="89">
        <f t="shared" si="21"/>
        <v>43.000000000000007</v>
      </c>
      <c r="W24" s="90"/>
      <c r="X24" s="100"/>
      <c r="Y24" s="100"/>
      <c r="Z24" s="100"/>
      <c r="AA24" s="232"/>
      <c r="AB24" s="232"/>
      <c r="AC24" s="92"/>
      <c r="AD24" s="93"/>
      <c r="AE24" s="84">
        <f t="shared" si="8"/>
        <v>-84.186046511628319</v>
      </c>
      <c r="AF24" s="87">
        <f t="shared" si="9"/>
        <v>0.95790697674418579</v>
      </c>
      <c r="AG24" s="237"/>
    </row>
    <row r="25" spans="1:33" ht="15.75" customHeight="1">
      <c r="A25" s="258" t="s">
        <v>280</v>
      </c>
      <c r="B25" s="77" t="s">
        <v>113</v>
      </c>
      <c r="C25" s="251" t="s">
        <v>140</v>
      </c>
      <c r="D25" s="252"/>
      <c r="E25" s="77">
        <v>50.67</v>
      </c>
      <c r="F25" s="78">
        <v>2029</v>
      </c>
      <c r="G25" s="75">
        <f t="shared" si="19"/>
        <v>102809.43000000001</v>
      </c>
      <c r="H25" s="79" t="s">
        <v>115</v>
      </c>
      <c r="I25" s="80">
        <v>16</v>
      </c>
      <c r="J25" s="81">
        <v>2000</v>
      </c>
      <c r="K25" s="82">
        <f t="shared" si="1"/>
        <v>125</v>
      </c>
      <c r="L25" s="80">
        <v>16</v>
      </c>
      <c r="M25" s="83">
        <f t="shared" si="20"/>
        <v>1932.3809523809543</v>
      </c>
      <c r="N25" s="82">
        <f t="shared" si="3"/>
        <v>120.77380952380965</v>
      </c>
      <c r="O25" s="84">
        <f t="shared" si="4"/>
        <v>0</v>
      </c>
      <c r="P25" s="85">
        <f t="shared" si="5"/>
        <v>-4.2261904761903537</v>
      </c>
      <c r="Q25" s="87">
        <f t="shared" si="6"/>
        <v>0.96619047619047715</v>
      </c>
      <c r="R25" s="237"/>
      <c r="S25" s="88">
        <v>0.78333333333333333</v>
      </c>
      <c r="T25" s="88">
        <v>0.82708333333333328</v>
      </c>
      <c r="U25" s="75">
        <f t="shared" si="22"/>
        <v>7.9999999999999716</v>
      </c>
      <c r="V25" s="89">
        <f t="shared" si="21"/>
        <v>62.999999999999936</v>
      </c>
      <c r="W25" s="90"/>
      <c r="X25" s="100"/>
      <c r="Y25" s="107"/>
      <c r="Z25" s="107"/>
      <c r="AA25" s="227"/>
      <c r="AB25" s="228"/>
      <c r="AC25" s="92"/>
      <c r="AD25" s="93"/>
      <c r="AE25" s="84">
        <f t="shared" si="8"/>
        <v>-67.619047619045659</v>
      </c>
      <c r="AF25" s="87">
        <f t="shared" si="9"/>
        <v>0.96619047619047715</v>
      </c>
      <c r="AG25" s="237"/>
    </row>
    <row r="26" spans="1:33" ht="15.75" customHeight="1">
      <c r="A26" s="258" t="s">
        <v>280</v>
      </c>
      <c r="B26" s="77" t="s">
        <v>278</v>
      </c>
      <c r="C26" s="238"/>
      <c r="D26" s="238"/>
      <c r="E26" s="96"/>
      <c r="F26" s="78"/>
      <c r="G26" s="75"/>
      <c r="H26" s="78"/>
      <c r="I26" s="98">
        <v>16</v>
      </c>
      <c r="J26" s="81">
        <v>2000</v>
      </c>
      <c r="K26" s="82">
        <f t="shared" si="1"/>
        <v>125</v>
      </c>
      <c r="L26" s="98">
        <v>16</v>
      </c>
      <c r="M26" s="83">
        <f>AVERAGE(M19:M25)</f>
        <v>1923.2785407331926</v>
      </c>
      <c r="N26" s="82">
        <f t="shared" si="3"/>
        <v>120.20490879582454</v>
      </c>
      <c r="O26" s="84">
        <f t="shared" si="4"/>
        <v>0</v>
      </c>
      <c r="P26" s="85">
        <f t="shared" si="5"/>
        <v>-4.7950912041754634</v>
      </c>
      <c r="Q26" s="87">
        <f t="shared" si="6"/>
        <v>0.96163927036659624</v>
      </c>
      <c r="R26" s="237"/>
      <c r="S26" s="88"/>
      <c r="T26" s="88"/>
      <c r="U26" s="82"/>
      <c r="V26" s="89"/>
      <c r="W26" s="82"/>
      <c r="X26" s="82"/>
      <c r="Y26" s="99">
        <f>SUM(Y19:Y25)</f>
        <v>0</v>
      </c>
      <c r="Z26" s="99">
        <f>SUM(Z19:Z25)</f>
        <v>0</v>
      </c>
      <c r="AA26" s="231"/>
      <c r="AB26" s="231"/>
      <c r="AC26" s="99">
        <v>7</v>
      </c>
      <c r="AD26" s="99">
        <f>SUM(AD19:AD25)</f>
        <v>0</v>
      </c>
      <c r="AE26" s="84">
        <f t="shared" si="8"/>
        <v>-76.721459266807415</v>
      </c>
      <c r="AF26" s="87">
        <f t="shared" si="9"/>
        <v>0.96163927036659624</v>
      </c>
      <c r="AG26" s="237"/>
    </row>
    <row r="27" spans="1:33" ht="15.75" customHeight="1">
      <c r="A27" s="256" t="s">
        <v>281</v>
      </c>
      <c r="B27" s="77" t="s">
        <v>142</v>
      </c>
      <c r="C27" s="255" t="s">
        <v>143</v>
      </c>
      <c r="D27" s="255"/>
      <c r="E27" s="77">
        <v>31.29</v>
      </c>
      <c r="F27" s="78">
        <v>3700</v>
      </c>
      <c r="G27" s="75">
        <f t="shared" ref="G27:G33" si="23">E27*F27</f>
        <v>115773</v>
      </c>
      <c r="H27" s="79">
        <v>2</v>
      </c>
      <c r="I27" s="80">
        <v>18</v>
      </c>
      <c r="J27" s="81">
        <v>2400</v>
      </c>
      <c r="K27" s="82">
        <f t="shared" si="1"/>
        <v>133.33333333333334</v>
      </c>
      <c r="L27" s="80">
        <v>18</v>
      </c>
      <c r="M27" s="83">
        <f t="shared" ref="M27:M33" si="24">F27/V27*60</f>
        <v>2288.6597938144328</v>
      </c>
      <c r="N27" s="82">
        <f t="shared" si="3"/>
        <v>127.14776632302404</v>
      </c>
      <c r="O27" s="84">
        <f t="shared" si="4"/>
        <v>0</v>
      </c>
      <c r="P27" s="85">
        <f t="shared" si="5"/>
        <v>-6.185567010309299</v>
      </c>
      <c r="Q27" s="87">
        <f t="shared" si="6"/>
        <v>0.95360824742268024</v>
      </c>
      <c r="R27" s="237">
        <f>Q34</f>
        <v>0.96005593390745747</v>
      </c>
      <c r="S27" s="88">
        <v>8.3333333333333329E-2</v>
      </c>
      <c r="T27" s="88">
        <v>0.15069444444444444</v>
      </c>
      <c r="U27" s="75"/>
      <c r="V27" s="89">
        <f t="shared" ref="V27:V33" si="25">(T27-S27)*24*60</f>
        <v>97</v>
      </c>
      <c r="W27" s="90">
        <f>T27</f>
        <v>0.15069444444444444</v>
      </c>
      <c r="X27" s="90">
        <f>S28</f>
        <v>0.17083333333333334</v>
      </c>
      <c r="Y27" s="90"/>
      <c r="Z27" s="90"/>
      <c r="AA27" s="232"/>
      <c r="AB27" s="232"/>
      <c r="AC27" s="92">
        <v>7</v>
      </c>
      <c r="AD27" s="93"/>
      <c r="AE27" s="84">
        <f t="shared" si="8"/>
        <v>-111.34020618556724</v>
      </c>
      <c r="AF27" s="87">
        <f t="shared" si="9"/>
        <v>0.95360824742268036</v>
      </c>
      <c r="AG27" s="237">
        <f>AF34</f>
        <v>0.96005593390745747</v>
      </c>
    </row>
    <row r="28" spans="1:33" ht="15.75" customHeight="1">
      <c r="A28" s="256" t="s">
        <v>281</v>
      </c>
      <c r="B28" s="77" t="s">
        <v>142</v>
      </c>
      <c r="C28" s="255" t="s">
        <v>144</v>
      </c>
      <c r="D28" s="255"/>
      <c r="E28" s="77">
        <v>26.37</v>
      </c>
      <c r="F28" s="78">
        <v>4942</v>
      </c>
      <c r="G28" s="75">
        <f t="shared" si="23"/>
        <v>130320.54000000001</v>
      </c>
      <c r="H28" s="79" t="s">
        <v>115</v>
      </c>
      <c r="I28" s="80">
        <v>18</v>
      </c>
      <c r="J28" s="81">
        <v>2400</v>
      </c>
      <c r="K28" s="82">
        <f t="shared" si="1"/>
        <v>133.33333333333334</v>
      </c>
      <c r="L28" s="80">
        <v>18</v>
      </c>
      <c r="M28" s="83">
        <f t="shared" si="24"/>
        <v>2298.6046511627901</v>
      </c>
      <c r="N28" s="82">
        <f t="shared" si="3"/>
        <v>127.70025839793279</v>
      </c>
      <c r="O28" s="84">
        <f t="shared" si="4"/>
        <v>0</v>
      </c>
      <c r="P28" s="85">
        <f t="shared" si="5"/>
        <v>-5.6330749354005576</v>
      </c>
      <c r="Q28" s="87">
        <f t="shared" si="6"/>
        <v>0.95775193798449587</v>
      </c>
      <c r="R28" s="237"/>
      <c r="S28" s="88">
        <v>0.17083333333333334</v>
      </c>
      <c r="T28" s="88">
        <v>0.26041666666666669</v>
      </c>
      <c r="U28" s="75">
        <f t="shared" ref="U28:U33" si="26">(S28-T27)*24*60</f>
        <v>29.000000000000018</v>
      </c>
      <c r="V28" s="89">
        <f t="shared" si="25"/>
        <v>129.00000000000003</v>
      </c>
      <c r="W28" s="90"/>
      <c r="X28" s="90"/>
      <c r="Y28" s="90"/>
      <c r="Z28" s="90"/>
      <c r="AA28" s="232"/>
      <c r="AB28" s="232"/>
      <c r="AC28" s="92"/>
      <c r="AD28" s="93"/>
      <c r="AE28" s="84">
        <f t="shared" si="8"/>
        <v>-101.39534883720989</v>
      </c>
      <c r="AF28" s="87">
        <f t="shared" si="9"/>
        <v>0.95775193798449587</v>
      </c>
      <c r="AG28" s="237"/>
    </row>
    <row r="29" spans="1:33" ht="15.75" customHeight="1">
      <c r="A29" s="256" t="s">
        <v>281</v>
      </c>
      <c r="B29" s="77" t="s">
        <v>142</v>
      </c>
      <c r="C29" s="255" t="s">
        <v>145</v>
      </c>
      <c r="D29" s="255"/>
      <c r="E29" s="77">
        <v>24.43</v>
      </c>
      <c r="F29" s="78">
        <v>5976</v>
      </c>
      <c r="G29" s="75">
        <f t="shared" si="23"/>
        <v>145993.68</v>
      </c>
      <c r="H29" s="79" t="s">
        <v>115</v>
      </c>
      <c r="I29" s="80">
        <v>14</v>
      </c>
      <c r="J29" s="81">
        <v>2400</v>
      </c>
      <c r="K29" s="82">
        <f t="shared" si="1"/>
        <v>171.42857142857142</v>
      </c>
      <c r="L29" s="80">
        <v>14</v>
      </c>
      <c r="M29" s="83">
        <f t="shared" si="24"/>
        <v>2283.8216560509554</v>
      </c>
      <c r="N29" s="82">
        <f t="shared" si="3"/>
        <v>163.13011828935396</v>
      </c>
      <c r="O29" s="84">
        <f t="shared" si="4"/>
        <v>0</v>
      </c>
      <c r="P29" s="85">
        <f t="shared" si="5"/>
        <v>-8.2984531392174574</v>
      </c>
      <c r="Q29" s="87">
        <f t="shared" si="6"/>
        <v>0.95159235668789821</v>
      </c>
      <c r="R29" s="237"/>
      <c r="S29" s="88">
        <v>0.2638888888888889</v>
      </c>
      <c r="T29" s="88">
        <v>0.37291666666666667</v>
      </c>
      <c r="U29" s="75">
        <f t="shared" si="26"/>
        <v>4.9999999999999822</v>
      </c>
      <c r="V29" s="89">
        <f t="shared" si="25"/>
        <v>157</v>
      </c>
      <c r="W29" s="90"/>
      <c r="X29" s="90"/>
      <c r="Y29" s="90"/>
      <c r="Z29" s="90"/>
      <c r="AA29" s="232"/>
      <c r="AB29" s="232"/>
      <c r="AC29" s="92"/>
      <c r="AD29" s="93"/>
      <c r="AE29" s="84">
        <f t="shared" si="8"/>
        <v>-116.17834394904457</v>
      </c>
      <c r="AF29" s="87">
        <f t="shared" si="9"/>
        <v>0.9515923566878981</v>
      </c>
      <c r="AG29" s="237"/>
    </row>
    <row r="30" spans="1:33" ht="15.75" customHeight="1">
      <c r="A30" s="256" t="s">
        <v>281</v>
      </c>
      <c r="B30" s="77" t="s">
        <v>142</v>
      </c>
      <c r="C30" s="255" t="s">
        <v>146</v>
      </c>
      <c r="D30" s="255"/>
      <c r="E30" s="77">
        <v>25.98</v>
      </c>
      <c r="F30" s="78">
        <v>3128</v>
      </c>
      <c r="G30" s="75">
        <f t="shared" si="23"/>
        <v>81265.440000000002</v>
      </c>
      <c r="H30" s="79" t="s">
        <v>115</v>
      </c>
      <c r="I30" s="80">
        <v>19</v>
      </c>
      <c r="J30" s="81">
        <v>2400</v>
      </c>
      <c r="K30" s="82">
        <f t="shared" si="1"/>
        <v>126.31578947368421</v>
      </c>
      <c r="L30" s="80">
        <v>19</v>
      </c>
      <c r="M30" s="83">
        <f t="shared" si="24"/>
        <v>2288.7804878048773</v>
      </c>
      <c r="N30" s="82">
        <f t="shared" si="3"/>
        <v>120.46213093709881</v>
      </c>
      <c r="O30" s="84">
        <f t="shared" si="4"/>
        <v>0</v>
      </c>
      <c r="P30" s="85">
        <f t="shared" si="5"/>
        <v>-5.8536585365853995</v>
      </c>
      <c r="Q30" s="87">
        <f t="shared" si="6"/>
        <v>0.95365853658536559</v>
      </c>
      <c r="R30" s="237"/>
      <c r="S30" s="88">
        <v>0.37708333333333333</v>
      </c>
      <c r="T30" s="88">
        <v>0.43402777777777779</v>
      </c>
      <c r="U30" s="75">
        <f t="shared" si="26"/>
        <v>5.9999999999999787</v>
      </c>
      <c r="V30" s="89">
        <f t="shared" si="25"/>
        <v>82.000000000000028</v>
      </c>
      <c r="W30" s="90"/>
      <c r="X30" s="90"/>
      <c r="Y30" s="90"/>
      <c r="Z30" s="90"/>
      <c r="AA30" s="232"/>
      <c r="AB30" s="232"/>
      <c r="AC30" s="92"/>
      <c r="AD30" s="93"/>
      <c r="AE30" s="84">
        <f t="shared" si="8"/>
        <v>-111.21951219512266</v>
      </c>
      <c r="AF30" s="87">
        <f t="shared" si="9"/>
        <v>0.95365853658536559</v>
      </c>
      <c r="AG30" s="237"/>
    </row>
    <row r="31" spans="1:33" ht="15.75" customHeight="1">
      <c r="A31" s="256" t="s">
        <v>281</v>
      </c>
      <c r="B31" s="77" t="s">
        <v>142</v>
      </c>
      <c r="C31" s="255" t="s">
        <v>148</v>
      </c>
      <c r="D31" s="255"/>
      <c r="E31" s="77">
        <v>25.99</v>
      </c>
      <c r="F31" s="78">
        <v>891</v>
      </c>
      <c r="G31" s="75">
        <f t="shared" si="23"/>
        <v>23157.09</v>
      </c>
      <c r="H31" s="79" t="s">
        <v>115</v>
      </c>
      <c r="I31" s="80">
        <v>18</v>
      </c>
      <c r="J31" s="81">
        <v>2400</v>
      </c>
      <c r="K31" s="82">
        <f t="shared" si="1"/>
        <v>133.33333333333334</v>
      </c>
      <c r="L31" s="80">
        <v>18</v>
      </c>
      <c r="M31" s="83">
        <f t="shared" si="24"/>
        <v>2324.3478260869565</v>
      </c>
      <c r="N31" s="82">
        <f t="shared" si="3"/>
        <v>129.13043478260869</v>
      </c>
      <c r="O31" s="84">
        <f t="shared" si="4"/>
        <v>0</v>
      </c>
      <c r="P31" s="85">
        <f t="shared" si="5"/>
        <v>-4.2028985507246546</v>
      </c>
      <c r="Q31" s="87">
        <f t="shared" si="6"/>
        <v>0.96847826086956512</v>
      </c>
      <c r="R31" s="237"/>
      <c r="S31" s="88">
        <v>0.4375</v>
      </c>
      <c r="T31" s="88">
        <v>0.45347222222222222</v>
      </c>
      <c r="U31" s="75">
        <f t="shared" si="26"/>
        <v>4.9999999999999822</v>
      </c>
      <c r="V31" s="89">
        <f t="shared" si="25"/>
        <v>23</v>
      </c>
      <c r="W31" s="90"/>
      <c r="X31" s="90"/>
      <c r="Y31" s="90"/>
      <c r="Z31" s="90"/>
      <c r="AA31" s="232"/>
      <c r="AB31" s="232"/>
      <c r="AC31" s="92"/>
      <c r="AD31" s="93"/>
      <c r="AE31" s="84">
        <f t="shared" si="8"/>
        <v>-75.652173913043498</v>
      </c>
      <c r="AF31" s="87">
        <f t="shared" si="9"/>
        <v>0.96847826086956523</v>
      </c>
      <c r="AG31" s="237"/>
    </row>
    <row r="32" spans="1:33" ht="15.75" customHeight="1">
      <c r="A32" s="256" t="s">
        <v>281</v>
      </c>
      <c r="B32" s="77" t="s">
        <v>142</v>
      </c>
      <c r="C32" s="255" t="s">
        <v>149</v>
      </c>
      <c r="D32" s="255"/>
      <c r="E32" s="77">
        <v>24.25</v>
      </c>
      <c r="F32" s="78">
        <v>1021</v>
      </c>
      <c r="G32" s="75">
        <f t="shared" si="23"/>
        <v>24759.25</v>
      </c>
      <c r="H32" s="79" t="s">
        <v>115</v>
      </c>
      <c r="I32" s="80">
        <v>16</v>
      </c>
      <c r="J32" s="81">
        <v>2400</v>
      </c>
      <c r="K32" s="82">
        <f t="shared" si="1"/>
        <v>150</v>
      </c>
      <c r="L32" s="80">
        <v>16</v>
      </c>
      <c r="M32" s="83">
        <f t="shared" si="24"/>
        <v>2356.1538461538471</v>
      </c>
      <c r="N32" s="82">
        <f t="shared" si="3"/>
        <v>147.25961538461544</v>
      </c>
      <c r="O32" s="84">
        <f t="shared" si="4"/>
        <v>0</v>
      </c>
      <c r="P32" s="85">
        <f t="shared" si="5"/>
        <v>-2.7403846153845564</v>
      </c>
      <c r="Q32" s="87">
        <f t="shared" si="6"/>
        <v>0.98173076923076963</v>
      </c>
      <c r="R32" s="237"/>
      <c r="S32" s="88">
        <v>0.45902777777777776</v>
      </c>
      <c r="T32" s="88">
        <v>0.4770833333333333</v>
      </c>
      <c r="U32" s="75">
        <f t="shared" si="26"/>
        <v>7.9999999999999716</v>
      </c>
      <c r="V32" s="89">
        <f t="shared" si="25"/>
        <v>25.999999999999986</v>
      </c>
      <c r="W32" s="90">
        <f>T32</f>
        <v>0.4770833333333333</v>
      </c>
      <c r="X32" s="90">
        <f>S33</f>
        <v>0.51874999999999993</v>
      </c>
      <c r="Y32" s="90"/>
      <c r="Z32" s="90"/>
      <c r="AA32" s="232"/>
      <c r="AB32" s="232"/>
      <c r="AC32" s="92"/>
      <c r="AD32" s="93"/>
      <c r="AE32" s="84">
        <f t="shared" si="8"/>
        <v>-43.846153846152902</v>
      </c>
      <c r="AF32" s="87">
        <f t="shared" si="9"/>
        <v>0.98173076923076963</v>
      </c>
      <c r="AG32" s="237"/>
    </row>
    <row r="33" spans="1:33" ht="15.75" customHeight="1">
      <c r="A33" s="256" t="s">
        <v>281</v>
      </c>
      <c r="B33" s="77" t="s">
        <v>142</v>
      </c>
      <c r="C33" s="255" t="s">
        <v>143</v>
      </c>
      <c r="D33" s="255"/>
      <c r="E33" s="77">
        <v>31.29</v>
      </c>
      <c r="F33" s="78">
        <v>3204</v>
      </c>
      <c r="G33" s="75">
        <f t="shared" si="23"/>
        <v>100253.16</v>
      </c>
      <c r="H33" s="79" t="s">
        <v>115</v>
      </c>
      <c r="I33" s="80">
        <v>18</v>
      </c>
      <c r="J33" s="81">
        <v>2400</v>
      </c>
      <c r="K33" s="82">
        <f t="shared" si="1"/>
        <v>133.33333333333334</v>
      </c>
      <c r="L33" s="80">
        <v>18</v>
      </c>
      <c r="M33" s="83">
        <f t="shared" si="24"/>
        <v>2288.571428571428</v>
      </c>
      <c r="N33" s="82">
        <f t="shared" si="3"/>
        <v>127.14285714285711</v>
      </c>
      <c r="O33" s="84">
        <f t="shared" si="4"/>
        <v>0</v>
      </c>
      <c r="P33" s="85">
        <f t="shared" si="5"/>
        <v>-6.1904761904762324</v>
      </c>
      <c r="Q33" s="87">
        <f t="shared" si="6"/>
        <v>0.95357142857142829</v>
      </c>
      <c r="R33" s="237"/>
      <c r="S33" s="88">
        <v>0.51874999999999993</v>
      </c>
      <c r="T33" s="88">
        <v>0.57708333333333328</v>
      </c>
      <c r="U33" s="75">
        <f t="shared" si="26"/>
        <v>59.999999999999943</v>
      </c>
      <c r="V33" s="89">
        <f t="shared" si="25"/>
        <v>84.000000000000028</v>
      </c>
      <c r="W33" s="90"/>
      <c r="X33" s="90"/>
      <c r="Y33" s="90"/>
      <c r="Z33" s="90"/>
      <c r="AA33" s="232"/>
      <c r="AB33" s="232"/>
      <c r="AC33" s="92"/>
      <c r="AD33" s="93"/>
      <c r="AE33" s="84">
        <f t="shared" si="8"/>
        <v>-111.42857142857201</v>
      </c>
      <c r="AF33" s="87">
        <f t="shared" si="9"/>
        <v>0.95357142857142829</v>
      </c>
      <c r="AG33" s="237"/>
    </row>
    <row r="34" spans="1:33" ht="15.75" customHeight="1">
      <c r="A34" s="256" t="s">
        <v>281</v>
      </c>
      <c r="B34" s="77" t="s">
        <v>278</v>
      </c>
      <c r="C34" s="238"/>
      <c r="D34" s="238"/>
      <c r="E34" s="96"/>
      <c r="F34" s="78"/>
      <c r="G34" s="75"/>
      <c r="H34" s="78"/>
      <c r="I34" s="98">
        <v>17.285714285714285</v>
      </c>
      <c r="J34" s="81">
        <v>2400</v>
      </c>
      <c r="K34" s="82">
        <f t="shared" si="1"/>
        <v>138.84297520661158</v>
      </c>
      <c r="L34" s="98">
        <v>17.285714285714285</v>
      </c>
      <c r="M34" s="83">
        <f>AVERAGE(M27:M33)</f>
        <v>2304.134241377898</v>
      </c>
      <c r="N34" s="82">
        <f t="shared" si="3"/>
        <v>133.29702222847345</v>
      </c>
      <c r="O34" s="84">
        <f t="shared" si="4"/>
        <v>0</v>
      </c>
      <c r="P34" s="85">
        <f t="shared" si="5"/>
        <v>-5.545952978138132</v>
      </c>
      <c r="Q34" s="87">
        <f t="shared" si="6"/>
        <v>0.96005593390745747</v>
      </c>
      <c r="R34" s="237"/>
      <c r="S34" s="88"/>
      <c r="T34" s="88"/>
      <c r="U34" s="75"/>
      <c r="V34" s="89"/>
      <c r="W34" s="75"/>
      <c r="X34" s="75"/>
      <c r="Y34" s="99">
        <f>SUM(Y27:Y33)</f>
        <v>0</v>
      </c>
      <c r="Z34" s="99">
        <f>SUM(Z27:Z33)</f>
        <v>0</v>
      </c>
      <c r="AA34" s="231"/>
      <c r="AB34" s="231"/>
      <c r="AC34" s="99">
        <v>7</v>
      </c>
      <c r="AD34" s="99">
        <f>SUM(AD27:AD33)</f>
        <v>0</v>
      </c>
      <c r="AE34" s="84">
        <f t="shared" si="8"/>
        <v>-95.865758622102021</v>
      </c>
      <c r="AF34" s="87">
        <f t="shared" si="9"/>
        <v>0.96005593390745747</v>
      </c>
      <c r="AG34" s="237"/>
    </row>
    <row r="35" spans="1:33" ht="15.75" customHeight="1">
      <c r="A35" s="253" t="s">
        <v>282</v>
      </c>
      <c r="B35" s="77" t="s">
        <v>142</v>
      </c>
      <c r="C35" s="233" t="s">
        <v>151</v>
      </c>
      <c r="D35" s="233"/>
      <c r="E35" s="77">
        <v>26.18</v>
      </c>
      <c r="F35" s="78">
        <v>4875</v>
      </c>
      <c r="G35" s="75">
        <f t="shared" ref="G35:G40" si="27">E35*F35</f>
        <v>127627.5</v>
      </c>
      <c r="H35" s="79" t="s">
        <v>115</v>
      </c>
      <c r="I35" s="80">
        <v>20</v>
      </c>
      <c r="J35" s="81">
        <v>2400</v>
      </c>
      <c r="K35" s="82">
        <f t="shared" si="1"/>
        <v>120</v>
      </c>
      <c r="L35" s="80">
        <v>20</v>
      </c>
      <c r="M35" s="83">
        <f t="shared" ref="M35:M40" si="28">F35/V35*60</f>
        <v>2285.15625</v>
      </c>
      <c r="N35" s="82">
        <f t="shared" si="3"/>
        <v>114.2578125</v>
      </c>
      <c r="O35" s="84">
        <f t="shared" si="4"/>
        <v>0</v>
      </c>
      <c r="P35" s="85">
        <f t="shared" si="5"/>
        <v>-5.7421875</v>
      </c>
      <c r="Q35" s="87">
        <f t="shared" si="6"/>
        <v>0.9521484375</v>
      </c>
      <c r="R35" s="237">
        <f>Q41</f>
        <v>0.9583614839644049</v>
      </c>
      <c r="S35" s="88">
        <v>8.3333333333333329E-2</v>
      </c>
      <c r="T35" s="88">
        <v>0.17222222222222222</v>
      </c>
      <c r="U35" s="75"/>
      <c r="V35" s="89">
        <f t="shared" ref="V35:V40" si="29">(T35-S35)*24*60</f>
        <v>128</v>
      </c>
      <c r="W35" s="100">
        <f>T35</f>
        <v>0.17222222222222222</v>
      </c>
      <c r="X35" s="100">
        <f>S36</f>
        <v>0.19305555555555556</v>
      </c>
      <c r="Y35" s="100"/>
      <c r="Z35" s="100"/>
      <c r="AA35" s="232"/>
      <c r="AB35" s="232"/>
      <c r="AC35" s="92">
        <v>6</v>
      </c>
      <c r="AD35" s="93"/>
      <c r="AE35" s="84">
        <f t="shared" si="8"/>
        <v>-114.84375</v>
      </c>
      <c r="AF35" s="87">
        <f t="shared" si="9"/>
        <v>0.9521484375</v>
      </c>
      <c r="AG35" s="237">
        <f>AF41</f>
        <v>0.95836148396440501</v>
      </c>
    </row>
    <row r="36" spans="1:33" ht="15.75" customHeight="1">
      <c r="A36" s="253" t="s">
        <v>282</v>
      </c>
      <c r="B36" s="77" t="s">
        <v>142</v>
      </c>
      <c r="C36" s="233" t="s">
        <v>152</v>
      </c>
      <c r="D36" s="233"/>
      <c r="E36" s="77">
        <v>26.18</v>
      </c>
      <c r="F36" s="78">
        <v>3500</v>
      </c>
      <c r="G36" s="75">
        <f t="shared" si="27"/>
        <v>91630</v>
      </c>
      <c r="H36" s="79">
        <v>2</v>
      </c>
      <c r="I36" s="80">
        <v>18</v>
      </c>
      <c r="J36" s="81">
        <v>2400</v>
      </c>
      <c r="K36" s="82">
        <f t="shared" si="1"/>
        <v>133.33333333333334</v>
      </c>
      <c r="L36" s="80">
        <v>18</v>
      </c>
      <c r="M36" s="83">
        <f t="shared" si="28"/>
        <v>2282.6086956521735</v>
      </c>
      <c r="N36" s="82">
        <f t="shared" si="3"/>
        <v>126.81159420289853</v>
      </c>
      <c r="O36" s="84">
        <f t="shared" si="4"/>
        <v>0</v>
      </c>
      <c r="P36" s="85">
        <f t="shared" si="5"/>
        <v>-6.5217391304348098</v>
      </c>
      <c r="Q36" s="87">
        <f t="shared" si="6"/>
        <v>0.95108695652173891</v>
      </c>
      <c r="R36" s="237"/>
      <c r="S36" s="88">
        <v>0.19305555555555556</v>
      </c>
      <c r="T36" s="88">
        <v>0.25694444444444448</v>
      </c>
      <c r="U36" s="75">
        <f t="shared" ref="U36:U40" si="30">(S36-T35)*24*60</f>
        <v>30.000000000000014</v>
      </c>
      <c r="V36" s="89">
        <f t="shared" si="29"/>
        <v>92.000000000000028</v>
      </c>
      <c r="W36" s="75"/>
      <c r="X36" s="75"/>
      <c r="Y36" s="75"/>
      <c r="Z36" s="75"/>
      <c r="AA36" s="232"/>
      <c r="AB36" s="232"/>
      <c r="AC36" s="92"/>
      <c r="AD36" s="93"/>
      <c r="AE36" s="84">
        <f t="shared" si="8"/>
        <v>-117.39130434782646</v>
      </c>
      <c r="AF36" s="87">
        <f t="shared" si="9"/>
        <v>0.95108695652173902</v>
      </c>
      <c r="AG36" s="237"/>
    </row>
    <row r="37" spans="1:33">
      <c r="A37" s="254" t="s">
        <v>282</v>
      </c>
      <c r="B37" s="77" t="s">
        <v>142</v>
      </c>
      <c r="C37" s="233" t="s">
        <v>153</v>
      </c>
      <c r="D37" s="233"/>
      <c r="E37" s="77">
        <v>34.1</v>
      </c>
      <c r="F37" s="78">
        <v>4895</v>
      </c>
      <c r="G37" s="75">
        <f t="shared" si="27"/>
        <v>166919.5</v>
      </c>
      <c r="H37" s="79" t="s">
        <v>115</v>
      </c>
      <c r="I37" s="80">
        <v>17</v>
      </c>
      <c r="J37" s="81">
        <v>1600</v>
      </c>
      <c r="K37" s="82">
        <f t="shared" si="1"/>
        <v>94.117647058823536</v>
      </c>
      <c r="L37" s="80">
        <v>17</v>
      </c>
      <c r="M37" s="83">
        <f t="shared" si="28"/>
        <v>1529.6874999999998</v>
      </c>
      <c r="N37" s="82">
        <f t="shared" si="3"/>
        <v>89.981617647058812</v>
      </c>
      <c r="O37" s="84">
        <f t="shared" si="4"/>
        <v>0</v>
      </c>
      <c r="P37" s="85">
        <f t="shared" si="5"/>
        <v>-4.1360294117647243</v>
      </c>
      <c r="Q37" s="87">
        <f t="shared" si="6"/>
        <v>0.95605468749999978</v>
      </c>
      <c r="R37" s="237"/>
      <c r="S37" s="88">
        <v>0.26180555555555557</v>
      </c>
      <c r="T37" s="88">
        <v>0.39513888888888893</v>
      </c>
      <c r="U37" s="75">
        <f t="shared" si="30"/>
        <v>6.9999999999999751</v>
      </c>
      <c r="V37" s="89">
        <f t="shared" si="29"/>
        <v>192.00000000000003</v>
      </c>
      <c r="W37" s="75"/>
      <c r="X37" s="75"/>
      <c r="Y37" s="75"/>
      <c r="Z37" s="75"/>
      <c r="AA37" s="232"/>
      <c r="AB37" s="232"/>
      <c r="AC37" s="92"/>
      <c r="AD37" s="93"/>
      <c r="AE37" s="84">
        <f t="shared" si="8"/>
        <v>-70.312500000000227</v>
      </c>
      <c r="AF37" s="87">
        <f t="shared" si="9"/>
        <v>0.95605468749999989</v>
      </c>
      <c r="AG37" s="237"/>
    </row>
    <row r="38" spans="1:33">
      <c r="A38" s="254" t="s">
        <v>282</v>
      </c>
      <c r="B38" s="77" t="s">
        <v>142</v>
      </c>
      <c r="C38" s="233" t="s">
        <v>154</v>
      </c>
      <c r="D38" s="233"/>
      <c r="E38" s="77">
        <v>25.99</v>
      </c>
      <c r="F38" s="78">
        <v>3000</v>
      </c>
      <c r="G38" s="75">
        <f t="shared" si="27"/>
        <v>77970</v>
      </c>
      <c r="H38" s="79" t="s">
        <v>115</v>
      </c>
      <c r="I38" s="80">
        <v>14</v>
      </c>
      <c r="J38" s="81">
        <v>2400</v>
      </c>
      <c r="K38" s="82">
        <f t="shared" si="1"/>
        <v>171.42857142857142</v>
      </c>
      <c r="L38" s="80">
        <v>14</v>
      </c>
      <c r="M38" s="83">
        <f t="shared" si="28"/>
        <v>2307.6923076923063</v>
      </c>
      <c r="N38" s="82">
        <f t="shared" si="3"/>
        <v>164.83516483516473</v>
      </c>
      <c r="O38" s="84">
        <f t="shared" si="4"/>
        <v>0</v>
      </c>
      <c r="P38" s="85">
        <f t="shared" si="5"/>
        <v>-6.5934065934066837</v>
      </c>
      <c r="Q38" s="87">
        <f t="shared" si="6"/>
        <v>0.96153846153846101</v>
      </c>
      <c r="R38" s="237"/>
      <c r="S38" s="88">
        <v>0.39861111111111114</v>
      </c>
      <c r="T38" s="88">
        <v>0.45277777777777783</v>
      </c>
      <c r="U38" s="75">
        <f t="shared" si="30"/>
        <v>4.9999999999999822</v>
      </c>
      <c r="V38" s="89">
        <f t="shared" si="29"/>
        <v>78.000000000000043</v>
      </c>
      <c r="W38" s="90"/>
      <c r="X38" s="90"/>
      <c r="Y38" s="90"/>
      <c r="Z38" s="90"/>
      <c r="AA38" s="232"/>
      <c r="AB38" s="232"/>
      <c r="AC38" s="92"/>
      <c r="AD38" s="93"/>
      <c r="AE38" s="84">
        <f t="shared" si="8"/>
        <v>-92.307692307693742</v>
      </c>
      <c r="AF38" s="87">
        <f t="shared" si="9"/>
        <v>0.9615384615384609</v>
      </c>
      <c r="AG38" s="237"/>
    </row>
    <row r="39" spans="1:33">
      <c r="A39" s="254" t="s">
        <v>282</v>
      </c>
      <c r="B39" s="77" t="s">
        <v>142</v>
      </c>
      <c r="C39" s="233" t="s">
        <v>155</v>
      </c>
      <c r="D39" s="233"/>
      <c r="E39" s="77">
        <v>23.89</v>
      </c>
      <c r="F39" s="78">
        <v>1940</v>
      </c>
      <c r="G39" s="75">
        <f t="shared" si="27"/>
        <v>46346.6</v>
      </c>
      <c r="H39" s="79" t="s">
        <v>115</v>
      </c>
      <c r="I39" s="80">
        <v>17</v>
      </c>
      <c r="J39" s="81">
        <v>2400</v>
      </c>
      <c r="K39" s="82">
        <f t="shared" si="1"/>
        <v>141.1764705882353</v>
      </c>
      <c r="L39" s="80">
        <v>17</v>
      </c>
      <c r="M39" s="83">
        <f t="shared" si="28"/>
        <v>2328.0000000000009</v>
      </c>
      <c r="N39" s="82">
        <f t="shared" si="3"/>
        <v>136.94117647058829</v>
      </c>
      <c r="O39" s="84">
        <f t="shared" si="4"/>
        <v>0</v>
      </c>
      <c r="P39" s="85">
        <f t="shared" si="5"/>
        <v>-4.2352941176470154</v>
      </c>
      <c r="Q39" s="87">
        <f t="shared" si="6"/>
        <v>0.97000000000000031</v>
      </c>
      <c r="R39" s="237"/>
      <c r="S39" s="88">
        <v>0.45833333333333337</v>
      </c>
      <c r="T39" s="88">
        <v>0.49305555555555558</v>
      </c>
      <c r="U39" s="75">
        <f t="shared" si="30"/>
        <v>7.9999999999999716</v>
      </c>
      <c r="V39" s="89">
        <f t="shared" si="29"/>
        <v>49.999999999999986</v>
      </c>
      <c r="W39" s="90">
        <f>T39</f>
        <v>0.49305555555555558</v>
      </c>
      <c r="X39" s="90">
        <f>S40</f>
        <v>0.53333333333333333</v>
      </c>
      <c r="Y39" s="90"/>
      <c r="Z39" s="90"/>
      <c r="AA39" s="232"/>
      <c r="AB39" s="232"/>
      <c r="AC39" s="92"/>
      <c r="AD39" s="93"/>
      <c r="AE39" s="84">
        <f t="shared" si="8"/>
        <v>-71.999999999999091</v>
      </c>
      <c r="AF39" s="87">
        <f t="shared" si="9"/>
        <v>0.97000000000000042</v>
      </c>
      <c r="AG39" s="237"/>
    </row>
    <row r="40" spans="1:33">
      <c r="A40" s="254" t="s">
        <v>282</v>
      </c>
      <c r="B40" s="77" t="s">
        <v>142</v>
      </c>
      <c r="C40" s="233" t="s">
        <v>152</v>
      </c>
      <c r="D40" s="233"/>
      <c r="E40" s="77">
        <v>26.18</v>
      </c>
      <c r="F40" s="78">
        <v>2684</v>
      </c>
      <c r="G40" s="75">
        <f t="shared" si="27"/>
        <v>70267.12</v>
      </c>
      <c r="H40" s="79" t="s">
        <v>115</v>
      </c>
      <c r="I40" s="80">
        <v>18</v>
      </c>
      <c r="J40" s="81">
        <v>2400</v>
      </c>
      <c r="K40" s="82">
        <f t="shared" si="1"/>
        <v>133.33333333333334</v>
      </c>
      <c r="L40" s="80">
        <v>18</v>
      </c>
      <c r="M40" s="83">
        <f t="shared" si="28"/>
        <v>2300.5714285714262</v>
      </c>
      <c r="N40" s="82">
        <f t="shared" si="3"/>
        <v>127.80952380952368</v>
      </c>
      <c r="O40" s="84">
        <f t="shared" si="4"/>
        <v>0</v>
      </c>
      <c r="P40" s="85">
        <f t="shared" si="5"/>
        <v>-5.5238095238096605</v>
      </c>
      <c r="Q40" s="87">
        <f t="shared" si="6"/>
        <v>0.95857142857142752</v>
      </c>
      <c r="R40" s="237"/>
      <c r="S40" s="88">
        <v>0.53333333333333333</v>
      </c>
      <c r="T40" s="88">
        <v>0.58194444444444449</v>
      </c>
      <c r="U40" s="75">
        <f t="shared" si="30"/>
        <v>57.999999999999957</v>
      </c>
      <c r="V40" s="89">
        <f t="shared" si="29"/>
        <v>70.000000000000071</v>
      </c>
      <c r="W40" s="90"/>
      <c r="X40" s="90"/>
      <c r="Y40" s="90"/>
      <c r="Z40" s="90"/>
      <c r="AA40" s="232"/>
      <c r="AB40" s="232"/>
      <c r="AC40" s="92"/>
      <c r="AD40" s="93"/>
      <c r="AE40" s="84">
        <f t="shared" si="8"/>
        <v>-99.428571428573832</v>
      </c>
      <c r="AF40" s="87">
        <f t="shared" si="9"/>
        <v>0.95857142857142752</v>
      </c>
      <c r="AG40" s="237"/>
    </row>
    <row r="41" spans="1:33">
      <c r="A41" s="254" t="s">
        <v>282</v>
      </c>
      <c r="B41" s="97" t="s">
        <v>278</v>
      </c>
      <c r="C41" s="238"/>
      <c r="D41" s="238"/>
      <c r="E41" s="96"/>
      <c r="F41" s="97"/>
      <c r="G41" s="82"/>
      <c r="H41" s="78"/>
      <c r="I41" s="98">
        <v>17.333333333333332</v>
      </c>
      <c r="J41" s="81">
        <v>2266.6666666666665</v>
      </c>
      <c r="K41" s="82">
        <f t="shared" si="1"/>
        <v>130.76923076923077</v>
      </c>
      <c r="L41" s="98">
        <v>17.333333333333332</v>
      </c>
      <c r="M41" s="83">
        <f>AVERAGE(M35:M40)</f>
        <v>2172.2860303193179</v>
      </c>
      <c r="N41" s="82">
        <f t="shared" si="3"/>
        <v>125.32419405688373</v>
      </c>
      <c r="O41" s="84">
        <f t="shared" si="4"/>
        <v>0</v>
      </c>
      <c r="P41" s="85">
        <f t="shared" si="5"/>
        <v>-5.4450367123470471</v>
      </c>
      <c r="Q41" s="87">
        <f t="shared" si="6"/>
        <v>0.9583614839644049</v>
      </c>
      <c r="R41" s="237"/>
      <c r="S41" s="88"/>
      <c r="T41" s="88"/>
      <c r="U41" s="82"/>
      <c r="V41" s="89"/>
      <c r="W41" s="82"/>
      <c r="X41" s="82"/>
      <c r="Y41" s="99">
        <f>SUM(Y35:Y40)</f>
        <v>0</v>
      </c>
      <c r="Z41" s="99">
        <f>SUM(Z35:Z40)</f>
        <v>0</v>
      </c>
      <c r="AA41" s="231"/>
      <c r="AB41" s="231"/>
      <c r="AC41" s="99">
        <v>6</v>
      </c>
      <c r="AD41" s="99">
        <f>SUM(AD35:AD40)</f>
        <v>0</v>
      </c>
      <c r="AE41" s="84">
        <f t="shared" si="8"/>
        <v>-94.380636347348627</v>
      </c>
      <c r="AF41" s="87">
        <f t="shared" si="9"/>
        <v>0.95836148396440501</v>
      </c>
      <c r="AG41" s="237"/>
    </row>
    <row r="42" spans="1:33" ht="15.75" customHeight="1">
      <c r="A42" s="248" t="s">
        <v>283</v>
      </c>
      <c r="B42" s="77" t="s">
        <v>157</v>
      </c>
      <c r="C42" s="225" t="s">
        <v>158</v>
      </c>
      <c r="D42" s="226"/>
      <c r="E42" s="77">
        <v>21.13</v>
      </c>
      <c r="F42" s="78">
        <v>4555</v>
      </c>
      <c r="G42" s="75">
        <f t="shared" ref="G42:G44" si="31">E42*F42</f>
        <v>96247.15</v>
      </c>
      <c r="H42" s="79" t="s">
        <v>115</v>
      </c>
      <c r="I42" s="80">
        <v>10</v>
      </c>
      <c r="J42" s="81">
        <v>3000</v>
      </c>
      <c r="K42" s="82">
        <f t="shared" si="1"/>
        <v>300</v>
      </c>
      <c r="L42" s="80">
        <v>10</v>
      </c>
      <c r="M42" s="83">
        <f t="shared" ref="M42:M44" si="32">F42/V42*60</f>
        <v>2876.842105263157</v>
      </c>
      <c r="N42" s="83">
        <f t="shared" si="3"/>
        <v>287.68421052631572</v>
      </c>
      <c r="O42" s="84">
        <f t="shared" si="4"/>
        <v>0</v>
      </c>
      <c r="P42" s="85">
        <f t="shared" si="5"/>
        <v>-12.315789473684276</v>
      </c>
      <c r="Q42" s="87">
        <f t="shared" si="6"/>
        <v>0.95894736842105244</v>
      </c>
      <c r="R42" s="243">
        <f>Q45</f>
        <v>0.95767352083479729</v>
      </c>
      <c r="S42" s="88">
        <v>0.20833333333333334</v>
      </c>
      <c r="T42" s="88">
        <v>0.27430555555555558</v>
      </c>
      <c r="U42" s="100"/>
      <c r="V42" s="89">
        <f t="shared" ref="V42:V44" si="33">(T42-S42)*24*60</f>
        <v>95.000000000000028</v>
      </c>
      <c r="W42" s="90"/>
      <c r="X42" s="90"/>
      <c r="Y42" s="94"/>
      <c r="Z42" s="94"/>
      <c r="AA42" s="227"/>
      <c r="AB42" s="228"/>
      <c r="AC42" s="92">
        <v>3</v>
      </c>
      <c r="AD42" s="93"/>
      <c r="AE42" s="84">
        <f t="shared" si="8"/>
        <v>-123.15789473684299</v>
      </c>
      <c r="AF42" s="87">
        <f t="shared" si="9"/>
        <v>0.95894736842105233</v>
      </c>
      <c r="AG42" s="243">
        <f>AF45</f>
        <v>0.95767352083479718</v>
      </c>
    </row>
    <row r="43" spans="1:33" ht="15.75" customHeight="1">
      <c r="A43" s="249" t="s">
        <v>283</v>
      </c>
      <c r="B43" s="77" t="s">
        <v>157</v>
      </c>
      <c r="C43" s="225" t="s">
        <v>159</v>
      </c>
      <c r="D43" s="226"/>
      <c r="E43" s="77">
        <v>27.17</v>
      </c>
      <c r="F43" s="78">
        <v>5125</v>
      </c>
      <c r="G43" s="75">
        <f t="shared" si="31"/>
        <v>139246.25</v>
      </c>
      <c r="H43" s="79" t="s">
        <v>115</v>
      </c>
      <c r="I43" s="80">
        <v>10</v>
      </c>
      <c r="J43" s="81">
        <v>3000</v>
      </c>
      <c r="K43" s="82">
        <f t="shared" si="1"/>
        <v>300</v>
      </c>
      <c r="L43" s="80">
        <v>10</v>
      </c>
      <c r="M43" s="83">
        <f t="shared" si="32"/>
        <v>2873.8317757009345</v>
      </c>
      <c r="N43" s="83">
        <f t="shared" si="3"/>
        <v>287.38317757009344</v>
      </c>
      <c r="O43" s="84">
        <f t="shared" si="4"/>
        <v>0</v>
      </c>
      <c r="P43" s="85">
        <f t="shared" si="5"/>
        <v>-12.616822429906563</v>
      </c>
      <c r="Q43" s="87">
        <f t="shared" si="6"/>
        <v>0.9579439252336448</v>
      </c>
      <c r="R43" s="244"/>
      <c r="S43" s="88">
        <v>0.27986111111111112</v>
      </c>
      <c r="T43" s="88">
        <v>0.35416666666666669</v>
      </c>
      <c r="U43" s="75">
        <f t="shared" ref="U43:U44" si="34">(S43-T42)*24*60</f>
        <v>7.9999999999999716</v>
      </c>
      <c r="V43" s="89">
        <f t="shared" si="33"/>
        <v>107.00000000000001</v>
      </c>
      <c r="W43" s="90"/>
      <c r="X43" s="90"/>
      <c r="Y43" s="94"/>
      <c r="Z43" s="94"/>
      <c r="AA43" s="227"/>
      <c r="AB43" s="228"/>
      <c r="AC43" s="92"/>
      <c r="AD43" s="93"/>
      <c r="AE43" s="84">
        <f t="shared" si="8"/>
        <v>-126.16822429906551</v>
      </c>
      <c r="AF43" s="87">
        <f t="shared" si="9"/>
        <v>0.9579439252336448</v>
      </c>
      <c r="AG43" s="244"/>
    </row>
    <row r="44" spans="1:33" ht="15.75" customHeight="1">
      <c r="A44" s="249" t="s">
        <v>284</v>
      </c>
      <c r="B44" s="77" t="s">
        <v>157</v>
      </c>
      <c r="C44" s="225" t="s">
        <v>160</v>
      </c>
      <c r="D44" s="226"/>
      <c r="E44" s="77">
        <v>37.880000000000003</v>
      </c>
      <c r="F44" s="78">
        <v>2675</v>
      </c>
      <c r="G44" s="75">
        <f t="shared" si="31"/>
        <v>101329</v>
      </c>
      <c r="H44" s="79" t="s">
        <v>115</v>
      </c>
      <c r="I44" s="80">
        <v>13</v>
      </c>
      <c r="J44" s="81">
        <v>2000</v>
      </c>
      <c r="K44" s="82">
        <f t="shared" si="1"/>
        <v>153.84615384615384</v>
      </c>
      <c r="L44" s="80">
        <v>13</v>
      </c>
      <c r="M44" s="83">
        <f t="shared" si="32"/>
        <v>1910.7142857142851</v>
      </c>
      <c r="N44" s="83">
        <f t="shared" si="3"/>
        <v>146.97802197802193</v>
      </c>
      <c r="O44" s="84">
        <f t="shared" si="4"/>
        <v>0</v>
      </c>
      <c r="P44" s="85">
        <f t="shared" si="5"/>
        <v>-6.8681318681319112</v>
      </c>
      <c r="Q44" s="87">
        <f t="shared" si="6"/>
        <v>0.95535714285714257</v>
      </c>
      <c r="R44" s="244"/>
      <c r="S44" s="88">
        <v>0.3576388888888889</v>
      </c>
      <c r="T44" s="88">
        <v>0.41597222222222224</v>
      </c>
      <c r="U44" s="75">
        <f t="shared" si="34"/>
        <v>4.9999999999999822</v>
      </c>
      <c r="V44" s="89">
        <f t="shared" si="33"/>
        <v>84.000000000000028</v>
      </c>
      <c r="W44" s="90"/>
      <c r="X44" s="90"/>
      <c r="Y44" s="94"/>
      <c r="Z44" s="94"/>
      <c r="AA44" s="227"/>
      <c r="AB44" s="228"/>
      <c r="AC44" s="92"/>
      <c r="AD44" s="93"/>
      <c r="AE44" s="84">
        <f t="shared" si="8"/>
        <v>-89.285714285714903</v>
      </c>
      <c r="AF44" s="87">
        <f t="shared" si="9"/>
        <v>0.95535714285714257</v>
      </c>
      <c r="AG44" s="244"/>
    </row>
    <row r="45" spans="1:33" ht="15.75" customHeight="1">
      <c r="A45" s="250" t="s">
        <v>283</v>
      </c>
      <c r="B45" s="77" t="s">
        <v>278</v>
      </c>
      <c r="C45" s="229"/>
      <c r="D45" s="230"/>
      <c r="E45" s="108"/>
      <c r="F45" s="78"/>
      <c r="G45" s="75"/>
      <c r="H45" s="78"/>
      <c r="I45" s="98">
        <v>11</v>
      </c>
      <c r="J45" s="81">
        <v>2666.6666666666665</v>
      </c>
      <c r="K45" s="82">
        <f t="shared" si="1"/>
        <v>242.42424242424241</v>
      </c>
      <c r="L45" s="98">
        <v>11</v>
      </c>
      <c r="M45" s="83">
        <f>AVERAGE(M42:M44)</f>
        <v>2553.7960555594591</v>
      </c>
      <c r="N45" s="82">
        <f t="shared" si="3"/>
        <v>232.16327777813265</v>
      </c>
      <c r="O45" s="84">
        <f t="shared" si="4"/>
        <v>0</v>
      </c>
      <c r="P45" s="85">
        <f t="shared" si="5"/>
        <v>-10.260964646109755</v>
      </c>
      <c r="Q45" s="87">
        <f t="shared" si="6"/>
        <v>0.95767352083479729</v>
      </c>
      <c r="R45" s="245"/>
      <c r="S45" s="88"/>
      <c r="T45" s="88"/>
      <c r="U45" s="75"/>
      <c r="V45" s="89"/>
      <c r="W45" s="90"/>
      <c r="X45" s="90"/>
      <c r="Y45" s="99">
        <f>SUM(Y42:Y44)</f>
        <v>0</v>
      </c>
      <c r="Z45" s="99">
        <f>SUM(Z42:Z44)</f>
        <v>0</v>
      </c>
      <c r="AA45" s="246"/>
      <c r="AB45" s="247"/>
      <c r="AC45" s="99">
        <v>3</v>
      </c>
      <c r="AD45" s="99">
        <f>SUM(AD42:AD44)</f>
        <v>0</v>
      </c>
      <c r="AE45" s="84">
        <f t="shared" si="8"/>
        <v>-112.87061110720742</v>
      </c>
      <c r="AF45" s="87">
        <f t="shared" si="9"/>
        <v>0.95767352083479718</v>
      </c>
      <c r="AG45" s="245"/>
    </row>
    <row r="46" spans="1:33" ht="15.75" customHeight="1">
      <c r="A46" s="241" t="s">
        <v>285</v>
      </c>
      <c r="B46" s="77" t="s">
        <v>121</v>
      </c>
      <c r="C46" s="233" t="s">
        <v>162</v>
      </c>
      <c r="D46" s="233"/>
      <c r="E46" s="77">
        <v>46</v>
      </c>
      <c r="F46" s="109">
        <v>878</v>
      </c>
      <c r="G46" s="75">
        <f t="shared" ref="G46:G53" si="35">E46*F46</f>
        <v>40388</v>
      </c>
      <c r="H46" s="79" t="s">
        <v>115</v>
      </c>
      <c r="I46" s="80">
        <v>16</v>
      </c>
      <c r="J46" s="81">
        <v>2000</v>
      </c>
      <c r="K46" s="82">
        <f t="shared" si="1"/>
        <v>125</v>
      </c>
      <c r="L46" s="80">
        <v>16</v>
      </c>
      <c r="M46" s="83">
        <f t="shared" ref="M46" si="36">F46/V46*60</f>
        <v>1951.111111111112</v>
      </c>
      <c r="N46" s="83">
        <f t="shared" si="3"/>
        <v>121.9444444444445</v>
      </c>
      <c r="O46" s="84">
        <f t="shared" si="4"/>
        <v>0</v>
      </c>
      <c r="P46" s="85">
        <f t="shared" si="5"/>
        <v>-3.0555555555555003</v>
      </c>
      <c r="Q46" s="87">
        <f t="shared" si="6"/>
        <v>0.97555555555555595</v>
      </c>
      <c r="R46" s="237">
        <f>Q54</f>
        <v>0.97129085036868668</v>
      </c>
      <c r="S46" s="88">
        <v>0.20833333333333334</v>
      </c>
      <c r="T46" s="88">
        <v>0.22708333333333333</v>
      </c>
      <c r="U46" s="100"/>
      <c r="V46" s="89">
        <f t="shared" ref="V46:V53" si="37">(T46-S46)*24*60</f>
        <v>26.999999999999986</v>
      </c>
      <c r="W46" s="90"/>
      <c r="X46" s="90"/>
      <c r="Y46" s="100"/>
      <c r="Z46" s="100"/>
      <c r="AA46" s="232"/>
      <c r="AB46" s="232"/>
      <c r="AC46" s="92">
        <v>8</v>
      </c>
      <c r="AD46" s="93"/>
      <c r="AE46" s="84">
        <f t="shared" si="8"/>
        <v>-48.888888888888005</v>
      </c>
      <c r="AF46" s="87">
        <f t="shared" si="9"/>
        <v>0.97555555555555595</v>
      </c>
      <c r="AG46" s="237">
        <f>AF54</f>
        <v>0.97129085036868656</v>
      </c>
    </row>
    <row r="47" spans="1:33" ht="15.75" customHeight="1">
      <c r="A47" s="241" t="s">
        <v>285</v>
      </c>
      <c r="B47" s="77" t="s">
        <v>121</v>
      </c>
      <c r="C47" s="233" t="s">
        <v>163</v>
      </c>
      <c r="D47" s="233"/>
      <c r="E47" s="77">
        <v>46</v>
      </c>
      <c r="F47" s="109">
        <v>884</v>
      </c>
      <c r="G47" s="75">
        <f t="shared" si="35"/>
        <v>40664</v>
      </c>
      <c r="H47" s="79" t="s">
        <v>115</v>
      </c>
      <c r="I47" s="80">
        <v>17</v>
      </c>
      <c r="J47" s="81">
        <v>2000</v>
      </c>
      <c r="K47" s="82">
        <f t="shared" si="1"/>
        <v>117.64705882352941</v>
      </c>
      <c r="L47" s="80">
        <v>17</v>
      </c>
      <c r="M47" s="83">
        <f>F47/V47*60</f>
        <v>1964.4444444444453</v>
      </c>
      <c r="N47" s="83">
        <f t="shared" si="3"/>
        <v>115.5555555555556</v>
      </c>
      <c r="O47" s="84">
        <f t="shared" si="4"/>
        <v>0</v>
      </c>
      <c r="P47" s="85">
        <f t="shared" si="5"/>
        <v>-2.0915032679738061</v>
      </c>
      <c r="Q47" s="87">
        <f t="shared" si="6"/>
        <v>0.98222222222222266</v>
      </c>
      <c r="R47" s="237"/>
      <c r="S47" s="88">
        <v>0.23055555555555554</v>
      </c>
      <c r="T47" s="88">
        <v>0.24930555555555553</v>
      </c>
      <c r="U47" s="75">
        <f t="shared" ref="U47:U53" si="38">IF(S47=TIME(17,0,0),"",(S47-T46)*24*60)</f>
        <v>4.9999999999999822</v>
      </c>
      <c r="V47" s="89">
        <f t="shared" si="37"/>
        <v>26.999999999999986</v>
      </c>
      <c r="W47" s="90"/>
      <c r="X47" s="90"/>
      <c r="Y47" s="90"/>
      <c r="Z47" s="90"/>
      <c r="AA47" s="232"/>
      <c r="AB47" s="232"/>
      <c r="AC47" s="92"/>
      <c r="AD47" s="93"/>
      <c r="AE47" s="84">
        <f t="shared" si="8"/>
        <v>-35.555555555554747</v>
      </c>
      <c r="AF47" s="87">
        <f t="shared" si="9"/>
        <v>0.98222222222222266</v>
      </c>
      <c r="AG47" s="237"/>
    </row>
    <row r="48" spans="1:33" ht="15.75" customHeight="1">
      <c r="A48" s="241" t="s">
        <v>286</v>
      </c>
      <c r="B48" s="77" t="s">
        <v>113</v>
      </c>
      <c r="C48" s="225" t="s">
        <v>164</v>
      </c>
      <c r="D48" s="226"/>
      <c r="E48" s="77">
        <v>51.44</v>
      </c>
      <c r="F48" s="109">
        <v>982</v>
      </c>
      <c r="G48" s="75">
        <f t="shared" si="35"/>
        <v>50514.079999999994</v>
      </c>
      <c r="H48" s="79" t="s">
        <v>115</v>
      </c>
      <c r="I48" s="80">
        <v>25</v>
      </c>
      <c r="J48" s="81">
        <v>2000</v>
      </c>
      <c r="K48" s="82">
        <f t="shared" si="1"/>
        <v>80</v>
      </c>
      <c r="L48" s="80">
        <v>25</v>
      </c>
      <c r="M48" s="83">
        <f t="shared" ref="M48:M53" si="39">F48/V48*60</f>
        <v>1964.0000000000018</v>
      </c>
      <c r="N48" s="83">
        <f t="shared" si="3"/>
        <v>78.560000000000073</v>
      </c>
      <c r="O48" s="84">
        <f t="shared" si="4"/>
        <v>0</v>
      </c>
      <c r="P48" s="85">
        <f t="shared" si="5"/>
        <v>-1.4399999999999267</v>
      </c>
      <c r="Q48" s="87">
        <f t="shared" si="6"/>
        <v>0.98200000000000087</v>
      </c>
      <c r="R48" s="237"/>
      <c r="S48" s="88">
        <v>0.25277777777777777</v>
      </c>
      <c r="T48" s="88">
        <v>0.27361111111111108</v>
      </c>
      <c r="U48" s="75">
        <f t="shared" si="38"/>
        <v>5.0000000000000222</v>
      </c>
      <c r="V48" s="89">
        <f t="shared" si="37"/>
        <v>29.999999999999972</v>
      </c>
      <c r="W48" s="90"/>
      <c r="X48" s="90"/>
      <c r="Y48" s="94"/>
      <c r="Z48" s="94"/>
      <c r="AA48" s="232"/>
      <c r="AB48" s="232"/>
      <c r="AC48" s="92"/>
      <c r="AD48" s="93"/>
      <c r="AE48" s="84">
        <f t="shared" si="8"/>
        <v>-35.999999999998181</v>
      </c>
      <c r="AF48" s="87">
        <f t="shared" si="9"/>
        <v>0.98200000000000087</v>
      </c>
      <c r="AG48" s="237"/>
    </row>
    <row r="49" spans="1:33" ht="15.75" customHeight="1">
      <c r="A49" s="241" t="s">
        <v>285</v>
      </c>
      <c r="B49" s="77" t="s">
        <v>113</v>
      </c>
      <c r="C49" s="110" t="s">
        <v>165</v>
      </c>
      <c r="D49" s="111"/>
      <c r="E49" s="77">
        <v>56.43</v>
      </c>
      <c r="F49" s="109">
        <v>485</v>
      </c>
      <c r="G49" s="75">
        <f t="shared" si="35"/>
        <v>27368.55</v>
      </c>
      <c r="H49" s="79" t="s">
        <v>115</v>
      </c>
      <c r="I49" s="80">
        <v>23</v>
      </c>
      <c r="J49" s="81">
        <v>2000</v>
      </c>
      <c r="K49" s="82">
        <f t="shared" si="1"/>
        <v>86.956521739130437</v>
      </c>
      <c r="L49" s="80">
        <v>23</v>
      </c>
      <c r="M49" s="83">
        <f t="shared" si="39"/>
        <v>1939.9999999999968</v>
      </c>
      <c r="N49" s="83">
        <f t="shared" si="3"/>
        <v>84.347826086956388</v>
      </c>
      <c r="O49" s="84">
        <f t="shared" si="4"/>
        <v>0</v>
      </c>
      <c r="P49" s="85">
        <f t="shared" si="5"/>
        <v>-2.608695652174049</v>
      </c>
      <c r="Q49" s="87">
        <f t="shared" si="6"/>
        <v>0.96999999999999842</v>
      </c>
      <c r="R49" s="237"/>
      <c r="S49" s="88">
        <v>0.27847222222222218</v>
      </c>
      <c r="T49" s="88">
        <v>0.28888888888888886</v>
      </c>
      <c r="U49" s="75">
        <f t="shared" si="38"/>
        <v>6.9999999999999751</v>
      </c>
      <c r="V49" s="89">
        <f t="shared" si="37"/>
        <v>15.000000000000027</v>
      </c>
      <c r="W49" s="90"/>
      <c r="X49" s="90"/>
      <c r="Y49" s="94"/>
      <c r="Z49" s="94"/>
      <c r="AA49" s="232"/>
      <c r="AB49" s="232"/>
      <c r="AC49" s="92"/>
      <c r="AD49" s="93"/>
      <c r="AE49" s="84">
        <f t="shared" si="8"/>
        <v>-60.000000000003183</v>
      </c>
      <c r="AF49" s="87">
        <f t="shared" si="9"/>
        <v>0.96999999999999842</v>
      </c>
      <c r="AG49" s="237"/>
    </row>
    <row r="50" spans="1:33" ht="15.75" customHeight="1">
      <c r="A50" s="241" t="s">
        <v>285</v>
      </c>
      <c r="B50" s="77" t="s">
        <v>113</v>
      </c>
      <c r="C50" s="110" t="s">
        <v>166</v>
      </c>
      <c r="D50" s="111"/>
      <c r="E50" s="77">
        <v>56.43</v>
      </c>
      <c r="F50" s="109">
        <v>1633</v>
      </c>
      <c r="G50" s="75">
        <f t="shared" si="35"/>
        <v>92150.19</v>
      </c>
      <c r="H50" s="79" t="s">
        <v>115</v>
      </c>
      <c r="I50" s="80">
        <v>21</v>
      </c>
      <c r="J50" s="81">
        <v>2000</v>
      </c>
      <c r="K50" s="82">
        <f t="shared" si="1"/>
        <v>95.238095238095241</v>
      </c>
      <c r="L50" s="80">
        <v>21</v>
      </c>
      <c r="M50" s="83">
        <f t="shared" si="39"/>
        <v>1921.176470588236</v>
      </c>
      <c r="N50" s="83">
        <f t="shared" si="3"/>
        <v>91.484593837535044</v>
      </c>
      <c r="O50" s="84">
        <f t="shared" si="4"/>
        <v>0</v>
      </c>
      <c r="P50" s="85">
        <f t="shared" si="5"/>
        <v>-3.7535014005601965</v>
      </c>
      <c r="Q50" s="87">
        <f t="shared" si="6"/>
        <v>0.96058823529411796</v>
      </c>
      <c r="R50" s="237"/>
      <c r="S50" s="88">
        <v>0.29374999999999996</v>
      </c>
      <c r="T50" s="88">
        <v>0.32916666666666661</v>
      </c>
      <c r="U50" s="75">
        <f t="shared" si="38"/>
        <v>6.9999999999999751</v>
      </c>
      <c r="V50" s="89">
        <f t="shared" si="37"/>
        <v>50.999999999999979</v>
      </c>
      <c r="W50" s="90"/>
      <c r="X50" s="90"/>
      <c r="Y50" s="94"/>
      <c r="Z50" s="94"/>
      <c r="AA50" s="232"/>
      <c r="AB50" s="232"/>
      <c r="AC50" s="92"/>
      <c r="AD50" s="93"/>
      <c r="AE50" s="84">
        <f t="shared" si="8"/>
        <v>-78.823529411763957</v>
      </c>
      <c r="AF50" s="87">
        <f t="shared" si="9"/>
        <v>0.96058823529411808</v>
      </c>
      <c r="AG50" s="237"/>
    </row>
    <row r="51" spans="1:33" ht="15.75" customHeight="1">
      <c r="A51" s="241" t="s">
        <v>285</v>
      </c>
      <c r="B51" s="77" t="s">
        <v>113</v>
      </c>
      <c r="C51" s="225" t="s">
        <v>167</v>
      </c>
      <c r="D51" s="226"/>
      <c r="E51" s="77">
        <v>55.56</v>
      </c>
      <c r="F51" s="109">
        <v>1954</v>
      </c>
      <c r="G51" s="75">
        <f t="shared" si="35"/>
        <v>108564.24</v>
      </c>
      <c r="H51" s="79" t="s">
        <v>115</v>
      </c>
      <c r="I51" s="80">
        <v>17</v>
      </c>
      <c r="J51" s="81">
        <v>2000</v>
      </c>
      <c r="K51" s="82">
        <f t="shared" si="1"/>
        <v>117.64705882352941</v>
      </c>
      <c r="L51" s="80">
        <v>17</v>
      </c>
      <c r="M51" s="83">
        <f t="shared" si="39"/>
        <v>1921.9672131147561</v>
      </c>
      <c r="N51" s="83">
        <f t="shared" si="3"/>
        <v>113.0568948891033</v>
      </c>
      <c r="O51" s="84">
        <f t="shared" si="4"/>
        <v>0</v>
      </c>
      <c r="P51" s="85">
        <f t="shared" si="5"/>
        <v>-4.5901639344261014</v>
      </c>
      <c r="Q51" s="87">
        <f t="shared" si="6"/>
        <v>0.96098360655737813</v>
      </c>
      <c r="R51" s="237"/>
      <c r="S51" s="88">
        <v>0.70833333333333337</v>
      </c>
      <c r="T51" s="88">
        <v>0.75069444444444444</v>
      </c>
      <c r="U51" s="75" t="str">
        <f t="shared" si="38"/>
        <v/>
      </c>
      <c r="V51" s="89">
        <f t="shared" si="37"/>
        <v>60.999999999999943</v>
      </c>
      <c r="W51" s="90"/>
      <c r="X51" s="90"/>
      <c r="Y51" s="94"/>
      <c r="Z51" s="94"/>
      <c r="AA51" s="227"/>
      <c r="AB51" s="228"/>
      <c r="AC51" s="92"/>
      <c r="AD51" s="93"/>
      <c r="AE51" s="84">
        <f t="shared" si="8"/>
        <v>-78.032786885243922</v>
      </c>
      <c r="AF51" s="87">
        <f t="shared" si="9"/>
        <v>0.96098360655737802</v>
      </c>
      <c r="AG51" s="237"/>
    </row>
    <row r="52" spans="1:33" ht="15.75" customHeight="1">
      <c r="A52" s="241" t="s">
        <v>285</v>
      </c>
      <c r="B52" s="77" t="s">
        <v>113</v>
      </c>
      <c r="C52" s="225" t="s">
        <v>168</v>
      </c>
      <c r="D52" s="226"/>
      <c r="E52" s="77">
        <v>58.17</v>
      </c>
      <c r="F52" s="109">
        <v>1330</v>
      </c>
      <c r="G52" s="75">
        <f t="shared" si="35"/>
        <v>77366.100000000006</v>
      </c>
      <c r="H52" s="79" t="s">
        <v>115</v>
      </c>
      <c r="I52" s="80">
        <v>13</v>
      </c>
      <c r="J52" s="81">
        <v>2000</v>
      </c>
      <c r="K52" s="82">
        <f t="shared" si="1"/>
        <v>153.84615384615384</v>
      </c>
      <c r="L52" s="80">
        <v>13</v>
      </c>
      <c r="M52" s="83">
        <f t="shared" si="39"/>
        <v>1946.3414634146336</v>
      </c>
      <c r="N52" s="83">
        <f t="shared" si="3"/>
        <v>149.71857410881796</v>
      </c>
      <c r="O52" s="84">
        <f t="shared" si="4"/>
        <v>0</v>
      </c>
      <c r="P52" s="85">
        <f t="shared" si="5"/>
        <v>-4.1275797373358785</v>
      </c>
      <c r="Q52" s="87">
        <f t="shared" si="6"/>
        <v>0.97317073170731683</v>
      </c>
      <c r="R52" s="237"/>
      <c r="S52" s="88">
        <v>0.75555555555555554</v>
      </c>
      <c r="T52" s="88">
        <v>0.78402777777777777</v>
      </c>
      <c r="U52" s="75">
        <f t="shared" si="38"/>
        <v>6.9999999999999751</v>
      </c>
      <c r="V52" s="89">
        <f t="shared" si="37"/>
        <v>41.000000000000014</v>
      </c>
      <c r="W52" s="90"/>
      <c r="X52" s="90"/>
      <c r="Y52" s="94"/>
      <c r="Z52" s="94"/>
      <c r="AA52" s="227"/>
      <c r="AB52" s="228"/>
      <c r="AC52" s="92"/>
      <c r="AD52" s="93"/>
      <c r="AE52" s="84">
        <f t="shared" si="8"/>
        <v>-53.658536585366392</v>
      </c>
      <c r="AF52" s="87">
        <f t="shared" si="9"/>
        <v>0.97317073170731683</v>
      </c>
      <c r="AG52" s="237"/>
    </row>
    <row r="53" spans="1:33" ht="15.75" customHeight="1">
      <c r="A53" s="241" t="s">
        <v>285</v>
      </c>
      <c r="B53" s="77" t="s">
        <v>113</v>
      </c>
      <c r="C53" s="225" t="s">
        <v>169</v>
      </c>
      <c r="D53" s="226"/>
      <c r="E53" s="77">
        <v>54.09</v>
      </c>
      <c r="F53" s="109">
        <v>998</v>
      </c>
      <c r="G53" s="75">
        <f t="shared" si="35"/>
        <v>53981.820000000007</v>
      </c>
      <c r="H53" s="79" t="s">
        <v>115</v>
      </c>
      <c r="I53" s="80">
        <v>14</v>
      </c>
      <c r="J53" s="81">
        <v>2000</v>
      </c>
      <c r="K53" s="82">
        <f t="shared" si="1"/>
        <v>142.85714285714286</v>
      </c>
      <c r="L53" s="80">
        <v>14</v>
      </c>
      <c r="M53" s="83">
        <f t="shared" si="39"/>
        <v>1931.6129032258036</v>
      </c>
      <c r="N53" s="83">
        <f t="shared" si="3"/>
        <v>137.97235023041455</v>
      </c>
      <c r="O53" s="84">
        <f t="shared" si="4"/>
        <v>0</v>
      </c>
      <c r="P53" s="85">
        <f t="shared" si="5"/>
        <v>-4.8847926267283128</v>
      </c>
      <c r="Q53" s="87">
        <f t="shared" si="6"/>
        <v>0.9658064516129018</v>
      </c>
      <c r="R53" s="237"/>
      <c r="S53" s="88">
        <v>0.78819444444444442</v>
      </c>
      <c r="T53" s="88">
        <v>0.80972222222222223</v>
      </c>
      <c r="U53" s="75">
        <f t="shared" si="38"/>
        <v>5.9999999999999787</v>
      </c>
      <c r="V53" s="89">
        <f t="shared" si="37"/>
        <v>31.00000000000005</v>
      </c>
      <c r="W53" s="90"/>
      <c r="X53" s="90"/>
      <c r="Y53" s="94"/>
      <c r="Z53" s="94"/>
      <c r="AA53" s="227"/>
      <c r="AB53" s="228"/>
      <c r="AC53" s="92"/>
      <c r="AD53" s="93"/>
      <c r="AE53" s="84">
        <f t="shared" si="8"/>
        <v>-68.38709677419638</v>
      </c>
      <c r="AF53" s="87">
        <f t="shared" si="9"/>
        <v>0.9658064516129018</v>
      </c>
      <c r="AG53" s="237"/>
    </row>
    <row r="54" spans="1:33">
      <c r="A54" s="242" t="s">
        <v>285</v>
      </c>
      <c r="B54" s="77" t="s">
        <v>278</v>
      </c>
      <c r="C54" s="238"/>
      <c r="D54" s="238"/>
      <c r="E54" s="96"/>
      <c r="F54" s="97"/>
      <c r="G54" s="82"/>
      <c r="H54" s="78"/>
      <c r="I54" s="98">
        <v>18.25</v>
      </c>
      <c r="J54" s="81">
        <v>2000</v>
      </c>
      <c r="K54" s="82">
        <f t="shared" si="1"/>
        <v>109.58904109589041</v>
      </c>
      <c r="L54" s="98">
        <v>18.25</v>
      </c>
      <c r="M54" s="83">
        <f>AVERAGE(M46:M53)</f>
        <v>1942.5817007373732</v>
      </c>
      <c r="N54" s="82">
        <f t="shared" si="3"/>
        <v>106.44283291711635</v>
      </c>
      <c r="O54" s="84">
        <f t="shared" si="4"/>
        <v>0</v>
      </c>
      <c r="P54" s="85">
        <f t="shared" si="5"/>
        <v>-3.1462081787740601</v>
      </c>
      <c r="Q54" s="87">
        <f t="shared" si="6"/>
        <v>0.97129085036868668</v>
      </c>
      <c r="R54" s="237"/>
      <c r="S54" s="88"/>
      <c r="T54" s="88"/>
      <c r="U54" s="75"/>
      <c r="V54" s="89"/>
      <c r="W54" s="82"/>
      <c r="X54" s="82"/>
      <c r="Y54" s="99">
        <f>SUM(Y46:Y53)</f>
        <v>0</v>
      </c>
      <c r="Z54" s="99">
        <f>SUM(Z46:Z53)</f>
        <v>0</v>
      </c>
      <c r="AA54" s="231"/>
      <c r="AB54" s="231"/>
      <c r="AC54" s="99">
        <v>8</v>
      </c>
      <c r="AD54" s="99">
        <f>SUM(AD46:AD53)</f>
        <v>0</v>
      </c>
      <c r="AE54" s="84">
        <f>M54-J54</f>
        <v>-57.418299262626761</v>
      </c>
      <c r="AF54" s="87">
        <f t="shared" si="9"/>
        <v>0.97129085036868656</v>
      </c>
      <c r="AG54" s="237"/>
    </row>
    <row r="55" spans="1:33" ht="15.75" customHeight="1">
      <c r="A55" s="239" t="s">
        <v>287</v>
      </c>
      <c r="B55" s="78" t="s">
        <v>157</v>
      </c>
      <c r="C55" s="233" t="s">
        <v>171</v>
      </c>
      <c r="D55" s="233"/>
      <c r="E55" s="77">
        <v>35.119999999999997</v>
      </c>
      <c r="F55" s="109">
        <v>4046</v>
      </c>
      <c r="G55" s="75">
        <f t="shared" ref="G55:G59" si="40">E55*F55</f>
        <v>142095.51999999999</v>
      </c>
      <c r="H55" s="79" t="s">
        <v>115</v>
      </c>
      <c r="I55" s="80">
        <v>10</v>
      </c>
      <c r="J55" s="81">
        <v>3000</v>
      </c>
      <c r="K55" s="82">
        <f t="shared" si="1"/>
        <v>300</v>
      </c>
      <c r="L55" s="80">
        <v>10</v>
      </c>
      <c r="M55" s="83">
        <f t="shared" ref="M55:M59" si="41">F55/V55*60</f>
        <v>2856.0000000000009</v>
      </c>
      <c r="N55" s="82">
        <f t="shared" si="3"/>
        <v>285.60000000000008</v>
      </c>
      <c r="O55" s="84">
        <f t="shared" si="4"/>
        <v>0</v>
      </c>
      <c r="P55" s="85">
        <f t="shared" si="5"/>
        <v>-14.39999999999992</v>
      </c>
      <c r="Q55" s="87">
        <f t="shared" si="6"/>
        <v>0.95200000000000029</v>
      </c>
      <c r="R55" s="237">
        <f>Q60</f>
        <v>0.95881805457245561</v>
      </c>
      <c r="S55" s="88">
        <v>0.20833333333333334</v>
      </c>
      <c r="T55" s="88">
        <v>0.2673611111111111</v>
      </c>
      <c r="U55" s="75"/>
      <c r="V55" s="89">
        <f t="shared" ref="V55:V59" si="42">(T55-S55)*24*60</f>
        <v>84.999999999999972</v>
      </c>
      <c r="W55" s="90"/>
      <c r="X55" s="90"/>
      <c r="Y55" s="100"/>
      <c r="Z55" s="100"/>
      <c r="AA55" s="232"/>
      <c r="AB55" s="232"/>
      <c r="AC55" s="92">
        <v>5</v>
      </c>
      <c r="AD55" s="93"/>
      <c r="AE55" s="84">
        <f t="shared" ref="AE55:AE67" si="43">M55-J55</f>
        <v>-143.99999999999909</v>
      </c>
      <c r="AF55" s="87">
        <f t="shared" si="9"/>
        <v>0.95200000000000029</v>
      </c>
      <c r="AG55" s="237">
        <f>AF60</f>
        <v>0.9588180545724555</v>
      </c>
    </row>
    <row r="56" spans="1:33" ht="15.75" customHeight="1">
      <c r="A56" s="239" t="s">
        <v>288</v>
      </c>
      <c r="B56" s="78" t="s">
        <v>157</v>
      </c>
      <c r="C56" s="233" t="s">
        <v>172</v>
      </c>
      <c r="D56" s="233"/>
      <c r="E56" s="77">
        <v>26.78</v>
      </c>
      <c r="F56" s="109">
        <v>2003</v>
      </c>
      <c r="G56" s="75">
        <f t="shared" si="40"/>
        <v>53640.340000000004</v>
      </c>
      <c r="H56" s="79" t="s">
        <v>115</v>
      </c>
      <c r="I56" s="80">
        <v>10</v>
      </c>
      <c r="J56" s="81">
        <v>3000</v>
      </c>
      <c r="K56" s="82">
        <f t="shared" si="1"/>
        <v>300</v>
      </c>
      <c r="L56" s="80">
        <v>10</v>
      </c>
      <c r="M56" s="83">
        <f t="shared" si="41"/>
        <v>2861.4285714285706</v>
      </c>
      <c r="N56" s="82">
        <f t="shared" si="3"/>
        <v>286.14285714285705</v>
      </c>
      <c r="O56" s="84">
        <f t="shared" si="4"/>
        <v>0</v>
      </c>
      <c r="P56" s="85">
        <f t="shared" si="5"/>
        <v>-13.857142857142946</v>
      </c>
      <c r="Q56" s="87">
        <f t="shared" si="6"/>
        <v>0.95380952380952355</v>
      </c>
      <c r="R56" s="237"/>
      <c r="S56" s="88">
        <v>0.2722222222222222</v>
      </c>
      <c r="T56" s="88">
        <v>0.30138888888888887</v>
      </c>
      <c r="U56" s="75">
        <f t="shared" ref="U56:U59" si="44">(S56-T55)*24*60</f>
        <v>6.9999999999999751</v>
      </c>
      <c r="V56" s="89">
        <f t="shared" si="42"/>
        <v>42.000000000000014</v>
      </c>
      <c r="W56" s="75"/>
      <c r="X56" s="75"/>
      <c r="Y56" s="75"/>
      <c r="Z56" s="75"/>
      <c r="AA56" s="232"/>
      <c r="AB56" s="232"/>
      <c r="AC56" s="92"/>
      <c r="AD56" s="93"/>
      <c r="AE56" s="84">
        <f t="shared" si="43"/>
        <v>-138.57142857142935</v>
      </c>
      <c r="AF56" s="87">
        <f t="shared" si="9"/>
        <v>0.95380952380952355</v>
      </c>
      <c r="AG56" s="237"/>
    </row>
    <row r="57" spans="1:33" ht="15.75" customHeight="1">
      <c r="A57" s="239" t="s">
        <v>288</v>
      </c>
      <c r="B57" s="78" t="s">
        <v>157</v>
      </c>
      <c r="C57" s="233" t="s">
        <v>173</v>
      </c>
      <c r="D57" s="233"/>
      <c r="E57" s="77">
        <v>35.869999999999997</v>
      </c>
      <c r="F57" s="109">
        <v>2252</v>
      </c>
      <c r="G57" s="75">
        <f t="shared" si="40"/>
        <v>80779.239999999991</v>
      </c>
      <c r="H57" s="79" t="s">
        <v>115</v>
      </c>
      <c r="I57" s="80">
        <v>10</v>
      </c>
      <c r="J57" s="81">
        <v>3000</v>
      </c>
      <c r="K57" s="82">
        <f t="shared" si="1"/>
        <v>300</v>
      </c>
      <c r="L57" s="80">
        <v>10</v>
      </c>
      <c r="M57" s="83">
        <f t="shared" si="41"/>
        <v>2874.8936170212769</v>
      </c>
      <c r="N57" s="82">
        <f t="shared" si="3"/>
        <v>287.48936170212767</v>
      </c>
      <c r="O57" s="84">
        <f t="shared" si="4"/>
        <v>0</v>
      </c>
      <c r="P57" s="85">
        <f t="shared" si="5"/>
        <v>-12.510638297872333</v>
      </c>
      <c r="Q57" s="87">
        <f t="shared" si="6"/>
        <v>0.95829787234042552</v>
      </c>
      <c r="R57" s="237"/>
      <c r="S57" s="88">
        <v>0.30624999999999997</v>
      </c>
      <c r="T57" s="88">
        <v>0.33888888888888885</v>
      </c>
      <c r="U57" s="75">
        <f t="shared" si="44"/>
        <v>6.9999999999999751</v>
      </c>
      <c r="V57" s="89">
        <f t="shared" si="42"/>
        <v>46.999999999999993</v>
      </c>
      <c r="W57" s="75"/>
      <c r="X57" s="75"/>
      <c r="Y57" s="75"/>
      <c r="Z57" s="75"/>
      <c r="AA57" s="232"/>
      <c r="AB57" s="232"/>
      <c r="AC57" s="92"/>
      <c r="AD57" s="93"/>
      <c r="AE57" s="84">
        <f t="shared" si="43"/>
        <v>-125.1063829787231</v>
      </c>
      <c r="AF57" s="87">
        <f t="shared" si="9"/>
        <v>0.95829787234042563</v>
      </c>
      <c r="AG57" s="237"/>
    </row>
    <row r="58" spans="1:33" ht="15.75" customHeight="1">
      <c r="A58" s="239" t="s">
        <v>288</v>
      </c>
      <c r="B58" s="78" t="s">
        <v>157</v>
      </c>
      <c r="C58" s="233" t="s">
        <v>174</v>
      </c>
      <c r="D58" s="233"/>
      <c r="E58" s="77">
        <v>35.869999999999997</v>
      </c>
      <c r="F58" s="109">
        <v>783</v>
      </c>
      <c r="G58" s="75">
        <f t="shared" si="40"/>
        <v>28086.21</v>
      </c>
      <c r="H58" s="79" t="s">
        <v>115</v>
      </c>
      <c r="I58" s="80">
        <v>9</v>
      </c>
      <c r="J58" s="81">
        <v>3000</v>
      </c>
      <c r="K58" s="82">
        <f t="shared" si="1"/>
        <v>333.33333333333331</v>
      </c>
      <c r="L58" s="80">
        <v>9</v>
      </c>
      <c r="M58" s="83">
        <f t="shared" si="41"/>
        <v>2936.2499999999964</v>
      </c>
      <c r="N58" s="82">
        <f t="shared" si="3"/>
        <v>326.2499999999996</v>
      </c>
      <c r="O58" s="84">
        <f t="shared" si="4"/>
        <v>0</v>
      </c>
      <c r="P58" s="85">
        <f t="shared" si="5"/>
        <v>-7.0833333333337123</v>
      </c>
      <c r="Q58" s="87">
        <f t="shared" si="6"/>
        <v>0.9787499999999989</v>
      </c>
      <c r="R58" s="237"/>
      <c r="S58" s="88">
        <v>0.34374999999999994</v>
      </c>
      <c r="T58" s="88">
        <v>0.35486111111111107</v>
      </c>
      <c r="U58" s="75">
        <f t="shared" si="44"/>
        <v>6.9999999999999751</v>
      </c>
      <c r="V58" s="89">
        <f t="shared" si="42"/>
        <v>16.000000000000021</v>
      </c>
      <c r="W58" s="75"/>
      <c r="X58" s="75"/>
      <c r="Y58" s="75"/>
      <c r="Z58" s="75"/>
      <c r="AA58" s="232"/>
      <c r="AB58" s="232"/>
      <c r="AC58" s="92"/>
      <c r="AD58" s="93"/>
      <c r="AE58" s="84">
        <f t="shared" si="43"/>
        <v>-63.750000000003638</v>
      </c>
      <c r="AF58" s="87">
        <f t="shared" si="9"/>
        <v>0.97874999999999879</v>
      </c>
      <c r="AG58" s="237"/>
    </row>
    <row r="59" spans="1:33">
      <c r="A59" s="240" t="s">
        <v>289</v>
      </c>
      <c r="B59" s="78" t="s">
        <v>157</v>
      </c>
      <c r="C59" s="233" t="s">
        <v>175</v>
      </c>
      <c r="D59" s="233"/>
      <c r="E59" s="77">
        <v>33.770000000000003</v>
      </c>
      <c r="F59" s="109">
        <v>3472</v>
      </c>
      <c r="G59" s="75">
        <f t="shared" si="40"/>
        <v>117249.44000000002</v>
      </c>
      <c r="H59" s="79" t="s">
        <v>115</v>
      </c>
      <c r="I59" s="80">
        <v>12</v>
      </c>
      <c r="J59" s="81">
        <v>3000</v>
      </c>
      <c r="K59" s="82">
        <f t="shared" si="1"/>
        <v>250</v>
      </c>
      <c r="L59" s="80">
        <v>12</v>
      </c>
      <c r="M59" s="83">
        <f t="shared" si="41"/>
        <v>2853.698630136987</v>
      </c>
      <c r="N59" s="82">
        <f t="shared" si="3"/>
        <v>237.80821917808225</v>
      </c>
      <c r="O59" s="84">
        <f t="shared" si="4"/>
        <v>0</v>
      </c>
      <c r="P59" s="85">
        <f t="shared" si="5"/>
        <v>-12.191780821917746</v>
      </c>
      <c r="Q59" s="87">
        <f t="shared" si="6"/>
        <v>0.95123287671232903</v>
      </c>
      <c r="R59" s="237"/>
      <c r="S59" s="88">
        <v>0.35902777777777772</v>
      </c>
      <c r="T59" s="88">
        <v>0.40972222222222215</v>
      </c>
      <c r="U59" s="75">
        <f t="shared" si="44"/>
        <v>5.9999999999999787</v>
      </c>
      <c r="V59" s="89">
        <f t="shared" si="42"/>
        <v>72.999999999999986</v>
      </c>
      <c r="W59" s="90"/>
      <c r="X59" s="90"/>
      <c r="Y59" s="90"/>
      <c r="Z59" s="90"/>
      <c r="AA59" s="232"/>
      <c r="AB59" s="232"/>
      <c r="AC59" s="92"/>
      <c r="AD59" s="93"/>
      <c r="AE59" s="84">
        <f t="shared" si="43"/>
        <v>-146.30136986301295</v>
      </c>
      <c r="AF59" s="87">
        <f t="shared" si="9"/>
        <v>0.95123287671232903</v>
      </c>
      <c r="AG59" s="237"/>
    </row>
    <row r="60" spans="1:33">
      <c r="A60" s="240" t="s">
        <v>288</v>
      </c>
      <c r="B60" s="77" t="s">
        <v>290</v>
      </c>
      <c r="C60" s="238"/>
      <c r="D60" s="238"/>
      <c r="E60" s="96"/>
      <c r="F60" s="97"/>
      <c r="G60" s="82"/>
      <c r="H60" s="78"/>
      <c r="I60" s="98">
        <v>10.199999999999999</v>
      </c>
      <c r="J60" s="81">
        <v>3000</v>
      </c>
      <c r="K60" s="82">
        <f t="shared" si="1"/>
        <v>294.11764705882354</v>
      </c>
      <c r="L60" s="98">
        <v>10.199999999999999</v>
      </c>
      <c r="M60" s="83">
        <f>AVERAGE(M55:M59)</f>
        <v>2876.4541637173666</v>
      </c>
      <c r="N60" s="82">
        <f t="shared" si="3"/>
        <v>282.00531016836931</v>
      </c>
      <c r="O60" s="84">
        <f t="shared" si="4"/>
        <v>0</v>
      </c>
      <c r="P60" s="85">
        <f t="shared" si="5"/>
        <v>-12.11233689045423</v>
      </c>
      <c r="Q60" s="87">
        <f t="shared" si="6"/>
        <v>0.95881805457245561</v>
      </c>
      <c r="R60" s="237"/>
      <c r="S60" s="88"/>
      <c r="T60" s="88"/>
      <c r="U60" s="82"/>
      <c r="V60" s="89"/>
      <c r="W60" s="82"/>
      <c r="X60" s="82"/>
      <c r="Y60" s="99">
        <f>SUM(Y55:Y59)</f>
        <v>0</v>
      </c>
      <c r="Z60" s="99">
        <f>SUM(Z55:Z59)</f>
        <v>0</v>
      </c>
      <c r="AA60" s="231"/>
      <c r="AB60" s="231"/>
      <c r="AC60" s="99">
        <v>5</v>
      </c>
      <c r="AD60" s="99">
        <f>SUM(AD55:AD59)</f>
        <v>0</v>
      </c>
      <c r="AE60" s="84">
        <f t="shared" si="43"/>
        <v>-123.54583628263345</v>
      </c>
      <c r="AF60" s="87">
        <f t="shared" si="9"/>
        <v>0.9588180545724555</v>
      </c>
      <c r="AG60" s="237"/>
    </row>
    <row r="61" spans="1:33" ht="15.75" customHeight="1">
      <c r="A61" s="234" t="s">
        <v>291</v>
      </c>
      <c r="B61" s="78" t="s">
        <v>142</v>
      </c>
      <c r="C61" s="233" t="s">
        <v>177</v>
      </c>
      <c r="D61" s="233"/>
      <c r="E61" s="77">
        <v>19.02</v>
      </c>
      <c r="F61" s="78">
        <v>8049</v>
      </c>
      <c r="G61" s="75">
        <f t="shared" ref="G61:G66" si="45">E61*F61</f>
        <v>153091.98000000001</v>
      </c>
      <c r="H61" s="79" t="s">
        <v>115</v>
      </c>
      <c r="I61" s="80">
        <v>14</v>
      </c>
      <c r="J61" s="81">
        <v>2400</v>
      </c>
      <c r="K61" s="82">
        <f t="shared" si="1"/>
        <v>171.42857142857142</v>
      </c>
      <c r="L61" s="80">
        <v>14</v>
      </c>
      <c r="M61" s="83">
        <f t="shared" ref="M61:M66" si="46">F61/V61*60</f>
        <v>2288.815165876777</v>
      </c>
      <c r="N61" s="82">
        <f t="shared" si="3"/>
        <v>163.48679756262692</v>
      </c>
      <c r="O61" s="84">
        <f t="shared" si="4"/>
        <v>0</v>
      </c>
      <c r="P61" s="85">
        <f t="shared" si="5"/>
        <v>-7.9417738659444979</v>
      </c>
      <c r="Q61" s="87">
        <f t="shared" si="6"/>
        <v>0.95367298578199045</v>
      </c>
      <c r="R61" s="237">
        <f>Q67</f>
        <v>0.95822567992116059</v>
      </c>
      <c r="S61" s="88">
        <v>8.3333333333333329E-2</v>
      </c>
      <c r="T61" s="88">
        <v>0.22986111111111113</v>
      </c>
      <c r="U61" s="100"/>
      <c r="V61" s="89">
        <f t="shared" ref="V61:V66" si="47">(T61-S61)*24*60</f>
        <v>211.00000000000006</v>
      </c>
      <c r="W61" s="90">
        <f>T61</f>
        <v>0.22986111111111113</v>
      </c>
      <c r="X61" s="90">
        <f>S62</f>
        <v>0.25</v>
      </c>
      <c r="Y61" s="90"/>
      <c r="Z61" s="90"/>
      <c r="AA61" s="232"/>
      <c r="AB61" s="232"/>
      <c r="AC61" s="92">
        <v>6</v>
      </c>
      <c r="AD61" s="93"/>
      <c r="AE61" s="84">
        <f t="shared" si="43"/>
        <v>-111.18483412322303</v>
      </c>
      <c r="AF61" s="87">
        <f t="shared" si="9"/>
        <v>0.95367298578199045</v>
      </c>
      <c r="AG61" s="237">
        <f>AF67</f>
        <v>0.95822567992116059</v>
      </c>
    </row>
    <row r="62" spans="1:33" ht="15.75" customHeight="1">
      <c r="A62" s="235" t="s">
        <v>176</v>
      </c>
      <c r="B62" s="78" t="s">
        <v>142</v>
      </c>
      <c r="C62" s="233" t="s">
        <v>178</v>
      </c>
      <c r="D62" s="233"/>
      <c r="E62" s="77">
        <v>20.36</v>
      </c>
      <c r="F62" s="78">
        <v>3171</v>
      </c>
      <c r="G62" s="75">
        <f t="shared" si="45"/>
        <v>64561.56</v>
      </c>
      <c r="H62" s="79" t="s">
        <v>115</v>
      </c>
      <c r="I62" s="80">
        <v>17</v>
      </c>
      <c r="J62" s="81">
        <v>2400</v>
      </c>
      <c r="K62" s="82">
        <f t="shared" si="1"/>
        <v>141.1764705882353</v>
      </c>
      <c r="L62" s="80">
        <v>17</v>
      </c>
      <c r="M62" s="83">
        <f t="shared" si="46"/>
        <v>2292.2891566265052</v>
      </c>
      <c r="N62" s="82">
        <f t="shared" si="3"/>
        <v>134.84053862508856</v>
      </c>
      <c r="O62" s="84">
        <f t="shared" si="4"/>
        <v>0</v>
      </c>
      <c r="P62" s="85">
        <f t="shared" si="5"/>
        <v>-6.3359319631467486</v>
      </c>
      <c r="Q62" s="87">
        <f t="shared" si="6"/>
        <v>0.95512048192771049</v>
      </c>
      <c r="R62" s="237"/>
      <c r="S62" s="88">
        <v>0.25</v>
      </c>
      <c r="T62" s="88">
        <v>0.30763888888888891</v>
      </c>
      <c r="U62" s="75">
        <f t="shared" ref="U62:U66" si="48">(S62-T61)*24*60</f>
        <v>28.999999999999979</v>
      </c>
      <c r="V62" s="89">
        <f t="shared" si="47"/>
        <v>83.000000000000028</v>
      </c>
      <c r="W62" s="90"/>
      <c r="X62" s="90"/>
      <c r="Y62" s="90"/>
      <c r="Z62" s="90"/>
      <c r="AA62" s="232"/>
      <c r="AB62" s="232"/>
      <c r="AC62" s="92"/>
      <c r="AD62" s="93"/>
      <c r="AE62" s="84">
        <f t="shared" si="43"/>
        <v>-107.71084337349475</v>
      </c>
      <c r="AF62" s="87">
        <f t="shared" si="9"/>
        <v>0.95512048192771049</v>
      </c>
      <c r="AG62" s="237"/>
    </row>
    <row r="63" spans="1:33" ht="15.75" customHeight="1">
      <c r="A63" s="235" t="s">
        <v>176</v>
      </c>
      <c r="B63" s="78" t="s">
        <v>142</v>
      </c>
      <c r="C63" s="233" t="s">
        <v>179</v>
      </c>
      <c r="D63" s="233"/>
      <c r="E63" s="77">
        <v>23.8</v>
      </c>
      <c r="F63" s="78">
        <v>1809</v>
      </c>
      <c r="G63" s="75">
        <f t="shared" si="45"/>
        <v>43054.200000000004</v>
      </c>
      <c r="H63" s="79" t="s">
        <v>115</v>
      </c>
      <c r="I63" s="80">
        <v>16</v>
      </c>
      <c r="J63" s="81">
        <v>2400</v>
      </c>
      <c r="K63" s="82">
        <f t="shared" si="1"/>
        <v>150</v>
      </c>
      <c r="L63" s="80">
        <v>16</v>
      </c>
      <c r="M63" s="83">
        <f t="shared" si="46"/>
        <v>2309.36170212766</v>
      </c>
      <c r="N63" s="82">
        <f t="shared" si="3"/>
        <v>144.33510638297875</v>
      </c>
      <c r="O63" s="84">
        <f t="shared" si="4"/>
        <v>0</v>
      </c>
      <c r="P63" s="85">
        <f t="shared" si="5"/>
        <v>-5.6648936170212494</v>
      </c>
      <c r="Q63" s="87">
        <f t="shared" si="6"/>
        <v>0.96223404255319167</v>
      </c>
      <c r="R63" s="237"/>
      <c r="S63" s="88">
        <v>0.3125</v>
      </c>
      <c r="T63" s="88">
        <v>0.34513888888888888</v>
      </c>
      <c r="U63" s="75">
        <f t="shared" si="48"/>
        <v>6.9999999999999751</v>
      </c>
      <c r="V63" s="89">
        <f t="shared" si="47"/>
        <v>46.999999999999993</v>
      </c>
      <c r="W63" s="90"/>
      <c r="X63" s="90"/>
      <c r="Y63" s="90"/>
      <c r="Z63" s="90"/>
      <c r="AA63" s="232"/>
      <c r="AB63" s="232"/>
      <c r="AC63" s="92"/>
      <c r="AD63" s="93"/>
      <c r="AE63" s="84">
        <f t="shared" si="43"/>
        <v>-90.63829787233999</v>
      </c>
      <c r="AF63" s="87">
        <f t="shared" si="9"/>
        <v>0.96223404255319167</v>
      </c>
      <c r="AG63" s="237"/>
    </row>
    <row r="64" spans="1:33" ht="15.75" customHeight="1">
      <c r="A64" s="235" t="s">
        <v>176</v>
      </c>
      <c r="B64" s="78" t="s">
        <v>142</v>
      </c>
      <c r="C64" s="233" t="s">
        <v>180</v>
      </c>
      <c r="D64" s="233"/>
      <c r="E64" s="77">
        <v>28.29</v>
      </c>
      <c r="F64" s="78">
        <v>1843</v>
      </c>
      <c r="G64" s="75">
        <f t="shared" si="45"/>
        <v>52138.47</v>
      </c>
      <c r="H64" s="79" t="s">
        <v>115</v>
      </c>
      <c r="I64" s="80">
        <v>19</v>
      </c>
      <c r="J64" s="81">
        <v>2400</v>
      </c>
      <c r="K64" s="82">
        <f t="shared" si="1"/>
        <v>126.31578947368421</v>
      </c>
      <c r="L64" s="80">
        <v>19</v>
      </c>
      <c r="M64" s="83">
        <f t="shared" si="46"/>
        <v>2303.7500000000005</v>
      </c>
      <c r="N64" s="82">
        <f t="shared" si="3"/>
        <v>121.25000000000003</v>
      </c>
      <c r="O64" s="84">
        <f t="shared" si="4"/>
        <v>0</v>
      </c>
      <c r="P64" s="85">
        <f t="shared" si="5"/>
        <v>-5.0657894736841769</v>
      </c>
      <c r="Q64" s="87">
        <f t="shared" si="6"/>
        <v>0.95989583333333361</v>
      </c>
      <c r="R64" s="237"/>
      <c r="S64" s="88">
        <v>0.35069444444444442</v>
      </c>
      <c r="T64" s="88">
        <v>0.38402777777777775</v>
      </c>
      <c r="U64" s="75">
        <f t="shared" si="48"/>
        <v>7.9999999999999716</v>
      </c>
      <c r="V64" s="89">
        <f t="shared" si="47"/>
        <v>47.999999999999986</v>
      </c>
      <c r="W64" s="90"/>
      <c r="X64" s="90"/>
      <c r="Y64" s="90"/>
      <c r="Z64" s="90"/>
      <c r="AA64" s="232"/>
      <c r="AB64" s="232"/>
      <c r="AC64" s="92"/>
      <c r="AD64" s="93"/>
      <c r="AE64" s="84">
        <f t="shared" si="43"/>
        <v>-96.249999999999545</v>
      </c>
      <c r="AF64" s="87">
        <f t="shared" si="9"/>
        <v>0.9598958333333335</v>
      </c>
      <c r="AG64" s="237"/>
    </row>
    <row r="65" spans="1:33" ht="15.75" customHeight="1">
      <c r="A65" s="235" t="s">
        <v>176</v>
      </c>
      <c r="B65" s="78" t="s">
        <v>142</v>
      </c>
      <c r="C65" s="233" t="s">
        <v>181</v>
      </c>
      <c r="D65" s="233"/>
      <c r="E65" s="77">
        <v>25.98</v>
      </c>
      <c r="F65" s="78">
        <v>1159</v>
      </c>
      <c r="G65" s="75">
        <f t="shared" si="45"/>
        <v>30110.82</v>
      </c>
      <c r="H65" s="79" t="s">
        <v>115</v>
      </c>
      <c r="I65" s="80">
        <v>17</v>
      </c>
      <c r="J65" s="81">
        <v>2400</v>
      </c>
      <c r="K65" s="82">
        <f t="shared" si="1"/>
        <v>141.1764705882353</v>
      </c>
      <c r="L65" s="80">
        <v>17</v>
      </c>
      <c r="M65" s="83">
        <f t="shared" si="46"/>
        <v>2318.0000000000023</v>
      </c>
      <c r="N65" s="82">
        <f t="shared" si="3"/>
        <v>136.35294117647072</v>
      </c>
      <c r="O65" s="84">
        <f t="shared" si="4"/>
        <v>0</v>
      </c>
      <c r="P65" s="85">
        <f t="shared" si="5"/>
        <v>-4.8235294117645822</v>
      </c>
      <c r="Q65" s="87">
        <f t="shared" si="6"/>
        <v>0.96583333333333421</v>
      </c>
      <c r="R65" s="237"/>
      <c r="S65" s="88">
        <v>0.38888888888888884</v>
      </c>
      <c r="T65" s="88">
        <v>0.40972222222222215</v>
      </c>
      <c r="U65" s="75">
        <f t="shared" si="48"/>
        <v>6.9999999999999751</v>
      </c>
      <c r="V65" s="89">
        <f t="shared" si="47"/>
        <v>29.999999999999972</v>
      </c>
      <c r="W65" s="90"/>
      <c r="X65" s="90"/>
      <c r="Y65" s="90"/>
      <c r="Z65" s="90"/>
      <c r="AA65" s="232"/>
      <c r="AB65" s="232"/>
      <c r="AC65" s="92"/>
      <c r="AD65" s="93"/>
      <c r="AE65" s="84">
        <f t="shared" si="43"/>
        <v>-81.999999999997726</v>
      </c>
      <c r="AF65" s="87">
        <f t="shared" si="9"/>
        <v>0.96583333333333432</v>
      </c>
      <c r="AG65" s="237"/>
    </row>
    <row r="66" spans="1:33" ht="15.75" customHeight="1">
      <c r="A66" s="235" t="s">
        <v>176</v>
      </c>
      <c r="B66" s="78" t="s">
        <v>142</v>
      </c>
      <c r="C66" s="233" t="s">
        <v>182</v>
      </c>
      <c r="D66" s="233"/>
      <c r="E66" s="77">
        <v>20.51</v>
      </c>
      <c r="F66" s="78">
        <v>5868</v>
      </c>
      <c r="G66" s="75">
        <f t="shared" si="45"/>
        <v>120352.68000000001</v>
      </c>
      <c r="H66" s="79" t="s">
        <v>115</v>
      </c>
      <c r="I66" s="80">
        <v>14</v>
      </c>
      <c r="J66" s="81">
        <v>2400</v>
      </c>
      <c r="K66" s="82">
        <f t="shared" si="1"/>
        <v>171.42857142857142</v>
      </c>
      <c r="L66" s="80">
        <v>14</v>
      </c>
      <c r="M66" s="83">
        <f t="shared" si="46"/>
        <v>2286.2337662337663</v>
      </c>
      <c r="N66" s="82">
        <f t="shared" si="3"/>
        <v>163.30241187384044</v>
      </c>
      <c r="O66" s="84">
        <f t="shared" si="4"/>
        <v>0</v>
      </c>
      <c r="P66" s="85">
        <f t="shared" si="5"/>
        <v>-8.1261595547309753</v>
      </c>
      <c r="Q66" s="87">
        <f t="shared" si="6"/>
        <v>0.95259740259740266</v>
      </c>
      <c r="R66" s="237"/>
      <c r="S66" s="88">
        <v>0.41319444444444436</v>
      </c>
      <c r="T66" s="88">
        <v>0.52013888888888882</v>
      </c>
      <c r="U66" s="75">
        <f t="shared" si="48"/>
        <v>4.9999999999999822</v>
      </c>
      <c r="V66" s="89">
        <f t="shared" si="47"/>
        <v>154</v>
      </c>
      <c r="W66" s="90"/>
      <c r="X66" s="90"/>
      <c r="Y66" s="90"/>
      <c r="Z66" s="90"/>
      <c r="AA66" s="232"/>
      <c r="AB66" s="232"/>
      <c r="AC66" s="92"/>
      <c r="AD66" s="93"/>
      <c r="AE66" s="84">
        <f t="shared" si="43"/>
        <v>-113.76623376623365</v>
      </c>
      <c r="AF66" s="87">
        <f t="shared" si="9"/>
        <v>0.95259740259740266</v>
      </c>
      <c r="AG66" s="237"/>
    </row>
    <row r="67" spans="1:33" ht="16.5" customHeight="1">
      <c r="A67" s="236" t="s">
        <v>292</v>
      </c>
      <c r="B67" s="77" t="s">
        <v>293</v>
      </c>
      <c r="C67" s="229"/>
      <c r="D67" s="230"/>
      <c r="E67" s="96"/>
      <c r="F67" s="97"/>
      <c r="G67" s="82"/>
      <c r="H67" s="78"/>
      <c r="I67" s="98">
        <v>16.166666666666668</v>
      </c>
      <c r="J67" s="81">
        <v>2400</v>
      </c>
      <c r="K67" s="82">
        <f t="shared" si="1"/>
        <v>148.45360824742266</v>
      </c>
      <c r="L67" s="98">
        <v>16.166666666666668</v>
      </c>
      <c r="M67" s="83">
        <f>AVERAGE(M61:M66)</f>
        <v>2299.7416318107853</v>
      </c>
      <c r="N67" s="82">
        <f t="shared" si="3"/>
        <v>142.25205969963619</v>
      </c>
      <c r="O67" s="84">
        <f t="shared" si="4"/>
        <v>0</v>
      </c>
      <c r="P67" s="85">
        <f t="shared" si="5"/>
        <v>-6.2015485477864729</v>
      </c>
      <c r="Q67" s="87">
        <f t="shared" si="6"/>
        <v>0.95822567992116059</v>
      </c>
      <c r="R67" s="237"/>
      <c r="S67" s="88"/>
      <c r="T67" s="88"/>
      <c r="U67" s="82"/>
      <c r="V67" s="89"/>
      <c r="W67" s="82"/>
      <c r="X67" s="82"/>
      <c r="Y67" s="99">
        <f>SUM(Y61:Y66)</f>
        <v>0</v>
      </c>
      <c r="Z67" s="99">
        <f>SUM(Z61:Z66)</f>
        <v>0</v>
      </c>
      <c r="AA67" s="231"/>
      <c r="AB67" s="231"/>
      <c r="AC67" s="99">
        <v>6</v>
      </c>
      <c r="AD67" s="99">
        <f>SUM(AD61:AD66)</f>
        <v>0</v>
      </c>
      <c r="AE67" s="84">
        <f t="shared" si="43"/>
        <v>-100.25836818921471</v>
      </c>
      <c r="AF67" s="87">
        <f t="shared" si="9"/>
        <v>0.95822567992116059</v>
      </c>
      <c r="AG67" s="237"/>
    </row>
    <row r="68" spans="1:33">
      <c r="D68" s="112"/>
      <c r="E68" s="112"/>
    </row>
  </sheetData>
  <mergeCells count="185">
    <mergeCell ref="A61:A67"/>
    <mergeCell ref="C61:D61"/>
    <mergeCell ref="R61:R67"/>
    <mergeCell ref="AA61:AB61"/>
    <mergeCell ref="AG61:AG67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AG55:AG60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C60:D60"/>
    <mergeCell ref="R46:R54"/>
    <mergeCell ref="AA46:AB46"/>
    <mergeCell ref="C53:D53"/>
    <mergeCell ref="AA53:AB53"/>
    <mergeCell ref="C54:D54"/>
    <mergeCell ref="AA54:AB54"/>
    <mergeCell ref="A55:A60"/>
    <mergeCell ref="C55:D55"/>
    <mergeCell ref="R55:R60"/>
    <mergeCell ref="AA55:AB55"/>
    <mergeCell ref="AA60:AB60"/>
    <mergeCell ref="AG46:AG54"/>
    <mergeCell ref="C47:D47"/>
    <mergeCell ref="AA47:AB47"/>
    <mergeCell ref="C48:D48"/>
    <mergeCell ref="AA48:AB48"/>
    <mergeCell ref="A42:A45"/>
    <mergeCell ref="C42:D42"/>
    <mergeCell ref="R42:R45"/>
    <mergeCell ref="AA42:AB42"/>
    <mergeCell ref="AG42:AG45"/>
    <mergeCell ref="C43:D43"/>
    <mergeCell ref="AA43:AB43"/>
    <mergeCell ref="C44:D44"/>
    <mergeCell ref="AA44:AB44"/>
    <mergeCell ref="C45:D45"/>
    <mergeCell ref="AA49:AB49"/>
    <mergeCell ref="AA50:AB50"/>
    <mergeCell ref="C51:D51"/>
    <mergeCell ref="AA51:AB51"/>
    <mergeCell ref="C52:D52"/>
    <mergeCell ref="AA52:AB52"/>
    <mergeCell ref="AA45:AB45"/>
    <mergeCell ref="A46:A54"/>
    <mergeCell ref="C46:D46"/>
    <mergeCell ref="A35:A41"/>
    <mergeCell ref="C35:D35"/>
    <mergeCell ref="R35:R41"/>
    <mergeCell ref="AA35:AB35"/>
    <mergeCell ref="AA40:AB40"/>
    <mergeCell ref="C41:D41"/>
    <mergeCell ref="AA41:AB41"/>
    <mergeCell ref="AG35:AG41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A27:A34"/>
    <mergeCell ref="C27:D27"/>
    <mergeCell ref="R27:R34"/>
    <mergeCell ref="AA27:AB27"/>
    <mergeCell ref="AA32:AB32"/>
    <mergeCell ref="C33:D33"/>
    <mergeCell ref="AA33:AB33"/>
    <mergeCell ref="AG27:AG34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C34:D34"/>
    <mergeCell ref="AA34:AB34"/>
    <mergeCell ref="A19:A26"/>
    <mergeCell ref="C19:D19"/>
    <mergeCell ref="R19:R26"/>
    <mergeCell ref="AA19:AB19"/>
    <mergeCell ref="AA24:AB24"/>
    <mergeCell ref="C25:D25"/>
    <mergeCell ref="A12:A18"/>
    <mergeCell ref="AG19:AG26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5:AB25"/>
    <mergeCell ref="C26:D26"/>
    <mergeCell ref="AA26:AB26"/>
    <mergeCell ref="C13:D13"/>
    <mergeCell ref="AA13:AB13"/>
    <mergeCell ref="C14:D14"/>
    <mergeCell ref="AA14:AB14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8"/>
    <mergeCell ref="AA12:AB12"/>
    <mergeCell ref="AG12:AG18"/>
    <mergeCell ref="C16:D16"/>
    <mergeCell ref="AA16:AB16"/>
    <mergeCell ref="C18:D18"/>
    <mergeCell ref="AA18:AB18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2" type="noConversion"/>
  <conditionalFormatting sqref="O54:O55 O58:O67 O5:O9 O11:O13 O18:O51">
    <cfRule type="cellIs" dxfId="195" priority="48" operator="greaterThan">
      <formula>0</formula>
    </cfRule>
  </conditionalFormatting>
  <conditionalFormatting sqref="P5:P7 P58:P59 AE58:AE59 P61:P66 P55 P9 P11:P13 P19:P25 P46:P51 P27:P33 P35:P44 AE61:AE67 AE5:AE55">
    <cfRule type="cellIs" dxfId="194" priority="52" operator="lessThan">
      <formula>0</formula>
    </cfRule>
  </conditionalFormatting>
  <conditionalFormatting sqref="AF58:AF59 Q54:Q55 Q58:Q67 Q5:Q9 Q11:Q13 AF61:AF67 Q18:Q51 AF5:AF55">
    <cfRule type="cellIs" dxfId="193" priority="49" operator="greaterThan">
      <formula>1</formula>
    </cfRule>
    <cfRule type="cellIs" dxfId="192" priority="50" operator="lessThan">
      <formula>0.8</formula>
    </cfRule>
  </conditionalFormatting>
  <conditionalFormatting sqref="AG12:AG13 R12:R13 AG58 R18:R24 AG18:AG24 AG54:AG55 R54:R55 R58:R67 AG5:AG9 R5:R9 R26:R51 AG26:AG51">
    <cfRule type="cellIs" dxfId="191" priority="54" operator="lessThan">
      <formula>0.8</formula>
    </cfRule>
  </conditionalFormatting>
  <conditionalFormatting sqref="AG42">
    <cfRule type="cellIs" dxfId="190" priority="56" operator="lessThan">
      <formula>0.8</formula>
    </cfRule>
  </conditionalFormatting>
  <conditionalFormatting sqref="AG19:AG24">
    <cfRule type="cellIs" dxfId="189" priority="53" operator="lessThan">
      <formula>0.8</formula>
    </cfRule>
  </conditionalFormatting>
  <conditionalFormatting sqref="AG27">
    <cfRule type="cellIs" dxfId="188" priority="55" operator="lessThan">
      <formula>0.8</formula>
    </cfRule>
  </conditionalFormatting>
  <conditionalFormatting sqref="AG35:AG40">
    <cfRule type="cellIs" dxfId="187" priority="51" operator="lessThan">
      <formula>0.8</formula>
    </cfRule>
  </conditionalFormatting>
  <conditionalFormatting sqref="AE60">
    <cfRule type="cellIs" dxfId="186" priority="47" operator="lessThan">
      <formula>0</formula>
    </cfRule>
  </conditionalFormatting>
  <conditionalFormatting sqref="AF60">
    <cfRule type="cellIs" dxfId="185" priority="45" operator="greaterThan">
      <formula>1</formula>
    </cfRule>
    <cfRule type="cellIs" dxfId="184" priority="46" operator="lessThan">
      <formula>0.8</formula>
    </cfRule>
  </conditionalFormatting>
  <conditionalFormatting sqref="O14:O15">
    <cfRule type="cellIs" dxfId="183" priority="40" operator="greaterThan">
      <formula>0</formula>
    </cfRule>
  </conditionalFormatting>
  <conditionalFormatting sqref="P14:P15">
    <cfRule type="cellIs" dxfId="182" priority="43" operator="lessThan">
      <formula>0</formula>
    </cfRule>
  </conditionalFormatting>
  <conditionalFormatting sqref="Q14:Q15">
    <cfRule type="cellIs" dxfId="181" priority="41" operator="greaterThan">
      <formula>1</formula>
    </cfRule>
    <cfRule type="cellIs" dxfId="180" priority="42" operator="lessThan">
      <formula>0.8</formula>
    </cfRule>
  </conditionalFormatting>
  <conditionalFormatting sqref="R14:R15 AG14:AG15">
    <cfRule type="cellIs" dxfId="179" priority="44" operator="lessThan">
      <formula>0.8</formula>
    </cfRule>
  </conditionalFormatting>
  <conditionalFormatting sqref="O10">
    <cfRule type="cellIs" dxfId="178" priority="36" operator="greaterThan">
      <formula>0</formula>
    </cfRule>
  </conditionalFormatting>
  <conditionalFormatting sqref="P10">
    <cfRule type="cellIs" dxfId="177" priority="39" operator="lessThan">
      <formula>0</formula>
    </cfRule>
  </conditionalFormatting>
  <conditionalFormatting sqref="Q10">
    <cfRule type="cellIs" dxfId="176" priority="37" operator="greaterThan">
      <formula>1</formula>
    </cfRule>
    <cfRule type="cellIs" dxfId="175" priority="38" operator="lessThan">
      <formula>0.8</formula>
    </cfRule>
  </conditionalFormatting>
  <conditionalFormatting sqref="O52">
    <cfRule type="cellIs" dxfId="174" priority="31" operator="greaterThan">
      <formula>0</formula>
    </cfRule>
  </conditionalFormatting>
  <conditionalFormatting sqref="P52">
    <cfRule type="cellIs" dxfId="173" priority="34" operator="lessThan">
      <formula>0</formula>
    </cfRule>
  </conditionalFormatting>
  <conditionalFormatting sqref="Q52">
    <cfRule type="cellIs" dxfId="172" priority="32" operator="greaterThan">
      <formula>1</formula>
    </cfRule>
    <cfRule type="cellIs" dxfId="171" priority="33" operator="lessThan">
      <formula>0.8</formula>
    </cfRule>
  </conditionalFormatting>
  <conditionalFormatting sqref="R52 AG52">
    <cfRule type="cellIs" dxfId="170" priority="35" operator="lessThan">
      <formula>0.8</formula>
    </cfRule>
  </conditionalFormatting>
  <conditionalFormatting sqref="O57">
    <cfRule type="cellIs" dxfId="169" priority="26" operator="greaterThan">
      <formula>0</formula>
    </cfRule>
  </conditionalFormatting>
  <conditionalFormatting sqref="P57 AE57">
    <cfRule type="cellIs" dxfId="168" priority="29" operator="lessThan">
      <formula>0</formula>
    </cfRule>
  </conditionalFormatting>
  <conditionalFormatting sqref="Q57 AF57">
    <cfRule type="cellIs" dxfId="167" priority="27" operator="greaterThan">
      <formula>1</formula>
    </cfRule>
    <cfRule type="cellIs" dxfId="166" priority="28" operator="lessThan">
      <formula>0.8</formula>
    </cfRule>
  </conditionalFormatting>
  <conditionalFormatting sqref="R57 AG57">
    <cfRule type="cellIs" dxfId="165" priority="30" operator="lessThan">
      <formula>0.8</formula>
    </cfRule>
  </conditionalFormatting>
  <conditionalFormatting sqref="O16:O17">
    <cfRule type="cellIs" dxfId="164" priority="21" operator="greaterThan">
      <formula>0</formula>
    </cfRule>
  </conditionalFormatting>
  <conditionalFormatting sqref="P16:P17">
    <cfRule type="cellIs" dxfId="163" priority="24" operator="lessThan">
      <formula>0</formula>
    </cfRule>
  </conditionalFormatting>
  <conditionalFormatting sqref="Q16:Q17">
    <cfRule type="cellIs" dxfId="162" priority="22" operator="greaterThan">
      <formula>1</formula>
    </cfRule>
    <cfRule type="cellIs" dxfId="161" priority="23" operator="lessThan">
      <formula>0.8</formula>
    </cfRule>
  </conditionalFormatting>
  <conditionalFormatting sqref="R16:R17 AG16:AG17">
    <cfRule type="cellIs" dxfId="160" priority="25" operator="lessThan">
      <formula>0.8</formula>
    </cfRule>
  </conditionalFormatting>
  <conditionalFormatting sqref="O53">
    <cfRule type="cellIs" dxfId="159" priority="16" operator="greaterThan">
      <formula>0</formula>
    </cfRule>
  </conditionalFormatting>
  <conditionalFormatting sqref="P53">
    <cfRule type="cellIs" dxfId="158" priority="19" operator="lessThan">
      <formula>0</formula>
    </cfRule>
  </conditionalFormatting>
  <conditionalFormatting sqref="Q53">
    <cfRule type="cellIs" dxfId="157" priority="17" operator="greaterThan">
      <formula>1</formula>
    </cfRule>
    <cfRule type="cellIs" dxfId="156" priority="18" operator="lessThan">
      <formula>0.8</formula>
    </cfRule>
  </conditionalFormatting>
  <conditionalFormatting sqref="AG53 R53">
    <cfRule type="cellIs" dxfId="155" priority="20" operator="lessThan">
      <formula>0.8</formula>
    </cfRule>
  </conditionalFormatting>
  <conditionalFormatting sqref="R25 AG25">
    <cfRule type="cellIs" dxfId="154" priority="15" operator="lessThan">
      <formula>0.8</formula>
    </cfRule>
  </conditionalFormatting>
  <conditionalFormatting sqref="AG25">
    <cfRule type="cellIs" dxfId="153" priority="14" operator="lessThan">
      <formula>0.8</formula>
    </cfRule>
  </conditionalFormatting>
  <conditionalFormatting sqref="O56">
    <cfRule type="cellIs" dxfId="152" priority="9" operator="greaterThan">
      <formula>0</formula>
    </cfRule>
  </conditionalFormatting>
  <conditionalFormatting sqref="P56 AE56">
    <cfRule type="cellIs" dxfId="151" priority="12" operator="lessThan">
      <formula>0</formula>
    </cfRule>
  </conditionalFormatting>
  <conditionalFormatting sqref="Q56 AF56">
    <cfRule type="cellIs" dxfId="150" priority="10" operator="greaterThan">
      <formula>1</formula>
    </cfRule>
    <cfRule type="cellIs" dxfId="149" priority="11" operator="lessThan">
      <formula>0.8</formula>
    </cfRule>
  </conditionalFormatting>
  <conditionalFormatting sqref="R56 AG56">
    <cfRule type="cellIs" dxfId="148" priority="13" operator="lessThan">
      <formula>0.8</formula>
    </cfRule>
  </conditionalFormatting>
  <conditionalFormatting sqref="P8">
    <cfRule type="cellIs" dxfId="147" priority="8" operator="lessThan">
      <formula>0</formula>
    </cfRule>
  </conditionalFormatting>
  <conditionalFormatting sqref="P18">
    <cfRule type="cellIs" dxfId="146" priority="7" operator="lessThan">
      <formula>0</formula>
    </cfRule>
  </conditionalFormatting>
  <conditionalFormatting sqref="P26">
    <cfRule type="cellIs" dxfId="145" priority="6" operator="lessThan">
      <formula>0</formula>
    </cfRule>
  </conditionalFormatting>
  <conditionalFormatting sqref="P34">
    <cfRule type="cellIs" dxfId="144" priority="5" operator="lessThan">
      <formula>0</formula>
    </cfRule>
  </conditionalFormatting>
  <conditionalFormatting sqref="P45">
    <cfRule type="cellIs" dxfId="143" priority="4" operator="lessThan">
      <formula>0</formula>
    </cfRule>
  </conditionalFormatting>
  <conditionalFormatting sqref="P54">
    <cfRule type="cellIs" dxfId="142" priority="3" operator="lessThan">
      <formula>0</formula>
    </cfRule>
  </conditionalFormatting>
  <conditionalFormatting sqref="P60">
    <cfRule type="cellIs" dxfId="141" priority="2" operator="lessThan">
      <formula>0</formula>
    </cfRule>
  </conditionalFormatting>
  <conditionalFormatting sqref="P67">
    <cfRule type="cellIs" dxfId="140" priority="1" operator="lessThan">
      <formula>0</formula>
    </cfRule>
  </conditionalFormatting>
  <dataValidations count="1">
    <dataValidation type="list" allowBlank="1" showInputMessage="1" showErrorMessage="1" sqref="AB8 AA5:AB7 AB59 AA60:AB67 AB10:AB55 AA8:AA59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M13" sqref="M13"/>
    </sheetView>
  </sheetViews>
  <sheetFormatPr defaultColWidth="8.75" defaultRowHeight="15.75"/>
  <cols>
    <col min="1" max="1" width="8.75" style="2"/>
    <col min="2" max="2" width="17.875" style="2" customWidth="1"/>
    <col min="3" max="3" width="9.25" style="10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212" t="s">
        <v>0</v>
      </c>
      <c r="C1" s="212"/>
      <c r="D1" s="212"/>
      <c r="E1" s="212"/>
      <c r="F1" s="212"/>
      <c r="G1" s="212"/>
      <c r="H1" s="212"/>
      <c r="I1" s="212"/>
      <c r="J1" s="212"/>
      <c r="K1" s="1"/>
      <c r="L1" s="1"/>
      <c r="M1" s="1"/>
      <c r="N1" s="1"/>
      <c r="O1" s="1"/>
      <c r="P1" s="1"/>
    </row>
    <row r="2" spans="2:17" ht="27.75" customHeight="1">
      <c r="B2" s="213"/>
      <c r="C2" s="213"/>
      <c r="D2" s="213"/>
      <c r="E2" s="213"/>
      <c r="F2" s="213"/>
      <c r="G2" s="213"/>
      <c r="H2" s="213"/>
      <c r="I2" s="213"/>
      <c r="J2" s="213"/>
      <c r="K2" s="3"/>
      <c r="L2" s="3"/>
      <c r="M2" s="3"/>
      <c r="N2" s="1"/>
      <c r="O2" s="1"/>
      <c r="P2" s="1"/>
    </row>
    <row r="3" spans="2:17" ht="46.5" customHeight="1">
      <c r="B3" s="4" t="s">
        <v>1</v>
      </c>
      <c r="C3" s="214" t="str">
        <f>TEXT('1001 4度C'!A2,"yyyy.mm.ddaaaa")</f>
        <v>2026.10.01星期四</v>
      </c>
      <c r="D3" s="215"/>
      <c r="E3" s="4" t="s">
        <v>2</v>
      </c>
      <c r="F3" s="216">
        <f>'1001 4度C'!D1</f>
        <v>162859</v>
      </c>
      <c r="G3" s="217"/>
      <c r="H3" s="4" t="s">
        <v>3</v>
      </c>
      <c r="I3" s="218">
        <f>'1001 4度C'!F1</f>
        <v>5449296.9799999977</v>
      </c>
      <c r="J3" s="219"/>
      <c r="K3" s="5"/>
      <c r="L3" s="6"/>
      <c r="M3" s="7"/>
      <c r="N3" s="7"/>
    </row>
    <row r="4" spans="2:17" ht="28.5" customHeight="1">
      <c r="B4" s="220" t="s">
        <v>4</v>
      </c>
      <c r="C4" s="206" t="s">
        <v>5</v>
      </c>
      <c r="D4" s="207"/>
      <c r="E4" s="223" t="s">
        <v>6</v>
      </c>
      <c r="F4" s="224"/>
      <c r="G4" s="223" t="s">
        <v>7</v>
      </c>
      <c r="H4" s="224"/>
      <c r="I4" s="223" t="s">
        <v>8</v>
      </c>
      <c r="J4" s="224"/>
      <c r="K4" s="204" t="s">
        <v>9</v>
      </c>
      <c r="L4" s="205"/>
      <c r="M4" s="205" t="s">
        <v>10</v>
      </c>
      <c r="N4" s="205"/>
    </row>
    <row r="5" spans="2:17" ht="28.5" customHeight="1">
      <c r="B5" s="221"/>
      <c r="C5" s="206" t="s">
        <v>11</v>
      </c>
      <c r="D5" s="207"/>
      <c r="E5" s="206" t="s">
        <v>12</v>
      </c>
      <c r="F5" s="207"/>
      <c r="G5" s="208" t="s">
        <v>13</v>
      </c>
      <c r="H5" s="209"/>
      <c r="I5" s="210" t="s">
        <v>14</v>
      </c>
      <c r="J5" s="211"/>
      <c r="K5" s="8" t="s">
        <v>15</v>
      </c>
      <c r="L5" s="9" t="s">
        <v>16</v>
      </c>
      <c r="M5" s="8" t="s">
        <v>15</v>
      </c>
      <c r="N5" s="9" t="s">
        <v>17</v>
      </c>
    </row>
    <row r="6" spans="2:17" ht="28.5" customHeight="1">
      <c r="B6" s="221"/>
      <c r="C6" s="206" t="s">
        <v>18</v>
      </c>
      <c r="D6" s="207"/>
      <c r="E6" s="198">
        <f>AVERAGE(D13:M13)</f>
        <v>150.90924548053027</v>
      </c>
      <c r="F6" s="199">
        <f>AVERAGE(D31:O31,D13:J13)</f>
        <v>155.69986378871221</v>
      </c>
      <c r="G6" s="200">
        <f>AVERAGE(D13:J13)</f>
        <v>155.69986378871221</v>
      </c>
      <c r="H6" s="201"/>
      <c r="I6" s="200">
        <f>AVERAGE(K13:M13)</f>
        <v>139.73113609477247</v>
      </c>
      <c r="J6" s="201"/>
      <c r="K6" s="202">
        <f>'1001 4度C'!Y2</f>
        <v>0</v>
      </c>
      <c r="L6" s="187">
        <f>'1001 4度C'!Z2</f>
        <v>0</v>
      </c>
      <c r="M6" s="203">
        <f>'1001 4度C'!AC2</f>
        <v>56</v>
      </c>
      <c r="N6" s="187">
        <f>'1001 4度C'!AD2</f>
        <v>0</v>
      </c>
    </row>
    <row r="7" spans="2:17" ht="28.5" customHeight="1">
      <c r="B7" s="221"/>
      <c r="C7" s="188" t="s">
        <v>19</v>
      </c>
      <c r="D7" s="189"/>
      <c r="E7" s="190">
        <f>AVERAGE(D14:M14)</f>
        <v>144.70230651673279</v>
      </c>
      <c r="F7" s="191">
        <f>AVERAGE(D32:O32,D14:J14)</f>
        <v>149.31573651149833</v>
      </c>
      <c r="G7" s="192">
        <f>AVERAGE(D14:J14)</f>
        <v>149.31573651149833</v>
      </c>
      <c r="H7" s="193"/>
      <c r="I7" s="192">
        <f>AVERAGE(K14:M14)</f>
        <v>133.93763652894654</v>
      </c>
      <c r="J7" s="193"/>
      <c r="K7" s="202"/>
      <c r="L7" s="187"/>
      <c r="M7" s="203"/>
      <c r="N7" s="187"/>
    </row>
    <row r="8" spans="2:17" ht="28.5" customHeight="1">
      <c r="B8" s="222"/>
      <c r="C8" s="188" t="s">
        <v>20</v>
      </c>
      <c r="D8" s="189"/>
      <c r="E8" s="194">
        <f>AVERAGE(D15:M15)</f>
        <v>0.9587858532147393</v>
      </c>
      <c r="F8" s="195">
        <f>AVERAGE(D15:J15,D33:O33)</f>
        <v>0.95891529449090585</v>
      </c>
      <c r="G8" s="196">
        <f>AVERAGE(D15:J15)</f>
        <v>0.95891529449090585</v>
      </c>
      <c r="H8" s="197"/>
      <c r="I8" s="196">
        <f>AVERAGE(K15:M15)</f>
        <v>0.95848382357035034</v>
      </c>
      <c r="J8" s="197"/>
      <c r="K8" s="202"/>
      <c r="L8" s="187"/>
      <c r="M8" s="203"/>
      <c r="N8" s="187"/>
    </row>
    <row r="9" spans="2:17" ht="28.5" customHeight="1" thickBot="1">
      <c r="H9" s="11"/>
      <c r="K9" s="12" t="s">
        <v>21</v>
      </c>
      <c r="N9" s="7"/>
      <c r="O9" s="7"/>
      <c r="P9" s="7"/>
      <c r="Q9" s="7"/>
    </row>
    <row r="10" spans="2:17" ht="30" customHeight="1">
      <c r="B10" s="170" t="s">
        <v>22</v>
      </c>
      <c r="C10" s="171"/>
      <c r="D10" s="172" t="s">
        <v>23</v>
      </c>
      <c r="E10" s="173"/>
      <c r="F10" s="173"/>
      <c r="G10" s="173"/>
      <c r="H10" s="173"/>
      <c r="I10" s="173"/>
      <c r="J10" s="174"/>
      <c r="K10" s="175" t="s">
        <v>24</v>
      </c>
      <c r="L10" s="176"/>
      <c r="M10" s="177"/>
      <c r="P10" s="13"/>
      <c r="Q10" s="13"/>
    </row>
    <row r="11" spans="2:17" ht="17.25" customHeight="1">
      <c r="B11" s="178" t="s">
        <v>25</v>
      </c>
      <c r="C11" s="179"/>
      <c r="D11" s="14">
        <v>1</v>
      </c>
      <c r="E11" s="15">
        <v>2</v>
      </c>
      <c r="F11" s="15">
        <v>3</v>
      </c>
      <c r="G11" s="15">
        <v>4</v>
      </c>
      <c r="H11" s="15">
        <v>5</v>
      </c>
      <c r="I11" s="15">
        <v>6</v>
      </c>
      <c r="J11" s="16">
        <v>7</v>
      </c>
      <c r="K11" s="14">
        <v>1</v>
      </c>
      <c r="L11" s="15">
        <v>2</v>
      </c>
      <c r="M11" s="16">
        <v>3</v>
      </c>
      <c r="P11" s="13"/>
      <c r="Q11" s="13"/>
    </row>
    <row r="12" spans="2:17" ht="34.15" customHeight="1">
      <c r="B12" s="180"/>
      <c r="C12" s="181"/>
      <c r="D12" s="17" t="s">
        <v>26</v>
      </c>
      <c r="E12" s="18" t="s">
        <v>27</v>
      </c>
      <c r="F12" s="18" t="s">
        <v>28</v>
      </c>
      <c r="G12" s="18" t="s">
        <v>29</v>
      </c>
      <c r="H12" s="18" t="s">
        <v>30</v>
      </c>
      <c r="I12" s="18" t="s">
        <v>31</v>
      </c>
      <c r="J12" s="19" t="s">
        <v>32</v>
      </c>
      <c r="K12" s="17" t="s">
        <v>33</v>
      </c>
      <c r="L12" s="18" t="s">
        <v>34</v>
      </c>
      <c r="M12" s="19" t="s">
        <v>35</v>
      </c>
    </row>
    <row r="13" spans="2:17" ht="40.15" customHeight="1">
      <c r="B13" s="182" t="s">
        <v>36</v>
      </c>
      <c r="C13" s="20" t="s">
        <v>37</v>
      </c>
      <c r="D13" s="21">
        <f>SUMIFS('1001 4度C'!$K:$K,'1001 4度C'!$A:$A,"新豐6線",'1001 4度C'!$B:$B,"平均")</f>
        <v>130.43478260869566</v>
      </c>
      <c r="E13" s="22">
        <f>SUMIFS('1001 4度C'!$K:$K,'1001 4度C'!$A:$A,"新豐2線",'1001 4度C'!$B:$B,"平均")</f>
        <v>83.333333333333329</v>
      </c>
      <c r="F13" s="23">
        <f>SUMIFS('1001 4度C'!$K:$K,'1001 4度C'!$A:$A,"新豐5線",'1001 4度C'!$B:$B,"平均")</f>
        <v>104.99999999999999</v>
      </c>
      <c r="G13" s="23">
        <f>SUMIFS('1001 4度C'!$K:$K,'1001 4度C'!$A:$A,"新豐7線",'1001 4度C'!$B:$B,"平均")</f>
        <v>125</v>
      </c>
      <c r="H13" s="23">
        <f>SUMIFS('1001 4度C'!$K:$K,'1001 4度C'!$A:$A,"新豐3線",'1001 4度C'!$B:$B,"平均")</f>
        <v>242.42424242424241</v>
      </c>
      <c r="I13" s="23">
        <f>SUMIFS('1001 4度C'!$K:$K,'1001 4度C'!$A:$A,"新豐1線",'1001 4度C'!$B:$B,"平均")</f>
        <v>109.58904109589041</v>
      </c>
      <c r="J13" s="24">
        <f>SUMIFS('1001 4度C'!$K:$K,'1001 4度C'!$A:$A,"新豐10線",'1001 4度C'!$B:$B,"平均")</f>
        <v>294.11764705882354</v>
      </c>
      <c r="K13" s="25">
        <f>SUMIFS('1001 4度C'!$K:$K,'1001 4度C'!$A:$A,"新豐8線",'1001 4度C'!$B:$B,"平均")</f>
        <v>142.22222222222223</v>
      </c>
      <c r="L13" s="26">
        <f>SUMIFS('1001 4度C'!$K:$K,'1001 4度C'!$A:$A,"新豐9線",'1001 4度C'!$B:$B,"平均")</f>
        <v>125.61983471074382</v>
      </c>
      <c r="M13" s="24">
        <f>SUMIFS('1001 4度C'!$K:$K,'1001 4度C'!$A:$A,"新豐4線",'1001 4度C'!$B:$B,"平均")</f>
        <v>151.35135135135135</v>
      </c>
    </row>
    <row r="14" spans="2:17" ht="39.6" customHeight="1">
      <c r="B14" s="183"/>
      <c r="C14" s="27" t="s">
        <v>38</v>
      </c>
      <c r="D14" s="28">
        <f>SUMIFS('1001 4度C'!$N:$N,'1001 4度C'!$A:$A,"新豐6線",'1001 4度C'!$B:$B,"平均")</f>
        <v>124.97843385999315</v>
      </c>
      <c r="E14" s="29">
        <f>SUMIFS('1001 4度C'!$N:$N,'1001 4度C'!$A:$A,"新豐2線",'1001 4度C'!$B:$B,"平均")</f>
        <v>79.552813462549764</v>
      </c>
      <c r="F14" s="29">
        <f>SUMIFS('1001 4度C'!$N:$N,'1001 4度C'!$A:$A,"新豐5線",'1001 4度C'!$B:$B,"平均")</f>
        <v>101.17409001825018</v>
      </c>
      <c r="G14" s="29">
        <f>SUMIFS('1001 4度C'!$N:$N,'1001 4度C'!$A:$A,"新豐7線",'1001 4度C'!$B:$B,"平均")</f>
        <v>119.35558826515704</v>
      </c>
      <c r="H14" s="29">
        <f>SUMIFS('1001 4度C'!$N:$N,'1001 4度C'!$A:$A,"新豐3線",'1001 4度C'!$B:$B,"平均")</f>
        <v>231.4964684438369</v>
      </c>
      <c r="I14" s="29">
        <f>SUMIFS('1001 4度C'!$N:$N,'1001 4度C'!$A:$A,"新豐1線",'1001 4度C'!$B:$B,"平均")</f>
        <v>105.65161872909844</v>
      </c>
      <c r="J14" s="30">
        <f>SUMIFS('1001 4度C'!$N:$N,'1001 4度C'!$A:$A,"新豐10線",'1001 4度C'!$B:$B,"平均")</f>
        <v>283.00114280160284</v>
      </c>
      <c r="K14" s="31">
        <f>SUMIFS('1001 4度C'!$N:$N,'1001 4度C'!$A:$A,"新豐8線",'1001 4度C'!$B:$B,"平均")</f>
        <v>136.58087592935124</v>
      </c>
      <c r="L14" s="32">
        <f>SUMIFS('1001 4度C'!$N:$N,'1001 4度C'!$A:$A,"新豐9線",'1001 4度C'!$B:$B,"平均")</f>
        <v>120.21075706802525</v>
      </c>
      <c r="M14" s="30">
        <f>SUMIFS('1001 4度C'!$N:$N,'1001 4度C'!$A:$A,"新豐4線",'1001 4度C'!$B:$B,"平均")</f>
        <v>145.0212765894631</v>
      </c>
    </row>
    <row r="15" spans="2:17" ht="40.15" customHeight="1">
      <c r="B15" s="184"/>
      <c r="C15" s="33" t="s">
        <v>39</v>
      </c>
      <c r="D15" s="34">
        <f t="shared" ref="D15:M15" si="0">D14/D13</f>
        <v>0.95816799292661414</v>
      </c>
      <c r="E15" s="35">
        <f t="shared" si="0"/>
        <v>0.9546337615505972</v>
      </c>
      <c r="F15" s="35">
        <f t="shared" si="0"/>
        <v>0.96356276207857328</v>
      </c>
      <c r="G15" s="35">
        <f t="shared" si="0"/>
        <v>0.95484470612125627</v>
      </c>
      <c r="H15" s="35">
        <f t="shared" si="0"/>
        <v>0.95492293233082726</v>
      </c>
      <c r="I15" s="35">
        <f t="shared" si="0"/>
        <v>0.96407102090302332</v>
      </c>
      <c r="J15" s="36">
        <f t="shared" si="0"/>
        <v>0.96220388552544966</v>
      </c>
      <c r="K15" s="34">
        <f t="shared" si="0"/>
        <v>0.96033428387825082</v>
      </c>
      <c r="L15" s="35">
        <f t="shared" si="0"/>
        <v>0.95694089508099034</v>
      </c>
      <c r="M15" s="36">
        <f t="shared" si="0"/>
        <v>0.95817629175180974</v>
      </c>
    </row>
    <row r="16" spans="2:17" ht="17.25" customHeight="1">
      <c r="B16" s="185" t="s">
        <v>40</v>
      </c>
      <c r="C16" s="37" t="s">
        <v>41</v>
      </c>
      <c r="D16" s="38">
        <f>VLOOKUP("新豐6線",'1001 4度C'!$A:$T,19,0)</f>
        <v>0.70833333333333337</v>
      </c>
      <c r="E16" s="39">
        <f>VLOOKUP("新豐2線",'1001 4度C'!$A:$T,19,0)</f>
        <v>8.3333333333333329E-2</v>
      </c>
      <c r="F16" s="39">
        <f>VLOOKUP("新豐5線",'1001 4度C'!$A:$T,19,0)</f>
        <v>0.25</v>
      </c>
      <c r="G16" s="39">
        <f>VLOOKUP("新豐7線",'1001 4度C'!$A:$T,19,0)</f>
        <v>0.20833333333333334</v>
      </c>
      <c r="H16" s="39">
        <f>VLOOKUP("新豐3線",'1001 4度C'!$A:$T,19,0)</f>
        <v>0.20833333333333334</v>
      </c>
      <c r="I16" s="39">
        <f>VLOOKUP("新豐1線",'1001 4度C'!$A:$T,19,0)</f>
        <v>0.20833333333333334</v>
      </c>
      <c r="J16" s="40">
        <f>VLOOKUP("新豐10線",'1001 4度C'!$A:$T,19,0)</f>
        <v>0.20833333333333334</v>
      </c>
      <c r="K16" s="41">
        <f>VLOOKUP("新豐8線",'1001 4度C'!$A:$T,19,0)</f>
        <v>8.3333333333333329E-2</v>
      </c>
      <c r="L16" s="42">
        <f>VLOOKUP("新豐9線",'1001 4度C'!$A:$T,19,0)</f>
        <v>8.3333333333333329E-2</v>
      </c>
      <c r="M16" s="43">
        <f>VLOOKUP("新豐4線",'1001 4度C'!$A:$T,19,0)</f>
        <v>8.3333333333333329E-2</v>
      </c>
    </row>
    <row r="17" spans="2:13" ht="17.25" customHeight="1">
      <c r="B17" s="186"/>
      <c r="C17" s="37" t="s">
        <v>42</v>
      </c>
      <c r="D17" s="41">
        <f>LOOKUP(2,1/(('1001 4度C'!$A:$A="新豐6線")*('1001 4度C'!$T:$T&lt;&gt;"")),'1001 4度C'!$T:$T)</f>
        <v>0.83194444444444438</v>
      </c>
      <c r="E17" s="39">
        <f>LOOKUP(2,1/(('1001 4度C'!$A:$A="新豐2線")*('1001 4度C'!$T:$T&lt;&gt;"")),'1001 4度C'!$T:$T)</f>
        <v>0.40208333333333335</v>
      </c>
      <c r="F17" s="39">
        <f>LOOKUP(2,1/(('1001 4度C'!$A:$A="新豐5線")*('1001 4度C'!$T:$T&lt;&gt;"")),'1001 4度C'!$T:$T)</f>
        <v>0.80625000000000002</v>
      </c>
      <c r="G17" s="39">
        <f>LOOKUP(2,1/(('1001 4度C'!$A:$A="新豐7線")*('1001 4度C'!$T:$T&lt;&gt;"")),'1001 4度C'!$T:$T)</f>
        <v>0.83750000000000002</v>
      </c>
      <c r="H17" s="39">
        <f>LOOKUP(2,1/(('1001 4度C'!$A:$A="新豐3線")*('1001 4度C'!$T:$T&lt;&gt;"")),'1001 4度C'!$T:$T)</f>
        <v>0.45486111111111105</v>
      </c>
      <c r="I17" s="39">
        <f>LOOKUP(2,1/(('1001 4度C'!$A:$A="新豐1線")*('1001 4度C'!$T:$T&lt;&gt;"")),'1001 4度C'!$T:$T)</f>
        <v>0.81388888888888888</v>
      </c>
      <c r="J17" s="40">
        <f>LOOKUP(2,1/(('1001 4度C'!$A:$A="新豐10線")*('1001 4度C'!$T:$T&lt;&gt;"")),'1001 4度C'!$T:$T)</f>
        <v>0.4458333333333333</v>
      </c>
      <c r="K17" s="38">
        <f>LOOKUP(2,1/(('1001 4度C'!$A:$A="新豐8線")*('1001 4度C'!$T:$T&lt;&gt;"")),'1001 4度C'!$T:$T)</f>
        <v>0.69305555555555554</v>
      </c>
      <c r="L17" s="39">
        <f>LOOKUP(2,1/(('1001 4度C'!$A:$A="新豐9線")*('1001 4度C'!$T:$T&lt;&gt;"")),'1001 4度C'!$T:$T)</f>
        <v>0.6909722222222221</v>
      </c>
      <c r="M17" s="40">
        <f>LOOKUP(2,1/(('1001 4度C'!$A:$A="新豐4線")*('1001 4度C'!$T:$T&lt;&gt;"")),'1001 4度C'!$T:$T)</f>
        <v>0.66180555555555554</v>
      </c>
    </row>
    <row r="18" spans="2:13" ht="17.25" customHeight="1">
      <c r="B18" s="164" t="s">
        <v>43</v>
      </c>
      <c r="C18" s="44" t="s">
        <v>44</v>
      </c>
      <c r="D18" s="45">
        <f>SUMIFS('1001 4度C'!$Y:$Y,'1001 4度C'!$A:$A,"新豐6線",'1001 4度C'!$B:$B,"平均")</f>
        <v>0</v>
      </c>
      <c r="E18" s="46">
        <f>SUMIFS('1001 4度C'!$Y:$Y,'1001 4度C'!$A:$A,"新豐2線",'1001 4度C'!$B:$B,"平均")</f>
        <v>0</v>
      </c>
      <c r="F18" s="46">
        <f>SUMIFS('1001 4度C'!$Y:$Y,'1001 4度C'!$A:$A,"新豐5線",'1001 4度C'!$B:$B,"平均")</f>
        <v>0</v>
      </c>
      <c r="G18" s="46">
        <f>SUMIFS('1001 4度C'!$Y:$Y,'1001 4度C'!$A:$A,"新豐7線",'1001 4度C'!$B:$B,"平均")</f>
        <v>0</v>
      </c>
      <c r="H18" s="46">
        <f>SUMIFS('1001 4度C'!$Y:$Y,'1001 4度C'!$A:$A,"新豐3線",'1001 4度C'!$B:$B,"平均")</f>
        <v>0</v>
      </c>
      <c r="I18" s="46">
        <f>SUMIFS('1001 4度C'!$Y:$Y,'1001 4度C'!$A:$A,"新豐1線",'1001 4度C'!$B:$B,"平均")</f>
        <v>0</v>
      </c>
      <c r="J18" s="47">
        <f>SUMIFS('1001 4度C'!$Y:$Y,'1001 4度C'!$A:$A,"新豐10線",'1001 4度C'!$B:$B,"平均")</f>
        <v>0</v>
      </c>
      <c r="K18" s="48">
        <f>SUMIFS('1001 4度C'!$Y:$Y,'1001 4度C'!$A:$A,"新豐8線",'1001 4度C'!$B:$B,"平均")</f>
        <v>0</v>
      </c>
      <c r="L18" s="46">
        <f>SUMIFS('1001 4度C'!$Y:$Y,'1001 4度C'!$A:$A,"新豐9線",'1001 4度C'!$B:$B,"平均")</f>
        <v>0</v>
      </c>
      <c r="M18" s="47">
        <f>SUMIFS('1001 4度C'!$Y:$Y,'1001 4度C'!$A:$A,"新豐4線",'1001 4度C'!$B:$B,"平均")</f>
        <v>0</v>
      </c>
    </row>
    <row r="19" spans="2:13" ht="17.25" customHeight="1">
      <c r="B19" s="165"/>
      <c r="C19" s="44" t="s">
        <v>45</v>
      </c>
      <c r="D19" s="45">
        <f>SUMIFS('1001 4度C'!$Z:$Z,'1001 4度C'!$A:$A,"新豐6線",'1001 4度C'!$B:$B,"平均")</f>
        <v>0</v>
      </c>
      <c r="E19" s="46">
        <f>SUMIFS('1001 4度C'!$Z:$Z,'1001 4度C'!$A:$A,"新豐2線",'1001 4度C'!$B:$B,"平均")</f>
        <v>0</v>
      </c>
      <c r="F19" s="46">
        <f>SUMIFS('1001 4度C'!$Z:$Z,'1001 4度C'!$A:$A,"新豐5線",'1001 4度C'!$B:$B,"平均")</f>
        <v>0</v>
      </c>
      <c r="G19" s="46">
        <f>SUMIFS('1001 4度C'!$Z:$Z,'1001 4度C'!$A:$A,"新豐7線",'1001 4度C'!$B:$B,"平均")</f>
        <v>0</v>
      </c>
      <c r="H19" s="46">
        <f>SUMIFS('1001 4度C'!$Z:$Z,'1001 4度C'!$A:$A,"新豐3線",'1001 4度C'!$B:$B,"平均")</f>
        <v>0</v>
      </c>
      <c r="I19" s="46">
        <f>SUMIFS('1001 4度C'!$Z:$Z,'1001 4度C'!$A:$A,"新豐1線",'1001 4度C'!$B:$B,"平均")</f>
        <v>0</v>
      </c>
      <c r="J19" s="47">
        <f>SUMIFS('1001 4度C'!$Z:$Z,'1001 4度C'!$A:$A,"新豐10線",'1001 4度C'!$B:$B,"平均")</f>
        <v>0</v>
      </c>
      <c r="K19" s="48">
        <f>SUMIFS('1001 4度C'!$Z:$Z,'1001 4度C'!$A:$A,"新豐8線",'1001 4度C'!$B:$B,"平均")</f>
        <v>0</v>
      </c>
      <c r="L19" s="46">
        <f>SUMIFS('1001 4度C'!$Z:$Z,'1001 4度C'!$A:$A,"新豐9線",'1001 4度C'!$B:$B,"平均")</f>
        <v>0</v>
      </c>
      <c r="M19" s="47">
        <f>SUMIFS('1001 4度C'!$Z:$Z,'1001 4度C'!$A:$A,"新豐4線",'1001 4度C'!$B:$B,"平均")</f>
        <v>0</v>
      </c>
    </row>
    <row r="20" spans="2:13" ht="17.25" customHeight="1">
      <c r="B20" s="164" t="s">
        <v>46</v>
      </c>
      <c r="C20" s="44" t="s">
        <v>47</v>
      </c>
      <c r="D20" s="45">
        <f>SUMIFS('1001 4度C'!$AC:$AC,'1001 4度C'!$A:$A,"新豐6線",'1001 4度C'!$B:$B,"平均")</f>
        <v>3</v>
      </c>
      <c r="E20" s="46">
        <f>SUMIFS('1001 4度C'!$AC:$AC,'1001 4度C'!$A:$A,"新豐2線",'1001 4度C'!$B:$B,"平均")</f>
        <v>2</v>
      </c>
      <c r="F20" s="46">
        <f>SUMIFS('1001 4度C'!$AC:$AC,'1001 4度C'!$A:$A,"新豐5線",'1001 4度C'!$B:$B,"平均")</f>
        <v>6</v>
      </c>
      <c r="G20" s="46">
        <f>SUMIFS('1001 4度C'!$AC:$AC,'1001 4度C'!$A:$A,"新豐7線",'1001 4度C'!$B:$B,"平均")</f>
        <v>7</v>
      </c>
      <c r="H20" s="46">
        <f>SUMIFS('1001 4度C'!$AC:$AC,'1001 4度C'!$A:$A,"新豐3線",'1001 4度C'!$B:$B,"平均")</f>
        <v>3</v>
      </c>
      <c r="I20" s="46">
        <f>SUMIFS('1001 4度C'!$AC:$AC,'1001 4度C'!$A:$A,"新豐1線",'1001 4度C'!$B:$B,"平均")</f>
        <v>8</v>
      </c>
      <c r="J20" s="47">
        <f>SUMIFS('1001 4度C'!$AC:$AC,'1001 4度C'!$A:$A,"新豐10線",'1001 4度C'!$B:$B,"平均")</f>
        <v>5</v>
      </c>
      <c r="K20" s="48">
        <f>SUMIFS('1001 4度C'!$AC:$AC,'1001 4度C'!$A:$A,"新豐8線",'1001 4度C'!$B:$B,"平均")</f>
        <v>8</v>
      </c>
      <c r="L20" s="46">
        <f>SUMIFS('1001 4度C'!$AC:$AC,'1001 4度C'!$A:$A,"新豐9線",'1001 4度C'!$B:$B,"平均")</f>
        <v>7</v>
      </c>
      <c r="M20" s="47">
        <f>SUMIFS('1001 4度C'!$AC:$AC,'1001 4度C'!$A:$A,"新豐4線",'1001 4度C'!$B:$B,"平均")</f>
        <v>7</v>
      </c>
    </row>
    <row r="21" spans="2:13" ht="17.25" customHeight="1">
      <c r="B21" s="165"/>
      <c r="C21" s="44" t="s">
        <v>48</v>
      </c>
      <c r="D21" s="45">
        <f>SUMIFS('1001 4度C'!$AD:$AD,'1001 4度C'!$A:$A,"新豐6線",'1001 4度C'!$B:$B,"平均")</f>
        <v>0</v>
      </c>
      <c r="E21" s="46">
        <f>SUMIFS('1001 4度C'!$AD:$AD,'1001 4度C'!$A:$A,"新豐2線",'1001 4度C'!$B:$B,"平均")</f>
        <v>0</v>
      </c>
      <c r="F21" s="46">
        <f>SUMIFS('1001 4度C'!$AD:$AD,'1001 4度C'!$A:$A,"新豐5線",'1001 4度C'!$B:$B,"平均")</f>
        <v>0</v>
      </c>
      <c r="G21" s="46">
        <f>SUMIFS('1001 4度C'!$AD:$AD,'1001 4度C'!$A:$A,"新豐7線",'1001 4度C'!$B:$B,"平均")</f>
        <v>0</v>
      </c>
      <c r="H21" s="46">
        <f>SUMIFS('1001 4度C'!$AD:$AD,'1001 4度C'!$A:$A,"新豐3線",'1001 4度C'!$B:$B,"平均")</f>
        <v>0</v>
      </c>
      <c r="I21" s="46">
        <f>SUMIFS('1001 4度C'!$AD:$AD,'1001 4度C'!$A:$A,"新豐1線",'1001 4度C'!$B:$B,"平均")</f>
        <v>0</v>
      </c>
      <c r="J21" s="47">
        <f>SUMIFS('1001 4度C'!$AD:$AD,'1001 4度C'!$A:$A,"新豐10線",'1001 4度C'!$B:$B,"平均")</f>
        <v>0</v>
      </c>
      <c r="K21" s="48">
        <f>SUMIFS('1001 4度C'!$AD:$AD,'1001 4度C'!$A:$A,"新豐8線",'1001 4度C'!$B:$B,"平均")</f>
        <v>0</v>
      </c>
      <c r="L21" s="46">
        <f>SUMIFS('1001 4度C'!$AD:$AD,'1001 4度C'!$A:$A,"新豐9線",'1001 4度C'!$B:$B,"平均")</f>
        <v>0</v>
      </c>
      <c r="M21" s="47">
        <f>SUMIFS('1001 4度C'!$AD:$AD,'1001 4度C'!$A:$A,"新豐4線",'1001 4度C'!$B:$B,"平均")</f>
        <v>0</v>
      </c>
    </row>
    <row r="22" spans="2:13" ht="17.25" customHeight="1">
      <c r="B22" s="166" t="s">
        <v>49</v>
      </c>
      <c r="C22" s="167"/>
      <c r="D22" s="49">
        <f>SUMIFS('1001 4度C'!$I:$I,'1001 4度C'!$A:$A,"新豐6線",'1001 4度C'!$B:$B,"平均")</f>
        <v>15.333333333333334</v>
      </c>
      <c r="E22" s="50">
        <f>SUMIFS('1001 4度C'!$I:$I,'1001 4度C'!$A:$A,"新豐2線",'1001 4度C'!$B:$B,"平均")</f>
        <v>18</v>
      </c>
      <c r="F22" s="50">
        <f>SUMIFS('1001 4度C'!$I:$I,'1001 4度C'!$A:$A,"新豐5線",'1001 4度C'!$B:$B,"平均")</f>
        <v>16.666666666666668</v>
      </c>
      <c r="G22" s="50">
        <f>SUMIFS('1001 4度C'!$I:$I,'1001 4度C'!$A:$A,"新豐7線",'1001 4度C'!$B:$B,"平均")</f>
        <v>16</v>
      </c>
      <c r="H22" s="50">
        <f>SUMIFS('1001 4度C'!$I:$I,'1001 4度C'!$A:$A,"新豐3線",'1001 4度C'!$B:$B,"平均")</f>
        <v>11</v>
      </c>
      <c r="I22" s="50">
        <f>SUMIFS('1001 4度C'!$I:$I,'1001 4度C'!$A:$A,"新豐1線",'1001 4度C'!$B:$B,"平均")</f>
        <v>18.25</v>
      </c>
      <c r="J22" s="51">
        <f>SUMIFS('1001 4度C'!$I:$I,'1001 4度C'!$A:$A,"新豐10線",'1001 4度C'!$B:$B,"平均")</f>
        <v>10.199999999999999</v>
      </c>
      <c r="K22" s="49">
        <f>SUMIFS('1001 4度C'!$I:$I,'1001 4度C'!$A:$A,"新豐8線",'1001 4度C'!$B:$B,"平均")</f>
        <v>16.875</v>
      </c>
      <c r="L22" s="50">
        <f>SUMIFS('1001 4度C'!$I:$I,'1001 4度C'!$A:$A,"新豐9線",'1001 4度C'!$B:$B,"平均")</f>
        <v>17.285714285714285</v>
      </c>
      <c r="M22" s="51">
        <f>SUMIFS('1001 4度C'!$I:$I,'1001 4度C'!$A:$A,"新豐4線",'1001 4度C'!$B:$B,"平均")</f>
        <v>15.857142857142858</v>
      </c>
    </row>
    <row r="23" spans="2:13" ht="17.25" customHeight="1">
      <c r="B23" s="166" t="s">
        <v>50</v>
      </c>
      <c r="C23" s="167"/>
      <c r="D23" s="52" t="s">
        <v>51</v>
      </c>
      <c r="E23" s="53" t="s">
        <v>52</v>
      </c>
      <c r="F23" s="53" t="s">
        <v>53</v>
      </c>
      <c r="G23" s="53" t="s">
        <v>54</v>
      </c>
      <c r="H23" s="53" t="s">
        <v>55</v>
      </c>
      <c r="I23" s="53" t="s">
        <v>51</v>
      </c>
      <c r="J23" s="54" t="s">
        <v>55</v>
      </c>
      <c r="K23" s="52" t="s">
        <v>56</v>
      </c>
      <c r="L23" s="53" t="s">
        <v>56</v>
      </c>
      <c r="M23" s="54" t="s">
        <v>56</v>
      </c>
    </row>
    <row r="24" spans="2:13" ht="17.25" customHeight="1">
      <c r="B24" s="166" t="s">
        <v>57</v>
      </c>
      <c r="C24" s="167"/>
      <c r="D24" s="52"/>
      <c r="E24" s="53"/>
      <c r="F24" s="53" t="s">
        <v>58</v>
      </c>
      <c r="G24" s="53" t="s">
        <v>51</v>
      </c>
      <c r="H24" s="53"/>
      <c r="I24" s="53"/>
      <c r="J24" s="54"/>
      <c r="K24" s="52"/>
      <c r="L24" s="53"/>
      <c r="M24" s="54"/>
    </row>
    <row r="25" spans="2:13" ht="17.25" customHeight="1" thickBot="1">
      <c r="B25" s="168" t="s">
        <v>59</v>
      </c>
      <c r="C25" s="169"/>
      <c r="D25" s="55"/>
      <c r="E25" s="56" t="s">
        <v>60</v>
      </c>
      <c r="F25" s="162" t="s">
        <v>61</v>
      </c>
      <c r="G25" s="163"/>
      <c r="H25" s="56" t="s">
        <v>62</v>
      </c>
      <c r="I25" s="56" t="s">
        <v>63</v>
      </c>
      <c r="J25" s="57" t="s">
        <v>64</v>
      </c>
      <c r="K25" s="58"/>
      <c r="L25" s="56"/>
      <c r="M25" s="5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2" type="noConversion"/>
  <conditionalFormatting sqref="D15:M15">
    <cfRule type="cellIs" dxfId="1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1"/>
  <sheetViews>
    <sheetView zoomScale="80" zoomScaleNormal="80" workbookViewId="0">
      <pane ySplit="4" topLeftCell="A47" activePane="bottomLeft" state="frozen"/>
      <selection activeCell="M13" sqref="M13"/>
      <selection pane="bottomLeft" activeCell="M13" sqref="M13"/>
    </sheetView>
  </sheetViews>
  <sheetFormatPr defaultColWidth="8" defaultRowHeight="15.75"/>
  <cols>
    <col min="1" max="1" width="15.125" style="67" customWidth="1"/>
    <col min="2" max="2" width="19.375" style="67" customWidth="1"/>
    <col min="3" max="3" width="15.25" style="67" customWidth="1"/>
    <col min="4" max="4" width="17.5" style="67" customWidth="1"/>
    <col min="5" max="5" width="7.5" style="67" customWidth="1"/>
    <col min="6" max="7" width="14.375" style="67" customWidth="1"/>
    <col min="8" max="8" width="8" style="67" customWidth="1"/>
    <col min="9" max="9" width="5.875" style="67" customWidth="1"/>
    <col min="10" max="10" width="10.625" style="67" customWidth="1"/>
    <col min="11" max="11" width="14.625" style="67" customWidth="1"/>
    <col min="12" max="12" width="7.25" style="67" customWidth="1"/>
    <col min="13" max="13" width="8" style="67" customWidth="1"/>
    <col min="14" max="14" width="12" style="67" customWidth="1"/>
    <col min="15" max="15" width="6" style="67" customWidth="1"/>
    <col min="16" max="16" width="9.25" style="67" customWidth="1"/>
    <col min="17" max="17" width="11.5" style="67" customWidth="1"/>
    <col min="18" max="18" width="8.5" style="67" customWidth="1"/>
    <col min="19" max="19" width="10.125" style="67" customWidth="1"/>
    <col min="20" max="20" width="7.625" style="67" customWidth="1"/>
    <col min="21" max="21" width="10.25" style="67" customWidth="1"/>
    <col min="22" max="22" width="8.75" style="113" customWidth="1"/>
    <col min="23" max="23" width="7.375" style="67" customWidth="1"/>
    <col min="24" max="24" width="6.875" style="67" customWidth="1"/>
    <col min="25" max="26" width="8.75" style="67" customWidth="1"/>
    <col min="27" max="27" width="12.75" style="67" customWidth="1"/>
    <col min="28" max="28" width="18.875" style="67" customWidth="1"/>
    <col min="29" max="30" width="15.125" style="67" customWidth="1"/>
    <col min="31" max="31" width="13.125" style="67" bestFit="1" customWidth="1"/>
    <col min="32" max="32" width="10.375" style="67" customWidth="1"/>
    <col min="33" max="33" width="9.375" style="67" customWidth="1"/>
    <col min="34" max="34" width="8" style="67"/>
    <col min="35" max="35" width="24.625" style="67" bestFit="1" customWidth="1"/>
    <col min="36" max="16384" width="8" style="67"/>
  </cols>
  <sheetData>
    <row r="1" spans="1:33" ht="36.75" customHeight="1">
      <c r="A1" s="59" t="s">
        <v>65</v>
      </c>
      <c r="B1" s="59"/>
      <c r="C1" s="60" t="s">
        <v>66</v>
      </c>
      <c r="D1" s="61">
        <f>SUM(F5:F70)</f>
        <v>162859</v>
      </c>
      <c r="E1" s="62" t="s">
        <v>67</v>
      </c>
      <c r="F1" s="59">
        <f>SUM(G5:G70)</f>
        <v>5449296.9799999977</v>
      </c>
      <c r="G1" s="59" t="s">
        <v>68</v>
      </c>
      <c r="H1" s="63">
        <f>L8+L11+L47+L56+L18+L62+L35+L43+L26+L70</f>
        <v>155.46785714285716</v>
      </c>
      <c r="I1" s="277" t="s">
        <v>69</v>
      </c>
      <c r="J1" s="277"/>
      <c r="K1" s="277"/>
      <c r="L1" s="277" t="s">
        <v>70</v>
      </c>
      <c r="M1" s="277"/>
      <c r="N1" s="277"/>
      <c r="O1" s="277" t="s">
        <v>71</v>
      </c>
      <c r="P1" s="277"/>
      <c r="Q1" s="277"/>
      <c r="R1" s="277"/>
      <c r="S1" s="277" t="s">
        <v>72</v>
      </c>
      <c r="T1" s="277"/>
      <c r="U1" s="277"/>
      <c r="V1" s="277"/>
      <c r="W1" s="277"/>
      <c r="X1" s="277"/>
      <c r="Y1" s="64" t="s">
        <v>73</v>
      </c>
      <c r="Z1" s="65" t="s">
        <v>74</v>
      </c>
      <c r="AA1" s="278" t="s">
        <v>75</v>
      </c>
      <c r="AB1" s="278"/>
      <c r="AC1" s="66" t="s">
        <v>73</v>
      </c>
      <c r="AD1" s="65" t="s">
        <v>76</v>
      </c>
      <c r="AE1" s="277" t="s">
        <v>77</v>
      </c>
      <c r="AF1" s="279"/>
      <c r="AG1" s="279"/>
    </row>
    <row r="2" spans="1:33" ht="26.25" customHeight="1">
      <c r="A2" s="68">
        <v>46296</v>
      </c>
      <c r="B2" s="69" t="s">
        <v>78</v>
      </c>
      <c r="C2" s="60" t="s">
        <v>79</v>
      </c>
      <c r="D2" s="70">
        <f>AVERAGE(N8,N11,N47,N56,N18,N62,N26,N35,N43,N70)</f>
        <v>144.70230651673276</v>
      </c>
      <c r="E2" s="71" t="s">
        <v>80</v>
      </c>
      <c r="F2" s="72">
        <f>F1/D1</f>
        <v>33.460213927385027</v>
      </c>
      <c r="G2" s="59" t="s">
        <v>81</v>
      </c>
      <c r="H2" s="73">
        <f>COUNT(H5:H70)</f>
        <v>5</v>
      </c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74">
        <f>SUM(Y8+Y11+Y18+Y26+Y35+Y43+Y47+Y56+Y62+Y70)</f>
        <v>0</v>
      </c>
      <c r="Z2" s="74">
        <f>SUM(Z8+Z11+Z18+Z26+Z35+Z43+Z47+Z56+Z62+Z70)</f>
        <v>0</v>
      </c>
      <c r="AA2" s="278"/>
      <c r="AB2" s="278"/>
      <c r="AC2" s="74">
        <f>SUM(AC8+AC11+AC18+AC26+AC35+AC43+AC47+AC56+AC62+AC70)</f>
        <v>56</v>
      </c>
      <c r="AD2" s="74">
        <f>SUM(AD8+AD11+AD18+AD26+AD35+AD43+AD47+AD56+AD62+AD70)</f>
        <v>0</v>
      </c>
      <c r="AE2" s="279"/>
      <c r="AF2" s="279"/>
      <c r="AG2" s="279"/>
    </row>
    <row r="3" spans="1:33" ht="40.5" customHeight="1">
      <c r="A3" s="232" t="s">
        <v>82</v>
      </c>
      <c r="B3" s="232" t="s">
        <v>83</v>
      </c>
      <c r="C3" s="232" t="s">
        <v>84</v>
      </c>
      <c r="D3" s="232"/>
      <c r="E3" s="275" t="s">
        <v>85</v>
      </c>
      <c r="F3" s="232" t="s">
        <v>86</v>
      </c>
      <c r="G3" s="275" t="s">
        <v>87</v>
      </c>
      <c r="H3" s="269" t="s">
        <v>88</v>
      </c>
      <c r="I3" s="267" t="s">
        <v>89</v>
      </c>
      <c r="J3" s="264" t="s">
        <v>90</v>
      </c>
      <c r="K3" s="274" t="s">
        <v>91</v>
      </c>
      <c r="L3" s="267" t="s">
        <v>89</v>
      </c>
      <c r="M3" s="264" t="s">
        <v>90</v>
      </c>
      <c r="N3" s="274" t="s">
        <v>91</v>
      </c>
      <c r="O3" s="267" t="s">
        <v>89</v>
      </c>
      <c r="P3" s="274" t="s">
        <v>91</v>
      </c>
      <c r="Q3" s="265" t="s">
        <v>92</v>
      </c>
      <c r="R3" s="241" t="s">
        <v>93</v>
      </c>
      <c r="S3" s="232" t="s">
        <v>94</v>
      </c>
      <c r="T3" s="232"/>
      <c r="U3" s="269" t="s">
        <v>95</v>
      </c>
      <c r="V3" s="269" t="s">
        <v>96</v>
      </c>
      <c r="W3" s="232" t="s">
        <v>97</v>
      </c>
      <c r="X3" s="232"/>
      <c r="Y3" s="270" t="s">
        <v>98</v>
      </c>
      <c r="Z3" s="231"/>
      <c r="AA3" s="271" t="s">
        <v>99</v>
      </c>
      <c r="AB3" s="272"/>
      <c r="AC3" s="270" t="s">
        <v>100</v>
      </c>
      <c r="AD3" s="231"/>
      <c r="AE3" s="264" t="s">
        <v>101</v>
      </c>
      <c r="AF3" s="265" t="s">
        <v>102</v>
      </c>
      <c r="AG3" s="241" t="s">
        <v>103</v>
      </c>
    </row>
    <row r="4" spans="1:33" ht="15.75" customHeight="1">
      <c r="A4" s="232"/>
      <c r="B4" s="232"/>
      <c r="C4" s="232"/>
      <c r="D4" s="232"/>
      <c r="E4" s="276"/>
      <c r="F4" s="232"/>
      <c r="G4" s="276"/>
      <c r="H4" s="269"/>
      <c r="I4" s="267"/>
      <c r="J4" s="264"/>
      <c r="K4" s="274"/>
      <c r="L4" s="267"/>
      <c r="M4" s="264"/>
      <c r="N4" s="274"/>
      <c r="O4" s="267"/>
      <c r="P4" s="274"/>
      <c r="Q4" s="265"/>
      <c r="R4" s="241"/>
      <c r="S4" s="62" t="s">
        <v>104</v>
      </c>
      <c r="T4" s="62" t="s">
        <v>105</v>
      </c>
      <c r="U4" s="269"/>
      <c r="V4" s="269"/>
      <c r="W4" s="62" t="s">
        <v>106</v>
      </c>
      <c r="X4" s="62" t="s">
        <v>107</v>
      </c>
      <c r="Y4" s="76" t="s">
        <v>108</v>
      </c>
      <c r="Z4" s="76" t="s">
        <v>109</v>
      </c>
      <c r="AA4" s="273"/>
      <c r="AB4" s="272"/>
      <c r="AC4" s="76" t="s">
        <v>110</v>
      </c>
      <c r="AD4" s="76" t="s">
        <v>111</v>
      </c>
      <c r="AE4" s="264"/>
      <c r="AF4" s="265"/>
      <c r="AG4" s="241"/>
    </row>
    <row r="5" spans="1:33">
      <c r="A5" s="266" t="s">
        <v>112</v>
      </c>
      <c r="B5" s="77" t="s">
        <v>113</v>
      </c>
      <c r="C5" s="268" t="s">
        <v>114</v>
      </c>
      <c r="D5" s="268"/>
      <c r="E5" s="77">
        <v>50.92</v>
      </c>
      <c r="F5" s="78">
        <v>1854</v>
      </c>
      <c r="G5" s="62">
        <f t="shared" ref="G5:G7" si="0">E5*F5</f>
        <v>94405.680000000008</v>
      </c>
      <c r="H5" s="79" t="s">
        <v>115</v>
      </c>
      <c r="I5" s="80">
        <v>15</v>
      </c>
      <c r="J5" s="81">
        <v>2000</v>
      </c>
      <c r="K5" s="82">
        <f t="shared" ref="K5:K68" si="1">J5/I5</f>
        <v>133.33333333333334</v>
      </c>
      <c r="L5" s="80">
        <v>15</v>
      </c>
      <c r="M5" s="83">
        <f t="shared" ref="M5:M7" si="2">F5/V5*60</f>
        <v>1917.93103448276</v>
      </c>
      <c r="N5" s="82">
        <f t="shared" ref="N5:N68" si="3">M5/L5</f>
        <v>127.86206896551734</v>
      </c>
      <c r="O5" s="84">
        <f t="shared" ref="O5:O68" si="4">L5-I5</f>
        <v>0</v>
      </c>
      <c r="P5" s="85">
        <f t="shared" ref="P5:P68" si="5">N5-K5</f>
        <v>-5.4712643678160049</v>
      </c>
      <c r="Q5" s="86">
        <f t="shared" ref="Q5:Q68" si="6">N5/K5</f>
        <v>0.95896551724138002</v>
      </c>
      <c r="R5" s="237">
        <f>Q8</f>
        <v>0.95816799292661414</v>
      </c>
      <c r="S5" s="88">
        <v>0.70833333333333337</v>
      </c>
      <c r="T5" s="88">
        <v>0.74861111111111112</v>
      </c>
      <c r="U5" s="62"/>
      <c r="V5" s="89">
        <f t="shared" ref="V5:V7" si="7">(T5-S5)*24*60</f>
        <v>57.999999999999957</v>
      </c>
      <c r="W5" s="90"/>
      <c r="X5" s="90"/>
      <c r="Y5" s="91"/>
      <c r="Z5" s="91"/>
      <c r="AA5" s="232"/>
      <c r="AB5" s="232"/>
      <c r="AC5" s="92">
        <v>3</v>
      </c>
      <c r="AD5" s="93"/>
      <c r="AE5" s="84">
        <f t="shared" ref="AE5:AE55" si="8">M5-J5</f>
        <v>-82.068965517240031</v>
      </c>
      <c r="AF5" s="86">
        <f t="shared" ref="AF5:AF68" si="9">M5/J5</f>
        <v>0.95896551724138002</v>
      </c>
      <c r="AG5" s="237">
        <f>AF8</f>
        <v>0.95816799292661414</v>
      </c>
    </row>
    <row r="6" spans="1:33">
      <c r="A6" s="267" t="s">
        <v>116</v>
      </c>
      <c r="B6" s="77" t="s">
        <v>113</v>
      </c>
      <c r="C6" s="268" t="s">
        <v>117</v>
      </c>
      <c r="D6" s="268"/>
      <c r="E6" s="77">
        <v>50.98</v>
      </c>
      <c r="F6" s="78">
        <v>2067</v>
      </c>
      <c r="G6" s="62">
        <f t="shared" si="0"/>
        <v>105375.65999999999</v>
      </c>
      <c r="H6" s="79" t="s">
        <v>115</v>
      </c>
      <c r="I6" s="80">
        <v>16</v>
      </c>
      <c r="J6" s="81">
        <v>2000</v>
      </c>
      <c r="K6" s="82">
        <f t="shared" si="1"/>
        <v>125</v>
      </c>
      <c r="L6" s="80">
        <v>16</v>
      </c>
      <c r="M6" s="83">
        <f t="shared" si="2"/>
        <v>1908.0000000000023</v>
      </c>
      <c r="N6" s="82">
        <f t="shared" si="3"/>
        <v>119.25000000000014</v>
      </c>
      <c r="O6" s="84">
        <f t="shared" si="4"/>
        <v>0</v>
      </c>
      <c r="P6" s="85">
        <f t="shared" si="5"/>
        <v>-5.7499999999998579</v>
      </c>
      <c r="Q6" s="86">
        <f t="shared" si="6"/>
        <v>0.95400000000000118</v>
      </c>
      <c r="R6" s="237"/>
      <c r="S6" s="88">
        <v>0.75416666666666665</v>
      </c>
      <c r="T6" s="88">
        <v>0.79930555555555549</v>
      </c>
      <c r="U6" s="62">
        <f t="shared" ref="U6:U7" si="10">IF(S6=TIME(17,0,0),"",(S6-T5)*24*60)</f>
        <v>7.9999999999999716</v>
      </c>
      <c r="V6" s="89">
        <f t="shared" si="7"/>
        <v>64.999999999999929</v>
      </c>
      <c r="W6" s="90"/>
      <c r="X6" s="90"/>
      <c r="Y6" s="90"/>
      <c r="Z6" s="90"/>
      <c r="AA6" s="232"/>
      <c r="AB6" s="232"/>
      <c r="AC6" s="92"/>
      <c r="AD6" s="93"/>
      <c r="AE6" s="84">
        <f t="shared" si="8"/>
        <v>-91.999999999997726</v>
      </c>
      <c r="AF6" s="86">
        <f t="shared" si="9"/>
        <v>0.95400000000000118</v>
      </c>
      <c r="AG6" s="237"/>
    </row>
    <row r="7" spans="1:33">
      <c r="A7" s="267" t="s">
        <v>116</v>
      </c>
      <c r="B7" s="77" t="s">
        <v>113</v>
      </c>
      <c r="C7" s="262" t="s">
        <v>118</v>
      </c>
      <c r="D7" s="263"/>
      <c r="E7" s="77">
        <v>50.67</v>
      </c>
      <c r="F7" s="78">
        <v>1250</v>
      </c>
      <c r="G7" s="62">
        <f t="shared" si="0"/>
        <v>63337.5</v>
      </c>
      <c r="H7" s="79" t="s">
        <v>115</v>
      </c>
      <c r="I7" s="80">
        <v>15</v>
      </c>
      <c r="J7" s="81">
        <v>2000</v>
      </c>
      <c r="K7" s="82">
        <f t="shared" si="1"/>
        <v>133.33333333333334</v>
      </c>
      <c r="L7" s="80">
        <v>15</v>
      </c>
      <c r="M7" s="83">
        <f t="shared" si="2"/>
        <v>1923.0769230769222</v>
      </c>
      <c r="N7" s="82">
        <f t="shared" si="3"/>
        <v>128.20512820512815</v>
      </c>
      <c r="O7" s="84">
        <f t="shared" si="4"/>
        <v>0</v>
      </c>
      <c r="P7" s="85">
        <f t="shared" si="5"/>
        <v>-5.1282051282051953</v>
      </c>
      <c r="Q7" s="86">
        <f t="shared" si="6"/>
        <v>0.96153846153846101</v>
      </c>
      <c r="R7" s="237"/>
      <c r="S7" s="88">
        <v>0.80486111111111103</v>
      </c>
      <c r="T7" s="88">
        <v>0.83194444444444438</v>
      </c>
      <c r="U7" s="62">
        <f t="shared" si="10"/>
        <v>7.9999999999999716</v>
      </c>
      <c r="V7" s="89">
        <f t="shared" si="7"/>
        <v>39.000000000000021</v>
      </c>
      <c r="W7" s="90"/>
      <c r="X7" s="90"/>
      <c r="Y7" s="94"/>
      <c r="Z7" s="94"/>
      <c r="AA7" s="227"/>
      <c r="AB7" s="228"/>
      <c r="AC7" s="92"/>
      <c r="AD7" s="95"/>
      <c r="AE7" s="84">
        <f t="shared" si="8"/>
        <v>-76.923076923077815</v>
      </c>
      <c r="AF7" s="86">
        <f t="shared" si="9"/>
        <v>0.96153846153846112</v>
      </c>
      <c r="AG7" s="237"/>
    </row>
    <row r="8" spans="1:33">
      <c r="A8" s="267" t="s">
        <v>116</v>
      </c>
      <c r="B8" s="77" t="s">
        <v>119</v>
      </c>
      <c r="C8" s="238"/>
      <c r="D8" s="238"/>
      <c r="E8" s="96"/>
      <c r="F8" s="97"/>
      <c r="G8" s="82"/>
      <c r="H8" s="78"/>
      <c r="I8" s="98">
        <v>15.333333333333334</v>
      </c>
      <c r="J8" s="81">
        <v>2000</v>
      </c>
      <c r="K8" s="82">
        <f t="shared" si="1"/>
        <v>130.43478260869566</v>
      </c>
      <c r="L8" s="98">
        <v>15.333333333333334</v>
      </c>
      <c r="M8" s="83">
        <f>AVERAGE(M5:M7)</f>
        <v>1916.3359858532283</v>
      </c>
      <c r="N8" s="82">
        <f t="shared" si="3"/>
        <v>124.97843385999315</v>
      </c>
      <c r="O8" s="84">
        <f t="shared" si="4"/>
        <v>0</v>
      </c>
      <c r="P8" s="85">
        <f t="shared" si="5"/>
        <v>-5.45634874870251</v>
      </c>
      <c r="Q8" s="86">
        <f t="shared" si="6"/>
        <v>0.95816799292661414</v>
      </c>
      <c r="R8" s="237"/>
      <c r="S8" s="88"/>
      <c r="T8" s="88"/>
      <c r="U8" s="62"/>
      <c r="V8" s="89"/>
      <c r="W8" s="82"/>
      <c r="X8" s="82"/>
      <c r="Y8" s="99">
        <f>SUM(Y5:Y7)</f>
        <v>0</v>
      </c>
      <c r="Z8" s="99">
        <f>SUM(Z5:Z7)</f>
        <v>0</v>
      </c>
      <c r="AA8" s="231"/>
      <c r="AB8" s="231"/>
      <c r="AC8" s="99">
        <v>3</v>
      </c>
      <c r="AD8" s="99">
        <f>SUM(AD5:AD7)</f>
        <v>0</v>
      </c>
      <c r="AE8" s="84">
        <f t="shared" si="8"/>
        <v>-83.664014146771706</v>
      </c>
      <c r="AF8" s="86">
        <f t="shared" si="9"/>
        <v>0.95816799292661414</v>
      </c>
      <c r="AG8" s="237"/>
    </row>
    <row r="9" spans="1:33" ht="15.75" customHeight="1">
      <c r="A9" s="261" t="s">
        <v>120</v>
      </c>
      <c r="B9" s="77" t="s">
        <v>121</v>
      </c>
      <c r="C9" s="262" t="s">
        <v>122</v>
      </c>
      <c r="D9" s="263"/>
      <c r="E9" s="77">
        <v>39.619999999999997</v>
      </c>
      <c r="F9" s="78">
        <v>4065</v>
      </c>
      <c r="G9" s="62">
        <f t="shared" ref="G9:G10" si="11">E9*F9</f>
        <v>161055.29999999999</v>
      </c>
      <c r="H9" s="79" t="s">
        <v>115</v>
      </c>
      <c r="I9" s="80">
        <v>19</v>
      </c>
      <c r="J9" s="81">
        <v>1500</v>
      </c>
      <c r="K9" s="82">
        <f t="shared" si="1"/>
        <v>78.94736842105263</v>
      </c>
      <c r="L9" s="80">
        <v>19</v>
      </c>
      <c r="M9" s="83">
        <f t="shared" ref="M9:M10" si="12">F9/V9*60</f>
        <v>1434.705882352941</v>
      </c>
      <c r="N9" s="82">
        <f t="shared" si="3"/>
        <v>75.51083591331269</v>
      </c>
      <c r="O9" s="84">
        <f t="shared" si="4"/>
        <v>0</v>
      </c>
      <c r="P9" s="85">
        <f t="shared" si="5"/>
        <v>-3.4365325077399405</v>
      </c>
      <c r="Q9" s="86">
        <f t="shared" si="6"/>
        <v>0.95647058823529407</v>
      </c>
      <c r="R9" s="237">
        <f>Q11</f>
        <v>0.9546337615505972</v>
      </c>
      <c r="S9" s="88">
        <v>8.3333333333333329E-2</v>
      </c>
      <c r="T9" s="88">
        <v>0.2013888888888889</v>
      </c>
      <c r="U9" s="62"/>
      <c r="V9" s="89">
        <f t="shared" ref="V9:V10" si="13">(T9-S9)*24*60</f>
        <v>170</v>
      </c>
      <c r="W9" s="90">
        <f>T9</f>
        <v>0.2013888888888889</v>
      </c>
      <c r="X9" s="90">
        <f>S10</f>
        <v>0.22083333333333335</v>
      </c>
      <c r="Y9" s="90"/>
      <c r="Z9" s="90"/>
      <c r="AA9" s="232"/>
      <c r="AB9" s="232"/>
      <c r="AC9" s="92">
        <v>2</v>
      </c>
      <c r="AD9" s="93"/>
      <c r="AE9" s="84">
        <f t="shared" si="8"/>
        <v>-65.294117647059011</v>
      </c>
      <c r="AF9" s="86">
        <f t="shared" si="9"/>
        <v>0.95647058823529396</v>
      </c>
      <c r="AG9" s="237">
        <f>AF11</f>
        <v>0.9546337615505972</v>
      </c>
    </row>
    <row r="10" spans="1:33" ht="15.75" customHeight="1">
      <c r="A10" s="261" t="s">
        <v>120</v>
      </c>
      <c r="B10" s="77" t="s">
        <v>121</v>
      </c>
      <c r="C10" s="262" t="s">
        <v>123</v>
      </c>
      <c r="D10" s="263"/>
      <c r="E10" s="77">
        <v>39.799999999999997</v>
      </c>
      <c r="F10" s="78">
        <v>6217</v>
      </c>
      <c r="G10" s="62">
        <f t="shared" si="11"/>
        <v>247436.59999999998</v>
      </c>
      <c r="H10" s="79" t="s">
        <v>115</v>
      </c>
      <c r="I10" s="80">
        <v>17</v>
      </c>
      <c r="J10" s="81">
        <v>1500</v>
      </c>
      <c r="K10" s="82">
        <f t="shared" si="1"/>
        <v>88.235294117647058</v>
      </c>
      <c r="L10" s="80">
        <v>17</v>
      </c>
      <c r="M10" s="83">
        <f t="shared" si="12"/>
        <v>1429.1954022988505</v>
      </c>
      <c r="N10" s="82">
        <f t="shared" si="3"/>
        <v>84.070317782285315</v>
      </c>
      <c r="O10" s="84">
        <f t="shared" si="4"/>
        <v>0</v>
      </c>
      <c r="P10" s="85">
        <f t="shared" si="5"/>
        <v>-4.1649763353617431</v>
      </c>
      <c r="Q10" s="86">
        <f t="shared" si="6"/>
        <v>0.95279693486590022</v>
      </c>
      <c r="R10" s="237"/>
      <c r="S10" s="88">
        <v>0.22083333333333335</v>
      </c>
      <c r="T10" s="88">
        <v>0.40208333333333335</v>
      </c>
      <c r="U10" s="62">
        <f t="shared" ref="U10" si="14">IF(S10=TIME(17,0,0),"",(S10-T9)*24*60)</f>
        <v>28.000000000000021</v>
      </c>
      <c r="V10" s="89">
        <f t="shared" si="13"/>
        <v>261</v>
      </c>
      <c r="W10" s="90"/>
      <c r="X10" s="90"/>
      <c r="Y10" s="90"/>
      <c r="Z10" s="90"/>
      <c r="AA10" s="232"/>
      <c r="AB10" s="232"/>
      <c r="AC10" s="92"/>
      <c r="AD10" s="93"/>
      <c r="AE10" s="84">
        <f t="shared" si="8"/>
        <v>-70.804597701149532</v>
      </c>
      <c r="AF10" s="86">
        <f t="shared" si="9"/>
        <v>0.95279693486590034</v>
      </c>
      <c r="AG10" s="237"/>
    </row>
    <row r="11" spans="1:33" ht="16.5" customHeight="1">
      <c r="A11" s="261" t="s">
        <v>120</v>
      </c>
      <c r="B11" s="77" t="s">
        <v>119</v>
      </c>
      <c r="C11" s="238"/>
      <c r="D11" s="238"/>
      <c r="E11" s="96"/>
      <c r="F11" s="81"/>
      <c r="G11" s="83"/>
      <c r="H11" s="78"/>
      <c r="I11" s="98">
        <v>18</v>
      </c>
      <c r="J11" s="81">
        <v>1500</v>
      </c>
      <c r="K11" s="82">
        <f t="shared" si="1"/>
        <v>83.333333333333329</v>
      </c>
      <c r="L11" s="98">
        <v>18</v>
      </c>
      <c r="M11" s="83">
        <f>AVERAGE(M9:M10)</f>
        <v>1431.9506423258958</v>
      </c>
      <c r="N11" s="82">
        <f t="shared" si="3"/>
        <v>79.552813462549764</v>
      </c>
      <c r="O11" s="84">
        <f t="shared" si="4"/>
        <v>0</v>
      </c>
      <c r="P11" s="85">
        <f t="shared" si="5"/>
        <v>-3.7805198707835643</v>
      </c>
      <c r="Q11" s="86">
        <f t="shared" si="6"/>
        <v>0.9546337615505972</v>
      </c>
      <c r="R11" s="237"/>
      <c r="S11" s="88"/>
      <c r="T11" s="88"/>
      <c r="U11" s="82"/>
      <c r="V11" s="89"/>
      <c r="W11" s="82"/>
      <c r="X11" s="82"/>
      <c r="Y11" s="99">
        <f>SUM(Y9:Y10)</f>
        <v>0</v>
      </c>
      <c r="Z11" s="99">
        <f>SUM(Z9:Z10)</f>
        <v>0</v>
      </c>
      <c r="AA11" s="231"/>
      <c r="AB11" s="231"/>
      <c r="AC11" s="99">
        <v>2</v>
      </c>
      <c r="AD11" s="99">
        <f>SUM(AD9:AD10)</f>
        <v>0</v>
      </c>
      <c r="AE11" s="84">
        <f t="shared" si="8"/>
        <v>-68.049357674104158</v>
      </c>
      <c r="AF11" s="86">
        <f t="shared" si="9"/>
        <v>0.9546337615505972</v>
      </c>
      <c r="AG11" s="237"/>
    </row>
    <row r="12" spans="1:33" ht="16.5" customHeight="1">
      <c r="A12" s="259" t="s">
        <v>124</v>
      </c>
      <c r="B12" s="78" t="s">
        <v>125</v>
      </c>
      <c r="C12" s="255" t="s">
        <v>126</v>
      </c>
      <c r="D12" s="255"/>
      <c r="E12" s="77">
        <v>31.11</v>
      </c>
      <c r="F12" s="78">
        <v>2030</v>
      </c>
      <c r="G12" s="62">
        <f t="shared" ref="G12:G17" si="15">E12*F12</f>
        <v>63153.299999999996</v>
      </c>
      <c r="H12" s="79" t="s">
        <v>115</v>
      </c>
      <c r="I12" s="80">
        <v>14</v>
      </c>
      <c r="J12" s="81">
        <v>2000</v>
      </c>
      <c r="K12" s="82">
        <f t="shared" si="1"/>
        <v>142.85714285714286</v>
      </c>
      <c r="L12" s="80">
        <v>14</v>
      </c>
      <c r="M12" s="83">
        <f t="shared" ref="M12:M17" si="16">F12/V12*60</f>
        <v>1933.3333333333328</v>
      </c>
      <c r="N12" s="82">
        <f t="shared" si="3"/>
        <v>138.09523809523805</v>
      </c>
      <c r="O12" s="84">
        <f t="shared" si="4"/>
        <v>0</v>
      </c>
      <c r="P12" s="85">
        <f t="shared" si="5"/>
        <v>-4.761904761904816</v>
      </c>
      <c r="Q12" s="86">
        <f t="shared" si="6"/>
        <v>0.96666666666666634</v>
      </c>
      <c r="R12" s="237">
        <f>Q18</f>
        <v>0.96356276207857328</v>
      </c>
      <c r="S12" s="88">
        <v>0.25</v>
      </c>
      <c r="T12" s="88">
        <v>0.29375000000000001</v>
      </c>
      <c r="U12" s="62"/>
      <c r="V12" s="89">
        <f t="shared" ref="V12:V17" si="17">(T12-S12)*24*60</f>
        <v>63.000000000000014</v>
      </c>
      <c r="W12" s="90"/>
      <c r="X12" s="90"/>
      <c r="Y12" s="100"/>
      <c r="Z12" s="100"/>
      <c r="AA12" s="232"/>
      <c r="AB12" s="232"/>
      <c r="AC12" s="92">
        <v>6</v>
      </c>
      <c r="AD12" s="93"/>
      <c r="AE12" s="84">
        <f t="shared" si="8"/>
        <v>-66.666666666667197</v>
      </c>
      <c r="AF12" s="86">
        <f t="shared" si="9"/>
        <v>0.96666666666666645</v>
      </c>
      <c r="AG12" s="237">
        <f>AF18</f>
        <v>0.96356276207857328</v>
      </c>
    </row>
    <row r="13" spans="1:33" ht="16.5" customHeight="1">
      <c r="A13" s="260" t="s">
        <v>124</v>
      </c>
      <c r="B13" s="78" t="s">
        <v>127</v>
      </c>
      <c r="C13" s="255" t="s">
        <v>128</v>
      </c>
      <c r="D13" s="255"/>
      <c r="E13" s="77">
        <v>41</v>
      </c>
      <c r="F13" s="78">
        <v>1583</v>
      </c>
      <c r="G13" s="62">
        <f t="shared" si="15"/>
        <v>64903</v>
      </c>
      <c r="H13" s="79" t="s">
        <v>115</v>
      </c>
      <c r="I13" s="80">
        <v>26</v>
      </c>
      <c r="J13" s="81">
        <v>1500</v>
      </c>
      <c r="K13" s="82">
        <f t="shared" si="1"/>
        <v>57.692307692307693</v>
      </c>
      <c r="L13" s="80">
        <v>26</v>
      </c>
      <c r="M13" s="83">
        <f t="shared" si="16"/>
        <v>1439.090909090909</v>
      </c>
      <c r="N13" s="82">
        <f t="shared" si="3"/>
        <v>55.349650349650346</v>
      </c>
      <c r="O13" s="84">
        <f t="shared" si="4"/>
        <v>0</v>
      </c>
      <c r="P13" s="85">
        <f t="shared" si="5"/>
        <v>-2.3426573426573469</v>
      </c>
      <c r="Q13" s="86">
        <f t="shared" si="6"/>
        <v>0.95939393939393935</v>
      </c>
      <c r="R13" s="237"/>
      <c r="S13" s="88">
        <v>0.29930555555555555</v>
      </c>
      <c r="T13" s="88">
        <v>0.34513888888888888</v>
      </c>
      <c r="U13" s="62">
        <f t="shared" ref="U13:U17" si="18">IF(S13=TIME(17,0,0),"",(S13-T12)*24*60)</f>
        <v>7.9999999999999716</v>
      </c>
      <c r="V13" s="89">
        <f t="shared" si="17"/>
        <v>66</v>
      </c>
      <c r="W13" s="90"/>
      <c r="X13" s="90"/>
      <c r="Y13" s="90"/>
      <c r="Z13" s="90"/>
      <c r="AA13" s="232"/>
      <c r="AB13" s="232"/>
      <c r="AC13" s="92"/>
      <c r="AD13" s="93"/>
      <c r="AE13" s="84">
        <f t="shared" si="8"/>
        <v>-60.909090909090992</v>
      </c>
      <c r="AF13" s="86">
        <f t="shared" si="9"/>
        <v>0.95939393939393935</v>
      </c>
      <c r="AG13" s="237"/>
    </row>
    <row r="14" spans="1:33" ht="16.5" customHeight="1">
      <c r="A14" s="260" t="s">
        <v>124</v>
      </c>
      <c r="B14" s="78" t="s">
        <v>121</v>
      </c>
      <c r="C14" s="255" t="s">
        <v>129</v>
      </c>
      <c r="D14" s="255"/>
      <c r="E14" s="77">
        <v>39.46</v>
      </c>
      <c r="F14" s="78">
        <v>2218</v>
      </c>
      <c r="G14" s="62">
        <f t="shared" si="15"/>
        <v>87522.28</v>
      </c>
      <c r="H14" s="79" t="s">
        <v>115</v>
      </c>
      <c r="I14" s="80">
        <v>15</v>
      </c>
      <c r="J14" s="81">
        <v>1500</v>
      </c>
      <c r="K14" s="82">
        <f t="shared" si="1"/>
        <v>100</v>
      </c>
      <c r="L14" s="80">
        <v>15</v>
      </c>
      <c r="M14" s="83">
        <f t="shared" si="16"/>
        <v>1430.9677419354839</v>
      </c>
      <c r="N14" s="82">
        <f t="shared" si="3"/>
        <v>95.397849462365599</v>
      </c>
      <c r="O14" s="84">
        <f t="shared" si="4"/>
        <v>0</v>
      </c>
      <c r="P14" s="85">
        <f t="shared" si="5"/>
        <v>-4.602150537634401</v>
      </c>
      <c r="Q14" s="86">
        <f t="shared" si="6"/>
        <v>0.95397849462365603</v>
      </c>
      <c r="R14" s="237"/>
      <c r="S14" s="88">
        <v>0.34930555555555554</v>
      </c>
      <c r="T14" s="88">
        <v>0.41388888888888886</v>
      </c>
      <c r="U14" s="62">
        <f t="shared" si="18"/>
        <v>5.9999999999999787</v>
      </c>
      <c r="V14" s="89">
        <f t="shared" si="17"/>
        <v>92.999999999999986</v>
      </c>
      <c r="W14" s="90"/>
      <c r="X14" s="90"/>
      <c r="Y14" s="90"/>
      <c r="Z14" s="90"/>
      <c r="AA14" s="232"/>
      <c r="AB14" s="232"/>
      <c r="AC14" s="92"/>
      <c r="AD14" s="93"/>
      <c r="AE14" s="84">
        <f t="shared" si="8"/>
        <v>-69.0322580645161</v>
      </c>
      <c r="AF14" s="86">
        <f t="shared" si="9"/>
        <v>0.95397849462365591</v>
      </c>
      <c r="AG14" s="237"/>
    </row>
    <row r="15" spans="1:33" ht="16.5" customHeight="1">
      <c r="A15" s="260" t="s">
        <v>124</v>
      </c>
      <c r="B15" s="78" t="s">
        <v>113</v>
      </c>
      <c r="C15" s="255" t="s">
        <v>130</v>
      </c>
      <c r="D15" s="255"/>
      <c r="E15" s="77">
        <v>51.06</v>
      </c>
      <c r="F15" s="78">
        <v>2442</v>
      </c>
      <c r="G15" s="62">
        <f t="shared" si="15"/>
        <v>124688.52</v>
      </c>
      <c r="H15" s="79" t="s">
        <v>115</v>
      </c>
      <c r="I15" s="80">
        <v>13</v>
      </c>
      <c r="J15" s="81">
        <v>2000</v>
      </c>
      <c r="K15" s="82">
        <f t="shared" si="1"/>
        <v>153.84615384615384</v>
      </c>
      <c r="L15" s="80">
        <v>13</v>
      </c>
      <c r="M15" s="83">
        <f t="shared" si="16"/>
        <v>1902.8571428571418</v>
      </c>
      <c r="N15" s="82">
        <f t="shared" si="3"/>
        <v>146.37362637362628</v>
      </c>
      <c r="O15" s="84">
        <f t="shared" si="4"/>
        <v>0</v>
      </c>
      <c r="P15" s="85">
        <f t="shared" si="5"/>
        <v>-7.4725274725275597</v>
      </c>
      <c r="Q15" s="86">
        <f t="shared" si="6"/>
        <v>0.95142857142857085</v>
      </c>
      <c r="R15" s="237"/>
      <c r="S15" s="88">
        <v>0.70833333333333337</v>
      </c>
      <c r="T15" s="88">
        <v>0.76180555555555562</v>
      </c>
      <c r="U15" s="62" t="str">
        <f t="shared" si="18"/>
        <v/>
      </c>
      <c r="V15" s="89">
        <f t="shared" si="17"/>
        <v>77.000000000000043</v>
      </c>
      <c r="W15" s="90"/>
      <c r="X15" s="90"/>
      <c r="Y15" s="90"/>
      <c r="Z15" s="90"/>
      <c r="AA15" s="232"/>
      <c r="AB15" s="232"/>
      <c r="AC15" s="92"/>
      <c r="AD15" s="93"/>
      <c r="AE15" s="84">
        <f t="shared" si="8"/>
        <v>-97.142857142858247</v>
      </c>
      <c r="AF15" s="86">
        <f t="shared" si="9"/>
        <v>0.95142857142857085</v>
      </c>
      <c r="AG15" s="237"/>
    </row>
    <row r="16" spans="1:33" ht="16.5" customHeight="1">
      <c r="A16" s="260" t="s">
        <v>124</v>
      </c>
      <c r="B16" s="78" t="s">
        <v>113</v>
      </c>
      <c r="C16" s="255" t="s">
        <v>131</v>
      </c>
      <c r="D16" s="255"/>
      <c r="E16" s="77">
        <v>56.43</v>
      </c>
      <c r="F16" s="78">
        <v>929</v>
      </c>
      <c r="G16" s="62">
        <f t="shared" si="15"/>
        <v>52423.47</v>
      </c>
      <c r="H16" s="79" t="s">
        <v>115</v>
      </c>
      <c r="I16" s="80">
        <v>13</v>
      </c>
      <c r="J16" s="81">
        <v>2000</v>
      </c>
      <c r="K16" s="82">
        <f t="shared" si="1"/>
        <v>153.84615384615384</v>
      </c>
      <c r="L16" s="80">
        <v>13</v>
      </c>
      <c r="M16" s="83">
        <f t="shared" si="16"/>
        <v>1922.0689655172375</v>
      </c>
      <c r="N16" s="82">
        <f t="shared" si="3"/>
        <v>147.85145888594135</v>
      </c>
      <c r="O16" s="84">
        <f t="shared" si="4"/>
        <v>0</v>
      </c>
      <c r="P16" s="85">
        <f t="shared" si="5"/>
        <v>-5.9946949602124846</v>
      </c>
      <c r="Q16" s="86">
        <f t="shared" si="6"/>
        <v>0.9610344827586188</v>
      </c>
      <c r="R16" s="237"/>
      <c r="S16" s="88">
        <v>0.76597222222222228</v>
      </c>
      <c r="T16" s="88">
        <v>0.7861111111111112</v>
      </c>
      <c r="U16" s="62">
        <f t="shared" si="18"/>
        <v>5.9999999999999787</v>
      </c>
      <c r="V16" s="89">
        <f t="shared" si="17"/>
        <v>29.000000000000057</v>
      </c>
      <c r="W16" s="90"/>
      <c r="X16" s="90"/>
      <c r="Y16" s="90"/>
      <c r="Z16" s="90"/>
      <c r="AA16" s="232"/>
      <c r="AB16" s="232"/>
      <c r="AC16" s="92"/>
      <c r="AD16" s="93"/>
      <c r="AE16" s="84">
        <f t="shared" si="8"/>
        <v>-77.93103448276247</v>
      </c>
      <c r="AF16" s="86">
        <f t="shared" si="9"/>
        <v>0.9610344827586188</v>
      </c>
      <c r="AG16" s="237"/>
    </row>
    <row r="17" spans="1:33" ht="16.5" customHeight="1">
      <c r="A17" s="260" t="s">
        <v>124</v>
      </c>
      <c r="B17" s="78" t="s">
        <v>113</v>
      </c>
      <c r="C17" s="101" t="s">
        <v>132</v>
      </c>
      <c r="D17" s="102"/>
      <c r="E17" s="77">
        <v>54.5</v>
      </c>
      <c r="F17" s="78">
        <v>546</v>
      </c>
      <c r="G17" s="62">
        <f t="shared" si="15"/>
        <v>29757</v>
      </c>
      <c r="H17" s="79" t="s">
        <v>115</v>
      </c>
      <c r="I17" s="80">
        <v>19</v>
      </c>
      <c r="J17" s="81">
        <v>1500</v>
      </c>
      <c r="K17" s="82">
        <f t="shared" si="1"/>
        <v>78.94736842105263</v>
      </c>
      <c r="L17" s="80">
        <v>19</v>
      </c>
      <c r="M17" s="83">
        <f t="shared" si="16"/>
        <v>1489.0909090909142</v>
      </c>
      <c r="N17" s="82">
        <f t="shared" si="3"/>
        <v>78.373205741627061</v>
      </c>
      <c r="O17" s="84">
        <f t="shared" si="4"/>
        <v>0</v>
      </c>
      <c r="P17" s="85">
        <f t="shared" si="5"/>
        <v>-0.57416267942556942</v>
      </c>
      <c r="Q17" s="86">
        <f t="shared" si="6"/>
        <v>0.99272727272727612</v>
      </c>
      <c r="R17" s="237"/>
      <c r="S17" s="88">
        <v>0.7909722222222223</v>
      </c>
      <c r="T17" s="88">
        <v>0.80625000000000002</v>
      </c>
      <c r="U17" s="62">
        <f t="shared" si="18"/>
        <v>6.9999999999999751</v>
      </c>
      <c r="V17" s="89">
        <f t="shared" si="17"/>
        <v>21.999999999999922</v>
      </c>
      <c r="W17" s="90"/>
      <c r="X17" s="90"/>
      <c r="Y17" s="94"/>
      <c r="Z17" s="94"/>
      <c r="AA17" s="103"/>
      <c r="AB17" s="104"/>
      <c r="AC17" s="92"/>
      <c r="AD17" s="93"/>
      <c r="AE17" s="84">
        <f t="shared" si="8"/>
        <v>-10.909090909085762</v>
      </c>
      <c r="AF17" s="86">
        <f t="shared" si="9"/>
        <v>0.99272727272727612</v>
      </c>
      <c r="AG17" s="237"/>
    </row>
    <row r="18" spans="1:33" ht="16.5" customHeight="1">
      <c r="A18" s="260" t="s">
        <v>124</v>
      </c>
      <c r="B18" s="77" t="s">
        <v>119</v>
      </c>
      <c r="C18" s="238"/>
      <c r="D18" s="238"/>
      <c r="E18" s="96"/>
      <c r="F18" s="97"/>
      <c r="G18" s="82"/>
      <c r="H18" s="78"/>
      <c r="I18" s="98">
        <v>16.666666666666668</v>
      </c>
      <c r="J18" s="81">
        <v>1750</v>
      </c>
      <c r="K18" s="82">
        <f t="shared" si="1"/>
        <v>104.99999999999999</v>
      </c>
      <c r="L18" s="98">
        <v>16.666666666666668</v>
      </c>
      <c r="M18" s="83">
        <f>AVERAGE(M12:M17)</f>
        <v>1686.2348336375032</v>
      </c>
      <c r="N18" s="82">
        <f t="shared" si="3"/>
        <v>101.17409001825018</v>
      </c>
      <c r="O18" s="84">
        <f t="shared" si="4"/>
        <v>0</v>
      </c>
      <c r="P18" s="85">
        <f t="shared" si="5"/>
        <v>-3.8259099817498026</v>
      </c>
      <c r="Q18" s="86">
        <f t="shared" si="6"/>
        <v>0.96356276207857328</v>
      </c>
      <c r="R18" s="237"/>
      <c r="S18" s="88"/>
      <c r="T18" s="88"/>
      <c r="U18" s="62"/>
      <c r="V18" s="89"/>
      <c r="W18" s="82"/>
      <c r="X18" s="82"/>
      <c r="Y18" s="99">
        <f>SUM(Y12:Y17)</f>
        <v>0</v>
      </c>
      <c r="Z18" s="99">
        <f>SUM(Z12:Z17)</f>
        <v>0</v>
      </c>
      <c r="AA18" s="231"/>
      <c r="AB18" s="231"/>
      <c r="AC18" s="99">
        <v>6</v>
      </c>
      <c r="AD18" s="99">
        <f>SUM(AD12:AD17)</f>
        <v>0</v>
      </c>
      <c r="AE18" s="84">
        <f t="shared" si="8"/>
        <v>-63.765166362496757</v>
      </c>
      <c r="AF18" s="86">
        <f t="shared" si="9"/>
        <v>0.96356276207857328</v>
      </c>
      <c r="AG18" s="237"/>
    </row>
    <row r="19" spans="1:33" ht="15.75" customHeight="1">
      <c r="A19" s="257" t="s">
        <v>133</v>
      </c>
      <c r="B19" s="77" t="s">
        <v>113</v>
      </c>
      <c r="C19" s="255" t="s">
        <v>134</v>
      </c>
      <c r="D19" s="255"/>
      <c r="E19" s="77">
        <v>50.67</v>
      </c>
      <c r="F19" s="78">
        <v>1602</v>
      </c>
      <c r="G19" s="62">
        <f t="shared" ref="G19:G25" si="19">E19*F19</f>
        <v>81173.34</v>
      </c>
      <c r="H19" s="79" t="s">
        <v>115</v>
      </c>
      <c r="I19" s="80">
        <v>17</v>
      </c>
      <c r="J19" s="81">
        <v>2000</v>
      </c>
      <c r="K19" s="82">
        <f t="shared" si="1"/>
        <v>117.64705882352941</v>
      </c>
      <c r="L19" s="80">
        <v>17</v>
      </c>
      <c r="M19" s="83">
        <f t="shared" ref="M19:M25" si="20">F19/V19*60</f>
        <v>1922.3999999999992</v>
      </c>
      <c r="N19" s="82">
        <f t="shared" si="3"/>
        <v>113.08235294117642</v>
      </c>
      <c r="O19" s="84">
        <f t="shared" si="4"/>
        <v>0</v>
      </c>
      <c r="P19" s="85">
        <f t="shared" si="5"/>
        <v>-4.5647058823529818</v>
      </c>
      <c r="Q19" s="86">
        <f t="shared" si="6"/>
        <v>0.96119999999999961</v>
      </c>
      <c r="R19" s="237">
        <f>Q26</f>
        <v>0.95484470612125627</v>
      </c>
      <c r="S19" s="88">
        <v>0.20833333333333334</v>
      </c>
      <c r="T19" s="88">
        <v>0.24305555555555558</v>
      </c>
      <c r="U19" s="62"/>
      <c r="V19" s="89">
        <f t="shared" ref="V19:V25" si="21">(T19-S19)*24*60</f>
        <v>50.000000000000021</v>
      </c>
      <c r="W19" s="90"/>
      <c r="X19" s="90"/>
      <c r="Y19" s="100"/>
      <c r="Z19" s="100"/>
      <c r="AA19" s="232"/>
      <c r="AB19" s="232"/>
      <c r="AC19" s="92">
        <v>7</v>
      </c>
      <c r="AD19" s="93"/>
      <c r="AE19" s="84">
        <f t="shared" si="8"/>
        <v>-77.600000000000819</v>
      </c>
      <c r="AF19" s="86">
        <f t="shared" si="9"/>
        <v>0.96119999999999961</v>
      </c>
      <c r="AG19" s="237">
        <f>AF26</f>
        <v>0.95484470612125627</v>
      </c>
    </row>
    <row r="20" spans="1:33" ht="15.75" customHeight="1">
      <c r="A20" s="258" t="s">
        <v>133</v>
      </c>
      <c r="B20" s="77" t="s">
        <v>113</v>
      </c>
      <c r="C20" s="255" t="s">
        <v>135</v>
      </c>
      <c r="D20" s="255"/>
      <c r="E20" s="77">
        <v>57.73</v>
      </c>
      <c r="F20" s="78">
        <v>2255</v>
      </c>
      <c r="G20" s="62">
        <f t="shared" si="19"/>
        <v>130181.15</v>
      </c>
      <c r="H20" s="79" t="s">
        <v>115</v>
      </c>
      <c r="I20" s="80">
        <v>14</v>
      </c>
      <c r="J20" s="81">
        <v>2000</v>
      </c>
      <c r="K20" s="82">
        <f t="shared" si="1"/>
        <v>142.85714285714286</v>
      </c>
      <c r="L20" s="80">
        <v>14</v>
      </c>
      <c r="M20" s="83">
        <f t="shared" si="20"/>
        <v>1905.6338028169007</v>
      </c>
      <c r="N20" s="82">
        <f t="shared" si="3"/>
        <v>136.11670020120718</v>
      </c>
      <c r="O20" s="84">
        <f t="shared" si="4"/>
        <v>0</v>
      </c>
      <c r="P20" s="85">
        <f t="shared" si="5"/>
        <v>-6.7404426559356807</v>
      </c>
      <c r="Q20" s="86">
        <f t="shared" si="6"/>
        <v>0.95281690140845021</v>
      </c>
      <c r="R20" s="237"/>
      <c r="S20" s="88">
        <v>0.24861111111111114</v>
      </c>
      <c r="T20" s="88">
        <v>0.29791666666666672</v>
      </c>
      <c r="U20" s="62">
        <f t="shared" ref="U20:U25" si="22">IF(S20=TIME(17,0,0),"",(S20-T19)*24*60)</f>
        <v>8.0000000000000107</v>
      </c>
      <c r="V20" s="89">
        <f t="shared" si="21"/>
        <v>71.000000000000028</v>
      </c>
      <c r="W20" s="90"/>
      <c r="X20" s="62"/>
      <c r="Y20" s="62"/>
      <c r="Z20" s="62"/>
      <c r="AA20" s="232"/>
      <c r="AB20" s="232"/>
      <c r="AC20" s="92"/>
      <c r="AD20" s="93"/>
      <c r="AE20" s="84">
        <f t="shared" si="8"/>
        <v>-94.366197183099302</v>
      </c>
      <c r="AF20" s="86">
        <f t="shared" si="9"/>
        <v>0.95281690140845032</v>
      </c>
      <c r="AG20" s="237"/>
    </row>
    <row r="21" spans="1:33" ht="15.75" customHeight="1">
      <c r="A21" s="258" t="s">
        <v>133</v>
      </c>
      <c r="B21" s="77" t="s">
        <v>113</v>
      </c>
      <c r="C21" s="255" t="s">
        <v>136</v>
      </c>
      <c r="D21" s="255"/>
      <c r="E21" s="77">
        <v>53.27</v>
      </c>
      <c r="F21" s="78">
        <v>1425</v>
      </c>
      <c r="G21" s="62">
        <f t="shared" si="19"/>
        <v>75909.75</v>
      </c>
      <c r="H21" s="79" t="s">
        <v>115</v>
      </c>
      <c r="I21" s="80">
        <v>16</v>
      </c>
      <c r="J21" s="81">
        <v>2000</v>
      </c>
      <c r="K21" s="82">
        <f t="shared" si="1"/>
        <v>125</v>
      </c>
      <c r="L21" s="80">
        <v>16</v>
      </c>
      <c r="M21" s="83">
        <f t="shared" si="20"/>
        <v>1900</v>
      </c>
      <c r="N21" s="82">
        <f t="shared" si="3"/>
        <v>118.75</v>
      </c>
      <c r="O21" s="84">
        <f t="shared" si="4"/>
        <v>0</v>
      </c>
      <c r="P21" s="85">
        <f t="shared" si="5"/>
        <v>-6.25</v>
      </c>
      <c r="Q21" s="86">
        <f t="shared" si="6"/>
        <v>0.95</v>
      </c>
      <c r="R21" s="237"/>
      <c r="S21" s="88">
        <v>0.30208333333333337</v>
      </c>
      <c r="T21" s="88">
        <v>0.33333333333333337</v>
      </c>
      <c r="U21" s="62">
        <f t="shared" si="22"/>
        <v>5.9999999999999787</v>
      </c>
      <c r="V21" s="89">
        <f t="shared" si="21"/>
        <v>45</v>
      </c>
      <c r="W21" s="90"/>
      <c r="X21" s="62"/>
      <c r="Y21" s="62"/>
      <c r="Z21" s="62"/>
      <c r="AA21" s="232"/>
      <c r="AB21" s="232"/>
      <c r="AC21" s="92"/>
      <c r="AD21" s="93"/>
      <c r="AE21" s="84">
        <f t="shared" si="8"/>
        <v>-100</v>
      </c>
      <c r="AF21" s="86">
        <f t="shared" si="9"/>
        <v>0.95</v>
      </c>
      <c r="AG21" s="237"/>
    </row>
    <row r="22" spans="1:33" ht="15.75" customHeight="1">
      <c r="A22" s="258" t="s">
        <v>133</v>
      </c>
      <c r="B22" s="77" t="s">
        <v>113</v>
      </c>
      <c r="C22" s="255" t="s">
        <v>137</v>
      </c>
      <c r="D22" s="255"/>
      <c r="E22" s="77">
        <v>57.3</v>
      </c>
      <c r="F22" s="78">
        <v>3048</v>
      </c>
      <c r="G22" s="62">
        <f t="shared" si="19"/>
        <v>174650.4</v>
      </c>
      <c r="H22" s="79" t="s">
        <v>115</v>
      </c>
      <c r="I22" s="80">
        <v>16</v>
      </c>
      <c r="J22" s="81">
        <v>2000</v>
      </c>
      <c r="K22" s="82">
        <f t="shared" si="1"/>
        <v>125</v>
      </c>
      <c r="L22" s="80">
        <v>16</v>
      </c>
      <c r="M22" s="83">
        <f t="shared" si="20"/>
        <v>1905.0000000000007</v>
      </c>
      <c r="N22" s="82">
        <f t="shared" si="3"/>
        <v>119.06250000000004</v>
      </c>
      <c r="O22" s="84">
        <f t="shared" si="4"/>
        <v>0</v>
      </c>
      <c r="P22" s="85">
        <f t="shared" si="5"/>
        <v>-5.9374999999999574</v>
      </c>
      <c r="Q22" s="86">
        <f t="shared" si="6"/>
        <v>0.95250000000000035</v>
      </c>
      <c r="R22" s="237"/>
      <c r="S22" s="88">
        <v>0.33680555555555558</v>
      </c>
      <c r="T22" s="88">
        <v>0.40347222222222223</v>
      </c>
      <c r="U22" s="62">
        <f t="shared" si="22"/>
        <v>4.9999999999999822</v>
      </c>
      <c r="V22" s="89">
        <f t="shared" si="21"/>
        <v>95.999999999999972</v>
      </c>
      <c r="W22" s="90"/>
      <c r="X22" s="62"/>
      <c r="Y22" s="62"/>
      <c r="Z22" s="62"/>
      <c r="AA22" s="232"/>
      <c r="AB22" s="232"/>
      <c r="AC22" s="92"/>
      <c r="AD22" s="93"/>
      <c r="AE22" s="84">
        <f t="shared" si="8"/>
        <v>-94.999999999999318</v>
      </c>
      <c r="AF22" s="86">
        <f t="shared" si="9"/>
        <v>0.95250000000000035</v>
      </c>
      <c r="AG22" s="237"/>
    </row>
    <row r="23" spans="1:33" ht="15.75" customHeight="1">
      <c r="A23" s="258" t="s">
        <v>133</v>
      </c>
      <c r="B23" s="77" t="s">
        <v>113</v>
      </c>
      <c r="C23" s="255" t="s">
        <v>138</v>
      </c>
      <c r="D23" s="255"/>
      <c r="E23" s="77">
        <v>50.49</v>
      </c>
      <c r="F23" s="78">
        <v>1764</v>
      </c>
      <c r="G23" s="62">
        <f t="shared" si="19"/>
        <v>89064.36</v>
      </c>
      <c r="H23" s="79" t="s">
        <v>115</v>
      </c>
      <c r="I23" s="80">
        <v>15</v>
      </c>
      <c r="J23" s="81">
        <v>2000</v>
      </c>
      <c r="K23" s="82">
        <f t="shared" si="1"/>
        <v>133.33333333333334</v>
      </c>
      <c r="L23" s="80">
        <v>15</v>
      </c>
      <c r="M23" s="83">
        <f t="shared" si="20"/>
        <v>1924.3636363636374</v>
      </c>
      <c r="N23" s="82">
        <f t="shared" si="3"/>
        <v>128.29090909090917</v>
      </c>
      <c r="O23" s="84">
        <f t="shared" si="4"/>
        <v>0</v>
      </c>
      <c r="P23" s="85">
        <f t="shared" si="5"/>
        <v>-5.0424242424241754</v>
      </c>
      <c r="Q23" s="86">
        <f t="shared" si="6"/>
        <v>0.96218181818181869</v>
      </c>
      <c r="R23" s="237"/>
      <c r="S23" s="88">
        <v>0.70833333333333337</v>
      </c>
      <c r="T23" s="88">
        <v>0.74652777777777779</v>
      </c>
      <c r="U23" s="62" t="str">
        <f t="shared" si="22"/>
        <v/>
      </c>
      <c r="V23" s="89">
        <f t="shared" si="21"/>
        <v>54.999999999999964</v>
      </c>
      <c r="W23" s="90"/>
      <c r="X23" s="90"/>
      <c r="Y23" s="62"/>
      <c r="Z23" s="62"/>
      <c r="AA23" s="232"/>
      <c r="AB23" s="232"/>
      <c r="AC23" s="92"/>
      <c r="AD23" s="93"/>
      <c r="AE23" s="84">
        <f t="shared" si="8"/>
        <v>-75.636363636362603</v>
      </c>
      <c r="AF23" s="86">
        <f t="shared" si="9"/>
        <v>0.96218181818181869</v>
      </c>
      <c r="AG23" s="237"/>
    </row>
    <row r="24" spans="1:33" ht="15.75" customHeight="1">
      <c r="A24" s="258" t="s">
        <v>133</v>
      </c>
      <c r="B24" s="77" t="s">
        <v>113</v>
      </c>
      <c r="C24" s="255" t="s">
        <v>139</v>
      </c>
      <c r="D24" s="255"/>
      <c r="E24" s="77">
        <v>54.09</v>
      </c>
      <c r="F24" s="78">
        <v>1495</v>
      </c>
      <c r="G24" s="62">
        <f t="shared" si="19"/>
        <v>80864.55</v>
      </c>
      <c r="H24" s="79" t="s">
        <v>115</v>
      </c>
      <c r="I24" s="80">
        <v>18</v>
      </c>
      <c r="J24" s="81">
        <v>2000</v>
      </c>
      <c r="K24" s="82">
        <f t="shared" si="1"/>
        <v>111.11111111111111</v>
      </c>
      <c r="L24" s="80">
        <v>18</v>
      </c>
      <c r="M24" s="83">
        <f t="shared" si="20"/>
        <v>1908.5106382978727</v>
      </c>
      <c r="N24" s="82">
        <f t="shared" si="3"/>
        <v>106.02836879432625</v>
      </c>
      <c r="O24" s="84">
        <f t="shared" si="4"/>
        <v>0</v>
      </c>
      <c r="P24" s="85">
        <f t="shared" si="5"/>
        <v>-5.0827423167848593</v>
      </c>
      <c r="Q24" s="86">
        <f t="shared" si="6"/>
        <v>0.95425531914893624</v>
      </c>
      <c r="R24" s="237"/>
      <c r="S24" s="88">
        <v>0.75069444444444444</v>
      </c>
      <c r="T24" s="88">
        <v>0.78333333333333333</v>
      </c>
      <c r="U24" s="62">
        <f t="shared" si="22"/>
        <v>5.9999999999999787</v>
      </c>
      <c r="V24" s="89">
        <f t="shared" si="21"/>
        <v>46.999999999999993</v>
      </c>
      <c r="W24" s="90"/>
      <c r="X24" s="100"/>
      <c r="Y24" s="100"/>
      <c r="Z24" s="100"/>
      <c r="AA24" s="232"/>
      <c r="AB24" s="232"/>
      <c r="AC24" s="92"/>
      <c r="AD24" s="93"/>
      <c r="AE24" s="84">
        <f t="shared" si="8"/>
        <v>-91.489361702127326</v>
      </c>
      <c r="AF24" s="86">
        <f t="shared" si="9"/>
        <v>0.95425531914893635</v>
      </c>
      <c r="AG24" s="237"/>
    </row>
    <row r="25" spans="1:33" ht="15.75" customHeight="1">
      <c r="A25" s="258" t="s">
        <v>133</v>
      </c>
      <c r="B25" s="77" t="s">
        <v>113</v>
      </c>
      <c r="C25" s="251" t="s">
        <v>140</v>
      </c>
      <c r="D25" s="252"/>
      <c r="E25" s="77">
        <v>50.67</v>
      </c>
      <c r="F25" s="78">
        <v>2314</v>
      </c>
      <c r="G25" s="62">
        <f t="shared" si="19"/>
        <v>117250.38</v>
      </c>
      <c r="H25" s="79" t="s">
        <v>115</v>
      </c>
      <c r="I25" s="80">
        <v>16</v>
      </c>
      <c r="J25" s="81">
        <v>2000</v>
      </c>
      <c r="K25" s="82">
        <f t="shared" si="1"/>
        <v>125</v>
      </c>
      <c r="L25" s="80">
        <v>16</v>
      </c>
      <c r="M25" s="83">
        <f t="shared" si="20"/>
        <v>1901.9178082191768</v>
      </c>
      <c r="N25" s="82">
        <f t="shared" si="3"/>
        <v>118.86986301369855</v>
      </c>
      <c r="O25" s="84">
        <f t="shared" si="4"/>
        <v>0</v>
      </c>
      <c r="P25" s="85">
        <f t="shared" si="5"/>
        <v>-6.1301369863014514</v>
      </c>
      <c r="Q25" s="86">
        <f t="shared" si="6"/>
        <v>0.95095890410958839</v>
      </c>
      <c r="R25" s="237"/>
      <c r="S25" s="88">
        <v>0.78680555555555554</v>
      </c>
      <c r="T25" s="88">
        <v>0.83750000000000002</v>
      </c>
      <c r="U25" s="62">
        <f t="shared" si="22"/>
        <v>4.9999999999999822</v>
      </c>
      <c r="V25" s="89">
        <f t="shared" si="21"/>
        <v>73.000000000000057</v>
      </c>
      <c r="W25" s="90"/>
      <c r="X25" s="100"/>
      <c r="Y25" s="107"/>
      <c r="Z25" s="107"/>
      <c r="AA25" s="227"/>
      <c r="AB25" s="228"/>
      <c r="AC25" s="92"/>
      <c r="AD25" s="93"/>
      <c r="AE25" s="84">
        <f t="shared" si="8"/>
        <v>-98.082191780823223</v>
      </c>
      <c r="AF25" s="86">
        <f t="shared" si="9"/>
        <v>0.95095890410958839</v>
      </c>
      <c r="AG25" s="237"/>
    </row>
    <row r="26" spans="1:33" ht="15.75" customHeight="1">
      <c r="A26" s="258" t="s">
        <v>133</v>
      </c>
      <c r="B26" s="77" t="s">
        <v>119</v>
      </c>
      <c r="C26" s="238"/>
      <c r="D26" s="238"/>
      <c r="E26" s="96"/>
      <c r="F26" s="78"/>
      <c r="G26" s="62"/>
      <c r="H26" s="78"/>
      <c r="I26" s="98">
        <v>16</v>
      </c>
      <c r="J26" s="81">
        <v>2000</v>
      </c>
      <c r="K26" s="82">
        <f t="shared" si="1"/>
        <v>125</v>
      </c>
      <c r="L26" s="98">
        <v>16</v>
      </c>
      <c r="M26" s="83">
        <f>AVERAGE(M19:M25)</f>
        <v>1909.6894122425126</v>
      </c>
      <c r="N26" s="82">
        <f t="shared" si="3"/>
        <v>119.35558826515704</v>
      </c>
      <c r="O26" s="84">
        <f t="shared" si="4"/>
        <v>0</v>
      </c>
      <c r="P26" s="85">
        <f t="shared" si="5"/>
        <v>-5.6444117348429614</v>
      </c>
      <c r="Q26" s="86">
        <f t="shared" si="6"/>
        <v>0.95484470612125627</v>
      </c>
      <c r="R26" s="237"/>
      <c r="S26" s="88"/>
      <c r="T26" s="88"/>
      <c r="U26" s="82"/>
      <c r="V26" s="89"/>
      <c r="W26" s="82"/>
      <c r="X26" s="82"/>
      <c r="Y26" s="99">
        <f>SUM(Y19:Y25)</f>
        <v>0</v>
      </c>
      <c r="Z26" s="99">
        <f>SUM(Z19:Z25)</f>
        <v>0</v>
      </c>
      <c r="AA26" s="231"/>
      <c r="AB26" s="231"/>
      <c r="AC26" s="99">
        <v>7</v>
      </c>
      <c r="AD26" s="99">
        <f>SUM(AD19:AD25)</f>
        <v>0</v>
      </c>
      <c r="AE26" s="84">
        <f t="shared" si="8"/>
        <v>-90.310587757487383</v>
      </c>
      <c r="AF26" s="86">
        <f t="shared" si="9"/>
        <v>0.95484470612125627</v>
      </c>
      <c r="AG26" s="237"/>
    </row>
    <row r="27" spans="1:33" ht="15.75" customHeight="1">
      <c r="A27" s="256" t="s">
        <v>141</v>
      </c>
      <c r="B27" s="77" t="s">
        <v>142</v>
      </c>
      <c r="C27" s="255" t="s">
        <v>143</v>
      </c>
      <c r="D27" s="255"/>
      <c r="E27" s="77">
        <v>31.29</v>
      </c>
      <c r="F27" s="78">
        <v>3700</v>
      </c>
      <c r="G27" s="62">
        <f t="shared" ref="G27:G34" si="23">E27*F27</f>
        <v>115773</v>
      </c>
      <c r="H27" s="79">
        <v>2</v>
      </c>
      <c r="I27" s="80">
        <v>18</v>
      </c>
      <c r="J27" s="81">
        <v>2400</v>
      </c>
      <c r="K27" s="82">
        <f t="shared" si="1"/>
        <v>133.33333333333334</v>
      </c>
      <c r="L27" s="80">
        <v>18</v>
      </c>
      <c r="M27" s="83">
        <f t="shared" ref="M27:M34" si="24">F27/V27*60</f>
        <v>2288.6597938144328</v>
      </c>
      <c r="N27" s="82">
        <f t="shared" si="3"/>
        <v>127.14776632302404</v>
      </c>
      <c r="O27" s="84">
        <f t="shared" si="4"/>
        <v>0</v>
      </c>
      <c r="P27" s="85">
        <f t="shared" si="5"/>
        <v>-6.185567010309299</v>
      </c>
      <c r="Q27" s="86">
        <f t="shared" si="6"/>
        <v>0.95360824742268024</v>
      </c>
      <c r="R27" s="237">
        <f>Q35</f>
        <v>0.96033428387825082</v>
      </c>
      <c r="S27" s="88">
        <v>8.3333333333333329E-2</v>
      </c>
      <c r="T27" s="88">
        <v>0.15069444444444444</v>
      </c>
      <c r="U27" s="62"/>
      <c r="V27" s="89">
        <f t="shared" ref="V27:V34" si="25">(T27-S27)*24*60</f>
        <v>97</v>
      </c>
      <c r="W27" s="90">
        <f>T27</f>
        <v>0.15069444444444444</v>
      </c>
      <c r="X27" s="90">
        <f>S28</f>
        <v>0.16874999999999998</v>
      </c>
      <c r="Y27" s="90"/>
      <c r="Z27" s="90"/>
      <c r="AA27" s="232"/>
      <c r="AB27" s="232"/>
      <c r="AC27" s="92">
        <v>8</v>
      </c>
      <c r="AD27" s="93"/>
      <c r="AE27" s="84">
        <f t="shared" si="8"/>
        <v>-111.34020618556724</v>
      </c>
      <c r="AF27" s="86">
        <f t="shared" si="9"/>
        <v>0.95360824742268036</v>
      </c>
      <c r="AG27" s="237">
        <f>AF35</f>
        <v>0.96033428387825093</v>
      </c>
    </row>
    <row r="28" spans="1:33" ht="15.75" customHeight="1">
      <c r="A28" s="256" t="s">
        <v>141</v>
      </c>
      <c r="B28" s="77" t="s">
        <v>142</v>
      </c>
      <c r="C28" s="255" t="s">
        <v>144</v>
      </c>
      <c r="D28" s="255"/>
      <c r="E28" s="77">
        <v>26.37</v>
      </c>
      <c r="F28" s="78">
        <v>6384</v>
      </c>
      <c r="G28" s="62">
        <f t="shared" si="23"/>
        <v>168346.08000000002</v>
      </c>
      <c r="H28" s="79" t="s">
        <v>115</v>
      </c>
      <c r="I28" s="80">
        <v>18</v>
      </c>
      <c r="J28" s="81">
        <v>2400</v>
      </c>
      <c r="K28" s="82">
        <f t="shared" si="1"/>
        <v>133.33333333333334</v>
      </c>
      <c r="L28" s="80">
        <v>18</v>
      </c>
      <c r="M28" s="83">
        <f t="shared" si="24"/>
        <v>2293.6526946107783</v>
      </c>
      <c r="N28" s="82">
        <f t="shared" si="3"/>
        <v>127.42514970059879</v>
      </c>
      <c r="O28" s="84">
        <f t="shared" si="4"/>
        <v>0</v>
      </c>
      <c r="P28" s="85">
        <f t="shared" si="5"/>
        <v>-5.9081836327345485</v>
      </c>
      <c r="Q28" s="86">
        <f t="shared" si="6"/>
        <v>0.95568862275449085</v>
      </c>
      <c r="R28" s="237"/>
      <c r="S28" s="88">
        <v>0.16874999999999998</v>
      </c>
      <c r="T28" s="88">
        <v>0.28472222222222221</v>
      </c>
      <c r="U28" s="62">
        <f t="shared" ref="U28:U34" si="26">(S28-T27)*24*60</f>
        <v>25.999999999999986</v>
      </c>
      <c r="V28" s="89">
        <f t="shared" si="25"/>
        <v>167</v>
      </c>
      <c r="W28" s="90"/>
      <c r="X28" s="90"/>
      <c r="Y28" s="90"/>
      <c r="Z28" s="90"/>
      <c r="AA28" s="232"/>
      <c r="AB28" s="232"/>
      <c r="AC28" s="92"/>
      <c r="AD28" s="93"/>
      <c r="AE28" s="84">
        <f t="shared" si="8"/>
        <v>-106.34730538922167</v>
      </c>
      <c r="AF28" s="86">
        <f t="shared" si="9"/>
        <v>0.95568862275449096</v>
      </c>
      <c r="AG28" s="237"/>
    </row>
    <row r="29" spans="1:33" ht="15.75" customHeight="1">
      <c r="A29" s="256" t="s">
        <v>141</v>
      </c>
      <c r="B29" s="77" t="s">
        <v>142</v>
      </c>
      <c r="C29" s="255" t="s">
        <v>145</v>
      </c>
      <c r="D29" s="255"/>
      <c r="E29" s="77">
        <v>24.43</v>
      </c>
      <c r="F29" s="78">
        <v>4100</v>
      </c>
      <c r="G29" s="62">
        <f t="shared" si="23"/>
        <v>100163</v>
      </c>
      <c r="H29" s="79">
        <v>2</v>
      </c>
      <c r="I29" s="80">
        <v>14</v>
      </c>
      <c r="J29" s="81">
        <v>2400</v>
      </c>
      <c r="K29" s="82">
        <f t="shared" si="1"/>
        <v>171.42857142857142</v>
      </c>
      <c r="L29" s="80">
        <v>14</v>
      </c>
      <c r="M29" s="83">
        <f t="shared" si="24"/>
        <v>2299.0654205607475</v>
      </c>
      <c r="N29" s="82">
        <f t="shared" si="3"/>
        <v>164.21895861148195</v>
      </c>
      <c r="O29" s="84">
        <f t="shared" si="4"/>
        <v>0</v>
      </c>
      <c r="P29" s="85">
        <f t="shared" si="5"/>
        <v>-7.2096128170894644</v>
      </c>
      <c r="Q29" s="86">
        <f t="shared" si="6"/>
        <v>0.9579439252336448</v>
      </c>
      <c r="R29" s="237"/>
      <c r="S29" s="88">
        <v>0.28888888888888886</v>
      </c>
      <c r="T29" s="88">
        <v>0.36319444444444443</v>
      </c>
      <c r="U29" s="62">
        <f t="shared" si="26"/>
        <v>5.9999999999999787</v>
      </c>
      <c r="V29" s="89">
        <f t="shared" si="25"/>
        <v>107.00000000000001</v>
      </c>
      <c r="W29" s="90"/>
      <c r="X29" s="90"/>
      <c r="Y29" s="90"/>
      <c r="Z29" s="90"/>
      <c r="AA29" s="232"/>
      <c r="AB29" s="232"/>
      <c r="AC29" s="92"/>
      <c r="AD29" s="93"/>
      <c r="AE29" s="84">
        <f t="shared" si="8"/>
        <v>-100.9345794392525</v>
      </c>
      <c r="AF29" s="86">
        <f t="shared" si="9"/>
        <v>0.9579439252336448</v>
      </c>
      <c r="AG29" s="237"/>
    </row>
    <row r="30" spans="1:33" ht="15.75" customHeight="1">
      <c r="A30" s="256" t="s">
        <v>141</v>
      </c>
      <c r="B30" s="77" t="s">
        <v>142</v>
      </c>
      <c r="C30" s="255" t="s">
        <v>146</v>
      </c>
      <c r="D30" s="255"/>
      <c r="E30" s="77">
        <v>25.98</v>
      </c>
      <c r="F30" s="78">
        <v>3855</v>
      </c>
      <c r="G30" s="62">
        <f t="shared" si="23"/>
        <v>100152.90000000001</v>
      </c>
      <c r="H30" s="79" t="s">
        <v>115</v>
      </c>
      <c r="I30" s="80">
        <v>19</v>
      </c>
      <c r="J30" s="81">
        <v>2400</v>
      </c>
      <c r="K30" s="82">
        <f t="shared" si="1"/>
        <v>126.31578947368421</v>
      </c>
      <c r="L30" s="80">
        <v>19</v>
      </c>
      <c r="M30" s="83">
        <f t="shared" si="24"/>
        <v>2290.0990099009891</v>
      </c>
      <c r="N30" s="82">
        <f t="shared" si="3"/>
        <v>120.53152683689416</v>
      </c>
      <c r="O30" s="84">
        <f t="shared" si="4"/>
        <v>0</v>
      </c>
      <c r="P30" s="85">
        <f t="shared" si="5"/>
        <v>-5.7842626367900465</v>
      </c>
      <c r="Q30" s="86">
        <f t="shared" si="6"/>
        <v>0.95420792079207883</v>
      </c>
      <c r="R30" s="237"/>
      <c r="S30" s="88">
        <v>0.36805555555555552</v>
      </c>
      <c r="T30" s="88">
        <v>0.43819444444444444</v>
      </c>
      <c r="U30" s="62">
        <f t="shared" si="26"/>
        <v>6.9999999999999751</v>
      </c>
      <c r="V30" s="89">
        <f t="shared" si="25"/>
        <v>101.00000000000004</v>
      </c>
      <c r="W30" s="90"/>
      <c r="X30" s="90"/>
      <c r="Y30" s="90"/>
      <c r="Z30" s="90"/>
      <c r="AA30" s="232"/>
      <c r="AB30" s="232"/>
      <c r="AC30" s="92"/>
      <c r="AD30" s="93"/>
      <c r="AE30" s="84">
        <f t="shared" si="8"/>
        <v>-109.90099009901087</v>
      </c>
      <c r="AF30" s="86">
        <f t="shared" si="9"/>
        <v>0.95420792079207883</v>
      </c>
      <c r="AG30" s="237"/>
    </row>
    <row r="31" spans="1:33" ht="15.75" customHeight="1">
      <c r="A31" s="256" t="s">
        <v>147</v>
      </c>
      <c r="B31" s="77" t="s">
        <v>142</v>
      </c>
      <c r="C31" s="255" t="s">
        <v>148</v>
      </c>
      <c r="D31" s="255"/>
      <c r="E31" s="77">
        <v>25.99</v>
      </c>
      <c r="F31" s="78">
        <v>1287</v>
      </c>
      <c r="G31" s="62">
        <f t="shared" si="23"/>
        <v>33449.129999999997</v>
      </c>
      <c r="H31" s="79" t="s">
        <v>115</v>
      </c>
      <c r="I31" s="80">
        <v>18</v>
      </c>
      <c r="J31" s="81">
        <v>2400</v>
      </c>
      <c r="K31" s="82">
        <f t="shared" si="1"/>
        <v>133.33333333333334</v>
      </c>
      <c r="L31" s="80">
        <v>18</v>
      </c>
      <c r="M31" s="83">
        <f t="shared" si="24"/>
        <v>2339.9999999999968</v>
      </c>
      <c r="N31" s="82">
        <f t="shared" si="3"/>
        <v>129.99999999999983</v>
      </c>
      <c r="O31" s="84">
        <f t="shared" si="4"/>
        <v>0</v>
      </c>
      <c r="P31" s="85">
        <f t="shared" si="5"/>
        <v>-3.3333333333335133</v>
      </c>
      <c r="Q31" s="86">
        <f t="shared" si="6"/>
        <v>0.97499999999999865</v>
      </c>
      <c r="R31" s="237"/>
      <c r="S31" s="88">
        <v>0.44305555555555554</v>
      </c>
      <c r="T31" s="88">
        <v>0.46597222222222223</v>
      </c>
      <c r="U31" s="62">
        <f t="shared" si="26"/>
        <v>6.9999999999999751</v>
      </c>
      <c r="V31" s="89">
        <f t="shared" si="25"/>
        <v>33.000000000000043</v>
      </c>
      <c r="W31" s="90"/>
      <c r="X31" s="90"/>
      <c r="Y31" s="90"/>
      <c r="Z31" s="90"/>
      <c r="AA31" s="232"/>
      <c r="AB31" s="232"/>
      <c r="AC31" s="92"/>
      <c r="AD31" s="93"/>
      <c r="AE31" s="84">
        <f t="shared" si="8"/>
        <v>-60.000000000003183</v>
      </c>
      <c r="AF31" s="86">
        <f t="shared" si="9"/>
        <v>0.97499999999999865</v>
      </c>
      <c r="AG31" s="237"/>
    </row>
    <row r="32" spans="1:33" ht="15.75" customHeight="1">
      <c r="A32" s="256" t="s">
        <v>141</v>
      </c>
      <c r="B32" s="77" t="s">
        <v>142</v>
      </c>
      <c r="C32" s="255" t="s">
        <v>149</v>
      </c>
      <c r="D32" s="255"/>
      <c r="E32" s="77">
        <v>24.25</v>
      </c>
      <c r="F32" s="78">
        <v>1436</v>
      </c>
      <c r="G32" s="62">
        <f t="shared" si="23"/>
        <v>34823</v>
      </c>
      <c r="H32" s="79" t="s">
        <v>115</v>
      </c>
      <c r="I32" s="80">
        <v>16</v>
      </c>
      <c r="J32" s="81">
        <v>2400</v>
      </c>
      <c r="K32" s="82">
        <f t="shared" si="1"/>
        <v>150</v>
      </c>
      <c r="L32" s="80">
        <v>16</v>
      </c>
      <c r="M32" s="83">
        <f t="shared" si="24"/>
        <v>2328.6486486486465</v>
      </c>
      <c r="N32" s="82">
        <f t="shared" si="3"/>
        <v>145.54054054054041</v>
      </c>
      <c r="O32" s="84">
        <f t="shared" si="4"/>
        <v>0</v>
      </c>
      <c r="P32" s="85">
        <f t="shared" si="5"/>
        <v>-4.4594594594595947</v>
      </c>
      <c r="Q32" s="86">
        <f t="shared" si="6"/>
        <v>0.97027027027026935</v>
      </c>
      <c r="R32" s="237"/>
      <c r="S32" s="88">
        <v>0.47152777777777777</v>
      </c>
      <c r="T32" s="88">
        <v>0.49722222222222223</v>
      </c>
      <c r="U32" s="62">
        <f t="shared" si="26"/>
        <v>7.9999999999999716</v>
      </c>
      <c r="V32" s="89">
        <f t="shared" si="25"/>
        <v>37.000000000000028</v>
      </c>
      <c r="W32" s="90">
        <f>T32</f>
        <v>0.49722222222222223</v>
      </c>
      <c r="X32" s="90">
        <f>S33</f>
        <v>0.53749999999999998</v>
      </c>
      <c r="Y32" s="90"/>
      <c r="Z32" s="90"/>
      <c r="AA32" s="232"/>
      <c r="AB32" s="232"/>
      <c r="AC32" s="92"/>
      <c r="AD32" s="93"/>
      <c r="AE32" s="84">
        <f t="shared" si="8"/>
        <v>-71.351351351353514</v>
      </c>
      <c r="AF32" s="86">
        <f t="shared" si="9"/>
        <v>0.97027027027026935</v>
      </c>
      <c r="AG32" s="237"/>
    </row>
    <row r="33" spans="1:33" ht="15.75" customHeight="1">
      <c r="A33" s="256" t="s">
        <v>141</v>
      </c>
      <c r="B33" s="77" t="s">
        <v>142</v>
      </c>
      <c r="C33" s="255" t="s">
        <v>143</v>
      </c>
      <c r="D33" s="255"/>
      <c r="E33" s="77">
        <v>31.29</v>
      </c>
      <c r="F33" s="78">
        <v>5175</v>
      </c>
      <c r="G33" s="62">
        <f t="shared" si="23"/>
        <v>161925.75</v>
      </c>
      <c r="H33" s="79" t="s">
        <v>115</v>
      </c>
      <c r="I33" s="80">
        <v>18</v>
      </c>
      <c r="J33" s="81">
        <v>2400</v>
      </c>
      <c r="K33" s="82">
        <f t="shared" si="1"/>
        <v>133.33333333333334</v>
      </c>
      <c r="L33" s="80">
        <v>18</v>
      </c>
      <c r="M33" s="83">
        <f t="shared" si="24"/>
        <v>2300</v>
      </c>
      <c r="N33" s="82">
        <f t="shared" si="3"/>
        <v>127.77777777777777</v>
      </c>
      <c r="O33" s="84">
        <f t="shared" si="4"/>
        <v>0</v>
      </c>
      <c r="P33" s="85">
        <f t="shared" si="5"/>
        <v>-5.5555555555555713</v>
      </c>
      <c r="Q33" s="86">
        <f t="shared" si="6"/>
        <v>0.95833333333333326</v>
      </c>
      <c r="R33" s="237"/>
      <c r="S33" s="88">
        <v>0.53749999999999998</v>
      </c>
      <c r="T33" s="88">
        <v>0.63124999999999998</v>
      </c>
      <c r="U33" s="62">
        <f t="shared" si="26"/>
        <v>57.999999999999957</v>
      </c>
      <c r="V33" s="89">
        <f t="shared" si="25"/>
        <v>135</v>
      </c>
      <c r="W33" s="90"/>
      <c r="X33" s="90"/>
      <c r="Y33" s="90"/>
      <c r="Z33" s="90"/>
      <c r="AA33" s="232"/>
      <c r="AB33" s="232"/>
      <c r="AC33" s="92"/>
      <c r="AD33" s="93"/>
      <c r="AE33" s="84">
        <f t="shared" si="8"/>
        <v>-100</v>
      </c>
      <c r="AF33" s="86">
        <f t="shared" si="9"/>
        <v>0.95833333333333337</v>
      </c>
      <c r="AG33" s="237"/>
    </row>
    <row r="34" spans="1:33" ht="15.75" customHeight="1">
      <c r="A34" s="256" t="s">
        <v>141</v>
      </c>
      <c r="B34" s="77" t="s">
        <v>142</v>
      </c>
      <c r="C34" s="101" t="s">
        <v>145</v>
      </c>
      <c r="D34" s="102"/>
      <c r="E34" s="77">
        <v>24.43</v>
      </c>
      <c r="F34" s="78">
        <v>3141</v>
      </c>
      <c r="G34" s="62">
        <f t="shared" si="23"/>
        <v>76734.63</v>
      </c>
      <c r="H34" s="79" t="s">
        <v>115</v>
      </c>
      <c r="I34" s="80">
        <v>14</v>
      </c>
      <c r="J34" s="81">
        <v>2400</v>
      </c>
      <c r="K34" s="82">
        <f t="shared" si="1"/>
        <v>171.42857142857142</v>
      </c>
      <c r="L34" s="80">
        <v>14</v>
      </c>
      <c r="M34" s="83">
        <f t="shared" si="24"/>
        <v>2298.2926829268285</v>
      </c>
      <c r="N34" s="82">
        <f t="shared" si="3"/>
        <v>164.16376306620205</v>
      </c>
      <c r="O34" s="84">
        <f t="shared" si="4"/>
        <v>0</v>
      </c>
      <c r="P34" s="85">
        <f t="shared" si="5"/>
        <v>-7.2648083623693651</v>
      </c>
      <c r="Q34" s="86">
        <f t="shared" si="6"/>
        <v>0.95762195121951199</v>
      </c>
      <c r="R34" s="237"/>
      <c r="S34" s="88">
        <v>0.63611111111111107</v>
      </c>
      <c r="T34" s="88">
        <v>0.69305555555555554</v>
      </c>
      <c r="U34" s="62">
        <f t="shared" si="26"/>
        <v>6.9999999999999751</v>
      </c>
      <c r="V34" s="89">
        <f t="shared" si="25"/>
        <v>82.000000000000028</v>
      </c>
      <c r="W34" s="90"/>
      <c r="X34" s="90"/>
      <c r="Y34" s="90"/>
      <c r="Z34" s="90"/>
      <c r="AA34" s="103"/>
      <c r="AB34" s="104"/>
      <c r="AC34" s="92"/>
      <c r="AD34" s="93"/>
      <c r="AE34" s="84">
        <f t="shared" si="8"/>
        <v>-101.70731707317145</v>
      </c>
      <c r="AF34" s="86">
        <f t="shared" si="9"/>
        <v>0.95762195121951188</v>
      </c>
      <c r="AG34" s="237"/>
    </row>
    <row r="35" spans="1:33" ht="15.75" customHeight="1">
      <c r="A35" s="256" t="s">
        <v>141</v>
      </c>
      <c r="B35" s="77" t="s">
        <v>119</v>
      </c>
      <c r="C35" s="238"/>
      <c r="D35" s="238"/>
      <c r="E35" s="96"/>
      <c r="F35" s="78"/>
      <c r="G35" s="62"/>
      <c r="H35" s="78"/>
      <c r="I35" s="98">
        <v>16.875</v>
      </c>
      <c r="J35" s="81">
        <v>2400</v>
      </c>
      <c r="K35" s="82">
        <f t="shared" si="1"/>
        <v>142.22222222222223</v>
      </c>
      <c r="L35" s="98">
        <v>16.875</v>
      </c>
      <c r="M35" s="83">
        <f>AVERAGE(M27:M34)</f>
        <v>2304.8022813078023</v>
      </c>
      <c r="N35" s="82">
        <f t="shared" si="3"/>
        <v>136.58087592935124</v>
      </c>
      <c r="O35" s="84">
        <f t="shared" si="4"/>
        <v>0</v>
      </c>
      <c r="P35" s="85">
        <f t="shared" si="5"/>
        <v>-5.6413462928709919</v>
      </c>
      <c r="Q35" s="86">
        <f t="shared" si="6"/>
        <v>0.96033428387825082</v>
      </c>
      <c r="R35" s="237"/>
      <c r="S35" s="88"/>
      <c r="T35" s="88"/>
      <c r="U35" s="62"/>
      <c r="V35" s="89"/>
      <c r="W35" s="62"/>
      <c r="X35" s="62"/>
      <c r="Y35" s="99">
        <f>SUM(Y27:Y34)</f>
        <v>0</v>
      </c>
      <c r="Z35" s="99">
        <f>SUM(Z27:Z34)</f>
        <v>0</v>
      </c>
      <c r="AA35" s="231"/>
      <c r="AB35" s="231"/>
      <c r="AC35" s="99">
        <v>8</v>
      </c>
      <c r="AD35" s="99">
        <f>SUM(AD27:AD34)</f>
        <v>0</v>
      </c>
      <c r="AE35" s="84">
        <f t="shared" si="8"/>
        <v>-95.197718692197668</v>
      </c>
      <c r="AF35" s="86">
        <f t="shared" si="9"/>
        <v>0.96033428387825093</v>
      </c>
      <c r="AG35" s="237"/>
    </row>
    <row r="36" spans="1:33" ht="15.75" customHeight="1">
      <c r="A36" s="253" t="s">
        <v>150</v>
      </c>
      <c r="B36" s="77" t="s">
        <v>142</v>
      </c>
      <c r="C36" s="233" t="s">
        <v>151</v>
      </c>
      <c r="D36" s="233"/>
      <c r="E36" s="77">
        <v>26.18</v>
      </c>
      <c r="F36" s="78">
        <v>6091</v>
      </c>
      <c r="G36" s="62">
        <f t="shared" ref="G36:G42" si="27">E36*F36</f>
        <v>159462.38</v>
      </c>
      <c r="H36" s="79" t="s">
        <v>115</v>
      </c>
      <c r="I36" s="80">
        <v>20</v>
      </c>
      <c r="J36" s="81">
        <v>2400</v>
      </c>
      <c r="K36" s="82">
        <f t="shared" si="1"/>
        <v>120</v>
      </c>
      <c r="L36" s="80">
        <v>20</v>
      </c>
      <c r="M36" s="83">
        <f t="shared" ref="M36:M42" si="28">F36/V36*60</f>
        <v>2284.1250000000005</v>
      </c>
      <c r="N36" s="82">
        <f t="shared" si="3"/>
        <v>114.20625000000003</v>
      </c>
      <c r="O36" s="84">
        <f t="shared" si="4"/>
        <v>0</v>
      </c>
      <c r="P36" s="85">
        <f t="shared" si="5"/>
        <v>-5.7937499999999744</v>
      </c>
      <c r="Q36" s="86">
        <f t="shared" si="6"/>
        <v>0.95171875000000017</v>
      </c>
      <c r="R36" s="237">
        <f>Q43</f>
        <v>0.95694089508099034</v>
      </c>
      <c r="S36" s="88">
        <v>8.3333333333333329E-2</v>
      </c>
      <c r="T36" s="88">
        <v>0.19444444444444442</v>
      </c>
      <c r="U36" s="62"/>
      <c r="V36" s="89">
        <f t="shared" ref="V36:V42" si="29">(T36-S36)*24*60</f>
        <v>159.99999999999997</v>
      </c>
      <c r="W36" s="100">
        <f>T36</f>
        <v>0.19444444444444442</v>
      </c>
      <c r="X36" s="100">
        <f>S37</f>
        <v>0.2159722222222222</v>
      </c>
      <c r="Y36" s="100"/>
      <c r="Z36" s="100"/>
      <c r="AA36" s="232"/>
      <c r="AB36" s="232"/>
      <c r="AC36" s="92">
        <v>7</v>
      </c>
      <c r="AD36" s="93"/>
      <c r="AE36" s="84">
        <f t="shared" si="8"/>
        <v>-115.87499999999955</v>
      </c>
      <c r="AF36" s="86">
        <f t="shared" si="9"/>
        <v>0.95171875000000017</v>
      </c>
      <c r="AG36" s="237">
        <f>AF43</f>
        <v>0.95694089508099023</v>
      </c>
    </row>
    <row r="37" spans="1:33" ht="15.75" customHeight="1">
      <c r="A37" s="253" t="s">
        <v>150</v>
      </c>
      <c r="B37" s="77" t="s">
        <v>142</v>
      </c>
      <c r="C37" s="233" t="s">
        <v>152</v>
      </c>
      <c r="D37" s="233"/>
      <c r="E37" s="77">
        <v>26.18</v>
      </c>
      <c r="F37" s="78">
        <v>3100</v>
      </c>
      <c r="G37" s="62">
        <f t="shared" si="27"/>
        <v>81158</v>
      </c>
      <c r="H37" s="79">
        <v>2</v>
      </c>
      <c r="I37" s="80">
        <v>18</v>
      </c>
      <c r="J37" s="81">
        <v>2400</v>
      </c>
      <c r="K37" s="82">
        <f t="shared" si="1"/>
        <v>133.33333333333334</v>
      </c>
      <c r="L37" s="80">
        <v>18</v>
      </c>
      <c r="M37" s="83">
        <f t="shared" si="28"/>
        <v>2296.296296296297</v>
      </c>
      <c r="N37" s="82">
        <f t="shared" si="3"/>
        <v>127.57201646090539</v>
      </c>
      <c r="O37" s="84">
        <f t="shared" si="4"/>
        <v>0</v>
      </c>
      <c r="P37" s="85">
        <f t="shared" si="5"/>
        <v>-5.7613168724279546</v>
      </c>
      <c r="Q37" s="86">
        <f t="shared" si="6"/>
        <v>0.95679012345679038</v>
      </c>
      <c r="R37" s="237"/>
      <c r="S37" s="88">
        <v>0.2159722222222222</v>
      </c>
      <c r="T37" s="88">
        <v>0.2722222222222222</v>
      </c>
      <c r="U37" s="62">
        <f t="shared" ref="U37:U42" si="30">(S37-T36)*24*60</f>
        <v>31.000000000000011</v>
      </c>
      <c r="V37" s="89">
        <f t="shared" si="29"/>
        <v>80.999999999999986</v>
      </c>
      <c r="W37" s="62"/>
      <c r="X37" s="62"/>
      <c r="Y37" s="62"/>
      <c r="Z37" s="62"/>
      <c r="AA37" s="232"/>
      <c r="AB37" s="232"/>
      <c r="AC37" s="92"/>
      <c r="AD37" s="93"/>
      <c r="AE37" s="84">
        <f t="shared" si="8"/>
        <v>-103.70370370370301</v>
      </c>
      <c r="AF37" s="86">
        <f t="shared" si="9"/>
        <v>0.95679012345679038</v>
      </c>
      <c r="AG37" s="237"/>
    </row>
    <row r="38" spans="1:33">
      <c r="A38" s="254" t="s">
        <v>150</v>
      </c>
      <c r="B38" s="77" t="s">
        <v>142</v>
      </c>
      <c r="C38" s="233" t="s">
        <v>153</v>
      </c>
      <c r="D38" s="233"/>
      <c r="E38" s="77">
        <v>34.1</v>
      </c>
      <c r="F38" s="78">
        <v>3400</v>
      </c>
      <c r="G38" s="62">
        <f t="shared" si="27"/>
        <v>115940</v>
      </c>
      <c r="H38" s="79">
        <v>2</v>
      </c>
      <c r="I38" s="80">
        <v>17</v>
      </c>
      <c r="J38" s="81">
        <v>1600</v>
      </c>
      <c r="K38" s="82">
        <f t="shared" si="1"/>
        <v>94.117647058823536</v>
      </c>
      <c r="L38" s="80">
        <v>17</v>
      </c>
      <c r="M38" s="83">
        <f t="shared" si="28"/>
        <v>1533.8345864661655</v>
      </c>
      <c r="N38" s="82">
        <f t="shared" si="3"/>
        <v>90.225563909774451</v>
      </c>
      <c r="O38" s="84">
        <f t="shared" si="4"/>
        <v>0</v>
      </c>
      <c r="P38" s="85">
        <f t="shared" si="5"/>
        <v>-3.8920831490490855</v>
      </c>
      <c r="Q38" s="86">
        <f t="shared" si="6"/>
        <v>0.95864661654135352</v>
      </c>
      <c r="R38" s="237"/>
      <c r="S38" s="88">
        <v>0.27777777777777773</v>
      </c>
      <c r="T38" s="88">
        <v>0.37013888888888885</v>
      </c>
      <c r="U38" s="62">
        <f t="shared" si="30"/>
        <v>7.9999999999999716</v>
      </c>
      <c r="V38" s="89">
        <f t="shared" si="29"/>
        <v>133</v>
      </c>
      <c r="W38" s="62"/>
      <c r="X38" s="62"/>
      <c r="Y38" s="62"/>
      <c r="Z38" s="62"/>
      <c r="AA38" s="232"/>
      <c r="AB38" s="232"/>
      <c r="AC38" s="92"/>
      <c r="AD38" s="93"/>
      <c r="AE38" s="84">
        <f t="shared" si="8"/>
        <v>-66.165413533834453</v>
      </c>
      <c r="AF38" s="86">
        <f t="shared" si="9"/>
        <v>0.95864661654135341</v>
      </c>
      <c r="AG38" s="237"/>
    </row>
    <row r="39" spans="1:33">
      <c r="A39" s="254" t="s">
        <v>150</v>
      </c>
      <c r="B39" s="77" t="s">
        <v>142</v>
      </c>
      <c r="C39" s="233" t="s">
        <v>154</v>
      </c>
      <c r="D39" s="233"/>
      <c r="E39" s="77">
        <v>25.99</v>
      </c>
      <c r="F39" s="78">
        <v>3787</v>
      </c>
      <c r="G39" s="62">
        <f t="shared" si="27"/>
        <v>98424.12999999999</v>
      </c>
      <c r="H39" s="79" t="s">
        <v>115</v>
      </c>
      <c r="I39" s="80">
        <v>14</v>
      </c>
      <c r="J39" s="81">
        <v>2400</v>
      </c>
      <c r="K39" s="82">
        <f t="shared" si="1"/>
        <v>171.42857142857142</v>
      </c>
      <c r="L39" s="80">
        <v>14</v>
      </c>
      <c r="M39" s="83">
        <f t="shared" si="28"/>
        <v>2295.1515151515159</v>
      </c>
      <c r="N39" s="82">
        <f t="shared" si="3"/>
        <v>163.93939393939399</v>
      </c>
      <c r="O39" s="84">
        <f t="shared" si="4"/>
        <v>0</v>
      </c>
      <c r="P39" s="85">
        <f t="shared" si="5"/>
        <v>-7.4891774891774219</v>
      </c>
      <c r="Q39" s="86">
        <f t="shared" si="6"/>
        <v>0.95631313131313167</v>
      </c>
      <c r="R39" s="237"/>
      <c r="S39" s="88">
        <v>0.3743055555555555</v>
      </c>
      <c r="T39" s="88">
        <v>0.44305555555555548</v>
      </c>
      <c r="U39" s="62">
        <f t="shared" si="30"/>
        <v>5.9999999999999787</v>
      </c>
      <c r="V39" s="89">
        <f t="shared" si="29"/>
        <v>98.999999999999972</v>
      </c>
      <c r="W39" s="90"/>
      <c r="X39" s="90"/>
      <c r="Y39" s="90"/>
      <c r="Z39" s="90"/>
      <c r="AA39" s="232"/>
      <c r="AB39" s="232"/>
      <c r="AC39" s="92"/>
      <c r="AD39" s="93"/>
      <c r="AE39" s="84">
        <f t="shared" si="8"/>
        <v>-104.84848484848408</v>
      </c>
      <c r="AF39" s="86">
        <f t="shared" si="9"/>
        <v>0.95631313131313167</v>
      </c>
      <c r="AG39" s="237"/>
    </row>
    <row r="40" spans="1:33">
      <c r="A40" s="254" t="s">
        <v>150</v>
      </c>
      <c r="B40" s="77" t="s">
        <v>142</v>
      </c>
      <c r="C40" s="233" t="s">
        <v>155</v>
      </c>
      <c r="D40" s="233"/>
      <c r="E40" s="77">
        <v>23.89</v>
      </c>
      <c r="F40" s="78">
        <v>2471</v>
      </c>
      <c r="G40" s="62">
        <f t="shared" si="27"/>
        <v>59032.19</v>
      </c>
      <c r="H40" s="79" t="s">
        <v>115</v>
      </c>
      <c r="I40" s="80">
        <v>17</v>
      </c>
      <c r="J40" s="81">
        <v>2400</v>
      </c>
      <c r="K40" s="82">
        <f t="shared" si="1"/>
        <v>141.1764705882353</v>
      </c>
      <c r="L40" s="80">
        <v>17</v>
      </c>
      <c r="M40" s="83">
        <f t="shared" si="28"/>
        <v>2316.5624999999995</v>
      </c>
      <c r="N40" s="82">
        <f t="shared" si="3"/>
        <v>136.26838235294116</v>
      </c>
      <c r="O40" s="84">
        <f t="shared" si="4"/>
        <v>0</v>
      </c>
      <c r="P40" s="85">
        <f t="shared" si="5"/>
        <v>-4.9080882352941444</v>
      </c>
      <c r="Q40" s="86">
        <f t="shared" si="6"/>
        <v>0.96523437499999987</v>
      </c>
      <c r="R40" s="237"/>
      <c r="S40" s="88">
        <v>0.44652777777777769</v>
      </c>
      <c r="T40" s="88">
        <v>0.49097222222222214</v>
      </c>
      <c r="U40" s="62">
        <f t="shared" si="30"/>
        <v>4.9999999999999822</v>
      </c>
      <c r="V40" s="89">
        <f t="shared" si="29"/>
        <v>64.000000000000014</v>
      </c>
      <c r="W40" s="90">
        <f>T40</f>
        <v>0.49097222222222214</v>
      </c>
      <c r="X40" s="90">
        <f>S41</f>
        <v>0.53263888888888877</v>
      </c>
      <c r="Y40" s="90"/>
      <c r="Z40" s="90"/>
      <c r="AA40" s="232"/>
      <c r="AB40" s="232"/>
      <c r="AC40" s="92"/>
      <c r="AD40" s="93"/>
      <c r="AE40" s="84">
        <f t="shared" si="8"/>
        <v>-83.437500000000455</v>
      </c>
      <c r="AF40" s="86">
        <f t="shared" si="9"/>
        <v>0.96523437499999976</v>
      </c>
      <c r="AG40" s="237"/>
    </row>
    <row r="41" spans="1:33">
      <c r="A41" s="254" t="s">
        <v>150</v>
      </c>
      <c r="B41" s="77" t="s">
        <v>142</v>
      </c>
      <c r="C41" s="233" t="s">
        <v>152</v>
      </c>
      <c r="D41" s="233"/>
      <c r="E41" s="77">
        <v>26.18</v>
      </c>
      <c r="F41" s="78">
        <v>4696</v>
      </c>
      <c r="G41" s="62">
        <f t="shared" si="27"/>
        <v>122941.28</v>
      </c>
      <c r="H41" s="79" t="s">
        <v>115</v>
      </c>
      <c r="I41" s="80">
        <v>18</v>
      </c>
      <c r="J41" s="81">
        <v>2400</v>
      </c>
      <c r="K41" s="82">
        <f t="shared" si="1"/>
        <v>133.33333333333334</v>
      </c>
      <c r="L41" s="80">
        <v>18</v>
      </c>
      <c r="M41" s="83">
        <f t="shared" si="28"/>
        <v>2290.7317073170725</v>
      </c>
      <c r="N41" s="82">
        <f t="shared" si="3"/>
        <v>127.26287262872626</v>
      </c>
      <c r="O41" s="84">
        <f t="shared" si="4"/>
        <v>0</v>
      </c>
      <c r="P41" s="85">
        <f t="shared" si="5"/>
        <v>-6.0704607046070862</v>
      </c>
      <c r="Q41" s="86">
        <f t="shared" si="6"/>
        <v>0.95447154471544682</v>
      </c>
      <c r="R41" s="237"/>
      <c r="S41" s="88">
        <v>0.53263888888888877</v>
      </c>
      <c r="T41" s="88">
        <v>0.61805555555555547</v>
      </c>
      <c r="U41" s="62">
        <f t="shared" si="30"/>
        <v>59.999999999999943</v>
      </c>
      <c r="V41" s="89">
        <f t="shared" si="29"/>
        <v>123.00000000000004</v>
      </c>
      <c r="W41" s="90"/>
      <c r="X41" s="90"/>
      <c r="Y41" s="90"/>
      <c r="Z41" s="90"/>
      <c r="AA41" s="232"/>
      <c r="AB41" s="232"/>
      <c r="AC41" s="92"/>
      <c r="AD41" s="93"/>
      <c r="AE41" s="84">
        <f t="shared" si="8"/>
        <v>-109.26829268292749</v>
      </c>
      <c r="AF41" s="86">
        <f t="shared" si="9"/>
        <v>0.95447154471544693</v>
      </c>
      <c r="AG41" s="237"/>
    </row>
    <row r="42" spans="1:33">
      <c r="A42" s="254" t="s">
        <v>150</v>
      </c>
      <c r="B42" s="77" t="s">
        <v>142</v>
      </c>
      <c r="C42" s="233" t="s">
        <v>153</v>
      </c>
      <c r="D42" s="233"/>
      <c r="E42" s="77">
        <v>34.1</v>
      </c>
      <c r="F42" s="78">
        <v>2548</v>
      </c>
      <c r="G42" s="62">
        <f t="shared" si="27"/>
        <v>86886.8</v>
      </c>
      <c r="H42" s="79" t="s">
        <v>115</v>
      </c>
      <c r="I42" s="80">
        <v>17</v>
      </c>
      <c r="J42" s="81">
        <v>1600</v>
      </c>
      <c r="K42" s="82">
        <f t="shared" si="1"/>
        <v>94.117647058823536</v>
      </c>
      <c r="L42" s="80">
        <v>17</v>
      </c>
      <c r="M42" s="83">
        <f t="shared" si="28"/>
        <v>1528.8000000000004</v>
      </c>
      <c r="N42" s="82">
        <f t="shared" si="3"/>
        <v>89.929411764705904</v>
      </c>
      <c r="O42" s="84">
        <f t="shared" si="4"/>
        <v>0</v>
      </c>
      <c r="P42" s="85">
        <f t="shared" si="5"/>
        <v>-4.1882352941176322</v>
      </c>
      <c r="Q42" s="86">
        <f t="shared" si="6"/>
        <v>0.95550000000000013</v>
      </c>
      <c r="R42" s="237"/>
      <c r="S42" s="88">
        <v>0.62152777777777768</v>
      </c>
      <c r="T42" s="88">
        <v>0.6909722222222221</v>
      </c>
      <c r="U42" s="62">
        <f t="shared" si="30"/>
        <v>4.9999999999999822</v>
      </c>
      <c r="V42" s="89">
        <f t="shared" si="29"/>
        <v>99.999999999999972</v>
      </c>
      <c r="W42" s="90"/>
      <c r="X42" s="90"/>
      <c r="Y42" s="94"/>
      <c r="Z42" s="94"/>
      <c r="AA42" s="227"/>
      <c r="AB42" s="228"/>
      <c r="AC42" s="92"/>
      <c r="AD42" s="93"/>
      <c r="AE42" s="84">
        <f t="shared" si="8"/>
        <v>-71.199999999999591</v>
      </c>
      <c r="AF42" s="86">
        <f t="shared" si="9"/>
        <v>0.95550000000000024</v>
      </c>
      <c r="AG42" s="237"/>
    </row>
    <row r="43" spans="1:33">
      <c r="A43" s="254" t="s">
        <v>150</v>
      </c>
      <c r="B43" s="97" t="s">
        <v>119</v>
      </c>
      <c r="C43" s="238"/>
      <c r="D43" s="238"/>
      <c r="E43" s="96"/>
      <c r="F43" s="97"/>
      <c r="G43" s="82"/>
      <c r="H43" s="78"/>
      <c r="I43" s="98">
        <v>17.285714285714285</v>
      </c>
      <c r="J43" s="81">
        <v>2171.4285714285716</v>
      </c>
      <c r="K43" s="82">
        <f t="shared" si="1"/>
        <v>125.61983471074382</v>
      </c>
      <c r="L43" s="98">
        <v>17.285714285714285</v>
      </c>
      <c r="M43" s="83">
        <f>AVERAGE(M36:M42)</f>
        <v>2077.9288007472933</v>
      </c>
      <c r="N43" s="82">
        <f t="shared" si="3"/>
        <v>120.21075706802525</v>
      </c>
      <c r="O43" s="84">
        <f t="shared" si="4"/>
        <v>0</v>
      </c>
      <c r="P43" s="85">
        <f t="shared" si="5"/>
        <v>-5.4090776427185716</v>
      </c>
      <c r="Q43" s="86">
        <f t="shared" si="6"/>
        <v>0.95694089508099034</v>
      </c>
      <c r="R43" s="237"/>
      <c r="S43" s="88"/>
      <c r="T43" s="88"/>
      <c r="U43" s="82"/>
      <c r="V43" s="89"/>
      <c r="W43" s="82"/>
      <c r="X43" s="82"/>
      <c r="Y43" s="99">
        <f>SUM(Y36:Y42)</f>
        <v>0</v>
      </c>
      <c r="Z43" s="99">
        <f>SUM(Z36:Z42)</f>
        <v>0</v>
      </c>
      <c r="AA43" s="231"/>
      <c r="AB43" s="231"/>
      <c r="AC43" s="99">
        <v>7</v>
      </c>
      <c r="AD43" s="99">
        <f>SUM(AD36:AD42)</f>
        <v>0</v>
      </c>
      <c r="AE43" s="84">
        <f t="shared" si="8"/>
        <v>-93.499770681278278</v>
      </c>
      <c r="AF43" s="86">
        <f t="shared" si="9"/>
        <v>0.95694089508099023</v>
      </c>
      <c r="AG43" s="237"/>
    </row>
    <row r="44" spans="1:33" ht="15.75" customHeight="1">
      <c r="A44" s="248" t="s">
        <v>156</v>
      </c>
      <c r="B44" s="77" t="s">
        <v>157</v>
      </c>
      <c r="C44" s="225" t="s">
        <v>158</v>
      </c>
      <c r="D44" s="226"/>
      <c r="E44" s="77">
        <v>21.13</v>
      </c>
      <c r="F44" s="78">
        <v>5431</v>
      </c>
      <c r="G44" s="62">
        <f t="shared" ref="G44:G46" si="31">E44*F44</f>
        <v>114757.03</v>
      </c>
      <c r="H44" s="79" t="s">
        <v>115</v>
      </c>
      <c r="I44" s="80">
        <v>10</v>
      </c>
      <c r="J44" s="81">
        <v>3000</v>
      </c>
      <c r="K44" s="82">
        <f t="shared" si="1"/>
        <v>300</v>
      </c>
      <c r="L44" s="80">
        <v>10</v>
      </c>
      <c r="M44" s="83">
        <f t="shared" ref="M44:M46" si="32">F44/V44*60</f>
        <v>2858.4210526315801</v>
      </c>
      <c r="N44" s="83">
        <f t="shared" si="3"/>
        <v>285.84210526315803</v>
      </c>
      <c r="O44" s="84">
        <f t="shared" si="4"/>
        <v>0</v>
      </c>
      <c r="P44" s="85">
        <f t="shared" si="5"/>
        <v>-14.157894736841968</v>
      </c>
      <c r="Q44" s="86">
        <f t="shared" si="6"/>
        <v>0.9528070175438601</v>
      </c>
      <c r="R44" s="243">
        <f>Q47</f>
        <v>0.95492293233082726</v>
      </c>
      <c r="S44" s="88">
        <v>0.20833333333333334</v>
      </c>
      <c r="T44" s="88">
        <v>0.28749999999999998</v>
      </c>
      <c r="U44" s="100"/>
      <c r="V44" s="89">
        <f t="shared" ref="V44:V46" si="33">(T44-S44)*24*60</f>
        <v>113.99999999999996</v>
      </c>
      <c r="W44" s="90"/>
      <c r="X44" s="90"/>
      <c r="Y44" s="94"/>
      <c r="Z44" s="94"/>
      <c r="AA44" s="227"/>
      <c r="AB44" s="228"/>
      <c r="AC44" s="92">
        <v>3</v>
      </c>
      <c r="AD44" s="93"/>
      <c r="AE44" s="84">
        <f t="shared" si="8"/>
        <v>-141.5789473684199</v>
      </c>
      <c r="AF44" s="86">
        <f t="shared" si="9"/>
        <v>0.95280701754385999</v>
      </c>
      <c r="AG44" s="243">
        <f>AF47</f>
        <v>0.95492293233082737</v>
      </c>
    </row>
    <row r="45" spans="1:33" ht="15.75" customHeight="1">
      <c r="A45" s="249" t="s">
        <v>156</v>
      </c>
      <c r="B45" s="77" t="s">
        <v>157</v>
      </c>
      <c r="C45" s="225" t="s">
        <v>159</v>
      </c>
      <c r="D45" s="226"/>
      <c r="E45" s="77">
        <v>27.17</v>
      </c>
      <c r="F45" s="78">
        <v>6339</v>
      </c>
      <c r="G45" s="62">
        <f t="shared" si="31"/>
        <v>172230.63</v>
      </c>
      <c r="H45" s="79" t="s">
        <v>115</v>
      </c>
      <c r="I45" s="80">
        <v>10</v>
      </c>
      <c r="J45" s="81">
        <v>3000</v>
      </c>
      <c r="K45" s="82">
        <f t="shared" si="1"/>
        <v>300</v>
      </c>
      <c r="L45" s="80">
        <v>10</v>
      </c>
      <c r="M45" s="83">
        <f t="shared" si="32"/>
        <v>2859.6992481203006</v>
      </c>
      <c r="N45" s="83">
        <f t="shared" si="3"/>
        <v>285.96992481203006</v>
      </c>
      <c r="O45" s="84">
        <f t="shared" si="4"/>
        <v>0</v>
      </c>
      <c r="P45" s="85">
        <f t="shared" si="5"/>
        <v>-14.030075187969942</v>
      </c>
      <c r="Q45" s="86">
        <f t="shared" si="6"/>
        <v>0.95323308270676688</v>
      </c>
      <c r="R45" s="244"/>
      <c r="S45" s="88">
        <v>0.29305555555555551</v>
      </c>
      <c r="T45" s="88">
        <v>0.38541666666666663</v>
      </c>
      <c r="U45" s="62">
        <f t="shared" ref="U45:U46" si="34">(S45-T44)*24*60</f>
        <v>7.9999999999999716</v>
      </c>
      <c r="V45" s="89">
        <f t="shared" si="33"/>
        <v>133</v>
      </c>
      <c r="W45" s="90"/>
      <c r="X45" s="90"/>
      <c r="Y45" s="94"/>
      <c r="Z45" s="94"/>
      <c r="AA45" s="227"/>
      <c r="AB45" s="228"/>
      <c r="AC45" s="92"/>
      <c r="AD45" s="93"/>
      <c r="AE45" s="84">
        <f t="shared" si="8"/>
        <v>-140.30075187969942</v>
      </c>
      <c r="AF45" s="86">
        <f t="shared" si="9"/>
        <v>0.95323308270676688</v>
      </c>
      <c r="AG45" s="244"/>
    </row>
    <row r="46" spans="1:33" ht="15.75" customHeight="1">
      <c r="A46" s="249" t="s">
        <v>156</v>
      </c>
      <c r="B46" s="77" t="s">
        <v>157</v>
      </c>
      <c r="C46" s="225" t="s">
        <v>160</v>
      </c>
      <c r="D46" s="226"/>
      <c r="E46" s="77">
        <v>37.880000000000003</v>
      </c>
      <c r="F46" s="78">
        <v>3042</v>
      </c>
      <c r="G46" s="62">
        <f t="shared" si="31"/>
        <v>115230.96</v>
      </c>
      <c r="H46" s="79" t="s">
        <v>115</v>
      </c>
      <c r="I46" s="80">
        <v>13</v>
      </c>
      <c r="J46" s="81">
        <v>2000</v>
      </c>
      <c r="K46" s="82">
        <f t="shared" si="1"/>
        <v>153.84615384615384</v>
      </c>
      <c r="L46" s="80">
        <v>13</v>
      </c>
      <c r="M46" s="83">
        <f t="shared" si="32"/>
        <v>1921.2631578947371</v>
      </c>
      <c r="N46" s="83">
        <f t="shared" si="3"/>
        <v>147.78947368421055</v>
      </c>
      <c r="O46" s="84">
        <f t="shared" si="4"/>
        <v>0</v>
      </c>
      <c r="P46" s="85">
        <f t="shared" si="5"/>
        <v>-6.0566801619432908</v>
      </c>
      <c r="Q46" s="86">
        <f t="shared" si="6"/>
        <v>0.96063157894736861</v>
      </c>
      <c r="R46" s="244"/>
      <c r="S46" s="88">
        <v>0.38888888888888884</v>
      </c>
      <c r="T46" s="88">
        <v>0.45486111111111105</v>
      </c>
      <c r="U46" s="62">
        <f t="shared" si="34"/>
        <v>4.9999999999999822</v>
      </c>
      <c r="V46" s="89">
        <f t="shared" si="33"/>
        <v>94.999999999999986</v>
      </c>
      <c r="W46" s="90"/>
      <c r="X46" s="90"/>
      <c r="Y46" s="94"/>
      <c r="Z46" s="94"/>
      <c r="AA46" s="227"/>
      <c r="AB46" s="228"/>
      <c r="AC46" s="92"/>
      <c r="AD46" s="93"/>
      <c r="AE46" s="84">
        <f t="shared" si="8"/>
        <v>-78.736842105262895</v>
      </c>
      <c r="AF46" s="86">
        <f t="shared" si="9"/>
        <v>0.9606315789473685</v>
      </c>
      <c r="AG46" s="244"/>
    </row>
    <row r="47" spans="1:33" ht="15.75" customHeight="1">
      <c r="A47" s="250" t="s">
        <v>156</v>
      </c>
      <c r="B47" s="77" t="s">
        <v>119</v>
      </c>
      <c r="C47" s="229"/>
      <c r="D47" s="230"/>
      <c r="E47" s="108"/>
      <c r="F47" s="78"/>
      <c r="G47" s="62"/>
      <c r="H47" s="78"/>
      <c r="I47" s="98">
        <v>11</v>
      </c>
      <c r="J47" s="81">
        <v>2666.6666666666665</v>
      </c>
      <c r="K47" s="82">
        <f t="shared" si="1"/>
        <v>242.42424242424241</v>
      </c>
      <c r="L47" s="98">
        <v>11</v>
      </c>
      <c r="M47" s="83">
        <f>AVERAGE(M44:M46)</f>
        <v>2546.4611528822061</v>
      </c>
      <c r="N47" s="82">
        <f t="shared" si="3"/>
        <v>231.4964684438369</v>
      </c>
      <c r="O47" s="84">
        <f t="shared" si="4"/>
        <v>0</v>
      </c>
      <c r="P47" s="85">
        <f t="shared" si="5"/>
        <v>-10.927773980405505</v>
      </c>
      <c r="Q47" s="86">
        <f t="shared" si="6"/>
        <v>0.95492293233082726</v>
      </c>
      <c r="R47" s="245"/>
      <c r="S47" s="88"/>
      <c r="T47" s="88"/>
      <c r="U47" s="62"/>
      <c r="V47" s="89"/>
      <c r="W47" s="90"/>
      <c r="X47" s="90"/>
      <c r="Y47" s="99">
        <f>SUM(Y44:Y46)</f>
        <v>0</v>
      </c>
      <c r="Z47" s="99">
        <f>SUM(Z44:Z46)</f>
        <v>0</v>
      </c>
      <c r="AA47" s="246"/>
      <c r="AB47" s="247"/>
      <c r="AC47" s="99">
        <v>3</v>
      </c>
      <c r="AD47" s="99">
        <f>SUM(AD44:AD46)</f>
        <v>0</v>
      </c>
      <c r="AE47" s="84">
        <f t="shared" si="8"/>
        <v>-120.20551378446044</v>
      </c>
      <c r="AF47" s="86">
        <f t="shared" si="9"/>
        <v>0.95492293233082737</v>
      </c>
      <c r="AG47" s="245"/>
    </row>
    <row r="48" spans="1:33" ht="15.75" customHeight="1">
      <c r="A48" s="241" t="s">
        <v>161</v>
      </c>
      <c r="B48" s="77" t="s">
        <v>121</v>
      </c>
      <c r="C48" s="233" t="s">
        <v>162</v>
      </c>
      <c r="D48" s="233"/>
      <c r="E48" s="77">
        <v>46</v>
      </c>
      <c r="F48" s="109">
        <v>1181</v>
      </c>
      <c r="G48" s="62">
        <f t="shared" ref="G48:G55" si="35">E48*F48</f>
        <v>54326</v>
      </c>
      <c r="H48" s="79" t="s">
        <v>115</v>
      </c>
      <c r="I48" s="80">
        <v>16</v>
      </c>
      <c r="J48" s="81">
        <v>2000</v>
      </c>
      <c r="K48" s="82">
        <f t="shared" si="1"/>
        <v>125</v>
      </c>
      <c r="L48" s="80">
        <v>16</v>
      </c>
      <c r="M48" s="83">
        <f t="shared" ref="M48" si="36">F48/V48*60</f>
        <v>1915.1351351351359</v>
      </c>
      <c r="N48" s="83">
        <f t="shared" si="3"/>
        <v>119.69594594594599</v>
      </c>
      <c r="O48" s="84">
        <f t="shared" si="4"/>
        <v>0</v>
      </c>
      <c r="P48" s="85">
        <f t="shared" si="5"/>
        <v>-5.3040540540540064</v>
      </c>
      <c r="Q48" s="86">
        <f t="shared" si="6"/>
        <v>0.957567567567568</v>
      </c>
      <c r="R48" s="237">
        <f>Q56</f>
        <v>0.96407102090302332</v>
      </c>
      <c r="S48" s="88">
        <v>0.20833333333333334</v>
      </c>
      <c r="T48" s="88">
        <v>0.23402777777777778</v>
      </c>
      <c r="U48" s="100"/>
      <c r="V48" s="89">
        <f t="shared" ref="V48:V55" si="37">(T48-S48)*24*60</f>
        <v>36.999999999999986</v>
      </c>
      <c r="W48" s="90"/>
      <c r="X48" s="90"/>
      <c r="Y48" s="100"/>
      <c r="Z48" s="100"/>
      <c r="AA48" s="232"/>
      <c r="AB48" s="232"/>
      <c r="AC48" s="92">
        <v>8</v>
      </c>
      <c r="AD48" s="93"/>
      <c r="AE48" s="84">
        <f t="shared" si="8"/>
        <v>-84.864864864864103</v>
      </c>
      <c r="AF48" s="86">
        <f t="shared" si="9"/>
        <v>0.957567567567568</v>
      </c>
      <c r="AG48" s="237">
        <f>AF56</f>
        <v>0.96407102090302332</v>
      </c>
    </row>
    <row r="49" spans="1:33" ht="15.75" customHeight="1">
      <c r="A49" s="241" t="s">
        <v>161</v>
      </c>
      <c r="B49" s="77" t="s">
        <v>121</v>
      </c>
      <c r="C49" s="233" t="s">
        <v>163</v>
      </c>
      <c r="D49" s="233"/>
      <c r="E49" s="77">
        <v>46</v>
      </c>
      <c r="F49" s="109">
        <v>1313</v>
      </c>
      <c r="G49" s="62">
        <f t="shared" si="35"/>
        <v>60398</v>
      </c>
      <c r="H49" s="79" t="s">
        <v>115</v>
      </c>
      <c r="I49" s="80">
        <v>17</v>
      </c>
      <c r="J49" s="81">
        <v>2000</v>
      </c>
      <c r="K49" s="82">
        <f t="shared" si="1"/>
        <v>117.64705882352941</v>
      </c>
      <c r="L49" s="80">
        <v>17</v>
      </c>
      <c r="M49" s="83">
        <f>F49/V49*60</f>
        <v>1921.4634146341475</v>
      </c>
      <c r="N49" s="83">
        <f t="shared" si="3"/>
        <v>113.02725968436162</v>
      </c>
      <c r="O49" s="84">
        <f t="shared" si="4"/>
        <v>0</v>
      </c>
      <c r="P49" s="85">
        <f t="shared" si="5"/>
        <v>-4.6197991391677817</v>
      </c>
      <c r="Q49" s="86">
        <f t="shared" si="6"/>
        <v>0.9607317073170738</v>
      </c>
      <c r="R49" s="237"/>
      <c r="S49" s="88">
        <v>0.2388888888888889</v>
      </c>
      <c r="T49" s="88">
        <v>0.2673611111111111</v>
      </c>
      <c r="U49" s="62">
        <f t="shared" ref="U49:U55" si="38">IF(S49=TIME(17,0,0),"",(S49-T48)*24*60)</f>
        <v>7.0000000000000151</v>
      </c>
      <c r="V49" s="89">
        <f t="shared" si="37"/>
        <v>40.999999999999972</v>
      </c>
      <c r="W49" s="90"/>
      <c r="X49" s="90"/>
      <c r="Y49" s="90"/>
      <c r="Z49" s="90"/>
      <c r="AA49" s="232"/>
      <c r="AB49" s="232"/>
      <c r="AC49" s="92"/>
      <c r="AD49" s="93"/>
      <c r="AE49" s="84">
        <f t="shared" si="8"/>
        <v>-78.536585365852488</v>
      </c>
      <c r="AF49" s="86">
        <f t="shared" si="9"/>
        <v>0.9607317073170738</v>
      </c>
      <c r="AG49" s="237"/>
    </row>
    <row r="50" spans="1:33" ht="15.75" customHeight="1">
      <c r="A50" s="241" t="s">
        <v>161</v>
      </c>
      <c r="B50" s="77" t="s">
        <v>113</v>
      </c>
      <c r="C50" s="225" t="s">
        <v>164</v>
      </c>
      <c r="D50" s="226"/>
      <c r="E50" s="77">
        <v>51.44</v>
      </c>
      <c r="F50" s="109">
        <v>1361</v>
      </c>
      <c r="G50" s="62">
        <f t="shared" si="35"/>
        <v>70009.84</v>
      </c>
      <c r="H50" s="79" t="s">
        <v>115</v>
      </c>
      <c r="I50" s="80">
        <v>25</v>
      </c>
      <c r="J50" s="81">
        <v>2000</v>
      </c>
      <c r="K50" s="82">
        <f t="shared" si="1"/>
        <v>80</v>
      </c>
      <c r="L50" s="80">
        <v>25</v>
      </c>
      <c r="M50" s="83">
        <f t="shared" ref="M50:M55" si="39">F50/V50*60</f>
        <v>1944.2857142857135</v>
      </c>
      <c r="N50" s="83">
        <f t="shared" si="3"/>
        <v>77.771428571428544</v>
      </c>
      <c r="O50" s="84">
        <f t="shared" si="4"/>
        <v>0</v>
      </c>
      <c r="P50" s="85">
        <f t="shared" si="5"/>
        <v>-2.2285714285714562</v>
      </c>
      <c r="Q50" s="86">
        <f t="shared" si="6"/>
        <v>0.97214285714285675</v>
      </c>
      <c r="R50" s="237"/>
      <c r="S50" s="88">
        <v>0.2722222222222222</v>
      </c>
      <c r="T50" s="88">
        <v>0.30138888888888887</v>
      </c>
      <c r="U50" s="62">
        <f t="shared" si="38"/>
        <v>6.9999999999999751</v>
      </c>
      <c r="V50" s="89">
        <f t="shared" si="37"/>
        <v>42.000000000000014</v>
      </c>
      <c r="W50" s="90"/>
      <c r="X50" s="90"/>
      <c r="Y50" s="94"/>
      <c r="Z50" s="94"/>
      <c r="AA50" s="232"/>
      <c r="AB50" s="232"/>
      <c r="AC50" s="92"/>
      <c r="AD50" s="93"/>
      <c r="AE50" s="84">
        <f t="shared" si="8"/>
        <v>-55.714285714286461</v>
      </c>
      <c r="AF50" s="86">
        <f t="shared" si="9"/>
        <v>0.97214285714285675</v>
      </c>
      <c r="AG50" s="237"/>
    </row>
    <row r="51" spans="1:33" ht="15.75" customHeight="1">
      <c r="A51" s="241" t="s">
        <v>161</v>
      </c>
      <c r="B51" s="77" t="s">
        <v>113</v>
      </c>
      <c r="C51" s="110" t="s">
        <v>165</v>
      </c>
      <c r="D51" s="111"/>
      <c r="E51" s="77">
        <v>56.43</v>
      </c>
      <c r="F51" s="109">
        <v>800</v>
      </c>
      <c r="G51" s="62">
        <f t="shared" si="35"/>
        <v>45144</v>
      </c>
      <c r="H51" s="79" t="s">
        <v>115</v>
      </c>
      <c r="I51" s="80">
        <v>23</v>
      </c>
      <c r="J51" s="81">
        <v>2000</v>
      </c>
      <c r="K51" s="82">
        <f t="shared" si="1"/>
        <v>86.956521739130437</v>
      </c>
      <c r="L51" s="80">
        <v>23</v>
      </c>
      <c r="M51" s="83">
        <f t="shared" si="39"/>
        <v>1920.0000000000005</v>
      </c>
      <c r="N51" s="83">
        <f t="shared" si="3"/>
        <v>83.478260869565233</v>
      </c>
      <c r="O51" s="84">
        <f t="shared" si="4"/>
        <v>0</v>
      </c>
      <c r="P51" s="85">
        <f t="shared" si="5"/>
        <v>-3.4782608695652044</v>
      </c>
      <c r="Q51" s="86">
        <f t="shared" si="6"/>
        <v>0.96000000000000019</v>
      </c>
      <c r="R51" s="237"/>
      <c r="S51" s="88">
        <v>0.30624999999999997</v>
      </c>
      <c r="T51" s="88">
        <v>0.32361111111111107</v>
      </c>
      <c r="U51" s="62">
        <f t="shared" si="38"/>
        <v>6.9999999999999751</v>
      </c>
      <c r="V51" s="89">
        <f t="shared" si="37"/>
        <v>24.999999999999993</v>
      </c>
      <c r="W51" s="90"/>
      <c r="X51" s="90"/>
      <c r="Y51" s="94"/>
      <c r="Z51" s="94"/>
      <c r="AA51" s="232"/>
      <c r="AB51" s="232"/>
      <c r="AC51" s="92"/>
      <c r="AD51" s="93"/>
      <c r="AE51" s="84">
        <f t="shared" si="8"/>
        <v>-79.999999999999545</v>
      </c>
      <c r="AF51" s="86">
        <f t="shared" si="9"/>
        <v>0.96000000000000019</v>
      </c>
      <c r="AG51" s="237"/>
    </row>
    <row r="52" spans="1:33" ht="15.75" customHeight="1">
      <c r="A52" s="241" t="s">
        <v>161</v>
      </c>
      <c r="B52" s="77" t="s">
        <v>113</v>
      </c>
      <c r="C52" s="110" t="s">
        <v>166</v>
      </c>
      <c r="D52" s="111"/>
      <c r="E52" s="77">
        <v>56.43</v>
      </c>
      <c r="F52" s="109">
        <v>2027</v>
      </c>
      <c r="G52" s="62">
        <f t="shared" si="35"/>
        <v>114383.61</v>
      </c>
      <c r="H52" s="79" t="s">
        <v>115</v>
      </c>
      <c r="I52" s="80">
        <v>21</v>
      </c>
      <c r="J52" s="81">
        <v>2000</v>
      </c>
      <c r="K52" s="82">
        <f t="shared" si="1"/>
        <v>95.238095238095241</v>
      </c>
      <c r="L52" s="80">
        <v>21</v>
      </c>
      <c r="M52" s="83">
        <f t="shared" si="39"/>
        <v>1930.4761904761901</v>
      </c>
      <c r="N52" s="83">
        <f t="shared" si="3"/>
        <v>91.927437641723344</v>
      </c>
      <c r="O52" s="84">
        <f t="shared" si="4"/>
        <v>0</v>
      </c>
      <c r="P52" s="85">
        <f t="shared" si="5"/>
        <v>-3.3106575963718967</v>
      </c>
      <c r="Q52" s="86">
        <f t="shared" si="6"/>
        <v>0.96523809523809512</v>
      </c>
      <c r="R52" s="237"/>
      <c r="S52" s="88">
        <v>0.32777777777777772</v>
      </c>
      <c r="T52" s="88">
        <v>0.37152777777777773</v>
      </c>
      <c r="U52" s="62">
        <f t="shared" si="38"/>
        <v>5.9999999999999787</v>
      </c>
      <c r="V52" s="89">
        <f t="shared" si="37"/>
        <v>63.000000000000014</v>
      </c>
      <c r="W52" s="90"/>
      <c r="X52" s="90"/>
      <c r="Y52" s="94"/>
      <c r="Z52" s="94"/>
      <c r="AA52" s="232"/>
      <c r="AB52" s="232"/>
      <c r="AC52" s="92"/>
      <c r="AD52" s="93"/>
      <c r="AE52" s="84">
        <f t="shared" si="8"/>
        <v>-69.523809523809859</v>
      </c>
      <c r="AF52" s="86">
        <f t="shared" si="9"/>
        <v>0.96523809523809512</v>
      </c>
      <c r="AG52" s="237"/>
    </row>
    <row r="53" spans="1:33" ht="15.75" customHeight="1">
      <c r="A53" s="241" t="s">
        <v>161</v>
      </c>
      <c r="B53" s="77" t="s">
        <v>113</v>
      </c>
      <c r="C53" s="225" t="s">
        <v>167</v>
      </c>
      <c r="D53" s="226"/>
      <c r="E53" s="77">
        <v>55.56</v>
      </c>
      <c r="F53" s="109">
        <v>2015</v>
      </c>
      <c r="G53" s="62">
        <f t="shared" si="35"/>
        <v>111953.40000000001</v>
      </c>
      <c r="H53" s="79" t="s">
        <v>115</v>
      </c>
      <c r="I53" s="80">
        <v>17</v>
      </c>
      <c r="J53" s="81">
        <v>2000</v>
      </c>
      <c r="K53" s="82">
        <f t="shared" si="1"/>
        <v>117.64705882352941</v>
      </c>
      <c r="L53" s="80">
        <v>17</v>
      </c>
      <c r="M53" s="83">
        <f t="shared" si="39"/>
        <v>1919.0476190476211</v>
      </c>
      <c r="N53" s="83">
        <f t="shared" si="3"/>
        <v>112.88515406162477</v>
      </c>
      <c r="O53" s="84">
        <f t="shared" si="4"/>
        <v>0</v>
      </c>
      <c r="P53" s="85">
        <f t="shared" si="5"/>
        <v>-4.7619047619046313</v>
      </c>
      <c r="Q53" s="86">
        <f t="shared" si="6"/>
        <v>0.95952380952381067</v>
      </c>
      <c r="R53" s="237"/>
      <c r="S53" s="88">
        <v>0.70833333333333337</v>
      </c>
      <c r="T53" s="88">
        <v>0.75208333333333333</v>
      </c>
      <c r="U53" s="62" t="str">
        <f t="shared" si="38"/>
        <v/>
      </c>
      <c r="V53" s="89">
        <f t="shared" si="37"/>
        <v>62.999999999999936</v>
      </c>
      <c r="W53" s="90"/>
      <c r="X53" s="90"/>
      <c r="Y53" s="94"/>
      <c r="Z53" s="94"/>
      <c r="AA53" s="227"/>
      <c r="AB53" s="228"/>
      <c r="AC53" s="92"/>
      <c r="AD53" s="93"/>
      <c r="AE53" s="84">
        <f t="shared" si="8"/>
        <v>-80.952380952378917</v>
      </c>
      <c r="AF53" s="86">
        <f t="shared" si="9"/>
        <v>0.95952380952381056</v>
      </c>
      <c r="AG53" s="237"/>
    </row>
    <row r="54" spans="1:33" ht="15.75" customHeight="1">
      <c r="A54" s="241" t="s">
        <v>161</v>
      </c>
      <c r="B54" s="77" t="s">
        <v>113</v>
      </c>
      <c r="C54" s="225" t="s">
        <v>168</v>
      </c>
      <c r="D54" s="226"/>
      <c r="E54" s="77">
        <v>58.17</v>
      </c>
      <c r="F54" s="109">
        <v>1467</v>
      </c>
      <c r="G54" s="62">
        <f t="shared" si="35"/>
        <v>85335.39</v>
      </c>
      <c r="H54" s="79" t="s">
        <v>115</v>
      </c>
      <c r="I54" s="80">
        <v>13</v>
      </c>
      <c r="J54" s="81">
        <v>2000</v>
      </c>
      <c r="K54" s="82">
        <f t="shared" si="1"/>
        <v>153.84615384615384</v>
      </c>
      <c r="L54" s="80">
        <v>13</v>
      </c>
      <c r="M54" s="83">
        <f t="shared" si="39"/>
        <v>1913.4782608695652</v>
      </c>
      <c r="N54" s="83">
        <f t="shared" si="3"/>
        <v>147.19063545150502</v>
      </c>
      <c r="O54" s="84">
        <f t="shared" si="4"/>
        <v>0</v>
      </c>
      <c r="P54" s="85">
        <f t="shared" si="5"/>
        <v>-6.6555183946488228</v>
      </c>
      <c r="Q54" s="86">
        <f t="shared" si="6"/>
        <v>0.95673913043478265</v>
      </c>
      <c r="R54" s="237"/>
      <c r="S54" s="88">
        <v>0.75555555555555554</v>
      </c>
      <c r="T54" s="88">
        <v>0.78749999999999998</v>
      </c>
      <c r="U54" s="62">
        <f t="shared" si="38"/>
        <v>4.9999999999999822</v>
      </c>
      <c r="V54" s="89">
        <f t="shared" si="37"/>
        <v>46</v>
      </c>
      <c r="W54" s="90"/>
      <c r="X54" s="90"/>
      <c r="Y54" s="94"/>
      <c r="Z54" s="94"/>
      <c r="AA54" s="227"/>
      <c r="AB54" s="228"/>
      <c r="AC54" s="92"/>
      <c r="AD54" s="93"/>
      <c r="AE54" s="84">
        <f t="shared" si="8"/>
        <v>-86.521739130434753</v>
      </c>
      <c r="AF54" s="86">
        <f t="shared" si="9"/>
        <v>0.95673913043478265</v>
      </c>
      <c r="AG54" s="237"/>
    </row>
    <row r="55" spans="1:33" ht="15.75" customHeight="1">
      <c r="A55" s="241" t="s">
        <v>161</v>
      </c>
      <c r="B55" s="77" t="s">
        <v>113</v>
      </c>
      <c r="C55" s="225" t="s">
        <v>169</v>
      </c>
      <c r="D55" s="226"/>
      <c r="E55" s="77">
        <v>54.09</v>
      </c>
      <c r="F55" s="109">
        <v>1046</v>
      </c>
      <c r="G55" s="62">
        <f t="shared" si="35"/>
        <v>56578.140000000007</v>
      </c>
      <c r="H55" s="79" t="s">
        <v>115</v>
      </c>
      <c r="I55" s="80">
        <v>14</v>
      </c>
      <c r="J55" s="81">
        <v>2000</v>
      </c>
      <c r="K55" s="82">
        <f t="shared" si="1"/>
        <v>142.85714285714286</v>
      </c>
      <c r="L55" s="80">
        <v>14</v>
      </c>
      <c r="M55" s="83">
        <f t="shared" si="39"/>
        <v>1961.2499999999975</v>
      </c>
      <c r="N55" s="83">
        <f t="shared" si="3"/>
        <v>140.08928571428552</v>
      </c>
      <c r="O55" s="84">
        <f t="shared" si="4"/>
        <v>0</v>
      </c>
      <c r="P55" s="85">
        <f t="shared" si="5"/>
        <v>-2.7678571428573377</v>
      </c>
      <c r="Q55" s="86">
        <f t="shared" si="6"/>
        <v>0.98062499999999864</v>
      </c>
      <c r="R55" s="237"/>
      <c r="S55" s="88">
        <v>0.79166666666666663</v>
      </c>
      <c r="T55" s="88">
        <v>0.81388888888888888</v>
      </c>
      <c r="U55" s="62">
        <f t="shared" si="38"/>
        <v>5.9999999999999787</v>
      </c>
      <c r="V55" s="89">
        <f t="shared" si="37"/>
        <v>32.000000000000043</v>
      </c>
      <c r="W55" s="90"/>
      <c r="X55" s="90"/>
      <c r="Y55" s="94"/>
      <c r="Z55" s="94"/>
      <c r="AA55" s="227"/>
      <c r="AB55" s="228"/>
      <c r="AC55" s="92"/>
      <c r="AD55" s="93"/>
      <c r="AE55" s="84">
        <f t="shared" si="8"/>
        <v>-38.750000000002501</v>
      </c>
      <c r="AF55" s="86">
        <f t="shared" si="9"/>
        <v>0.98062499999999875</v>
      </c>
      <c r="AG55" s="237"/>
    </row>
    <row r="56" spans="1:33">
      <c r="A56" s="242" t="s">
        <v>161</v>
      </c>
      <c r="B56" s="77" t="s">
        <v>119</v>
      </c>
      <c r="C56" s="238"/>
      <c r="D56" s="238"/>
      <c r="E56" s="96"/>
      <c r="F56" s="97"/>
      <c r="G56" s="82"/>
      <c r="H56" s="78"/>
      <c r="I56" s="98">
        <v>18.25</v>
      </c>
      <c r="J56" s="81">
        <v>2000</v>
      </c>
      <c r="K56" s="82">
        <f t="shared" si="1"/>
        <v>109.58904109589041</v>
      </c>
      <c r="L56" s="98">
        <v>18.25</v>
      </c>
      <c r="M56" s="83">
        <f>AVERAGE(M48:M55)</f>
        <v>1928.1420418060466</v>
      </c>
      <c r="N56" s="82">
        <f t="shared" si="3"/>
        <v>105.65161872909844</v>
      </c>
      <c r="O56" s="84">
        <f t="shared" si="4"/>
        <v>0</v>
      </c>
      <c r="P56" s="85">
        <f t="shared" si="5"/>
        <v>-3.9374223667919637</v>
      </c>
      <c r="Q56" s="86">
        <f t="shared" si="6"/>
        <v>0.96407102090302332</v>
      </c>
      <c r="R56" s="237"/>
      <c r="S56" s="88"/>
      <c r="T56" s="88"/>
      <c r="U56" s="62"/>
      <c r="V56" s="89"/>
      <c r="W56" s="82"/>
      <c r="X56" s="82"/>
      <c r="Y56" s="99">
        <f>SUM(Y48:Y55)</f>
        <v>0</v>
      </c>
      <c r="Z56" s="99">
        <f>SUM(Z48:Z55)</f>
        <v>0</v>
      </c>
      <c r="AA56" s="231"/>
      <c r="AB56" s="231"/>
      <c r="AC56" s="99">
        <v>8</v>
      </c>
      <c r="AD56" s="99">
        <f>SUM(AD48:AD55)</f>
        <v>0</v>
      </c>
      <c r="AE56" s="84">
        <f>M56-J56</f>
        <v>-71.857958193953436</v>
      </c>
      <c r="AF56" s="86">
        <f t="shared" si="9"/>
        <v>0.96407102090302332</v>
      </c>
      <c r="AG56" s="237"/>
    </row>
    <row r="57" spans="1:33" ht="15.75" customHeight="1">
      <c r="A57" s="239" t="s">
        <v>170</v>
      </c>
      <c r="B57" s="78" t="s">
        <v>157</v>
      </c>
      <c r="C57" s="233" t="s">
        <v>171</v>
      </c>
      <c r="D57" s="233"/>
      <c r="E57" s="77">
        <v>35.119999999999997</v>
      </c>
      <c r="F57" s="109">
        <v>4832</v>
      </c>
      <c r="G57" s="62">
        <f t="shared" ref="G57:G61" si="40">E57*F57</f>
        <v>169699.84</v>
      </c>
      <c r="H57" s="79" t="s">
        <v>115</v>
      </c>
      <c r="I57" s="80">
        <v>10</v>
      </c>
      <c r="J57" s="81">
        <v>3000</v>
      </c>
      <c r="K57" s="82">
        <f t="shared" si="1"/>
        <v>300</v>
      </c>
      <c r="L57" s="80">
        <v>10</v>
      </c>
      <c r="M57" s="83">
        <f t="shared" ref="M57:M61" si="41">F57/V57*60</f>
        <v>2870.4950495049507</v>
      </c>
      <c r="N57" s="82">
        <f t="shared" si="3"/>
        <v>287.04950495049508</v>
      </c>
      <c r="O57" s="84">
        <f t="shared" si="4"/>
        <v>0</v>
      </c>
      <c r="P57" s="85">
        <f t="shared" si="5"/>
        <v>-12.950495049504923</v>
      </c>
      <c r="Q57" s="86">
        <f t="shared" si="6"/>
        <v>0.9568316831683169</v>
      </c>
      <c r="R57" s="237">
        <f>Q62</f>
        <v>0.96220388552544966</v>
      </c>
      <c r="S57" s="88">
        <v>0.20833333333333334</v>
      </c>
      <c r="T57" s="88">
        <v>0.27847222222222223</v>
      </c>
      <c r="U57" s="62"/>
      <c r="V57" s="89">
        <f t="shared" ref="V57:V61" si="42">(T57-S57)*24*60</f>
        <v>101</v>
      </c>
      <c r="W57" s="90"/>
      <c r="X57" s="90"/>
      <c r="Y57" s="100"/>
      <c r="Z57" s="100"/>
      <c r="AA57" s="232"/>
      <c r="AB57" s="232"/>
      <c r="AC57" s="92">
        <v>5</v>
      </c>
      <c r="AD57" s="93"/>
      <c r="AE57" s="84">
        <f t="shared" ref="AE57:AE70" si="43">M57-J57</f>
        <v>-129.50495049504934</v>
      </c>
      <c r="AF57" s="86">
        <f t="shared" si="9"/>
        <v>0.9568316831683169</v>
      </c>
      <c r="AG57" s="237">
        <f>AF62</f>
        <v>0.96220388552544955</v>
      </c>
    </row>
    <row r="58" spans="1:33" ht="15.75" customHeight="1">
      <c r="A58" s="239" t="s">
        <v>170</v>
      </c>
      <c r="B58" s="78" t="s">
        <v>157</v>
      </c>
      <c r="C58" s="233" t="s">
        <v>172</v>
      </c>
      <c r="D58" s="233"/>
      <c r="E58" s="77">
        <v>26.78</v>
      </c>
      <c r="F58" s="109">
        <v>2512</v>
      </c>
      <c r="G58" s="62">
        <f t="shared" si="40"/>
        <v>67271.360000000001</v>
      </c>
      <c r="H58" s="79" t="s">
        <v>115</v>
      </c>
      <c r="I58" s="80">
        <v>10</v>
      </c>
      <c r="J58" s="81">
        <v>3000</v>
      </c>
      <c r="K58" s="82">
        <f t="shared" si="1"/>
        <v>300</v>
      </c>
      <c r="L58" s="80">
        <v>10</v>
      </c>
      <c r="M58" s="83">
        <f t="shared" si="41"/>
        <v>2898.4615384615399</v>
      </c>
      <c r="N58" s="82">
        <f t="shared" si="3"/>
        <v>289.84615384615398</v>
      </c>
      <c r="O58" s="84">
        <f t="shared" si="4"/>
        <v>0</v>
      </c>
      <c r="P58" s="85">
        <f t="shared" si="5"/>
        <v>-10.153846153846018</v>
      </c>
      <c r="Q58" s="86">
        <f t="shared" si="6"/>
        <v>0.96615384615384658</v>
      </c>
      <c r="R58" s="237"/>
      <c r="S58" s="88">
        <v>0.28263888888888888</v>
      </c>
      <c r="T58" s="88">
        <v>0.31874999999999998</v>
      </c>
      <c r="U58" s="62">
        <f t="shared" ref="U58:U61" si="44">(S58-T57)*24*60</f>
        <v>5.9999999999999787</v>
      </c>
      <c r="V58" s="89">
        <f t="shared" si="42"/>
        <v>51.999999999999972</v>
      </c>
      <c r="W58" s="62"/>
      <c r="X58" s="62"/>
      <c r="Y58" s="62"/>
      <c r="Z58" s="62"/>
      <c r="AA58" s="232"/>
      <c r="AB58" s="232"/>
      <c r="AC58" s="92"/>
      <c r="AD58" s="93"/>
      <c r="AE58" s="84">
        <f t="shared" si="43"/>
        <v>-101.53846153846007</v>
      </c>
      <c r="AF58" s="86">
        <f t="shared" si="9"/>
        <v>0.9661538461538467</v>
      </c>
      <c r="AG58" s="237"/>
    </row>
    <row r="59" spans="1:33" ht="15.75" customHeight="1">
      <c r="A59" s="239" t="s">
        <v>170</v>
      </c>
      <c r="B59" s="78" t="s">
        <v>157</v>
      </c>
      <c r="C59" s="233" t="s">
        <v>173</v>
      </c>
      <c r="D59" s="233"/>
      <c r="E59" s="77">
        <v>35.869999999999997</v>
      </c>
      <c r="F59" s="109">
        <v>2838</v>
      </c>
      <c r="G59" s="62">
        <f t="shared" si="40"/>
        <v>101799.06</v>
      </c>
      <c r="H59" s="79" t="s">
        <v>115</v>
      </c>
      <c r="I59" s="80">
        <v>10</v>
      </c>
      <c r="J59" s="81">
        <v>3000</v>
      </c>
      <c r="K59" s="82">
        <f t="shared" si="1"/>
        <v>300</v>
      </c>
      <c r="L59" s="80">
        <v>10</v>
      </c>
      <c r="M59" s="83">
        <f t="shared" si="41"/>
        <v>2886.1016949152527</v>
      </c>
      <c r="N59" s="82">
        <f t="shared" si="3"/>
        <v>288.61016949152526</v>
      </c>
      <c r="O59" s="84">
        <f t="shared" si="4"/>
        <v>0</v>
      </c>
      <c r="P59" s="85">
        <f t="shared" si="5"/>
        <v>-11.389830508474745</v>
      </c>
      <c r="Q59" s="86">
        <f t="shared" si="6"/>
        <v>0.96203389830508423</v>
      </c>
      <c r="R59" s="237"/>
      <c r="S59" s="88">
        <v>0.32291666666666663</v>
      </c>
      <c r="T59" s="88">
        <v>0.36388888888888887</v>
      </c>
      <c r="U59" s="62">
        <f t="shared" si="44"/>
        <v>5.9999999999999787</v>
      </c>
      <c r="V59" s="89">
        <f t="shared" si="42"/>
        <v>59.000000000000028</v>
      </c>
      <c r="W59" s="62"/>
      <c r="X59" s="62"/>
      <c r="Y59" s="62"/>
      <c r="Z59" s="62"/>
      <c r="AA59" s="232"/>
      <c r="AB59" s="232"/>
      <c r="AC59" s="92"/>
      <c r="AD59" s="93"/>
      <c r="AE59" s="84">
        <f t="shared" si="43"/>
        <v>-113.89830508474734</v>
      </c>
      <c r="AF59" s="86">
        <f t="shared" si="9"/>
        <v>0.96203389830508423</v>
      </c>
      <c r="AG59" s="237"/>
    </row>
    <row r="60" spans="1:33" ht="15.75" customHeight="1">
      <c r="A60" s="239" t="s">
        <v>170</v>
      </c>
      <c r="B60" s="78" t="s">
        <v>157</v>
      </c>
      <c r="C60" s="233" t="s">
        <v>174</v>
      </c>
      <c r="D60" s="233"/>
      <c r="E60" s="77">
        <v>35.869999999999997</v>
      </c>
      <c r="F60" s="109">
        <v>970</v>
      </c>
      <c r="G60" s="62">
        <f t="shared" si="40"/>
        <v>34793.899999999994</v>
      </c>
      <c r="H60" s="79" t="s">
        <v>115</v>
      </c>
      <c r="I60" s="80">
        <v>9</v>
      </c>
      <c r="J60" s="81">
        <v>3000</v>
      </c>
      <c r="K60" s="82">
        <f t="shared" si="1"/>
        <v>333.33333333333331</v>
      </c>
      <c r="L60" s="80">
        <v>9</v>
      </c>
      <c r="M60" s="83">
        <f t="shared" si="41"/>
        <v>2909.9999999999991</v>
      </c>
      <c r="N60" s="82">
        <f t="shared" si="3"/>
        <v>323.33333333333326</v>
      </c>
      <c r="O60" s="84">
        <f t="shared" si="4"/>
        <v>0</v>
      </c>
      <c r="P60" s="85">
        <f t="shared" si="5"/>
        <v>-10.000000000000057</v>
      </c>
      <c r="Q60" s="86">
        <f t="shared" si="6"/>
        <v>0.96999999999999986</v>
      </c>
      <c r="R60" s="237"/>
      <c r="S60" s="88">
        <v>0.36944444444444441</v>
      </c>
      <c r="T60" s="88">
        <v>0.3833333333333333</v>
      </c>
      <c r="U60" s="62">
        <f t="shared" si="44"/>
        <v>7.9999999999999716</v>
      </c>
      <c r="V60" s="89">
        <f t="shared" si="42"/>
        <v>20.000000000000007</v>
      </c>
      <c r="W60" s="62"/>
      <c r="X60" s="62"/>
      <c r="Y60" s="62"/>
      <c r="Z60" s="62"/>
      <c r="AA60" s="232"/>
      <c r="AB60" s="232"/>
      <c r="AC60" s="92"/>
      <c r="AD60" s="93"/>
      <c r="AE60" s="84">
        <f t="shared" si="43"/>
        <v>-90.000000000000909</v>
      </c>
      <c r="AF60" s="86">
        <f t="shared" si="9"/>
        <v>0.96999999999999975</v>
      </c>
      <c r="AG60" s="237"/>
    </row>
    <row r="61" spans="1:33">
      <c r="A61" s="240" t="s">
        <v>170</v>
      </c>
      <c r="B61" s="78" t="s">
        <v>157</v>
      </c>
      <c r="C61" s="233" t="s">
        <v>175</v>
      </c>
      <c r="D61" s="233"/>
      <c r="E61" s="77">
        <v>33.770000000000003</v>
      </c>
      <c r="F61" s="109">
        <v>4063</v>
      </c>
      <c r="G61" s="62">
        <f t="shared" si="40"/>
        <v>137207.51</v>
      </c>
      <c r="H61" s="79" t="s">
        <v>115</v>
      </c>
      <c r="I61" s="80">
        <v>12</v>
      </c>
      <c r="J61" s="81">
        <v>3000</v>
      </c>
      <c r="K61" s="82">
        <f t="shared" si="1"/>
        <v>250</v>
      </c>
      <c r="L61" s="80">
        <v>12</v>
      </c>
      <c r="M61" s="83">
        <f t="shared" si="41"/>
        <v>2867.9999999999995</v>
      </c>
      <c r="N61" s="82">
        <f t="shared" si="3"/>
        <v>238.99999999999997</v>
      </c>
      <c r="O61" s="84">
        <f t="shared" si="4"/>
        <v>0</v>
      </c>
      <c r="P61" s="85">
        <f t="shared" si="5"/>
        <v>-11.000000000000028</v>
      </c>
      <c r="Q61" s="86">
        <f t="shared" si="6"/>
        <v>0.95599999999999985</v>
      </c>
      <c r="R61" s="237"/>
      <c r="S61" s="88">
        <v>0.38680555555555551</v>
      </c>
      <c r="T61" s="88">
        <v>0.4458333333333333</v>
      </c>
      <c r="U61" s="62">
        <f t="shared" si="44"/>
        <v>4.9999999999999822</v>
      </c>
      <c r="V61" s="89">
        <f t="shared" si="42"/>
        <v>85.000000000000014</v>
      </c>
      <c r="W61" s="90"/>
      <c r="X61" s="90"/>
      <c r="Y61" s="90"/>
      <c r="Z61" s="90"/>
      <c r="AA61" s="232"/>
      <c r="AB61" s="232"/>
      <c r="AC61" s="92"/>
      <c r="AD61" s="93"/>
      <c r="AE61" s="84">
        <f t="shared" si="43"/>
        <v>-132.00000000000045</v>
      </c>
      <c r="AF61" s="86">
        <f t="shared" si="9"/>
        <v>0.95599999999999985</v>
      </c>
      <c r="AG61" s="237"/>
    </row>
    <row r="62" spans="1:33">
      <c r="A62" s="240" t="s">
        <v>170</v>
      </c>
      <c r="B62" s="77" t="s">
        <v>119</v>
      </c>
      <c r="C62" s="238"/>
      <c r="D62" s="238"/>
      <c r="E62" s="96"/>
      <c r="F62" s="97"/>
      <c r="G62" s="82"/>
      <c r="H62" s="78"/>
      <c r="I62" s="98">
        <v>10.199999999999999</v>
      </c>
      <c r="J62" s="81">
        <v>3000</v>
      </c>
      <c r="K62" s="82">
        <f t="shared" si="1"/>
        <v>294.11764705882354</v>
      </c>
      <c r="L62" s="98">
        <v>10.199999999999999</v>
      </c>
      <c r="M62" s="83">
        <f>AVERAGE(M57:M61)</f>
        <v>2886.6116565763487</v>
      </c>
      <c r="N62" s="82">
        <f t="shared" si="3"/>
        <v>283.00114280160284</v>
      </c>
      <c r="O62" s="84">
        <f t="shared" si="4"/>
        <v>0</v>
      </c>
      <c r="P62" s="85">
        <f t="shared" si="5"/>
        <v>-11.116504257220697</v>
      </c>
      <c r="Q62" s="86">
        <f t="shared" si="6"/>
        <v>0.96220388552544966</v>
      </c>
      <c r="R62" s="237"/>
      <c r="S62" s="88"/>
      <c r="T62" s="88"/>
      <c r="U62" s="82"/>
      <c r="V62" s="89"/>
      <c r="W62" s="82"/>
      <c r="X62" s="82"/>
      <c r="Y62" s="99">
        <f>SUM(Y57:Y61)</f>
        <v>0</v>
      </c>
      <c r="Z62" s="99">
        <f>SUM(Z57:Z61)</f>
        <v>0</v>
      </c>
      <c r="AA62" s="231"/>
      <c r="AB62" s="231"/>
      <c r="AC62" s="99">
        <v>5</v>
      </c>
      <c r="AD62" s="99">
        <f>SUM(AD57:AD61)</f>
        <v>0</v>
      </c>
      <c r="AE62" s="84">
        <f t="shared" si="43"/>
        <v>-113.38834342365135</v>
      </c>
      <c r="AF62" s="86">
        <f t="shared" si="9"/>
        <v>0.96220388552544955</v>
      </c>
      <c r="AG62" s="237"/>
    </row>
    <row r="63" spans="1:33" ht="15.75" customHeight="1">
      <c r="A63" s="234" t="s">
        <v>176</v>
      </c>
      <c r="B63" s="78" t="s">
        <v>142</v>
      </c>
      <c r="C63" s="233" t="s">
        <v>177</v>
      </c>
      <c r="D63" s="233"/>
      <c r="E63" s="77">
        <v>19.02</v>
      </c>
      <c r="F63" s="78">
        <v>3900</v>
      </c>
      <c r="G63" s="62">
        <f t="shared" ref="G63:G69" si="45">E63*F63</f>
        <v>74178</v>
      </c>
      <c r="H63" s="79">
        <v>2</v>
      </c>
      <c r="I63" s="80">
        <v>14</v>
      </c>
      <c r="J63" s="81">
        <v>2400</v>
      </c>
      <c r="K63" s="82">
        <f t="shared" si="1"/>
        <v>171.42857142857142</v>
      </c>
      <c r="L63" s="80">
        <v>14</v>
      </c>
      <c r="M63" s="83">
        <f t="shared" ref="M63:M69" si="46">F63/V63*60</f>
        <v>2294.117647058823</v>
      </c>
      <c r="N63" s="82">
        <f t="shared" si="3"/>
        <v>163.86554621848737</v>
      </c>
      <c r="O63" s="84">
        <f t="shared" si="4"/>
        <v>0</v>
      </c>
      <c r="P63" s="85">
        <f t="shared" si="5"/>
        <v>-7.5630252100840494</v>
      </c>
      <c r="Q63" s="86">
        <f t="shared" si="6"/>
        <v>0.95588235294117641</v>
      </c>
      <c r="R63" s="237">
        <f>Q70</f>
        <v>0.95817629175180974</v>
      </c>
      <c r="S63" s="88">
        <v>8.3333333333333329E-2</v>
      </c>
      <c r="T63" s="88">
        <v>0.15416666666666667</v>
      </c>
      <c r="U63" s="100"/>
      <c r="V63" s="89">
        <f t="shared" ref="V63:V69" si="47">(T63-S63)*24*60</f>
        <v>102.00000000000001</v>
      </c>
      <c r="W63" s="90">
        <f>T63</f>
        <v>0.15416666666666667</v>
      </c>
      <c r="X63" s="90">
        <f>S64</f>
        <v>0.17291666666666666</v>
      </c>
      <c r="Y63" s="90"/>
      <c r="Z63" s="90"/>
      <c r="AA63" s="232"/>
      <c r="AB63" s="232"/>
      <c r="AC63" s="92">
        <v>7</v>
      </c>
      <c r="AD63" s="93"/>
      <c r="AE63" s="84">
        <f t="shared" si="43"/>
        <v>-105.88235294117703</v>
      </c>
      <c r="AF63" s="86">
        <f t="shared" si="9"/>
        <v>0.95588235294117618</v>
      </c>
      <c r="AG63" s="237">
        <f>AF70</f>
        <v>0.95817629175180985</v>
      </c>
    </row>
    <row r="64" spans="1:33" ht="15.75" customHeight="1">
      <c r="A64" s="235" t="s">
        <v>176</v>
      </c>
      <c r="B64" s="78" t="s">
        <v>142</v>
      </c>
      <c r="C64" s="233" t="s">
        <v>178</v>
      </c>
      <c r="D64" s="233"/>
      <c r="E64" s="77">
        <v>20.36</v>
      </c>
      <c r="F64" s="78">
        <v>4282</v>
      </c>
      <c r="G64" s="62">
        <f t="shared" si="45"/>
        <v>87181.52</v>
      </c>
      <c r="H64" s="79" t="s">
        <v>115</v>
      </c>
      <c r="I64" s="80">
        <v>17</v>
      </c>
      <c r="J64" s="81">
        <v>2400</v>
      </c>
      <c r="K64" s="82">
        <f t="shared" si="1"/>
        <v>141.1764705882353</v>
      </c>
      <c r="L64" s="80">
        <v>17</v>
      </c>
      <c r="M64" s="83">
        <f t="shared" si="46"/>
        <v>2293.9285714285711</v>
      </c>
      <c r="N64" s="82">
        <f t="shared" si="3"/>
        <v>134.93697478991595</v>
      </c>
      <c r="O64" s="84">
        <f t="shared" si="4"/>
        <v>0</v>
      </c>
      <c r="P64" s="85">
        <f t="shared" si="5"/>
        <v>-6.2394957983193535</v>
      </c>
      <c r="Q64" s="86">
        <f t="shared" si="6"/>
        <v>0.9558035714285712</v>
      </c>
      <c r="R64" s="237"/>
      <c r="S64" s="88">
        <v>0.17291666666666666</v>
      </c>
      <c r="T64" s="88">
        <v>0.25069444444444444</v>
      </c>
      <c r="U64" s="62">
        <f t="shared" ref="U64:U69" si="48">(S64-T63)*24*60</f>
        <v>26.999999999999986</v>
      </c>
      <c r="V64" s="89">
        <f t="shared" si="47"/>
        <v>112</v>
      </c>
      <c r="W64" s="90"/>
      <c r="X64" s="90"/>
      <c r="Y64" s="90"/>
      <c r="Z64" s="90"/>
      <c r="AA64" s="232"/>
      <c r="AB64" s="232"/>
      <c r="AC64" s="92"/>
      <c r="AD64" s="93"/>
      <c r="AE64" s="84">
        <f t="shared" si="43"/>
        <v>-106.0714285714289</v>
      </c>
      <c r="AF64" s="86">
        <f t="shared" si="9"/>
        <v>0.95580357142857131</v>
      </c>
      <c r="AG64" s="237"/>
    </row>
    <row r="65" spans="1:33" ht="15.75" customHeight="1">
      <c r="A65" s="235" t="s">
        <v>176</v>
      </c>
      <c r="B65" s="78" t="s">
        <v>142</v>
      </c>
      <c r="C65" s="233" t="s">
        <v>179</v>
      </c>
      <c r="D65" s="233"/>
      <c r="E65" s="77">
        <v>23.8</v>
      </c>
      <c r="F65" s="78">
        <v>2280</v>
      </c>
      <c r="G65" s="62">
        <f t="shared" si="45"/>
        <v>54264</v>
      </c>
      <c r="H65" s="79" t="s">
        <v>115</v>
      </c>
      <c r="I65" s="80">
        <v>16</v>
      </c>
      <c r="J65" s="81">
        <v>2400</v>
      </c>
      <c r="K65" s="82">
        <f t="shared" si="1"/>
        <v>150</v>
      </c>
      <c r="L65" s="80">
        <v>16</v>
      </c>
      <c r="M65" s="83">
        <f t="shared" si="46"/>
        <v>2318.6440677966093</v>
      </c>
      <c r="N65" s="82">
        <f t="shared" si="3"/>
        <v>144.91525423728808</v>
      </c>
      <c r="O65" s="84">
        <f t="shared" si="4"/>
        <v>0</v>
      </c>
      <c r="P65" s="85">
        <f t="shared" si="5"/>
        <v>-5.0847457627119184</v>
      </c>
      <c r="Q65" s="86">
        <f t="shared" si="6"/>
        <v>0.96610169491525388</v>
      </c>
      <c r="R65" s="237"/>
      <c r="S65" s="88">
        <v>0.25624999999999998</v>
      </c>
      <c r="T65" s="88">
        <v>0.29722222222222222</v>
      </c>
      <c r="U65" s="62">
        <f t="shared" si="48"/>
        <v>7.9999999999999716</v>
      </c>
      <c r="V65" s="89">
        <f t="shared" si="47"/>
        <v>59.000000000000028</v>
      </c>
      <c r="W65" s="90"/>
      <c r="X65" s="90"/>
      <c r="Y65" s="90"/>
      <c r="Z65" s="90"/>
      <c r="AA65" s="232"/>
      <c r="AB65" s="232"/>
      <c r="AC65" s="92"/>
      <c r="AD65" s="93"/>
      <c r="AE65" s="84">
        <f t="shared" si="43"/>
        <v>-81.355932203390694</v>
      </c>
      <c r="AF65" s="86">
        <f t="shared" si="9"/>
        <v>0.96610169491525388</v>
      </c>
      <c r="AG65" s="237"/>
    </row>
    <row r="66" spans="1:33" ht="15.75" customHeight="1">
      <c r="A66" s="235" t="s">
        <v>176</v>
      </c>
      <c r="B66" s="78" t="s">
        <v>142</v>
      </c>
      <c r="C66" s="233" t="s">
        <v>180</v>
      </c>
      <c r="D66" s="233"/>
      <c r="E66" s="77">
        <v>28.29</v>
      </c>
      <c r="F66" s="78">
        <v>2309</v>
      </c>
      <c r="G66" s="62">
        <f t="shared" si="45"/>
        <v>65321.61</v>
      </c>
      <c r="H66" s="79" t="s">
        <v>115</v>
      </c>
      <c r="I66" s="80">
        <v>19</v>
      </c>
      <c r="J66" s="81">
        <v>2400</v>
      </c>
      <c r="K66" s="82">
        <f t="shared" si="1"/>
        <v>126.31578947368421</v>
      </c>
      <c r="L66" s="80">
        <v>19</v>
      </c>
      <c r="M66" s="83">
        <f t="shared" si="46"/>
        <v>2308.9999999999986</v>
      </c>
      <c r="N66" s="82">
        <f t="shared" si="3"/>
        <v>121.52631578947361</v>
      </c>
      <c r="O66" s="84">
        <f t="shared" si="4"/>
        <v>0</v>
      </c>
      <c r="P66" s="85">
        <f t="shared" si="5"/>
        <v>-4.7894736842105914</v>
      </c>
      <c r="Q66" s="86">
        <f t="shared" si="6"/>
        <v>0.96208333333333285</v>
      </c>
      <c r="R66" s="237"/>
      <c r="S66" s="88">
        <v>0.30208333333333331</v>
      </c>
      <c r="T66" s="88">
        <v>0.34375</v>
      </c>
      <c r="U66" s="62">
        <f t="shared" si="48"/>
        <v>6.9999999999999751</v>
      </c>
      <c r="V66" s="89">
        <f t="shared" si="47"/>
        <v>60.000000000000028</v>
      </c>
      <c r="W66" s="90"/>
      <c r="X66" s="90"/>
      <c r="Y66" s="90"/>
      <c r="Z66" s="90"/>
      <c r="AA66" s="232"/>
      <c r="AB66" s="232"/>
      <c r="AC66" s="92"/>
      <c r="AD66" s="93"/>
      <c r="AE66" s="84">
        <f t="shared" si="43"/>
        <v>-91.000000000001364</v>
      </c>
      <c r="AF66" s="86">
        <f t="shared" si="9"/>
        <v>0.96208333333333274</v>
      </c>
      <c r="AG66" s="237"/>
    </row>
    <row r="67" spans="1:33" ht="15.75" customHeight="1">
      <c r="A67" s="235" t="s">
        <v>176</v>
      </c>
      <c r="B67" s="78" t="s">
        <v>142</v>
      </c>
      <c r="C67" s="233" t="s">
        <v>181</v>
      </c>
      <c r="D67" s="233"/>
      <c r="E67" s="77">
        <v>25.98</v>
      </c>
      <c r="F67" s="78">
        <v>1615</v>
      </c>
      <c r="G67" s="62">
        <f t="shared" si="45"/>
        <v>41957.7</v>
      </c>
      <c r="H67" s="79" t="s">
        <v>115</v>
      </c>
      <c r="I67" s="80">
        <v>17</v>
      </c>
      <c r="J67" s="81">
        <v>2400</v>
      </c>
      <c r="K67" s="82">
        <f t="shared" si="1"/>
        <v>141.1764705882353</v>
      </c>
      <c r="L67" s="80">
        <v>17</v>
      </c>
      <c r="M67" s="83">
        <f t="shared" si="46"/>
        <v>2307.1428571428564</v>
      </c>
      <c r="N67" s="82">
        <f t="shared" si="3"/>
        <v>135.71428571428567</v>
      </c>
      <c r="O67" s="84">
        <f t="shared" si="4"/>
        <v>0</v>
      </c>
      <c r="P67" s="85">
        <f t="shared" si="5"/>
        <v>-5.4621848739496386</v>
      </c>
      <c r="Q67" s="86">
        <f t="shared" si="6"/>
        <v>0.96130952380952339</v>
      </c>
      <c r="R67" s="237"/>
      <c r="S67" s="88">
        <v>0.34930555555555554</v>
      </c>
      <c r="T67" s="88">
        <v>0.37847222222222221</v>
      </c>
      <c r="U67" s="62">
        <f t="shared" si="48"/>
        <v>7.9999999999999716</v>
      </c>
      <c r="V67" s="89">
        <f t="shared" si="47"/>
        <v>42.000000000000014</v>
      </c>
      <c r="W67" s="90"/>
      <c r="X67" s="90"/>
      <c r="Y67" s="90"/>
      <c r="Z67" s="90"/>
      <c r="AA67" s="232"/>
      <c r="AB67" s="232"/>
      <c r="AC67" s="92"/>
      <c r="AD67" s="93"/>
      <c r="AE67" s="84">
        <f t="shared" si="43"/>
        <v>-92.857142857143572</v>
      </c>
      <c r="AF67" s="86">
        <f t="shared" si="9"/>
        <v>0.9613095238095235</v>
      </c>
      <c r="AG67" s="237"/>
    </row>
    <row r="68" spans="1:33" ht="15.75" customHeight="1">
      <c r="A68" s="235" t="s">
        <v>176</v>
      </c>
      <c r="B68" s="78" t="s">
        <v>142</v>
      </c>
      <c r="C68" s="233" t="s">
        <v>182</v>
      </c>
      <c r="D68" s="233"/>
      <c r="E68" s="77">
        <v>20.51</v>
      </c>
      <c r="F68" s="78">
        <v>6975</v>
      </c>
      <c r="G68" s="62">
        <f t="shared" si="45"/>
        <v>143057.25</v>
      </c>
      <c r="H68" s="79" t="s">
        <v>115</v>
      </c>
      <c r="I68" s="80">
        <v>14</v>
      </c>
      <c r="J68" s="81">
        <v>2400</v>
      </c>
      <c r="K68" s="82">
        <f t="shared" si="1"/>
        <v>171.42857142857142</v>
      </c>
      <c r="L68" s="80">
        <v>14</v>
      </c>
      <c r="M68" s="83">
        <f t="shared" si="46"/>
        <v>2286.8852459016393</v>
      </c>
      <c r="N68" s="82">
        <f t="shared" si="3"/>
        <v>163.34894613583137</v>
      </c>
      <c r="O68" s="84">
        <f t="shared" si="4"/>
        <v>0</v>
      </c>
      <c r="P68" s="85">
        <f t="shared" si="5"/>
        <v>-8.0796252927400474</v>
      </c>
      <c r="Q68" s="86">
        <f t="shared" si="6"/>
        <v>0.95286885245901642</v>
      </c>
      <c r="R68" s="237"/>
      <c r="S68" s="88">
        <v>0.38402777777777775</v>
      </c>
      <c r="T68" s="88">
        <v>0.51111111111111107</v>
      </c>
      <c r="U68" s="62">
        <f t="shared" si="48"/>
        <v>7.9999999999999716</v>
      </c>
      <c r="V68" s="89">
        <f t="shared" si="47"/>
        <v>183</v>
      </c>
      <c r="W68" s="90">
        <f>T68</f>
        <v>0.51111111111111107</v>
      </c>
      <c r="X68" s="90">
        <f>S69</f>
        <v>0.5527777777777777</v>
      </c>
      <c r="Y68" s="90"/>
      <c r="Z68" s="90"/>
      <c r="AA68" s="232"/>
      <c r="AB68" s="232"/>
      <c r="AC68" s="92"/>
      <c r="AD68" s="93"/>
      <c r="AE68" s="84">
        <f t="shared" si="43"/>
        <v>-113.11475409836066</v>
      </c>
      <c r="AF68" s="86">
        <f t="shared" si="9"/>
        <v>0.95286885245901642</v>
      </c>
      <c r="AG68" s="237"/>
    </row>
    <row r="69" spans="1:33" ht="15.75" customHeight="1">
      <c r="A69" s="235" t="s">
        <v>176</v>
      </c>
      <c r="B69" s="78" t="s">
        <v>142</v>
      </c>
      <c r="C69" s="225" t="s">
        <v>177</v>
      </c>
      <c r="D69" s="226"/>
      <c r="E69" s="77">
        <v>19.02</v>
      </c>
      <c r="F69" s="78">
        <v>5986</v>
      </c>
      <c r="G69" s="62">
        <f t="shared" si="45"/>
        <v>113853.72</v>
      </c>
      <c r="H69" s="79" t="s">
        <v>115</v>
      </c>
      <c r="I69" s="80">
        <v>14</v>
      </c>
      <c r="J69" s="81">
        <v>2400</v>
      </c>
      <c r="K69" s="82">
        <f t="shared" ref="K69:K70" si="49">J69/I69</f>
        <v>171.42857142857142</v>
      </c>
      <c r="L69" s="80">
        <v>14</v>
      </c>
      <c r="M69" s="83">
        <f t="shared" si="46"/>
        <v>2287.6433121019095</v>
      </c>
      <c r="N69" s="82">
        <f t="shared" ref="N69:N70" si="50">M69/L69</f>
        <v>163.40309372156497</v>
      </c>
      <c r="O69" s="84">
        <f t="shared" ref="O69:O70" si="51">L69-I69</f>
        <v>0</v>
      </c>
      <c r="P69" s="85">
        <f t="shared" ref="P69:P70" si="52">N69-K69</f>
        <v>-8.0254777070064449</v>
      </c>
      <c r="Q69" s="86">
        <f t="shared" ref="Q69:Q70" si="53">N69/K69</f>
        <v>0.95318471337579569</v>
      </c>
      <c r="R69" s="237"/>
      <c r="S69" s="88">
        <v>0.5527777777777777</v>
      </c>
      <c r="T69" s="88">
        <v>0.66180555555555554</v>
      </c>
      <c r="U69" s="62">
        <f t="shared" si="48"/>
        <v>59.999999999999943</v>
      </c>
      <c r="V69" s="89">
        <f t="shared" si="47"/>
        <v>157.00000000000009</v>
      </c>
      <c r="W69" s="90"/>
      <c r="X69" s="90"/>
      <c r="Y69" s="94"/>
      <c r="Z69" s="94"/>
      <c r="AA69" s="227"/>
      <c r="AB69" s="228"/>
      <c r="AC69" s="92"/>
      <c r="AD69" s="93"/>
      <c r="AE69" s="84">
        <f t="shared" si="43"/>
        <v>-112.35668789809051</v>
      </c>
      <c r="AF69" s="86">
        <f t="shared" ref="AF69:AF70" si="54">M69/J69</f>
        <v>0.95318471337579558</v>
      </c>
      <c r="AG69" s="237"/>
    </row>
    <row r="70" spans="1:33" ht="16.5" customHeight="1">
      <c r="A70" s="236" t="s">
        <v>176</v>
      </c>
      <c r="B70" s="77" t="s">
        <v>119</v>
      </c>
      <c r="C70" s="229"/>
      <c r="D70" s="230"/>
      <c r="E70" s="96"/>
      <c r="F70" s="97"/>
      <c r="G70" s="82"/>
      <c r="H70" s="78"/>
      <c r="I70" s="98">
        <v>15.857142857142858</v>
      </c>
      <c r="J70" s="81">
        <v>2400</v>
      </c>
      <c r="K70" s="82">
        <f t="shared" si="49"/>
        <v>151.35135135135135</v>
      </c>
      <c r="L70" s="98">
        <v>15.857142857142858</v>
      </c>
      <c r="M70" s="83">
        <f>AVERAGE(M63:M69)</f>
        <v>2299.6231002043437</v>
      </c>
      <c r="N70" s="82">
        <f t="shared" si="50"/>
        <v>145.0212765894631</v>
      </c>
      <c r="O70" s="84">
        <f t="shared" si="51"/>
        <v>0</v>
      </c>
      <c r="P70" s="85">
        <f t="shared" si="52"/>
        <v>-6.3300747618882554</v>
      </c>
      <c r="Q70" s="86">
        <f t="shared" si="53"/>
        <v>0.95817629175180974</v>
      </c>
      <c r="R70" s="237"/>
      <c r="S70" s="88"/>
      <c r="T70" s="88"/>
      <c r="U70" s="82"/>
      <c r="V70" s="89"/>
      <c r="W70" s="82"/>
      <c r="X70" s="82"/>
      <c r="Y70" s="99">
        <f>SUM(Y63:Y69)</f>
        <v>0</v>
      </c>
      <c r="Z70" s="99">
        <f>SUM(Z63:Z69)</f>
        <v>0</v>
      </c>
      <c r="AA70" s="231"/>
      <c r="AB70" s="231"/>
      <c r="AC70" s="99">
        <v>7</v>
      </c>
      <c r="AD70" s="99">
        <f>SUM(AD63:AD69)</f>
        <v>0</v>
      </c>
      <c r="AE70" s="84">
        <f t="shared" si="43"/>
        <v>-100.3768997956563</v>
      </c>
      <c r="AF70" s="86">
        <f t="shared" si="54"/>
        <v>0.95817629175180985</v>
      </c>
      <c r="AG70" s="237"/>
    </row>
    <row r="71" spans="1:33">
      <c r="D71" s="112"/>
      <c r="E71" s="112"/>
    </row>
  </sheetData>
  <mergeCells count="189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8"/>
    <mergeCell ref="AA12:AB12"/>
    <mergeCell ref="AG12:AG18"/>
    <mergeCell ref="C16:D16"/>
    <mergeCell ref="AA16:AB16"/>
    <mergeCell ref="C18:D18"/>
    <mergeCell ref="AA18:AB18"/>
    <mergeCell ref="A19:A26"/>
    <mergeCell ref="C19:D19"/>
    <mergeCell ref="R19:R26"/>
    <mergeCell ref="AA19:AB19"/>
    <mergeCell ref="AA24:AB24"/>
    <mergeCell ref="C25:D25"/>
    <mergeCell ref="A12:A18"/>
    <mergeCell ref="AG19:AG26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5:AB25"/>
    <mergeCell ref="C26:D26"/>
    <mergeCell ref="AA26:AB26"/>
    <mergeCell ref="C13:D13"/>
    <mergeCell ref="AA13:AB13"/>
    <mergeCell ref="C14:D14"/>
    <mergeCell ref="AA14:AB14"/>
    <mergeCell ref="A27:A35"/>
    <mergeCell ref="C27:D27"/>
    <mergeCell ref="R27:R35"/>
    <mergeCell ref="AA27:AB27"/>
    <mergeCell ref="AA32:AB32"/>
    <mergeCell ref="C33:D33"/>
    <mergeCell ref="AA33:AB33"/>
    <mergeCell ref="AG27:AG35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C35:D35"/>
    <mergeCell ref="AA35:AB35"/>
    <mergeCell ref="A36:A43"/>
    <mergeCell ref="C36:D36"/>
    <mergeCell ref="R36:R43"/>
    <mergeCell ref="AA36:AB36"/>
    <mergeCell ref="AA41:AB41"/>
    <mergeCell ref="C42:D42"/>
    <mergeCell ref="AA42:AB42"/>
    <mergeCell ref="C43:D43"/>
    <mergeCell ref="AA43:AB43"/>
    <mergeCell ref="A44:A47"/>
    <mergeCell ref="C44:D44"/>
    <mergeCell ref="R44:R47"/>
    <mergeCell ref="AA44:AB44"/>
    <mergeCell ref="AG44:AG47"/>
    <mergeCell ref="C45:D45"/>
    <mergeCell ref="AA45:AB45"/>
    <mergeCell ref="C46:D46"/>
    <mergeCell ref="AA46:AB46"/>
    <mergeCell ref="C47:D47"/>
    <mergeCell ref="AA47:AB47"/>
    <mergeCell ref="AG36:AG43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G57:AG62"/>
    <mergeCell ref="C58:D58"/>
    <mergeCell ref="AA58:AB58"/>
    <mergeCell ref="C59:D59"/>
    <mergeCell ref="AA59:AB59"/>
    <mergeCell ref="AG48:AG56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C60:D60"/>
    <mergeCell ref="AA60:AB60"/>
    <mergeCell ref="C61:D61"/>
    <mergeCell ref="AA61:AB61"/>
    <mergeCell ref="C62:D62"/>
    <mergeCell ref="AA62:AB62"/>
    <mergeCell ref="AA56:AB56"/>
    <mergeCell ref="A57:A62"/>
    <mergeCell ref="C57:D57"/>
    <mergeCell ref="R57:R62"/>
    <mergeCell ref="AA57:AB57"/>
    <mergeCell ref="A48:A56"/>
    <mergeCell ref="C48:D48"/>
    <mergeCell ref="R48:R56"/>
    <mergeCell ref="AA48:AB48"/>
    <mergeCell ref="AA54:AB54"/>
    <mergeCell ref="C55:D55"/>
    <mergeCell ref="AA55:AB55"/>
    <mergeCell ref="C56:D56"/>
    <mergeCell ref="A63:A70"/>
    <mergeCell ref="C63:D63"/>
    <mergeCell ref="R63:R70"/>
    <mergeCell ref="AA63:AB63"/>
    <mergeCell ref="AG63:AG70"/>
    <mergeCell ref="C64:D64"/>
    <mergeCell ref="AA64:AB64"/>
    <mergeCell ref="C65:D65"/>
    <mergeCell ref="AA65:AB65"/>
    <mergeCell ref="C66:D66"/>
    <mergeCell ref="C70:D70"/>
    <mergeCell ref="AA70:AB70"/>
    <mergeCell ref="AA66:AB66"/>
    <mergeCell ref="C67:D67"/>
    <mergeCell ref="AA67:AB67"/>
    <mergeCell ref="C68:D68"/>
    <mergeCell ref="AA68:AB68"/>
    <mergeCell ref="C69:D69"/>
    <mergeCell ref="AA69:AB69"/>
  </mergeCells>
  <phoneticPr fontId="2" type="noConversion"/>
  <conditionalFormatting sqref="O60:O68 O56:O57 O70 O5:O9 O11:O13 O18:O53">
    <cfRule type="cellIs" dxfId="138" priority="53" operator="greaterThan">
      <formula>0</formula>
    </cfRule>
  </conditionalFormatting>
  <conditionalFormatting sqref="P5:P7 P60:P61 AE60:AE61 P63:P68 P27:P34 P57 P9 P11:P13 P19:P25 P48:P53 P36:P46 AE5:AE57 AE63:AE70">
    <cfRule type="cellIs" dxfId="137" priority="57" operator="lessThan">
      <formula>0</formula>
    </cfRule>
  </conditionalFormatting>
  <conditionalFormatting sqref="AF60:AF61 Q60:Q68 Q56:Q57 Q70 Q5:Q9 Q11:Q13 Q18:Q53 AF5:AF57 AF63:AF70">
    <cfRule type="cellIs" dxfId="136" priority="54" operator="greaterThan">
      <formula>1</formula>
    </cfRule>
    <cfRule type="cellIs" dxfId="135" priority="55" operator="lessThan">
      <formula>0.8</formula>
    </cfRule>
  </conditionalFormatting>
  <conditionalFormatting sqref="AG12:AG13 R12:R13 AG60 R60:R68 R18:R24 AG18:AG24 AG56:AG57 R56:R57 R70 AG5:AG9 R5:R9 AG26:AG53 R26:R53">
    <cfRule type="cellIs" dxfId="134" priority="59" operator="lessThan">
      <formula>0.8</formula>
    </cfRule>
  </conditionalFormatting>
  <conditionalFormatting sqref="AG44">
    <cfRule type="cellIs" dxfId="133" priority="61" operator="lessThan">
      <formula>0.8</formula>
    </cfRule>
  </conditionalFormatting>
  <conditionalFormatting sqref="AG19:AG24">
    <cfRule type="cellIs" dxfId="132" priority="58" operator="lessThan">
      <formula>0.8</formula>
    </cfRule>
  </conditionalFormatting>
  <conditionalFormatting sqref="AG27">
    <cfRule type="cellIs" dxfId="131" priority="60" operator="lessThan">
      <formula>0.8</formula>
    </cfRule>
  </conditionalFormatting>
  <conditionalFormatting sqref="AG36:AG42">
    <cfRule type="cellIs" dxfId="130" priority="56" operator="lessThan">
      <formula>0.8</formula>
    </cfRule>
  </conditionalFormatting>
  <conditionalFormatting sqref="AE62">
    <cfRule type="cellIs" dxfId="129" priority="52" operator="lessThan">
      <formula>0</formula>
    </cfRule>
  </conditionalFormatting>
  <conditionalFormatting sqref="AF62">
    <cfRule type="cellIs" dxfId="128" priority="50" operator="greaterThan">
      <formula>1</formula>
    </cfRule>
    <cfRule type="cellIs" dxfId="127" priority="51" operator="lessThan">
      <formula>0.8</formula>
    </cfRule>
  </conditionalFormatting>
  <conditionalFormatting sqref="O14:O15">
    <cfRule type="cellIs" dxfId="126" priority="45" operator="greaterThan">
      <formula>0</formula>
    </cfRule>
  </conditionalFormatting>
  <conditionalFormatting sqref="P14:P15">
    <cfRule type="cellIs" dxfId="125" priority="48" operator="lessThan">
      <formula>0</formula>
    </cfRule>
  </conditionalFormatting>
  <conditionalFormatting sqref="Q14:Q15">
    <cfRule type="cellIs" dxfId="124" priority="46" operator="greaterThan">
      <formula>1</formula>
    </cfRule>
    <cfRule type="cellIs" dxfId="123" priority="47" operator="lessThan">
      <formula>0.8</formula>
    </cfRule>
  </conditionalFormatting>
  <conditionalFormatting sqref="R14:R15 AG14:AG15">
    <cfRule type="cellIs" dxfId="122" priority="49" operator="lessThan">
      <formula>0.8</formula>
    </cfRule>
  </conditionalFormatting>
  <conditionalFormatting sqref="O10">
    <cfRule type="cellIs" dxfId="121" priority="41" operator="greaterThan">
      <formula>0</formula>
    </cfRule>
  </conditionalFormatting>
  <conditionalFormatting sqref="P10">
    <cfRule type="cellIs" dxfId="120" priority="44" operator="lessThan">
      <formula>0</formula>
    </cfRule>
  </conditionalFormatting>
  <conditionalFormatting sqref="Q10">
    <cfRule type="cellIs" dxfId="119" priority="42" operator="greaterThan">
      <formula>1</formula>
    </cfRule>
    <cfRule type="cellIs" dxfId="118" priority="43" operator="lessThan">
      <formula>0.8</formula>
    </cfRule>
  </conditionalFormatting>
  <conditionalFormatting sqref="O54">
    <cfRule type="cellIs" dxfId="117" priority="36" operator="greaterThan">
      <formula>0</formula>
    </cfRule>
  </conditionalFormatting>
  <conditionalFormatting sqref="P54">
    <cfRule type="cellIs" dxfId="116" priority="39" operator="lessThan">
      <formula>0</formula>
    </cfRule>
  </conditionalFormatting>
  <conditionalFormatting sqref="Q54">
    <cfRule type="cellIs" dxfId="115" priority="37" operator="greaterThan">
      <formula>1</formula>
    </cfRule>
    <cfRule type="cellIs" dxfId="114" priority="38" operator="lessThan">
      <formula>0.8</formula>
    </cfRule>
  </conditionalFormatting>
  <conditionalFormatting sqref="R54 AG54">
    <cfRule type="cellIs" dxfId="113" priority="40" operator="lessThan">
      <formula>0.8</formula>
    </cfRule>
  </conditionalFormatting>
  <conditionalFormatting sqref="O59">
    <cfRule type="cellIs" dxfId="112" priority="31" operator="greaterThan">
      <formula>0</formula>
    </cfRule>
  </conditionalFormatting>
  <conditionalFormatting sqref="P59 AE59">
    <cfRule type="cellIs" dxfId="111" priority="34" operator="lessThan">
      <formula>0</formula>
    </cfRule>
  </conditionalFormatting>
  <conditionalFormatting sqref="Q59 AF59">
    <cfRule type="cellIs" dxfId="110" priority="32" operator="greaterThan">
      <formula>1</formula>
    </cfRule>
    <cfRule type="cellIs" dxfId="109" priority="33" operator="lessThan">
      <formula>0.8</formula>
    </cfRule>
  </conditionalFormatting>
  <conditionalFormatting sqref="R59 AG59">
    <cfRule type="cellIs" dxfId="108" priority="35" operator="lessThan">
      <formula>0.8</formula>
    </cfRule>
  </conditionalFormatting>
  <conditionalFormatting sqref="O69">
    <cfRule type="cellIs" dxfId="107" priority="26" operator="greaterThan">
      <formula>0</formula>
    </cfRule>
  </conditionalFormatting>
  <conditionalFormatting sqref="P69">
    <cfRule type="cellIs" dxfId="106" priority="29" operator="lessThan">
      <formula>0</formula>
    </cfRule>
  </conditionalFormatting>
  <conditionalFormatting sqref="Q69">
    <cfRule type="cellIs" dxfId="105" priority="27" operator="greaterThan">
      <formula>1</formula>
    </cfRule>
    <cfRule type="cellIs" dxfId="104" priority="28" operator="lessThan">
      <formula>0.8</formula>
    </cfRule>
  </conditionalFormatting>
  <conditionalFormatting sqref="R69">
    <cfRule type="cellIs" dxfId="103" priority="30" operator="lessThan">
      <formula>0.8</formula>
    </cfRule>
  </conditionalFormatting>
  <conditionalFormatting sqref="O16:O17">
    <cfRule type="cellIs" dxfId="102" priority="21" operator="greaterThan">
      <formula>0</formula>
    </cfRule>
  </conditionalFormatting>
  <conditionalFormatting sqref="P16:P17">
    <cfRule type="cellIs" dxfId="101" priority="24" operator="lessThan">
      <formula>0</formula>
    </cfRule>
  </conditionalFormatting>
  <conditionalFormatting sqref="Q16:Q17">
    <cfRule type="cellIs" dxfId="100" priority="22" operator="greaterThan">
      <formula>1</formula>
    </cfRule>
    <cfRule type="cellIs" dxfId="99" priority="23" operator="lessThan">
      <formula>0.8</formula>
    </cfRule>
  </conditionalFormatting>
  <conditionalFormatting sqref="R16:R17 AG16:AG17">
    <cfRule type="cellIs" dxfId="98" priority="25" operator="lessThan">
      <formula>0.8</formula>
    </cfRule>
  </conditionalFormatting>
  <conditionalFormatting sqref="O55">
    <cfRule type="cellIs" dxfId="97" priority="16" operator="greaterThan">
      <formula>0</formula>
    </cfRule>
  </conditionalFormatting>
  <conditionalFormatting sqref="P55">
    <cfRule type="cellIs" dxfId="96" priority="19" operator="lessThan">
      <formula>0</formula>
    </cfRule>
  </conditionalFormatting>
  <conditionalFormatting sqref="Q55">
    <cfRule type="cellIs" dxfId="95" priority="17" operator="greaterThan">
      <formula>1</formula>
    </cfRule>
    <cfRule type="cellIs" dxfId="94" priority="18" operator="lessThan">
      <formula>0.8</formula>
    </cfRule>
  </conditionalFormatting>
  <conditionalFormatting sqref="AG55 R55">
    <cfRule type="cellIs" dxfId="93" priority="20" operator="lessThan">
      <formula>0.8</formula>
    </cfRule>
  </conditionalFormatting>
  <conditionalFormatting sqref="R25 AG25">
    <cfRule type="cellIs" dxfId="92" priority="15" operator="lessThan">
      <formula>0.8</formula>
    </cfRule>
  </conditionalFormatting>
  <conditionalFormatting sqref="AG25">
    <cfRule type="cellIs" dxfId="91" priority="14" operator="lessThan">
      <formula>0.8</formula>
    </cfRule>
  </conditionalFormatting>
  <conditionalFormatting sqref="O58">
    <cfRule type="cellIs" dxfId="90" priority="9" operator="greaterThan">
      <formula>0</formula>
    </cfRule>
  </conditionalFormatting>
  <conditionalFormatting sqref="P58 AE58">
    <cfRule type="cellIs" dxfId="89" priority="12" operator="lessThan">
      <formula>0</formula>
    </cfRule>
  </conditionalFormatting>
  <conditionalFormatting sqref="Q58 AF58">
    <cfRule type="cellIs" dxfId="88" priority="10" operator="greaterThan">
      <formula>1</formula>
    </cfRule>
    <cfRule type="cellIs" dxfId="87" priority="11" operator="lessThan">
      <formula>0.8</formula>
    </cfRule>
  </conditionalFormatting>
  <conditionalFormatting sqref="R58 AG58">
    <cfRule type="cellIs" dxfId="86" priority="13" operator="lessThan">
      <formula>0.8</formula>
    </cfRule>
  </conditionalFormatting>
  <conditionalFormatting sqref="P8">
    <cfRule type="cellIs" dxfId="85" priority="8" operator="lessThan">
      <formula>0</formula>
    </cfRule>
  </conditionalFormatting>
  <conditionalFormatting sqref="P18">
    <cfRule type="cellIs" dxfId="84" priority="7" operator="lessThan">
      <formula>0</formula>
    </cfRule>
  </conditionalFormatting>
  <conditionalFormatting sqref="P26">
    <cfRule type="cellIs" dxfId="83" priority="6" operator="lessThan">
      <formula>0</formula>
    </cfRule>
  </conditionalFormatting>
  <conditionalFormatting sqref="P35">
    <cfRule type="cellIs" dxfId="82" priority="5" operator="lessThan">
      <formula>0</formula>
    </cfRule>
  </conditionalFormatting>
  <conditionalFormatting sqref="P47">
    <cfRule type="cellIs" dxfId="81" priority="4" operator="lessThan">
      <formula>0</formula>
    </cfRule>
  </conditionalFormatting>
  <conditionalFormatting sqref="P56">
    <cfRule type="cellIs" dxfId="80" priority="3" operator="lessThan">
      <formula>0</formula>
    </cfRule>
  </conditionalFormatting>
  <conditionalFormatting sqref="P62">
    <cfRule type="cellIs" dxfId="79" priority="2" operator="lessThan">
      <formula>0</formula>
    </cfRule>
  </conditionalFormatting>
  <conditionalFormatting sqref="P70">
    <cfRule type="cellIs" dxfId="78" priority="1" operator="lessThan">
      <formula>0</formula>
    </cfRule>
  </conditionalFormatting>
  <dataValidations count="1">
    <dataValidation type="list" allowBlank="1" showInputMessage="1" showErrorMessage="1" sqref="AB8 AA5:AB7 AB61 AA8:AA61 AB10:AB57 AA62:AB70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5146D1-6F1B-465C-B1A0-B12C7EF039E6}"/>
</file>

<file path=customXml/itemProps2.xml><?xml version="1.0" encoding="utf-8"?>
<ds:datastoreItem xmlns:ds="http://schemas.openxmlformats.org/officeDocument/2006/customXml" ds:itemID="{9CCAB2D0-50F9-4F05-99C8-ED1CD01437B9}"/>
</file>

<file path=customXml/itemProps3.xml><?xml version="1.0" encoding="utf-8"?>
<ds:datastoreItem xmlns:ds="http://schemas.openxmlformats.org/officeDocument/2006/customXml" ds:itemID="{3B230B04-FCFE-4351-9B0C-D658EDC6E7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1005</vt:lpstr>
      <vt:lpstr>1005 4度C</vt:lpstr>
      <vt:lpstr>1004</vt:lpstr>
      <vt:lpstr>1004 4度C</vt:lpstr>
      <vt:lpstr>1003</vt:lpstr>
      <vt:lpstr>1003 4度C</vt:lpstr>
      <vt:lpstr>1002</vt:lpstr>
      <vt:lpstr>1002 4度C</vt:lpstr>
      <vt:lpstr>1001</vt:lpstr>
      <vt:lpstr>1001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新豐生管04</dc:creator>
  <cp:lastModifiedBy>新豐生管03</cp:lastModifiedBy>
  <dcterms:created xsi:type="dcterms:W3CDTF">2026-08-02T01:35:55Z</dcterms:created>
  <dcterms:modified xsi:type="dcterms:W3CDTF">2026-10-06T01:31:50Z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